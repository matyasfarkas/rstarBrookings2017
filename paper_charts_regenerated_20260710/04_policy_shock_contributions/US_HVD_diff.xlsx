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ink/ink2.xml" ContentType="application/inkml+xml"/>
  <Override PartName="/xl/drawings/drawing3.xml" ContentType="application/vnd.openxmlformats-officedocument.drawing+xml"/>
  <Override PartName="/xl/ink/ink3.xml" ContentType="application/inkml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ink/ink4.xml" ContentType="application/inkml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ink/ink5.xml" ContentType="application/inkml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GitHub\rstarBrookings2017\Main results\US\"/>
    </mc:Choice>
  </mc:AlternateContent>
  <xr:revisionPtr revIDLastSave="0" documentId="13_ncr:1_{CF009441-BADA-445A-8FC6-25C77AC35D55}" xr6:coauthVersionLast="47" xr6:coauthVersionMax="47" xr10:uidLastSave="{00000000-0000-0000-0000-000000000000}"/>
  <bookViews>
    <workbookView xWindow="-120" yWindow="-120" windowWidth="27240" windowHeight="16410" firstSheet="1" activeTab="4" xr2:uid="{90012FF5-3E3F-4D65-9D30-D98E29904BF1}"/>
  </bookViews>
  <sheets>
    <sheet name="Delta" sheetId="3" state="hidden" r:id="rId1"/>
    <sheet name="wFG" sheetId="1" r:id="rId2"/>
    <sheet name="woFG" sheetId="2" r:id="rId3"/>
    <sheet name="DSGE HVD difference" sheetId="6" r:id="rId4"/>
    <sheet name="DSGE HVD wFG" sheetId="4" r:id="rId5"/>
    <sheet name="DSGE HVD woFG" sheetId="5" r:id="rId6"/>
  </sheets>
  <externalReferences>
    <externalReference r:id="rId7"/>
  </externalReference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C3" i="6"/>
  <c r="D3" i="6"/>
  <c r="E3" i="6"/>
  <c r="AD3" i="6" s="1"/>
  <c r="F3" i="6"/>
  <c r="G3" i="6"/>
  <c r="AF3" i="6" s="1"/>
  <c r="H3" i="6"/>
  <c r="I3" i="6"/>
  <c r="J3" i="6"/>
  <c r="K3" i="6"/>
  <c r="AH3" i="6" s="1"/>
  <c r="AM3" i="6" s="1"/>
  <c r="L3" i="6"/>
  <c r="M3" i="6"/>
  <c r="N3" i="6"/>
  <c r="O3" i="6"/>
  <c r="P3" i="6"/>
  <c r="Q3" i="6"/>
  <c r="R3" i="6"/>
  <c r="S3" i="6"/>
  <c r="AC3" i="6" s="1"/>
  <c r="AJ3" i="6" s="1"/>
  <c r="T3" i="6"/>
  <c r="U3" i="6"/>
  <c r="B4" i="6"/>
  <c r="C4" i="6"/>
  <c r="D4" i="6"/>
  <c r="E4" i="6"/>
  <c r="AD4" i="6" s="1"/>
  <c r="F4" i="6"/>
  <c r="G4" i="6"/>
  <c r="H4" i="6"/>
  <c r="I4" i="6"/>
  <c r="J4" i="6"/>
  <c r="K4" i="6"/>
  <c r="L4" i="6"/>
  <c r="M4" i="6"/>
  <c r="N4" i="6"/>
  <c r="O4" i="6"/>
  <c r="P4" i="6"/>
  <c r="Q4" i="6"/>
  <c r="AE4" i="6" s="1"/>
  <c r="R4" i="6"/>
  <c r="S4" i="6"/>
  <c r="T4" i="6"/>
  <c r="U4" i="6"/>
  <c r="B5" i="6"/>
  <c r="C5" i="6"/>
  <c r="AA5" i="6" s="1"/>
  <c r="D5" i="6"/>
  <c r="E5" i="6"/>
  <c r="F5" i="6"/>
  <c r="G5" i="6"/>
  <c r="AF5" i="6" s="1"/>
  <c r="H5" i="6"/>
  <c r="I5" i="6"/>
  <c r="AH5" i="6" s="1"/>
  <c r="AM5" i="6" s="1"/>
  <c r="J5" i="6"/>
  <c r="K5" i="6"/>
  <c r="L5" i="6"/>
  <c r="M5" i="6"/>
  <c r="N5" i="6"/>
  <c r="O5" i="6"/>
  <c r="P5" i="6"/>
  <c r="Q5" i="6"/>
  <c r="R5" i="6"/>
  <c r="S5" i="6"/>
  <c r="T5" i="6"/>
  <c r="U5" i="6"/>
  <c r="B6" i="6"/>
  <c r="C6" i="6"/>
  <c r="D6" i="6"/>
  <c r="E6" i="6"/>
  <c r="F6" i="6"/>
  <c r="G6" i="6"/>
  <c r="AF6" i="6" s="1"/>
  <c r="H6" i="6"/>
  <c r="I6" i="6"/>
  <c r="J6" i="6"/>
  <c r="K6" i="6"/>
  <c r="L6" i="6"/>
  <c r="M6" i="6"/>
  <c r="N6" i="6"/>
  <c r="O6" i="6"/>
  <c r="P6" i="6"/>
  <c r="Q6" i="6"/>
  <c r="R6" i="6"/>
  <c r="S6" i="6"/>
  <c r="AC6" i="6" s="1"/>
  <c r="T6" i="6"/>
  <c r="U6" i="6"/>
  <c r="B7" i="6"/>
  <c r="C7" i="6"/>
  <c r="D7" i="6"/>
  <c r="E7" i="6"/>
  <c r="AD7" i="6" s="1"/>
  <c r="F7" i="6"/>
  <c r="G7" i="6"/>
  <c r="H7" i="6"/>
  <c r="I7" i="6"/>
  <c r="AH7" i="6" s="1"/>
  <c r="AM7" i="6" s="1"/>
  <c r="J7" i="6"/>
  <c r="K7" i="6"/>
  <c r="L7" i="6"/>
  <c r="M7" i="6"/>
  <c r="N7" i="6"/>
  <c r="O7" i="6"/>
  <c r="P7" i="6"/>
  <c r="Q7" i="6"/>
  <c r="AE7" i="6" s="1"/>
  <c r="R7" i="6"/>
  <c r="S7" i="6"/>
  <c r="T7" i="6"/>
  <c r="U7" i="6"/>
  <c r="B8" i="6"/>
  <c r="C8" i="6"/>
  <c r="AA8" i="6" s="1"/>
  <c r="D8" i="6"/>
  <c r="E8" i="6"/>
  <c r="F8" i="6"/>
  <c r="G8" i="6"/>
  <c r="AF8" i="6" s="1"/>
  <c r="H8" i="6"/>
  <c r="I8" i="6"/>
  <c r="AH8" i="6" s="1"/>
  <c r="AM8" i="6" s="1"/>
  <c r="J8" i="6"/>
  <c r="K8" i="6"/>
  <c r="L8" i="6"/>
  <c r="M8" i="6"/>
  <c r="N8" i="6"/>
  <c r="O8" i="6"/>
  <c r="P8" i="6"/>
  <c r="Q8" i="6"/>
  <c r="R8" i="6"/>
  <c r="S8" i="6"/>
  <c r="T8" i="6"/>
  <c r="U8" i="6"/>
  <c r="B9" i="6"/>
  <c r="C9" i="6"/>
  <c r="D9" i="6"/>
  <c r="E9" i="6"/>
  <c r="F9" i="6"/>
  <c r="G9" i="6"/>
  <c r="AF9" i="6" s="1"/>
  <c r="H9" i="6"/>
  <c r="I9" i="6"/>
  <c r="J9" i="6"/>
  <c r="K9" i="6"/>
  <c r="L9" i="6"/>
  <c r="M9" i="6"/>
  <c r="N9" i="6"/>
  <c r="O9" i="6"/>
  <c r="P9" i="6"/>
  <c r="Q9" i="6"/>
  <c r="R9" i="6"/>
  <c r="S9" i="6"/>
  <c r="AC9" i="6" s="1"/>
  <c r="AJ9" i="6" s="1"/>
  <c r="T9" i="6"/>
  <c r="U9" i="6"/>
  <c r="B10" i="6"/>
  <c r="C10" i="6"/>
  <c r="AA10" i="6" s="1"/>
  <c r="D10" i="6"/>
  <c r="E10" i="6"/>
  <c r="AD10" i="6" s="1"/>
  <c r="F10" i="6"/>
  <c r="G10" i="6"/>
  <c r="H10" i="6"/>
  <c r="I10" i="6"/>
  <c r="AH10" i="6" s="1"/>
  <c r="AM10" i="6" s="1"/>
  <c r="J10" i="6"/>
  <c r="K10" i="6"/>
  <c r="L10" i="6"/>
  <c r="M10" i="6"/>
  <c r="N10" i="6"/>
  <c r="O10" i="6"/>
  <c r="P10" i="6"/>
  <c r="Q10" i="6"/>
  <c r="AE10" i="6" s="1"/>
  <c r="AJ10" i="6" s="1"/>
  <c r="R10" i="6"/>
  <c r="S10" i="6"/>
  <c r="T10" i="6"/>
  <c r="U10" i="6"/>
  <c r="B11" i="6"/>
  <c r="C11" i="6"/>
  <c r="AA11" i="6" s="1"/>
  <c r="D11" i="6"/>
  <c r="E11" i="6"/>
  <c r="F11" i="6"/>
  <c r="G11" i="6"/>
  <c r="AF11" i="6" s="1"/>
  <c r="H11" i="6"/>
  <c r="I11" i="6"/>
  <c r="AH11" i="6" s="1"/>
  <c r="AM11" i="6" s="1"/>
  <c r="J11" i="6"/>
  <c r="K11" i="6"/>
  <c r="L11" i="6"/>
  <c r="M11" i="6"/>
  <c r="N11" i="6"/>
  <c r="O11" i="6"/>
  <c r="P11" i="6"/>
  <c r="Q11" i="6"/>
  <c r="R11" i="6"/>
  <c r="S11" i="6"/>
  <c r="AC11" i="6" s="1"/>
  <c r="AJ11" i="6" s="1"/>
  <c r="T11" i="6"/>
  <c r="U11" i="6"/>
  <c r="B12" i="6"/>
  <c r="C12" i="6"/>
  <c r="D12" i="6"/>
  <c r="E12" i="6"/>
  <c r="F12" i="6"/>
  <c r="G12" i="6"/>
  <c r="AF12" i="6" s="1"/>
  <c r="H12" i="6"/>
  <c r="I12" i="6"/>
  <c r="J12" i="6"/>
  <c r="K12" i="6"/>
  <c r="AH12" i="6" s="1"/>
  <c r="AM12" i="6" s="1"/>
  <c r="L12" i="6"/>
  <c r="M12" i="6"/>
  <c r="N12" i="6"/>
  <c r="O12" i="6"/>
  <c r="P12" i="6"/>
  <c r="Q12" i="6"/>
  <c r="AE12" i="6" s="1"/>
  <c r="R12" i="6"/>
  <c r="S12" i="6"/>
  <c r="AC12" i="6" s="1"/>
  <c r="T12" i="6"/>
  <c r="U12" i="6"/>
  <c r="B13" i="6"/>
  <c r="C13" i="6"/>
  <c r="AA13" i="6" s="1"/>
  <c r="D13" i="6"/>
  <c r="E13" i="6"/>
  <c r="AD13" i="6" s="1"/>
  <c r="F13" i="6"/>
  <c r="G13" i="6"/>
  <c r="H13" i="6"/>
  <c r="I13" i="6"/>
  <c r="AH13" i="6" s="1"/>
  <c r="AM13" i="6" s="1"/>
  <c r="J13" i="6"/>
  <c r="K13" i="6"/>
  <c r="L13" i="6"/>
  <c r="M13" i="6"/>
  <c r="N13" i="6"/>
  <c r="O13" i="6"/>
  <c r="P13" i="6"/>
  <c r="Q13" i="6"/>
  <c r="R13" i="6"/>
  <c r="S13" i="6"/>
  <c r="T13" i="6"/>
  <c r="U13" i="6"/>
  <c r="B14" i="6"/>
  <c r="C14" i="6"/>
  <c r="AA14" i="6" s="1"/>
  <c r="D14" i="6"/>
  <c r="E14" i="6"/>
  <c r="F14" i="6"/>
  <c r="G14" i="6"/>
  <c r="AF14" i="6" s="1"/>
  <c r="H14" i="6"/>
  <c r="I14" i="6"/>
  <c r="J14" i="6"/>
  <c r="K14" i="6"/>
  <c r="L14" i="6"/>
  <c r="M14" i="6"/>
  <c r="N14" i="6"/>
  <c r="O14" i="6"/>
  <c r="P14" i="6"/>
  <c r="Q14" i="6"/>
  <c r="R14" i="6"/>
  <c r="S14" i="6"/>
  <c r="AC14" i="6" s="1"/>
  <c r="AJ14" i="6" s="1"/>
  <c r="T14" i="6"/>
  <c r="U14" i="6"/>
  <c r="B15" i="6"/>
  <c r="C15" i="6"/>
  <c r="D15" i="6"/>
  <c r="E15" i="6"/>
  <c r="AD15" i="6" s="1"/>
  <c r="F15" i="6"/>
  <c r="G15" i="6"/>
  <c r="AF15" i="6" s="1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B16" i="6"/>
  <c r="C16" i="6"/>
  <c r="AA16" i="6" s="1"/>
  <c r="D16" i="6"/>
  <c r="E16" i="6"/>
  <c r="AD16" i="6" s="1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B17" i="6"/>
  <c r="C17" i="6"/>
  <c r="AA17" i="6" s="1"/>
  <c r="D17" i="6"/>
  <c r="E17" i="6"/>
  <c r="F17" i="6"/>
  <c r="G17" i="6"/>
  <c r="AF17" i="6" s="1"/>
  <c r="H17" i="6"/>
  <c r="I17" i="6"/>
  <c r="J17" i="6"/>
  <c r="K17" i="6"/>
  <c r="L17" i="6"/>
  <c r="M17" i="6"/>
  <c r="N17" i="6"/>
  <c r="O17" i="6"/>
  <c r="P17" i="6"/>
  <c r="Q17" i="6"/>
  <c r="R17" i="6"/>
  <c r="S17" i="6"/>
  <c r="AC17" i="6" s="1"/>
  <c r="AJ17" i="6" s="1"/>
  <c r="T17" i="6"/>
  <c r="U17" i="6"/>
  <c r="B18" i="6"/>
  <c r="C18" i="6"/>
  <c r="D18" i="6"/>
  <c r="E18" i="6"/>
  <c r="AD18" i="6" s="1"/>
  <c r="F18" i="6"/>
  <c r="G18" i="6"/>
  <c r="AF18" i="6" s="1"/>
  <c r="H18" i="6"/>
  <c r="I18" i="6"/>
  <c r="J18" i="6"/>
  <c r="K18" i="6"/>
  <c r="L18" i="6"/>
  <c r="M18" i="6"/>
  <c r="AH18" i="6" s="1"/>
  <c r="AM18" i="6" s="1"/>
  <c r="N18" i="6"/>
  <c r="O18" i="6"/>
  <c r="P18" i="6"/>
  <c r="Q18" i="6"/>
  <c r="AE18" i="6" s="1"/>
  <c r="R18" i="6"/>
  <c r="S18" i="6"/>
  <c r="T18" i="6"/>
  <c r="U18" i="6"/>
  <c r="B19" i="6"/>
  <c r="Z19" i="6" s="1"/>
  <c r="AL19" i="6" s="1"/>
  <c r="C19" i="6"/>
  <c r="AA19" i="6" s="1"/>
  <c r="D19" i="6"/>
  <c r="E19" i="6"/>
  <c r="AD19" i="6" s="1"/>
  <c r="F19" i="6"/>
  <c r="G19" i="6"/>
  <c r="H19" i="6"/>
  <c r="I19" i="6"/>
  <c r="J19" i="6"/>
  <c r="K19" i="6"/>
  <c r="L19" i="6"/>
  <c r="M19" i="6"/>
  <c r="N19" i="6"/>
  <c r="O19" i="6"/>
  <c r="P19" i="6"/>
  <c r="Q19" i="6"/>
  <c r="AE19" i="6" s="1"/>
  <c r="R19" i="6"/>
  <c r="S19" i="6"/>
  <c r="T19" i="6"/>
  <c r="U19" i="6"/>
  <c r="B20" i="6"/>
  <c r="C20" i="6"/>
  <c r="AA20" i="6" s="1"/>
  <c r="D20" i="6"/>
  <c r="E20" i="6"/>
  <c r="F20" i="6"/>
  <c r="G20" i="6"/>
  <c r="AF20" i="6" s="1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B21" i="6"/>
  <c r="C21" i="6"/>
  <c r="D21" i="6"/>
  <c r="E21" i="6"/>
  <c r="AD21" i="6" s="1"/>
  <c r="F21" i="6"/>
  <c r="G21" i="6"/>
  <c r="AF21" i="6" s="1"/>
  <c r="H21" i="6"/>
  <c r="I21" i="6"/>
  <c r="J21" i="6"/>
  <c r="K21" i="6"/>
  <c r="L21" i="6"/>
  <c r="M21" i="6"/>
  <c r="N21" i="6"/>
  <c r="O21" i="6"/>
  <c r="P21" i="6"/>
  <c r="Q21" i="6"/>
  <c r="AE21" i="6" s="1"/>
  <c r="R21" i="6"/>
  <c r="S21" i="6"/>
  <c r="AC21" i="6" s="1"/>
  <c r="T21" i="6"/>
  <c r="U21" i="6"/>
  <c r="B22" i="6"/>
  <c r="C22" i="6"/>
  <c r="AA22" i="6" s="1"/>
  <c r="D22" i="6"/>
  <c r="E22" i="6"/>
  <c r="AD22" i="6" s="1"/>
  <c r="F22" i="6"/>
  <c r="G22" i="6"/>
  <c r="H22" i="6"/>
  <c r="I22" i="6"/>
  <c r="J22" i="6"/>
  <c r="K22" i="6"/>
  <c r="L22" i="6"/>
  <c r="M22" i="6"/>
  <c r="N22" i="6"/>
  <c r="O22" i="6"/>
  <c r="P22" i="6"/>
  <c r="Q22" i="6"/>
  <c r="AE22" i="6" s="1"/>
  <c r="R22" i="6"/>
  <c r="S22" i="6"/>
  <c r="T22" i="6"/>
  <c r="U22" i="6"/>
  <c r="B23" i="6"/>
  <c r="C23" i="6"/>
  <c r="AA23" i="6" s="1"/>
  <c r="D23" i="6"/>
  <c r="E23" i="6"/>
  <c r="F23" i="6"/>
  <c r="G23" i="6"/>
  <c r="AF23" i="6" s="1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B24" i="6"/>
  <c r="C24" i="6"/>
  <c r="D24" i="6"/>
  <c r="E24" i="6"/>
  <c r="AD24" i="6" s="1"/>
  <c r="F24" i="6"/>
  <c r="G24" i="6"/>
  <c r="H24" i="6"/>
  <c r="I24" i="6"/>
  <c r="J24" i="6"/>
  <c r="K24" i="6"/>
  <c r="L24" i="6"/>
  <c r="M24" i="6"/>
  <c r="AH24" i="6" s="1"/>
  <c r="AM24" i="6" s="1"/>
  <c r="N24" i="6"/>
  <c r="O24" i="6"/>
  <c r="P24" i="6"/>
  <c r="Q24" i="6"/>
  <c r="AE24" i="6" s="1"/>
  <c r="R24" i="6"/>
  <c r="S24" i="6"/>
  <c r="AC24" i="6" s="1"/>
  <c r="T24" i="6"/>
  <c r="U24" i="6"/>
  <c r="B25" i="6"/>
  <c r="Z25" i="6" s="1"/>
  <c r="AL25" i="6" s="1"/>
  <c r="C25" i="6"/>
  <c r="D25" i="6"/>
  <c r="E25" i="6"/>
  <c r="AD25" i="6" s="1"/>
  <c r="F25" i="6"/>
  <c r="G25" i="6"/>
  <c r="H25" i="6"/>
  <c r="I25" i="6"/>
  <c r="J25" i="6"/>
  <c r="K25" i="6"/>
  <c r="L25" i="6"/>
  <c r="M25" i="6"/>
  <c r="N25" i="6"/>
  <c r="O25" i="6"/>
  <c r="P25" i="6"/>
  <c r="Q25" i="6"/>
  <c r="AE25" i="6" s="1"/>
  <c r="R25" i="6"/>
  <c r="S25" i="6"/>
  <c r="T25" i="6"/>
  <c r="U25" i="6"/>
  <c r="B26" i="6"/>
  <c r="C26" i="6"/>
  <c r="AA26" i="6" s="1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AC26" i="6" s="1"/>
  <c r="T26" i="6"/>
  <c r="U26" i="6"/>
  <c r="B27" i="6"/>
  <c r="C27" i="6"/>
  <c r="D27" i="6"/>
  <c r="E27" i="6"/>
  <c r="AD27" i="6" s="1"/>
  <c r="F27" i="6"/>
  <c r="G27" i="6"/>
  <c r="AF27" i="6" s="1"/>
  <c r="H27" i="6"/>
  <c r="I27" i="6"/>
  <c r="J27" i="6"/>
  <c r="K27" i="6"/>
  <c r="L27" i="6"/>
  <c r="M27" i="6"/>
  <c r="N27" i="6"/>
  <c r="O27" i="6"/>
  <c r="P27" i="6"/>
  <c r="Q27" i="6"/>
  <c r="AE27" i="6" s="1"/>
  <c r="R27" i="6"/>
  <c r="S27" i="6"/>
  <c r="AC27" i="6" s="1"/>
  <c r="T27" i="6"/>
  <c r="U27" i="6"/>
  <c r="B28" i="6"/>
  <c r="C28" i="6"/>
  <c r="AA28" i="6" s="1"/>
  <c r="D28" i="6"/>
  <c r="E28" i="6"/>
  <c r="AD28" i="6" s="1"/>
  <c r="F28" i="6"/>
  <c r="G28" i="6"/>
  <c r="H28" i="6"/>
  <c r="I28" i="6"/>
  <c r="AH28" i="6" s="1"/>
  <c r="AM28" i="6" s="1"/>
  <c r="J28" i="6"/>
  <c r="K28" i="6"/>
  <c r="L28" i="6"/>
  <c r="M28" i="6"/>
  <c r="N28" i="6"/>
  <c r="O28" i="6"/>
  <c r="P28" i="6"/>
  <c r="Q28" i="6"/>
  <c r="AE28" i="6" s="1"/>
  <c r="R28" i="6"/>
  <c r="S28" i="6"/>
  <c r="T28" i="6"/>
  <c r="U28" i="6"/>
  <c r="B29" i="6"/>
  <c r="C29" i="6"/>
  <c r="AA29" i="6" s="1"/>
  <c r="D29" i="6"/>
  <c r="E29" i="6"/>
  <c r="F29" i="6"/>
  <c r="G29" i="6"/>
  <c r="AF29" i="6" s="1"/>
  <c r="H29" i="6"/>
  <c r="I29" i="6"/>
  <c r="J29" i="6"/>
  <c r="K29" i="6"/>
  <c r="L29" i="6"/>
  <c r="M29" i="6"/>
  <c r="N29" i="6"/>
  <c r="O29" i="6"/>
  <c r="P29" i="6"/>
  <c r="Q29" i="6"/>
  <c r="R29" i="6"/>
  <c r="S29" i="6"/>
  <c r="AC29" i="6" s="1"/>
  <c r="T29" i="6"/>
  <c r="U29" i="6"/>
  <c r="B30" i="6"/>
  <c r="C30" i="6"/>
  <c r="D30" i="6"/>
  <c r="E30" i="6"/>
  <c r="AD30" i="6" s="1"/>
  <c r="F30" i="6"/>
  <c r="G30" i="6"/>
  <c r="AF30" i="6" s="1"/>
  <c r="H30" i="6"/>
  <c r="I30" i="6"/>
  <c r="J30" i="6"/>
  <c r="K30" i="6"/>
  <c r="L30" i="6"/>
  <c r="M30" i="6"/>
  <c r="N30" i="6"/>
  <c r="O30" i="6"/>
  <c r="P30" i="6"/>
  <c r="Q30" i="6"/>
  <c r="AE30" i="6" s="1"/>
  <c r="R30" i="6"/>
  <c r="S30" i="6"/>
  <c r="T30" i="6"/>
  <c r="U30" i="6"/>
  <c r="B31" i="6"/>
  <c r="Z31" i="6" s="1"/>
  <c r="AL31" i="6" s="1"/>
  <c r="C31" i="6"/>
  <c r="AA31" i="6" s="1"/>
  <c r="D31" i="6"/>
  <c r="E31" i="6"/>
  <c r="AD31" i="6" s="1"/>
  <c r="F31" i="6"/>
  <c r="G31" i="6"/>
  <c r="H31" i="6"/>
  <c r="I31" i="6"/>
  <c r="AH31" i="6" s="1"/>
  <c r="AM31" i="6" s="1"/>
  <c r="J31" i="6"/>
  <c r="K31" i="6"/>
  <c r="L31" i="6"/>
  <c r="M31" i="6"/>
  <c r="N31" i="6"/>
  <c r="O31" i="6"/>
  <c r="P31" i="6"/>
  <c r="Q31" i="6"/>
  <c r="AE31" i="6" s="1"/>
  <c r="AJ31" i="6" s="1"/>
  <c r="R31" i="6"/>
  <c r="S31" i="6"/>
  <c r="T31" i="6"/>
  <c r="U31" i="6"/>
  <c r="B32" i="6"/>
  <c r="C32" i="6"/>
  <c r="AA32" i="6" s="1"/>
  <c r="D32" i="6"/>
  <c r="E32" i="6"/>
  <c r="F32" i="6"/>
  <c r="G32" i="6"/>
  <c r="AF32" i="6" s="1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B33" i="6"/>
  <c r="C33" i="6"/>
  <c r="D33" i="6"/>
  <c r="E33" i="6"/>
  <c r="AD33" i="6" s="1"/>
  <c r="F33" i="6"/>
  <c r="G33" i="6"/>
  <c r="AF33" i="6" s="1"/>
  <c r="H33" i="6"/>
  <c r="I33" i="6"/>
  <c r="J33" i="6"/>
  <c r="K33" i="6"/>
  <c r="L33" i="6"/>
  <c r="M33" i="6"/>
  <c r="N33" i="6"/>
  <c r="O33" i="6"/>
  <c r="P33" i="6"/>
  <c r="Q33" i="6"/>
  <c r="R33" i="6"/>
  <c r="S33" i="6"/>
  <c r="AC33" i="6" s="1"/>
  <c r="T33" i="6"/>
  <c r="U33" i="6"/>
  <c r="B34" i="6"/>
  <c r="Z34" i="6" s="1"/>
  <c r="C34" i="6"/>
  <c r="AA34" i="6" s="1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AE34" i="6" s="1"/>
  <c r="R34" i="6"/>
  <c r="S34" i="6"/>
  <c r="T34" i="6"/>
  <c r="U34" i="6"/>
  <c r="B35" i="6"/>
  <c r="C35" i="6"/>
  <c r="AA35" i="6" s="1"/>
  <c r="D35" i="6"/>
  <c r="E35" i="6"/>
  <c r="F35" i="6"/>
  <c r="G35" i="6"/>
  <c r="H35" i="6"/>
  <c r="I35" i="6"/>
  <c r="AH35" i="6" s="1"/>
  <c r="AM35" i="6" s="1"/>
  <c r="J35" i="6"/>
  <c r="K35" i="6"/>
  <c r="L35" i="6"/>
  <c r="M35" i="6"/>
  <c r="N35" i="6"/>
  <c r="O35" i="6"/>
  <c r="P35" i="6"/>
  <c r="Q35" i="6"/>
  <c r="R35" i="6"/>
  <c r="S35" i="6"/>
  <c r="AC35" i="6" s="1"/>
  <c r="T35" i="6"/>
  <c r="U35" i="6"/>
  <c r="B36" i="6"/>
  <c r="C36" i="6"/>
  <c r="D36" i="6"/>
  <c r="E36" i="6"/>
  <c r="AD36" i="6" s="1"/>
  <c r="F36" i="6"/>
  <c r="G36" i="6"/>
  <c r="AF36" i="6" s="1"/>
  <c r="H36" i="6"/>
  <c r="I36" i="6"/>
  <c r="J36" i="6"/>
  <c r="K36" i="6"/>
  <c r="L36" i="6"/>
  <c r="M36" i="6"/>
  <c r="N36" i="6"/>
  <c r="O36" i="6"/>
  <c r="P36" i="6"/>
  <c r="Q36" i="6"/>
  <c r="AE36" i="6" s="1"/>
  <c r="R36" i="6"/>
  <c r="S36" i="6"/>
  <c r="AC36" i="6" s="1"/>
  <c r="T36" i="6"/>
  <c r="U36" i="6"/>
  <c r="B37" i="6"/>
  <c r="Z37" i="6" s="1"/>
  <c r="AL37" i="6" s="1"/>
  <c r="C37" i="6"/>
  <c r="AA37" i="6" s="1"/>
  <c r="D37" i="6"/>
  <c r="E37" i="6"/>
  <c r="AD37" i="6" s="1"/>
  <c r="F37" i="6"/>
  <c r="G37" i="6"/>
  <c r="H37" i="6"/>
  <c r="I37" i="6"/>
  <c r="J37" i="6"/>
  <c r="K37" i="6"/>
  <c r="L37" i="6"/>
  <c r="M37" i="6"/>
  <c r="N37" i="6"/>
  <c r="O37" i="6"/>
  <c r="P37" i="6"/>
  <c r="Q37" i="6"/>
  <c r="AE37" i="6" s="1"/>
  <c r="R37" i="6"/>
  <c r="S37" i="6"/>
  <c r="T37" i="6"/>
  <c r="U37" i="6"/>
  <c r="B38" i="6"/>
  <c r="C38" i="6"/>
  <c r="AA38" i="6" s="1"/>
  <c r="D38" i="6"/>
  <c r="E38" i="6"/>
  <c r="F38" i="6"/>
  <c r="G38" i="6"/>
  <c r="AF38" i="6" s="1"/>
  <c r="H38" i="6"/>
  <c r="I38" i="6"/>
  <c r="AH38" i="6" s="1"/>
  <c r="AM38" i="6" s="1"/>
  <c r="J38" i="6"/>
  <c r="K38" i="6"/>
  <c r="L38" i="6"/>
  <c r="M38" i="6"/>
  <c r="N38" i="6"/>
  <c r="O38" i="6"/>
  <c r="P38" i="6"/>
  <c r="Q38" i="6"/>
  <c r="R38" i="6"/>
  <c r="S38" i="6"/>
  <c r="T38" i="6"/>
  <c r="U38" i="6"/>
  <c r="B39" i="6"/>
  <c r="C39" i="6"/>
  <c r="D39" i="6"/>
  <c r="E39" i="6"/>
  <c r="AD39" i="6" s="1"/>
  <c r="F39" i="6"/>
  <c r="G39" i="6"/>
  <c r="AF39" i="6" s="1"/>
  <c r="H39" i="6"/>
  <c r="I39" i="6"/>
  <c r="J39" i="6"/>
  <c r="K39" i="6"/>
  <c r="L39" i="6"/>
  <c r="M39" i="6"/>
  <c r="N39" i="6"/>
  <c r="O39" i="6"/>
  <c r="P39" i="6"/>
  <c r="Q39" i="6"/>
  <c r="AE39" i="6" s="1"/>
  <c r="R39" i="6"/>
  <c r="S39" i="6"/>
  <c r="AC39" i="6" s="1"/>
  <c r="AJ39" i="6" s="1"/>
  <c r="T39" i="6"/>
  <c r="U39" i="6"/>
  <c r="B40" i="6"/>
  <c r="C40" i="6"/>
  <c r="AA40" i="6" s="1"/>
  <c r="D40" i="6"/>
  <c r="E40" i="6"/>
  <c r="AD40" i="6" s="1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B41" i="6"/>
  <c r="C41" i="6"/>
  <c r="AA41" i="6" s="1"/>
  <c r="D41" i="6"/>
  <c r="E41" i="6"/>
  <c r="F41" i="6"/>
  <c r="G41" i="6"/>
  <c r="AF41" i="6" s="1"/>
  <c r="H41" i="6"/>
  <c r="I41" i="6"/>
  <c r="AH41" i="6" s="1"/>
  <c r="AM41" i="6" s="1"/>
  <c r="J41" i="6"/>
  <c r="K41" i="6"/>
  <c r="L41" i="6"/>
  <c r="M41" i="6"/>
  <c r="N41" i="6"/>
  <c r="O41" i="6"/>
  <c r="P41" i="6"/>
  <c r="Q41" i="6"/>
  <c r="R41" i="6"/>
  <c r="S41" i="6"/>
  <c r="AC41" i="6" s="1"/>
  <c r="AJ41" i="6" s="1"/>
  <c r="T41" i="6"/>
  <c r="U41" i="6"/>
  <c r="B42" i="6"/>
  <c r="C42" i="6"/>
  <c r="D42" i="6"/>
  <c r="E42" i="6"/>
  <c r="F42" i="6"/>
  <c r="G42" i="6"/>
  <c r="AF42" i="6" s="1"/>
  <c r="H42" i="6"/>
  <c r="I42" i="6"/>
  <c r="J42" i="6"/>
  <c r="K42" i="6"/>
  <c r="L42" i="6"/>
  <c r="M42" i="6"/>
  <c r="N42" i="6"/>
  <c r="O42" i="6"/>
  <c r="P42" i="6"/>
  <c r="Q42" i="6"/>
  <c r="AE42" i="6" s="1"/>
  <c r="R42" i="6"/>
  <c r="S42" i="6"/>
  <c r="AC42" i="6" s="1"/>
  <c r="AJ42" i="6" s="1"/>
  <c r="T42" i="6"/>
  <c r="U42" i="6"/>
  <c r="B43" i="6"/>
  <c r="C43" i="6"/>
  <c r="AA43" i="6" s="1"/>
  <c r="D43" i="6"/>
  <c r="E43" i="6"/>
  <c r="AD43" i="6" s="1"/>
  <c r="F43" i="6"/>
  <c r="G43" i="6"/>
  <c r="H43" i="6"/>
  <c r="AG43" i="6" s="1"/>
  <c r="I43" i="6"/>
  <c r="AH43" i="6" s="1"/>
  <c r="AM43" i="6" s="1"/>
  <c r="J43" i="6"/>
  <c r="K43" i="6"/>
  <c r="L43" i="6"/>
  <c r="M43" i="6"/>
  <c r="N43" i="6"/>
  <c r="O43" i="6"/>
  <c r="P43" i="6"/>
  <c r="Q43" i="6"/>
  <c r="AE43" i="6" s="1"/>
  <c r="AJ43" i="6" s="1"/>
  <c r="R43" i="6"/>
  <c r="S43" i="6"/>
  <c r="T43" i="6"/>
  <c r="U43" i="6"/>
  <c r="B44" i="6"/>
  <c r="C44" i="6"/>
  <c r="AA44" i="6" s="1"/>
  <c r="D44" i="6"/>
  <c r="E44" i="6"/>
  <c r="F44" i="6"/>
  <c r="G44" i="6"/>
  <c r="AF44" i="6" s="1"/>
  <c r="H44" i="6"/>
  <c r="I44" i="6"/>
  <c r="AH44" i="6" s="1"/>
  <c r="AM44" i="6" s="1"/>
  <c r="J44" i="6"/>
  <c r="K44" i="6"/>
  <c r="L44" i="6"/>
  <c r="M44" i="6"/>
  <c r="N44" i="6"/>
  <c r="O44" i="6"/>
  <c r="P44" i="6"/>
  <c r="Q44" i="6"/>
  <c r="R44" i="6"/>
  <c r="S44" i="6"/>
  <c r="AC44" i="6" s="1"/>
  <c r="T44" i="6"/>
  <c r="U44" i="6"/>
  <c r="B45" i="6"/>
  <c r="C45" i="6"/>
  <c r="D45" i="6"/>
  <c r="E45" i="6"/>
  <c r="F45" i="6"/>
  <c r="G45" i="6"/>
  <c r="AF45" i="6" s="1"/>
  <c r="H45" i="6"/>
  <c r="I45" i="6"/>
  <c r="J45" i="6"/>
  <c r="K45" i="6"/>
  <c r="AH45" i="6" s="1"/>
  <c r="AM45" i="6" s="1"/>
  <c r="L45" i="6"/>
  <c r="M45" i="6"/>
  <c r="N45" i="6"/>
  <c r="O45" i="6"/>
  <c r="P45" i="6"/>
  <c r="Q45" i="6"/>
  <c r="AE45" i="6" s="1"/>
  <c r="R45" i="6"/>
  <c r="S45" i="6"/>
  <c r="AC45" i="6" s="1"/>
  <c r="T45" i="6"/>
  <c r="U45" i="6"/>
  <c r="B46" i="6"/>
  <c r="Z46" i="6" s="1"/>
  <c r="AL46" i="6" s="1"/>
  <c r="C46" i="6"/>
  <c r="AA46" i="6" s="1"/>
  <c r="D46" i="6"/>
  <c r="E46" i="6"/>
  <c r="AD46" i="6" s="1"/>
  <c r="F46" i="6"/>
  <c r="G46" i="6"/>
  <c r="H46" i="6"/>
  <c r="AG46" i="6" s="1"/>
  <c r="I46" i="6"/>
  <c r="J46" i="6"/>
  <c r="K46" i="6"/>
  <c r="L46" i="6"/>
  <c r="M46" i="6"/>
  <c r="N46" i="6"/>
  <c r="O46" i="6"/>
  <c r="P46" i="6"/>
  <c r="Q46" i="6"/>
  <c r="AE46" i="6" s="1"/>
  <c r="R46" i="6"/>
  <c r="S46" i="6"/>
  <c r="T46" i="6"/>
  <c r="U46" i="6"/>
  <c r="B47" i="6"/>
  <c r="C47" i="6"/>
  <c r="AA47" i="6" s="1"/>
  <c r="D47" i="6"/>
  <c r="E47" i="6"/>
  <c r="F47" i="6"/>
  <c r="G47" i="6"/>
  <c r="AF47" i="6" s="1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B48" i="6"/>
  <c r="C48" i="6"/>
  <c r="D48" i="6"/>
  <c r="AB48" i="6" s="1"/>
  <c r="E48" i="6"/>
  <c r="AD48" i="6" s="1"/>
  <c r="F48" i="6"/>
  <c r="G48" i="6"/>
  <c r="AF48" i="6" s="1"/>
  <c r="H48" i="6"/>
  <c r="I48" i="6"/>
  <c r="J48" i="6"/>
  <c r="K48" i="6"/>
  <c r="L48" i="6"/>
  <c r="M48" i="6"/>
  <c r="N48" i="6"/>
  <c r="O48" i="6"/>
  <c r="P48" i="6"/>
  <c r="Q48" i="6"/>
  <c r="AE48" i="6" s="1"/>
  <c r="R48" i="6"/>
  <c r="S48" i="6"/>
  <c r="AC48" i="6" s="1"/>
  <c r="AJ48" i="6" s="1"/>
  <c r="T48" i="6"/>
  <c r="U48" i="6"/>
  <c r="B49" i="6"/>
  <c r="C49" i="6"/>
  <c r="AA49" i="6" s="1"/>
  <c r="D49" i="6"/>
  <c r="E49" i="6"/>
  <c r="AD49" i="6" s="1"/>
  <c r="F49" i="6"/>
  <c r="G49" i="6"/>
  <c r="H49" i="6"/>
  <c r="AG49" i="6" s="1"/>
  <c r="I49" i="6"/>
  <c r="J49" i="6"/>
  <c r="K49" i="6"/>
  <c r="L49" i="6"/>
  <c r="M49" i="6"/>
  <c r="N49" i="6"/>
  <c r="O49" i="6"/>
  <c r="P49" i="6"/>
  <c r="Q49" i="6"/>
  <c r="AE49" i="6" s="1"/>
  <c r="R49" i="6"/>
  <c r="S49" i="6"/>
  <c r="T49" i="6"/>
  <c r="U49" i="6"/>
  <c r="B50" i="6"/>
  <c r="C50" i="6"/>
  <c r="AA50" i="6" s="1"/>
  <c r="D50" i="6"/>
  <c r="E50" i="6"/>
  <c r="F50" i="6"/>
  <c r="G50" i="6"/>
  <c r="AF50" i="6" s="1"/>
  <c r="H50" i="6"/>
  <c r="I50" i="6"/>
  <c r="J50" i="6"/>
  <c r="K50" i="6"/>
  <c r="L50" i="6"/>
  <c r="M50" i="6"/>
  <c r="N50" i="6"/>
  <c r="O50" i="6"/>
  <c r="P50" i="6"/>
  <c r="Q50" i="6"/>
  <c r="R50" i="6"/>
  <c r="S50" i="6"/>
  <c r="AC50" i="6" s="1"/>
  <c r="AJ50" i="6" s="1"/>
  <c r="T50" i="6"/>
  <c r="U50" i="6"/>
  <c r="B51" i="6"/>
  <c r="C51" i="6"/>
  <c r="D51" i="6"/>
  <c r="E51" i="6"/>
  <c r="AD51" i="6" s="1"/>
  <c r="F51" i="6"/>
  <c r="G51" i="6"/>
  <c r="AF51" i="6" s="1"/>
  <c r="H51" i="6"/>
  <c r="I51" i="6"/>
  <c r="J51" i="6"/>
  <c r="K51" i="6"/>
  <c r="L51" i="6"/>
  <c r="M51" i="6"/>
  <c r="N51" i="6"/>
  <c r="O51" i="6"/>
  <c r="P51" i="6"/>
  <c r="Q51" i="6"/>
  <c r="R51" i="6"/>
  <c r="S51" i="6"/>
  <c r="AC51" i="6" s="1"/>
  <c r="AJ51" i="6" s="1"/>
  <c r="T51" i="6"/>
  <c r="U51" i="6"/>
  <c r="B52" i="6"/>
  <c r="C52" i="6"/>
  <c r="AA52" i="6" s="1"/>
  <c r="D52" i="6"/>
  <c r="E52" i="6"/>
  <c r="AD52" i="6" s="1"/>
  <c r="F52" i="6"/>
  <c r="G52" i="6"/>
  <c r="H52" i="6"/>
  <c r="I52" i="6"/>
  <c r="J52" i="6"/>
  <c r="K52" i="6"/>
  <c r="L52" i="6"/>
  <c r="M52" i="6"/>
  <c r="N52" i="6"/>
  <c r="O52" i="6"/>
  <c r="P52" i="6"/>
  <c r="Q52" i="6"/>
  <c r="AE52" i="6" s="1"/>
  <c r="R52" i="6"/>
  <c r="S52" i="6"/>
  <c r="T52" i="6"/>
  <c r="U52" i="6"/>
  <c r="B53" i="6"/>
  <c r="C53" i="6"/>
  <c r="AA53" i="6" s="1"/>
  <c r="D53" i="6"/>
  <c r="E53" i="6"/>
  <c r="F53" i="6"/>
  <c r="G53" i="6"/>
  <c r="AF53" i="6" s="1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B54" i="6"/>
  <c r="C54" i="6"/>
  <c r="D54" i="6"/>
  <c r="E54" i="6"/>
  <c r="AD54" i="6" s="1"/>
  <c r="F54" i="6"/>
  <c r="G54" i="6"/>
  <c r="AF54" i="6" s="1"/>
  <c r="H54" i="6"/>
  <c r="I54" i="6"/>
  <c r="J54" i="6"/>
  <c r="K54" i="6"/>
  <c r="L54" i="6"/>
  <c r="M54" i="6"/>
  <c r="N54" i="6"/>
  <c r="O54" i="6"/>
  <c r="P54" i="6"/>
  <c r="Q54" i="6"/>
  <c r="R54" i="6"/>
  <c r="S54" i="6"/>
  <c r="AC54" i="6" s="1"/>
  <c r="T54" i="6"/>
  <c r="U54" i="6"/>
  <c r="B55" i="6"/>
  <c r="C55" i="6"/>
  <c r="AA55" i="6" s="1"/>
  <c r="D55" i="6"/>
  <c r="E55" i="6"/>
  <c r="AD55" i="6" s="1"/>
  <c r="F55" i="6"/>
  <c r="G55" i="6"/>
  <c r="H55" i="6"/>
  <c r="AG55" i="6" s="1"/>
  <c r="I55" i="6"/>
  <c r="J55" i="6"/>
  <c r="K55" i="6"/>
  <c r="L55" i="6"/>
  <c r="M55" i="6"/>
  <c r="N55" i="6"/>
  <c r="O55" i="6"/>
  <c r="P55" i="6"/>
  <c r="Q55" i="6"/>
  <c r="AE55" i="6" s="1"/>
  <c r="R55" i="6"/>
  <c r="S55" i="6"/>
  <c r="T55" i="6"/>
  <c r="U55" i="6"/>
  <c r="B56" i="6"/>
  <c r="C56" i="6"/>
  <c r="D56" i="6"/>
  <c r="E56" i="6"/>
  <c r="F56" i="6"/>
  <c r="G56" i="6"/>
  <c r="AF56" i="6" s="1"/>
  <c r="H56" i="6"/>
  <c r="I56" i="6"/>
  <c r="AH56" i="6" s="1"/>
  <c r="AM56" i="6" s="1"/>
  <c r="J56" i="6"/>
  <c r="K56" i="6"/>
  <c r="L56" i="6"/>
  <c r="M56" i="6"/>
  <c r="N56" i="6"/>
  <c r="O56" i="6"/>
  <c r="P56" i="6"/>
  <c r="Q56" i="6"/>
  <c r="R56" i="6"/>
  <c r="S56" i="6"/>
  <c r="T56" i="6"/>
  <c r="U56" i="6"/>
  <c r="B57" i="6"/>
  <c r="C57" i="6"/>
  <c r="D57" i="6"/>
  <c r="E57" i="6"/>
  <c r="AD57" i="6" s="1"/>
  <c r="F57" i="6"/>
  <c r="G57" i="6"/>
  <c r="AF57" i="6" s="1"/>
  <c r="H57" i="6"/>
  <c r="I57" i="6"/>
  <c r="J57" i="6"/>
  <c r="K57" i="6"/>
  <c r="L57" i="6"/>
  <c r="M57" i="6"/>
  <c r="N57" i="6"/>
  <c r="O57" i="6"/>
  <c r="P57" i="6"/>
  <c r="Q57" i="6"/>
  <c r="AE57" i="6" s="1"/>
  <c r="R57" i="6"/>
  <c r="S57" i="6"/>
  <c r="AC57" i="6" s="1"/>
  <c r="AJ57" i="6" s="1"/>
  <c r="T57" i="6"/>
  <c r="U57" i="6"/>
  <c r="B58" i="6"/>
  <c r="Z58" i="6" s="1"/>
  <c r="C58" i="6"/>
  <c r="AA58" i="6" s="1"/>
  <c r="D58" i="6"/>
  <c r="E58" i="6"/>
  <c r="AD58" i="6" s="1"/>
  <c r="F58" i="6"/>
  <c r="G58" i="6"/>
  <c r="H58" i="6"/>
  <c r="I58" i="6"/>
  <c r="J58" i="6"/>
  <c r="K58" i="6"/>
  <c r="L58" i="6"/>
  <c r="M58" i="6"/>
  <c r="N58" i="6"/>
  <c r="O58" i="6"/>
  <c r="P58" i="6"/>
  <c r="Q58" i="6"/>
  <c r="AE58" i="6" s="1"/>
  <c r="R58" i="6"/>
  <c r="S58" i="6"/>
  <c r="T58" i="6"/>
  <c r="U58" i="6"/>
  <c r="B59" i="6"/>
  <c r="C59" i="6"/>
  <c r="AA59" i="6" s="1"/>
  <c r="D59" i="6"/>
  <c r="E59" i="6"/>
  <c r="F59" i="6"/>
  <c r="G59" i="6"/>
  <c r="AF59" i="6" s="1"/>
  <c r="H59" i="6"/>
  <c r="I59" i="6"/>
  <c r="J59" i="6"/>
  <c r="K59" i="6"/>
  <c r="L59" i="6"/>
  <c r="M59" i="6"/>
  <c r="N59" i="6"/>
  <c r="O59" i="6"/>
  <c r="P59" i="6"/>
  <c r="Q59" i="6"/>
  <c r="R59" i="6"/>
  <c r="S59" i="6"/>
  <c r="AC59" i="6" s="1"/>
  <c r="T59" i="6"/>
  <c r="U59" i="6"/>
  <c r="B60" i="6"/>
  <c r="C60" i="6"/>
  <c r="D60" i="6"/>
  <c r="E60" i="6"/>
  <c r="AD60" i="6" s="1"/>
  <c r="F60" i="6"/>
  <c r="G60" i="6"/>
  <c r="AF60" i="6" s="1"/>
  <c r="H60" i="6"/>
  <c r="I60" i="6"/>
  <c r="J60" i="6"/>
  <c r="K60" i="6"/>
  <c r="L60" i="6"/>
  <c r="M60" i="6"/>
  <c r="N60" i="6"/>
  <c r="O60" i="6"/>
  <c r="P60" i="6"/>
  <c r="Q60" i="6"/>
  <c r="AE60" i="6" s="1"/>
  <c r="AJ60" i="6" s="1"/>
  <c r="R60" i="6"/>
  <c r="S60" i="6"/>
  <c r="AC60" i="6" s="1"/>
  <c r="T60" i="6"/>
  <c r="U60" i="6"/>
  <c r="B61" i="6"/>
  <c r="Z61" i="6" s="1"/>
  <c r="AL61" i="6" s="1"/>
  <c r="C61" i="6"/>
  <c r="AA61" i="6" s="1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AE61" i="6" s="1"/>
  <c r="R61" i="6"/>
  <c r="S61" i="6"/>
  <c r="T61" i="6"/>
  <c r="U61" i="6"/>
  <c r="B62" i="6"/>
  <c r="C62" i="6"/>
  <c r="AA62" i="6" s="1"/>
  <c r="D62" i="6"/>
  <c r="E62" i="6"/>
  <c r="F62" i="6"/>
  <c r="G62" i="6"/>
  <c r="AF62" i="6" s="1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B63" i="6"/>
  <c r="C63" i="6"/>
  <c r="D63" i="6"/>
  <c r="AB63" i="6" s="1"/>
  <c r="E63" i="6"/>
  <c r="AD63" i="6" s="1"/>
  <c r="F63" i="6"/>
  <c r="G63" i="6"/>
  <c r="AF63" i="6" s="1"/>
  <c r="H63" i="6"/>
  <c r="I63" i="6"/>
  <c r="J63" i="6"/>
  <c r="K63" i="6"/>
  <c r="L63" i="6"/>
  <c r="M63" i="6"/>
  <c r="N63" i="6"/>
  <c r="O63" i="6"/>
  <c r="P63" i="6"/>
  <c r="Q63" i="6"/>
  <c r="AE63" i="6" s="1"/>
  <c r="R63" i="6"/>
  <c r="S63" i="6"/>
  <c r="T63" i="6"/>
  <c r="U63" i="6"/>
  <c r="B64" i="6"/>
  <c r="C64" i="6"/>
  <c r="AA64" i="6" s="1"/>
  <c r="D64" i="6"/>
  <c r="E64" i="6"/>
  <c r="AD64" i="6" s="1"/>
  <c r="F64" i="6"/>
  <c r="G64" i="6"/>
  <c r="H64" i="6"/>
  <c r="I64" i="6"/>
  <c r="J64" i="6"/>
  <c r="K64" i="6"/>
  <c r="L64" i="6"/>
  <c r="M64" i="6"/>
  <c r="N64" i="6"/>
  <c r="O64" i="6"/>
  <c r="P64" i="6"/>
  <c r="Q64" i="6"/>
  <c r="AE64" i="6" s="1"/>
  <c r="R64" i="6"/>
  <c r="S64" i="6"/>
  <c r="T64" i="6"/>
  <c r="U64" i="6"/>
  <c r="B65" i="6"/>
  <c r="C65" i="6"/>
  <c r="AA65" i="6" s="1"/>
  <c r="AK65" i="6" s="1"/>
  <c r="D65" i="6"/>
  <c r="E65" i="6"/>
  <c r="F65" i="6"/>
  <c r="G65" i="6"/>
  <c r="AF65" i="6" s="1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B66" i="6"/>
  <c r="C66" i="6"/>
  <c r="D66" i="6"/>
  <c r="E66" i="6"/>
  <c r="AD66" i="6" s="1"/>
  <c r="F66" i="6"/>
  <c r="G66" i="6"/>
  <c r="AF66" i="6" s="1"/>
  <c r="H66" i="6"/>
  <c r="I66" i="6"/>
  <c r="J66" i="6"/>
  <c r="K66" i="6"/>
  <c r="L66" i="6"/>
  <c r="M66" i="6"/>
  <c r="N66" i="6"/>
  <c r="O66" i="6"/>
  <c r="P66" i="6"/>
  <c r="Q66" i="6"/>
  <c r="AE66" i="6" s="1"/>
  <c r="R66" i="6"/>
  <c r="S66" i="6"/>
  <c r="T66" i="6"/>
  <c r="U66" i="6"/>
  <c r="B67" i="6"/>
  <c r="C67" i="6"/>
  <c r="AA67" i="6" s="1"/>
  <c r="D67" i="6"/>
  <c r="E67" i="6"/>
  <c r="AD67" i="6" s="1"/>
  <c r="F67" i="6"/>
  <c r="G67" i="6"/>
  <c r="H67" i="6"/>
  <c r="I67" i="6"/>
  <c r="J67" i="6"/>
  <c r="K67" i="6"/>
  <c r="L67" i="6"/>
  <c r="M67" i="6"/>
  <c r="N67" i="6"/>
  <c r="O67" i="6"/>
  <c r="P67" i="6"/>
  <c r="Q67" i="6"/>
  <c r="AE67" i="6" s="1"/>
  <c r="R67" i="6"/>
  <c r="S67" i="6"/>
  <c r="T67" i="6"/>
  <c r="U67" i="6"/>
  <c r="B68" i="6"/>
  <c r="C68" i="6"/>
  <c r="AA68" i="6" s="1"/>
  <c r="D68" i="6"/>
  <c r="E68" i="6"/>
  <c r="F68" i="6"/>
  <c r="G68" i="6"/>
  <c r="AF68" i="6" s="1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B69" i="6"/>
  <c r="C69" i="6"/>
  <c r="D69" i="6"/>
  <c r="AB69" i="6" s="1"/>
  <c r="E69" i="6"/>
  <c r="AD69" i="6" s="1"/>
  <c r="F69" i="6"/>
  <c r="G69" i="6"/>
  <c r="AF69" i="6" s="1"/>
  <c r="H69" i="6"/>
  <c r="I69" i="6"/>
  <c r="J69" i="6"/>
  <c r="K69" i="6"/>
  <c r="L69" i="6"/>
  <c r="M69" i="6"/>
  <c r="N69" i="6"/>
  <c r="O69" i="6"/>
  <c r="P69" i="6"/>
  <c r="Q69" i="6"/>
  <c r="AE69" i="6" s="1"/>
  <c r="R69" i="6"/>
  <c r="S69" i="6"/>
  <c r="AC69" i="6" s="1"/>
  <c r="T69" i="6"/>
  <c r="U69" i="6"/>
  <c r="B70" i="6"/>
  <c r="C70" i="6"/>
  <c r="AA70" i="6" s="1"/>
  <c r="D70" i="6"/>
  <c r="E70" i="6"/>
  <c r="AD70" i="6" s="1"/>
  <c r="F70" i="6"/>
  <c r="G70" i="6"/>
  <c r="H70" i="6"/>
  <c r="AG70" i="6" s="1"/>
  <c r="I70" i="6"/>
  <c r="J70" i="6"/>
  <c r="K70" i="6"/>
  <c r="L70" i="6"/>
  <c r="M70" i="6"/>
  <c r="N70" i="6"/>
  <c r="O70" i="6"/>
  <c r="P70" i="6"/>
  <c r="Q70" i="6"/>
  <c r="AE70" i="6" s="1"/>
  <c r="R70" i="6"/>
  <c r="S70" i="6"/>
  <c r="T70" i="6"/>
  <c r="U70" i="6"/>
  <c r="B71" i="6"/>
  <c r="C71" i="6"/>
  <c r="AA71" i="6" s="1"/>
  <c r="D71" i="6"/>
  <c r="E71" i="6"/>
  <c r="F71" i="6"/>
  <c r="G71" i="6"/>
  <c r="AF71" i="6" s="1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B72" i="6"/>
  <c r="C72" i="6"/>
  <c r="D72" i="6"/>
  <c r="E72" i="6"/>
  <c r="AD72" i="6" s="1"/>
  <c r="F72" i="6"/>
  <c r="G72" i="6"/>
  <c r="AF72" i="6" s="1"/>
  <c r="H72" i="6"/>
  <c r="I72" i="6"/>
  <c r="J72" i="6"/>
  <c r="K72" i="6"/>
  <c r="L72" i="6"/>
  <c r="M72" i="6"/>
  <c r="N72" i="6"/>
  <c r="O72" i="6"/>
  <c r="P72" i="6"/>
  <c r="Q72" i="6"/>
  <c r="AE72" i="6" s="1"/>
  <c r="R72" i="6"/>
  <c r="S72" i="6"/>
  <c r="AC72" i="6" s="1"/>
  <c r="AJ72" i="6" s="1"/>
  <c r="T72" i="6"/>
  <c r="U72" i="6"/>
  <c r="B73" i="6"/>
  <c r="C73" i="6"/>
  <c r="AA73" i="6" s="1"/>
  <c r="D73" i="6"/>
  <c r="E73" i="6"/>
  <c r="AD73" i="6" s="1"/>
  <c r="F73" i="6"/>
  <c r="G73" i="6"/>
  <c r="H73" i="6"/>
  <c r="I73" i="6"/>
  <c r="AH73" i="6" s="1"/>
  <c r="AM73" i="6" s="1"/>
  <c r="J73" i="6"/>
  <c r="K73" i="6"/>
  <c r="L73" i="6"/>
  <c r="M73" i="6"/>
  <c r="N73" i="6"/>
  <c r="O73" i="6"/>
  <c r="P73" i="6"/>
  <c r="Q73" i="6"/>
  <c r="AE73" i="6" s="1"/>
  <c r="R73" i="6"/>
  <c r="S73" i="6"/>
  <c r="T73" i="6"/>
  <c r="U73" i="6"/>
  <c r="B74" i="6"/>
  <c r="C74" i="6"/>
  <c r="AA74" i="6" s="1"/>
  <c r="D74" i="6"/>
  <c r="E74" i="6"/>
  <c r="F74" i="6"/>
  <c r="G74" i="6"/>
  <c r="AF74" i="6" s="1"/>
  <c r="H74" i="6"/>
  <c r="I74" i="6"/>
  <c r="J74" i="6"/>
  <c r="K74" i="6"/>
  <c r="L74" i="6"/>
  <c r="M74" i="6"/>
  <c r="N74" i="6"/>
  <c r="O74" i="6"/>
  <c r="P74" i="6"/>
  <c r="Q74" i="6"/>
  <c r="R74" i="6"/>
  <c r="S74" i="6"/>
  <c r="AC74" i="6" s="1"/>
  <c r="AJ74" i="6" s="1"/>
  <c r="T74" i="6"/>
  <c r="U74" i="6"/>
  <c r="B75" i="6"/>
  <c r="C75" i="6"/>
  <c r="D75" i="6"/>
  <c r="AB75" i="6" s="1"/>
  <c r="E75" i="6"/>
  <c r="AD75" i="6" s="1"/>
  <c r="F75" i="6"/>
  <c r="G75" i="6"/>
  <c r="AF75" i="6" s="1"/>
  <c r="H75" i="6"/>
  <c r="I75" i="6"/>
  <c r="J75" i="6"/>
  <c r="K75" i="6"/>
  <c r="L75" i="6"/>
  <c r="M75" i="6"/>
  <c r="N75" i="6"/>
  <c r="O75" i="6"/>
  <c r="P75" i="6"/>
  <c r="Q75" i="6"/>
  <c r="AE75" i="6" s="1"/>
  <c r="R75" i="6"/>
  <c r="S75" i="6"/>
  <c r="AC75" i="6" s="1"/>
  <c r="AJ75" i="6" s="1"/>
  <c r="T75" i="6"/>
  <c r="U75" i="6"/>
  <c r="B76" i="6"/>
  <c r="C76" i="6"/>
  <c r="AA76" i="6" s="1"/>
  <c r="D76" i="6"/>
  <c r="E76" i="6"/>
  <c r="AD76" i="6" s="1"/>
  <c r="F76" i="6"/>
  <c r="G76" i="6"/>
  <c r="H76" i="6"/>
  <c r="I76" i="6"/>
  <c r="J76" i="6"/>
  <c r="K76" i="6"/>
  <c r="L76" i="6"/>
  <c r="M76" i="6"/>
  <c r="N76" i="6"/>
  <c r="O76" i="6"/>
  <c r="P76" i="6"/>
  <c r="Q76" i="6"/>
  <c r="AE76" i="6" s="1"/>
  <c r="R76" i="6"/>
  <c r="S76" i="6"/>
  <c r="T76" i="6"/>
  <c r="U76" i="6"/>
  <c r="B77" i="6"/>
  <c r="C77" i="6"/>
  <c r="AA77" i="6" s="1"/>
  <c r="AK77" i="6" s="1"/>
  <c r="D77" i="6"/>
  <c r="E77" i="6"/>
  <c r="F77" i="6"/>
  <c r="G77" i="6"/>
  <c r="AF77" i="6" s="1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B78" i="6"/>
  <c r="C78" i="6"/>
  <c r="D78" i="6"/>
  <c r="E78" i="6"/>
  <c r="AD78" i="6" s="1"/>
  <c r="F78" i="6"/>
  <c r="G78" i="6"/>
  <c r="AF78" i="6" s="1"/>
  <c r="H78" i="6"/>
  <c r="I78" i="6"/>
  <c r="J78" i="6"/>
  <c r="K78" i="6"/>
  <c r="L78" i="6"/>
  <c r="M78" i="6"/>
  <c r="N78" i="6"/>
  <c r="O78" i="6"/>
  <c r="P78" i="6"/>
  <c r="Q78" i="6"/>
  <c r="AE78" i="6" s="1"/>
  <c r="R78" i="6"/>
  <c r="S78" i="6"/>
  <c r="AC78" i="6" s="1"/>
  <c r="AJ78" i="6" s="1"/>
  <c r="T78" i="6"/>
  <c r="U78" i="6"/>
  <c r="B79" i="6"/>
  <c r="Z79" i="6" s="1"/>
  <c r="C79" i="6"/>
  <c r="AA79" i="6" s="1"/>
  <c r="D79" i="6"/>
  <c r="E79" i="6"/>
  <c r="AD79" i="6" s="1"/>
  <c r="F79" i="6"/>
  <c r="G79" i="6"/>
  <c r="H79" i="6"/>
  <c r="AG79" i="6" s="1"/>
  <c r="I79" i="6"/>
  <c r="J79" i="6"/>
  <c r="K79" i="6"/>
  <c r="L79" i="6"/>
  <c r="M79" i="6"/>
  <c r="N79" i="6"/>
  <c r="O79" i="6"/>
  <c r="P79" i="6"/>
  <c r="Q79" i="6"/>
  <c r="AE79" i="6" s="1"/>
  <c r="R79" i="6"/>
  <c r="S79" i="6"/>
  <c r="T79" i="6"/>
  <c r="U79" i="6"/>
  <c r="B80" i="6"/>
  <c r="C80" i="6"/>
  <c r="AA80" i="6" s="1"/>
  <c r="D80" i="6"/>
  <c r="E80" i="6"/>
  <c r="F80" i="6"/>
  <c r="G80" i="6"/>
  <c r="AF80" i="6" s="1"/>
  <c r="H80" i="6"/>
  <c r="I80" i="6"/>
  <c r="AH80" i="6" s="1"/>
  <c r="AM80" i="6" s="1"/>
  <c r="J80" i="6"/>
  <c r="K80" i="6"/>
  <c r="L80" i="6"/>
  <c r="M80" i="6"/>
  <c r="N80" i="6"/>
  <c r="O80" i="6"/>
  <c r="P80" i="6"/>
  <c r="Q80" i="6"/>
  <c r="R80" i="6"/>
  <c r="S80" i="6"/>
  <c r="T80" i="6"/>
  <c r="U80" i="6"/>
  <c r="B81" i="6"/>
  <c r="C81" i="6"/>
  <c r="D81" i="6"/>
  <c r="AB81" i="6" s="1"/>
  <c r="E81" i="6"/>
  <c r="AD81" i="6" s="1"/>
  <c r="F81" i="6"/>
  <c r="G81" i="6"/>
  <c r="AF81" i="6" s="1"/>
  <c r="H81" i="6"/>
  <c r="I81" i="6"/>
  <c r="J81" i="6"/>
  <c r="K81" i="6"/>
  <c r="L81" i="6"/>
  <c r="M81" i="6"/>
  <c r="N81" i="6"/>
  <c r="O81" i="6"/>
  <c r="P81" i="6"/>
  <c r="Q81" i="6"/>
  <c r="AE81" i="6" s="1"/>
  <c r="R81" i="6"/>
  <c r="S81" i="6"/>
  <c r="AC81" i="6" s="1"/>
  <c r="AJ81" i="6" s="1"/>
  <c r="T81" i="6"/>
  <c r="U81" i="6"/>
  <c r="B82" i="6"/>
  <c r="Z82" i="6" s="1"/>
  <c r="C82" i="6"/>
  <c r="D82" i="6"/>
  <c r="E82" i="6"/>
  <c r="AD82" i="6" s="1"/>
  <c r="F82" i="6"/>
  <c r="G82" i="6"/>
  <c r="H82" i="6"/>
  <c r="I82" i="6"/>
  <c r="J82" i="6"/>
  <c r="K82" i="6"/>
  <c r="L82" i="6"/>
  <c r="M82" i="6"/>
  <c r="N82" i="6"/>
  <c r="O82" i="6"/>
  <c r="P82" i="6"/>
  <c r="Q82" i="6"/>
  <c r="AE82" i="6" s="1"/>
  <c r="R82" i="6"/>
  <c r="S82" i="6"/>
  <c r="T82" i="6"/>
  <c r="U82" i="6"/>
  <c r="B83" i="6"/>
  <c r="C83" i="6"/>
  <c r="AA83" i="6" s="1"/>
  <c r="AK83" i="6" s="1"/>
  <c r="D83" i="6"/>
  <c r="E83" i="6"/>
  <c r="F83" i="6"/>
  <c r="G83" i="6"/>
  <c r="H83" i="6"/>
  <c r="I83" i="6"/>
  <c r="J83" i="6"/>
  <c r="K83" i="6"/>
  <c r="L83" i="6"/>
  <c r="M83" i="6"/>
  <c r="N83" i="6"/>
  <c r="O83" i="6"/>
  <c r="P83" i="6"/>
  <c r="Q83" i="6"/>
  <c r="R83" i="6"/>
  <c r="S83" i="6"/>
  <c r="T83" i="6"/>
  <c r="U83" i="6"/>
  <c r="B84" i="6"/>
  <c r="C84" i="6"/>
  <c r="D84" i="6"/>
  <c r="E84" i="6"/>
  <c r="AD84" i="6" s="1"/>
  <c r="F84" i="6"/>
  <c r="G84" i="6"/>
  <c r="AF84" i="6" s="1"/>
  <c r="H84" i="6"/>
  <c r="I84" i="6"/>
  <c r="J84" i="6"/>
  <c r="K84" i="6"/>
  <c r="L84" i="6"/>
  <c r="M84" i="6"/>
  <c r="N84" i="6"/>
  <c r="O84" i="6"/>
  <c r="P84" i="6"/>
  <c r="Q84" i="6"/>
  <c r="AE84" i="6" s="1"/>
  <c r="R84" i="6"/>
  <c r="S84" i="6"/>
  <c r="T84" i="6"/>
  <c r="U84" i="6"/>
  <c r="B85" i="6"/>
  <c r="Z85" i="6" s="1"/>
  <c r="C85" i="6"/>
  <c r="AA85" i="6" s="1"/>
  <c r="D85" i="6"/>
  <c r="E85" i="6"/>
  <c r="AD85" i="6" s="1"/>
  <c r="F85" i="6"/>
  <c r="G85" i="6"/>
  <c r="H85" i="6"/>
  <c r="AG85" i="6" s="1"/>
  <c r="I85" i="6"/>
  <c r="J85" i="6"/>
  <c r="K85" i="6"/>
  <c r="L85" i="6"/>
  <c r="M85" i="6"/>
  <c r="N85" i="6"/>
  <c r="O85" i="6"/>
  <c r="P85" i="6"/>
  <c r="Q85" i="6"/>
  <c r="AE85" i="6" s="1"/>
  <c r="R85" i="6"/>
  <c r="S85" i="6"/>
  <c r="T85" i="6"/>
  <c r="U85" i="6"/>
  <c r="B86" i="6"/>
  <c r="C86" i="6"/>
  <c r="AA86" i="6" s="1"/>
  <c r="D86" i="6"/>
  <c r="E86" i="6"/>
  <c r="F86" i="6"/>
  <c r="G86" i="6"/>
  <c r="AF86" i="6" s="1"/>
  <c r="H86" i="6"/>
  <c r="I86" i="6"/>
  <c r="AH86" i="6" s="1"/>
  <c r="AM86" i="6" s="1"/>
  <c r="J86" i="6"/>
  <c r="K86" i="6"/>
  <c r="L86" i="6"/>
  <c r="M86" i="6"/>
  <c r="N86" i="6"/>
  <c r="O86" i="6"/>
  <c r="P86" i="6"/>
  <c r="Q86" i="6"/>
  <c r="R86" i="6"/>
  <c r="S86" i="6"/>
  <c r="T86" i="6"/>
  <c r="U86" i="6"/>
  <c r="B87" i="6"/>
  <c r="C87" i="6"/>
  <c r="D87" i="6"/>
  <c r="AB87" i="6" s="1"/>
  <c r="E87" i="6"/>
  <c r="AD87" i="6" s="1"/>
  <c r="F87" i="6"/>
  <c r="G87" i="6"/>
  <c r="AF87" i="6" s="1"/>
  <c r="H87" i="6"/>
  <c r="I87" i="6"/>
  <c r="J87" i="6"/>
  <c r="K87" i="6"/>
  <c r="L87" i="6"/>
  <c r="M87" i="6"/>
  <c r="N87" i="6"/>
  <c r="O87" i="6"/>
  <c r="P87" i="6"/>
  <c r="Q87" i="6"/>
  <c r="AE87" i="6" s="1"/>
  <c r="R87" i="6"/>
  <c r="S87" i="6"/>
  <c r="AC87" i="6" s="1"/>
  <c r="AJ87" i="6" s="1"/>
  <c r="T87" i="6"/>
  <c r="U87" i="6"/>
  <c r="B88" i="6"/>
  <c r="Z88" i="6" s="1"/>
  <c r="AL88" i="6" s="1"/>
  <c r="C88" i="6"/>
  <c r="D88" i="6"/>
  <c r="E88" i="6"/>
  <c r="AD88" i="6" s="1"/>
  <c r="F88" i="6"/>
  <c r="G88" i="6"/>
  <c r="H88" i="6"/>
  <c r="AG88" i="6" s="1"/>
  <c r="I88" i="6"/>
  <c r="J88" i="6"/>
  <c r="K88" i="6"/>
  <c r="L88" i="6"/>
  <c r="M88" i="6"/>
  <c r="N88" i="6"/>
  <c r="O88" i="6"/>
  <c r="P88" i="6"/>
  <c r="Q88" i="6"/>
  <c r="AE88" i="6" s="1"/>
  <c r="R88" i="6"/>
  <c r="S88" i="6"/>
  <c r="T88" i="6"/>
  <c r="U88" i="6"/>
  <c r="B89" i="6"/>
  <c r="C89" i="6"/>
  <c r="AA89" i="6" s="1"/>
  <c r="D89" i="6"/>
  <c r="E89" i="6"/>
  <c r="F89" i="6"/>
  <c r="G89" i="6"/>
  <c r="AF89" i="6" s="1"/>
  <c r="H89" i="6"/>
  <c r="I89" i="6"/>
  <c r="J89" i="6"/>
  <c r="K89" i="6"/>
  <c r="L89" i="6"/>
  <c r="M89" i="6"/>
  <c r="N89" i="6"/>
  <c r="O89" i="6"/>
  <c r="P89" i="6"/>
  <c r="Q89" i="6"/>
  <c r="R89" i="6"/>
  <c r="S89" i="6"/>
  <c r="T89" i="6"/>
  <c r="U89" i="6"/>
  <c r="B90" i="6"/>
  <c r="C90" i="6"/>
  <c r="D90" i="6"/>
  <c r="AB90" i="6" s="1"/>
  <c r="E90" i="6"/>
  <c r="AD90" i="6" s="1"/>
  <c r="F90" i="6"/>
  <c r="G90" i="6"/>
  <c r="AF90" i="6" s="1"/>
  <c r="H90" i="6"/>
  <c r="I90" i="6"/>
  <c r="J90" i="6"/>
  <c r="K90" i="6"/>
  <c r="L90" i="6"/>
  <c r="M90" i="6"/>
  <c r="N90" i="6"/>
  <c r="O90" i="6"/>
  <c r="P90" i="6"/>
  <c r="Q90" i="6"/>
  <c r="AE90" i="6" s="1"/>
  <c r="R90" i="6"/>
  <c r="S90" i="6"/>
  <c r="AC90" i="6" s="1"/>
  <c r="T90" i="6"/>
  <c r="U90" i="6"/>
  <c r="B91" i="6"/>
  <c r="C91" i="6"/>
  <c r="D91" i="6"/>
  <c r="E91" i="6"/>
  <c r="AD91" i="6" s="1"/>
  <c r="F91" i="6"/>
  <c r="G91" i="6"/>
  <c r="H91" i="6"/>
  <c r="I91" i="6"/>
  <c r="J91" i="6"/>
  <c r="K91" i="6"/>
  <c r="L91" i="6"/>
  <c r="M91" i="6"/>
  <c r="N91" i="6"/>
  <c r="O91" i="6"/>
  <c r="P91" i="6"/>
  <c r="Q91" i="6"/>
  <c r="AE91" i="6" s="1"/>
  <c r="R91" i="6"/>
  <c r="S91" i="6"/>
  <c r="T91" i="6"/>
  <c r="U91" i="6"/>
  <c r="B92" i="6"/>
  <c r="C92" i="6"/>
  <c r="AA92" i="6" s="1"/>
  <c r="D92" i="6"/>
  <c r="E92" i="6"/>
  <c r="F92" i="6"/>
  <c r="G92" i="6"/>
  <c r="AF92" i="6" s="1"/>
  <c r="H92" i="6"/>
  <c r="I92" i="6"/>
  <c r="J92" i="6"/>
  <c r="K92" i="6"/>
  <c r="L92" i="6"/>
  <c r="M92" i="6"/>
  <c r="N92" i="6"/>
  <c r="O92" i="6"/>
  <c r="P92" i="6"/>
  <c r="Q92" i="6"/>
  <c r="R92" i="6"/>
  <c r="S92" i="6"/>
  <c r="T92" i="6"/>
  <c r="U92" i="6"/>
  <c r="B93" i="6"/>
  <c r="C93" i="6"/>
  <c r="D93" i="6"/>
  <c r="AB93" i="6" s="1"/>
  <c r="E93" i="6"/>
  <c r="AD93" i="6" s="1"/>
  <c r="F93" i="6"/>
  <c r="G93" i="6"/>
  <c r="H93" i="6"/>
  <c r="I93" i="6"/>
  <c r="J93" i="6"/>
  <c r="K93" i="6"/>
  <c r="L93" i="6"/>
  <c r="M93" i="6"/>
  <c r="N93" i="6"/>
  <c r="O93" i="6"/>
  <c r="P93" i="6"/>
  <c r="Q93" i="6"/>
  <c r="AE93" i="6" s="1"/>
  <c r="R93" i="6"/>
  <c r="S93" i="6"/>
  <c r="AC93" i="6" s="1"/>
  <c r="AJ93" i="6" s="1"/>
  <c r="T93" i="6"/>
  <c r="U93" i="6"/>
  <c r="B94" i="6"/>
  <c r="C94" i="6"/>
  <c r="AA94" i="6" s="1"/>
  <c r="D94" i="6"/>
  <c r="E94" i="6"/>
  <c r="AD94" i="6" s="1"/>
  <c r="F94" i="6"/>
  <c r="G94" i="6"/>
  <c r="H94" i="6"/>
  <c r="AG94" i="6" s="1"/>
  <c r="I94" i="6"/>
  <c r="J94" i="6"/>
  <c r="K94" i="6"/>
  <c r="L94" i="6"/>
  <c r="M94" i="6"/>
  <c r="N94" i="6"/>
  <c r="O94" i="6"/>
  <c r="P94" i="6"/>
  <c r="Q94" i="6"/>
  <c r="AE94" i="6" s="1"/>
  <c r="R94" i="6"/>
  <c r="S94" i="6"/>
  <c r="T94" i="6"/>
  <c r="U94" i="6"/>
  <c r="B95" i="6"/>
  <c r="C95" i="6"/>
  <c r="AA95" i="6" s="1"/>
  <c r="AK95" i="6" s="1"/>
  <c r="D95" i="6"/>
  <c r="E95" i="6"/>
  <c r="F95" i="6"/>
  <c r="G95" i="6"/>
  <c r="AF95" i="6" s="1"/>
  <c r="H95" i="6"/>
  <c r="I95" i="6"/>
  <c r="J95" i="6"/>
  <c r="K95" i="6"/>
  <c r="L95" i="6"/>
  <c r="M95" i="6"/>
  <c r="N95" i="6"/>
  <c r="O95" i="6"/>
  <c r="P95" i="6"/>
  <c r="Q95" i="6"/>
  <c r="R95" i="6"/>
  <c r="S95" i="6"/>
  <c r="T95" i="6"/>
  <c r="U95" i="6"/>
  <c r="B96" i="6"/>
  <c r="C96" i="6"/>
  <c r="D96" i="6"/>
  <c r="AB96" i="6" s="1"/>
  <c r="E96" i="6"/>
  <c r="AD96" i="6" s="1"/>
  <c r="F96" i="6"/>
  <c r="G96" i="6"/>
  <c r="AF96" i="6" s="1"/>
  <c r="H96" i="6"/>
  <c r="I96" i="6"/>
  <c r="J96" i="6"/>
  <c r="K96" i="6"/>
  <c r="L96" i="6"/>
  <c r="M96" i="6"/>
  <c r="N96" i="6"/>
  <c r="O96" i="6"/>
  <c r="P96" i="6"/>
  <c r="Q96" i="6"/>
  <c r="AE96" i="6" s="1"/>
  <c r="R96" i="6"/>
  <c r="S96" i="6"/>
  <c r="T96" i="6"/>
  <c r="U96" i="6"/>
  <c r="B97" i="6"/>
  <c r="Z97" i="6" s="1"/>
  <c r="C97" i="6"/>
  <c r="AA97" i="6" s="1"/>
  <c r="D97" i="6"/>
  <c r="E97" i="6"/>
  <c r="AD97" i="6" s="1"/>
  <c r="AK97" i="6" s="1"/>
  <c r="F97" i="6"/>
  <c r="G97" i="6"/>
  <c r="H97" i="6"/>
  <c r="AG97" i="6" s="1"/>
  <c r="I97" i="6"/>
  <c r="J97" i="6"/>
  <c r="K97" i="6"/>
  <c r="L97" i="6"/>
  <c r="M97" i="6"/>
  <c r="N97" i="6"/>
  <c r="O97" i="6"/>
  <c r="P97" i="6"/>
  <c r="Q97" i="6"/>
  <c r="AE97" i="6" s="1"/>
  <c r="R97" i="6"/>
  <c r="S97" i="6"/>
  <c r="T97" i="6"/>
  <c r="U97" i="6"/>
  <c r="B98" i="6"/>
  <c r="C98" i="6"/>
  <c r="AA98" i="6" s="1"/>
  <c r="D98" i="6"/>
  <c r="E98" i="6"/>
  <c r="F98" i="6"/>
  <c r="G98" i="6"/>
  <c r="H98" i="6"/>
  <c r="I98" i="6"/>
  <c r="J98" i="6"/>
  <c r="K98" i="6"/>
  <c r="L98" i="6"/>
  <c r="M98" i="6"/>
  <c r="N98" i="6"/>
  <c r="O98" i="6"/>
  <c r="P98" i="6"/>
  <c r="Q98" i="6"/>
  <c r="R98" i="6"/>
  <c r="S98" i="6"/>
  <c r="T98" i="6"/>
  <c r="U98" i="6"/>
  <c r="B99" i="6"/>
  <c r="C99" i="6"/>
  <c r="D99" i="6"/>
  <c r="E99" i="6"/>
  <c r="AD99" i="6" s="1"/>
  <c r="F99" i="6"/>
  <c r="G99" i="6"/>
  <c r="AF99" i="6" s="1"/>
  <c r="H99" i="6"/>
  <c r="I99" i="6"/>
  <c r="J99" i="6"/>
  <c r="K99" i="6"/>
  <c r="L99" i="6"/>
  <c r="M99" i="6"/>
  <c r="N99" i="6"/>
  <c r="O99" i="6"/>
  <c r="P99" i="6"/>
  <c r="Q99" i="6"/>
  <c r="R99" i="6"/>
  <c r="S99" i="6"/>
  <c r="AC99" i="6" s="1"/>
  <c r="AJ99" i="6" s="1"/>
  <c r="T99" i="6"/>
  <c r="U99" i="6"/>
  <c r="B100" i="6"/>
  <c r="Z100" i="6" s="1"/>
  <c r="C100" i="6"/>
  <c r="AA100" i="6" s="1"/>
  <c r="D100" i="6"/>
  <c r="E100" i="6"/>
  <c r="AD100" i="6" s="1"/>
  <c r="F100" i="6"/>
  <c r="G100" i="6"/>
  <c r="H100" i="6"/>
  <c r="AG100" i="6" s="1"/>
  <c r="I100" i="6"/>
  <c r="J100" i="6"/>
  <c r="K100" i="6"/>
  <c r="L100" i="6"/>
  <c r="M100" i="6"/>
  <c r="N100" i="6"/>
  <c r="O100" i="6"/>
  <c r="P100" i="6"/>
  <c r="Q100" i="6"/>
  <c r="R100" i="6"/>
  <c r="S100" i="6"/>
  <c r="T100" i="6"/>
  <c r="U100" i="6"/>
  <c r="B101" i="6"/>
  <c r="C101" i="6"/>
  <c r="AA101" i="6" s="1"/>
  <c r="D101" i="6"/>
  <c r="E101" i="6"/>
  <c r="F101" i="6"/>
  <c r="G101" i="6"/>
  <c r="AF101" i="6" s="1"/>
  <c r="H101" i="6"/>
  <c r="I101" i="6"/>
  <c r="AH101" i="6" s="1"/>
  <c r="AM101" i="6" s="1"/>
  <c r="J101" i="6"/>
  <c r="K101" i="6"/>
  <c r="L101" i="6"/>
  <c r="M101" i="6"/>
  <c r="N101" i="6"/>
  <c r="O101" i="6"/>
  <c r="P101" i="6"/>
  <c r="Q101" i="6"/>
  <c r="R101" i="6"/>
  <c r="S101" i="6"/>
  <c r="T101" i="6"/>
  <c r="U101" i="6"/>
  <c r="B102" i="6"/>
  <c r="C102" i="6"/>
  <c r="D102" i="6"/>
  <c r="AB102" i="6" s="1"/>
  <c r="E102" i="6"/>
  <c r="AD102" i="6" s="1"/>
  <c r="F102" i="6"/>
  <c r="G102" i="6"/>
  <c r="AF102" i="6" s="1"/>
  <c r="H102" i="6"/>
  <c r="I102" i="6"/>
  <c r="J102" i="6"/>
  <c r="K102" i="6"/>
  <c r="L102" i="6"/>
  <c r="M102" i="6"/>
  <c r="N102" i="6"/>
  <c r="O102" i="6"/>
  <c r="P102" i="6"/>
  <c r="Q102" i="6"/>
  <c r="AE102" i="6" s="1"/>
  <c r="R102" i="6"/>
  <c r="S102" i="6"/>
  <c r="AC102" i="6" s="1"/>
  <c r="AJ102" i="6" s="1"/>
  <c r="T102" i="6"/>
  <c r="U102" i="6"/>
  <c r="B103" i="6"/>
  <c r="Z103" i="6" s="1"/>
  <c r="C103" i="6"/>
  <c r="AA103" i="6" s="1"/>
  <c r="D103" i="6"/>
  <c r="E103" i="6"/>
  <c r="AD103" i="6" s="1"/>
  <c r="F103" i="6"/>
  <c r="G103" i="6"/>
  <c r="H103" i="6"/>
  <c r="I103" i="6"/>
  <c r="J103" i="6"/>
  <c r="K103" i="6"/>
  <c r="L103" i="6"/>
  <c r="M103" i="6"/>
  <c r="N103" i="6"/>
  <c r="O103" i="6"/>
  <c r="P103" i="6"/>
  <c r="Q103" i="6"/>
  <c r="AE103" i="6" s="1"/>
  <c r="R103" i="6"/>
  <c r="S103" i="6"/>
  <c r="T103" i="6"/>
  <c r="U103" i="6"/>
  <c r="B104" i="6"/>
  <c r="C104" i="6"/>
  <c r="AA104" i="6" s="1"/>
  <c r="D104" i="6"/>
  <c r="E104" i="6"/>
  <c r="F104" i="6"/>
  <c r="G104" i="6"/>
  <c r="AF104" i="6" s="1"/>
  <c r="H104" i="6"/>
  <c r="I104" i="6"/>
  <c r="J104" i="6"/>
  <c r="K104" i="6"/>
  <c r="L104" i="6"/>
  <c r="M104" i="6"/>
  <c r="N104" i="6"/>
  <c r="O104" i="6"/>
  <c r="P104" i="6"/>
  <c r="Q104" i="6"/>
  <c r="R104" i="6"/>
  <c r="S104" i="6"/>
  <c r="T104" i="6"/>
  <c r="U104" i="6"/>
  <c r="B105" i="6"/>
  <c r="C105" i="6"/>
  <c r="D105" i="6"/>
  <c r="E105" i="6"/>
  <c r="F105" i="6"/>
  <c r="G105" i="6"/>
  <c r="AF105" i="6" s="1"/>
  <c r="H105" i="6"/>
  <c r="I105" i="6"/>
  <c r="J105" i="6"/>
  <c r="K105" i="6"/>
  <c r="L105" i="6"/>
  <c r="M105" i="6"/>
  <c r="N105" i="6"/>
  <c r="O105" i="6"/>
  <c r="P105" i="6"/>
  <c r="Q105" i="6"/>
  <c r="AE105" i="6" s="1"/>
  <c r="R105" i="6"/>
  <c r="S105" i="6"/>
  <c r="T105" i="6"/>
  <c r="U105" i="6"/>
  <c r="B106" i="6"/>
  <c r="Z106" i="6" s="1"/>
  <c r="C106" i="6"/>
  <c r="AA106" i="6" s="1"/>
  <c r="D106" i="6"/>
  <c r="E106" i="6"/>
  <c r="F106" i="6"/>
  <c r="G106" i="6"/>
  <c r="H106" i="6"/>
  <c r="AG106" i="6" s="1"/>
  <c r="I106" i="6"/>
  <c r="J106" i="6"/>
  <c r="K106" i="6"/>
  <c r="L106" i="6"/>
  <c r="M106" i="6"/>
  <c r="N106" i="6"/>
  <c r="O106" i="6"/>
  <c r="P106" i="6"/>
  <c r="Q106" i="6"/>
  <c r="AE106" i="6" s="1"/>
  <c r="R106" i="6"/>
  <c r="S106" i="6"/>
  <c r="T106" i="6"/>
  <c r="U106" i="6"/>
  <c r="B107" i="6"/>
  <c r="C107" i="6"/>
  <c r="AA107" i="6" s="1"/>
  <c r="D107" i="6"/>
  <c r="E107" i="6"/>
  <c r="F107" i="6"/>
  <c r="G107" i="6"/>
  <c r="AF107" i="6" s="1"/>
  <c r="H107" i="6"/>
  <c r="I107" i="6"/>
  <c r="J107" i="6"/>
  <c r="K107" i="6"/>
  <c r="L107" i="6"/>
  <c r="M107" i="6"/>
  <c r="N107" i="6"/>
  <c r="O107" i="6"/>
  <c r="P107" i="6"/>
  <c r="Q107" i="6"/>
  <c r="R107" i="6"/>
  <c r="S107" i="6"/>
  <c r="T107" i="6"/>
  <c r="U107" i="6"/>
  <c r="B108" i="6"/>
  <c r="C108" i="6"/>
  <c r="D108" i="6"/>
  <c r="E108" i="6"/>
  <c r="F108" i="6"/>
  <c r="G108" i="6"/>
  <c r="AF108" i="6" s="1"/>
  <c r="H108" i="6"/>
  <c r="I108" i="6"/>
  <c r="J108" i="6"/>
  <c r="K108" i="6"/>
  <c r="L108" i="6"/>
  <c r="M108" i="6"/>
  <c r="N108" i="6"/>
  <c r="O108" i="6"/>
  <c r="P108" i="6"/>
  <c r="Q108" i="6"/>
  <c r="AE108" i="6" s="1"/>
  <c r="R108" i="6"/>
  <c r="S108" i="6"/>
  <c r="AC108" i="6" s="1"/>
  <c r="AJ108" i="6" s="1"/>
  <c r="T108" i="6"/>
  <c r="U108" i="6"/>
  <c r="B109" i="6"/>
  <c r="Z109" i="6" s="1"/>
  <c r="AL109" i="6" s="1"/>
  <c r="C109" i="6"/>
  <c r="AA109" i="6" s="1"/>
  <c r="D109" i="6"/>
  <c r="E109" i="6"/>
  <c r="AD109" i="6" s="1"/>
  <c r="F109" i="6"/>
  <c r="G109" i="6"/>
  <c r="H109" i="6"/>
  <c r="AG109" i="6" s="1"/>
  <c r="I109" i="6"/>
  <c r="J109" i="6"/>
  <c r="K109" i="6"/>
  <c r="L109" i="6"/>
  <c r="M109" i="6"/>
  <c r="N109" i="6"/>
  <c r="O109" i="6"/>
  <c r="P109" i="6"/>
  <c r="Q109" i="6"/>
  <c r="AE109" i="6" s="1"/>
  <c r="R109" i="6"/>
  <c r="S109" i="6"/>
  <c r="T109" i="6"/>
  <c r="U109" i="6"/>
  <c r="B110" i="6"/>
  <c r="C110" i="6"/>
  <c r="AA110" i="6" s="1"/>
  <c r="D110" i="6"/>
  <c r="E110" i="6"/>
  <c r="F110" i="6"/>
  <c r="G110" i="6"/>
  <c r="AF110" i="6" s="1"/>
  <c r="H110" i="6"/>
  <c r="I110" i="6"/>
  <c r="J110" i="6"/>
  <c r="K110" i="6"/>
  <c r="L110" i="6"/>
  <c r="M110" i="6"/>
  <c r="N110" i="6"/>
  <c r="O110" i="6"/>
  <c r="P110" i="6"/>
  <c r="Q110" i="6"/>
  <c r="R110" i="6"/>
  <c r="S110" i="6"/>
  <c r="T110" i="6"/>
  <c r="U110" i="6"/>
  <c r="B111" i="6"/>
  <c r="C111" i="6"/>
  <c r="D111" i="6"/>
  <c r="AB111" i="6" s="1"/>
  <c r="E111" i="6"/>
  <c r="AD111" i="6" s="1"/>
  <c r="F111" i="6"/>
  <c r="G111" i="6"/>
  <c r="AF111" i="6" s="1"/>
  <c r="H111" i="6"/>
  <c r="I111" i="6"/>
  <c r="J111" i="6"/>
  <c r="K111" i="6"/>
  <c r="L111" i="6"/>
  <c r="M111" i="6"/>
  <c r="N111" i="6"/>
  <c r="O111" i="6"/>
  <c r="P111" i="6"/>
  <c r="Q111" i="6"/>
  <c r="AE111" i="6" s="1"/>
  <c r="R111" i="6"/>
  <c r="S111" i="6"/>
  <c r="T111" i="6"/>
  <c r="U111" i="6"/>
  <c r="B112" i="6"/>
  <c r="C112" i="6"/>
  <c r="AA112" i="6" s="1"/>
  <c r="D112" i="6"/>
  <c r="E112" i="6"/>
  <c r="AD112" i="6" s="1"/>
  <c r="F112" i="6"/>
  <c r="G112" i="6"/>
  <c r="H112" i="6"/>
  <c r="I112" i="6"/>
  <c r="J112" i="6"/>
  <c r="K112" i="6"/>
  <c r="L112" i="6"/>
  <c r="M112" i="6"/>
  <c r="N112" i="6"/>
  <c r="O112" i="6"/>
  <c r="P112" i="6"/>
  <c r="Q112" i="6"/>
  <c r="AE112" i="6" s="1"/>
  <c r="R112" i="6"/>
  <c r="S112" i="6"/>
  <c r="T112" i="6"/>
  <c r="U112" i="6"/>
  <c r="B113" i="6"/>
  <c r="C113" i="6"/>
  <c r="AA113" i="6" s="1"/>
  <c r="D113" i="6"/>
  <c r="E113" i="6"/>
  <c r="F113" i="6"/>
  <c r="G113" i="6"/>
  <c r="AF113" i="6" s="1"/>
  <c r="H113" i="6"/>
  <c r="I113" i="6"/>
  <c r="AH113" i="6" s="1"/>
  <c r="AM113" i="6" s="1"/>
  <c r="J113" i="6"/>
  <c r="K113" i="6"/>
  <c r="L113" i="6"/>
  <c r="M113" i="6"/>
  <c r="N113" i="6"/>
  <c r="O113" i="6"/>
  <c r="P113" i="6"/>
  <c r="Q113" i="6"/>
  <c r="R113" i="6"/>
  <c r="S113" i="6"/>
  <c r="T113" i="6"/>
  <c r="U113" i="6"/>
  <c r="B114" i="6"/>
  <c r="C114" i="6"/>
  <c r="D114" i="6"/>
  <c r="E114" i="6"/>
  <c r="F114" i="6"/>
  <c r="G114" i="6"/>
  <c r="AF114" i="6" s="1"/>
  <c r="H114" i="6"/>
  <c r="I114" i="6"/>
  <c r="J114" i="6"/>
  <c r="K114" i="6"/>
  <c r="L114" i="6"/>
  <c r="M114" i="6"/>
  <c r="N114" i="6"/>
  <c r="O114" i="6"/>
  <c r="P114" i="6"/>
  <c r="Q114" i="6"/>
  <c r="AE114" i="6" s="1"/>
  <c r="R114" i="6"/>
  <c r="S114" i="6"/>
  <c r="AC114" i="6" s="1"/>
  <c r="AJ114" i="6" s="1"/>
  <c r="T114" i="6"/>
  <c r="U114" i="6"/>
  <c r="B115" i="6"/>
  <c r="Z115" i="6" s="1"/>
  <c r="AL115" i="6" s="1"/>
  <c r="C115" i="6"/>
  <c r="AA115" i="6" s="1"/>
  <c r="D115" i="6"/>
  <c r="E115" i="6"/>
  <c r="AD115" i="6" s="1"/>
  <c r="F115" i="6"/>
  <c r="G115" i="6"/>
  <c r="H115" i="6"/>
  <c r="AG115" i="6" s="1"/>
  <c r="I115" i="6"/>
  <c r="J115" i="6"/>
  <c r="K115" i="6"/>
  <c r="L115" i="6"/>
  <c r="M115" i="6"/>
  <c r="N115" i="6"/>
  <c r="O115" i="6"/>
  <c r="P115" i="6"/>
  <c r="Q115" i="6"/>
  <c r="AE115" i="6" s="1"/>
  <c r="AJ115" i="6" s="1"/>
  <c r="R115" i="6"/>
  <c r="S115" i="6"/>
  <c r="T115" i="6"/>
  <c r="U115" i="6"/>
  <c r="B116" i="6"/>
  <c r="C116" i="6"/>
  <c r="AA116" i="6" s="1"/>
  <c r="D116" i="6"/>
  <c r="E116" i="6"/>
  <c r="F116" i="6"/>
  <c r="G116" i="6"/>
  <c r="AF116" i="6" s="1"/>
  <c r="H116" i="6"/>
  <c r="I116" i="6"/>
  <c r="J116" i="6"/>
  <c r="K116" i="6"/>
  <c r="L116" i="6"/>
  <c r="M116" i="6"/>
  <c r="N116" i="6"/>
  <c r="O116" i="6"/>
  <c r="P116" i="6"/>
  <c r="Q116" i="6"/>
  <c r="R116" i="6"/>
  <c r="S116" i="6"/>
  <c r="T116" i="6"/>
  <c r="U116" i="6"/>
  <c r="B117" i="6"/>
  <c r="C117" i="6"/>
  <c r="D117" i="6"/>
  <c r="AB117" i="6" s="1"/>
  <c r="E117" i="6"/>
  <c r="AD117" i="6" s="1"/>
  <c r="F117" i="6"/>
  <c r="G117" i="6"/>
  <c r="AF117" i="6" s="1"/>
  <c r="H117" i="6"/>
  <c r="I117" i="6"/>
  <c r="J117" i="6"/>
  <c r="K117" i="6"/>
  <c r="L117" i="6"/>
  <c r="M117" i="6"/>
  <c r="N117" i="6"/>
  <c r="O117" i="6"/>
  <c r="P117" i="6"/>
  <c r="Q117" i="6"/>
  <c r="AE117" i="6" s="1"/>
  <c r="R117" i="6"/>
  <c r="S117" i="6"/>
  <c r="AC117" i="6" s="1"/>
  <c r="AJ117" i="6" s="1"/>
  <c r="T117" i="6"/>
  <c r="U117" i="6"/>
  <c r="B118" i="6"/>
  <c r="C118" i="6"/>
  <c r="AA118" i="6" s="1"/>
  <c r="D118" i="6"/>
  <c r="E118" i="6"/>
  <c r="AD118" i="6" s="1"/>
  <c r="F118" i="6"/>
  <c r="G118" i="6"/>
  <c r="H118" i="6"/>
  <c r="AG118" i="6" s="1"/>
  <c r="I118" i="6"/>
  <c r="J118" i="6"/>
  <c r="K118" i="6"/>
  <c r="L118" i="6"/>
  <c r="M118" i="6"/>
  <c r="N118" i="6"/>
  <c r="O118" i="6"/>
  <c r="P118" i="6"/>
  <c r="Q118" i="6"/>
  <c r="AE118" i="6" s="1"/>
  <c r="R118" i="6"/>
  <c r="S118" i="6"/>
  <c r="T118" i="6"/>
  <c r="U118" i="6"/>
  <c r="B119" i="6"/>
  <c r="C119" i="6"/>
  <c r="AA119" i="6" s="1"/>
  <c r="D119" i="6"/>
  <c r="E119" i="6"/>
  <c r="F119" i="6"/>
  <c r="G119" i="6"/>
  <c r="AF119" i="6" s="1"/>
  <c r="H119" i="6"/>
  <c r="I119" i="6"/>
  <c r="AH119" i="6" s="1"/>
  <c r="AM119" i="6" s="1"/>
  <c r="J119" i="6"/>
  <c r="K119" i="6"/>
  <c r="L119" i="6"/>
  <c r="M119" i="6"/>
  <c r="N119" i="6"/>
  <c r="O119" i="6"/>
  <c r="P119" i="6"/>
  <c r="Q119" i="6"/>
  <c r="R119" i="6"/>
  <c r="S119" i="6"/>
  <c r="AC119" i="6" s="1"/>
  <c r="AJ119" i="6" s="1"/>
  <c r="T119" i="6"/>
  <c r="U119" i="6"/>
  <c r="B120" i="6"/>
  <c r="C120" i="6"/>
  <c r="D120" i="6"/>
  <c r="AB120" i="6" s="1"/>
  <c r="E120" i="6"/>
  <c r="AD120" i="6" s="1"/>
  <c r="F120" i="6"/>
  <c r="G120" i="6"/>
  <c r="AF120" i="6" s="1"/>
  <c r="H120" i="6"/>
  <c r="I120" i="6"/>
  <c r="J120" i="6"/>
  <c r="K120" i="6"/>
  <c r="L120" i="6"/>
  <c r="M120" i="6"/>
  <c r="N120" i="6"/>
  <c r="O120" i="6"/>
  <c r="P120" i="6"/>
  <c r="Q120" i="6"/>
  <c r="AE120" i="6" s="1"/>
  <c r="R120" i="6"/>
  <c r="S120" i="6"/>
  <c r="AC120" i="6" s="1"/>
  <c r="T120" i="6"/>
  <c r="U120" i="6"/>
  <c r="B121" i="6"/>
  <c r="Z121" i="6" s="1"/>
  <c r="AL121" i="6" s="1"/>
  <c r="C121" i="6"/>
  <c r="AA121" i="6" s="1"/>
  <c r="AK121" i="6" s="1"/>
  <c r="D121" i="6"/>
  <c r="E121" i="6"/>
  <c r="AD121" i="6" s="1"/>
  <c r="F121" i="6"/>
  <c r="G121" i="6"/>
  <c r="H121" i="6"/>
  <c r="AG121" i="6" s="1"/>
  <c r="I121" i="6"/>
  <c r="J121" i="6"/>
  <c r="K121" i="6"/>
  <c r="L121" i="6"/>
  <c r="M121" i="6"/>
  <c r="N121" i="6"/>
  <c r="O121" i="6"/>
  <c r="P121" i="6"/>
  <c r="Q121" i="6"/>
  <c r="AE121" i="6" s="1"/>
  <c r="R121" i="6"/>
  <c r="S121" i="6"/>
  <c r="T121" i="6"/>
  <c r="U121" i="6"/>
  <c r="B122" i="6"/>
  <c r="C122" i="6"/>
  <c r="AA122" i="6" s="1"/>
  <c r="D122" i="6"/>
  <c r="E122" i="6"/>
  <c r="F122" i="6"/>
  <c r="G122" i="6"/>
  <c r="AF122" i="6" s="1"/>
  <c r="H122" i="6"/>
  <c r="I122" i="6"/>
  <c r="J122" i="6"/>
  <c r="K122" i="6"/>
  <c r="L122" i="6"/>
  <c r="M122" i="6"/>
  <c r="N122" i="6"/>
  <c r="O122" i="6"/>
  <c r="P122" i="6"/>
  <c r="Q122" i="6"/>
  <c r="R122" i="6"/>
  <c r="S122" i="6"/>
  <c r="AC122" i="6" s="1"/>
  <c r="AJ122" i="6" s="1"/>
  <c r="T122" i="6"/>
  <c r="U122" i="6"/>
  <c r="B123" i="6"/>
  <c r="C123" i="6"/>
  <c r="D123" i="6"/>
  <c r="AB123" i="6" s="1"/>
  <c r="E123" i="6"/>
  <c r="AD123" i="6" s="1"/>
  <c r="F123" i="6"/>
  <c r="G123" i="6"/>
  <c r="AF123" i="6" s="1"/>
  <c r="H123" i="6"/>
  <c r="I123" i="6"/>
  <c r="J123" i="6"/>
  <c r="K123" i="6"/>
  <c r="L123" i="6"/>
  <c r="M123" i="6"/>
  <c r="N123" i="6"/>
  <c r="O123" i="6"/>
  <c r="P123" i="6"/>
  <c r="Q123" i="6"/>
  <c r="R123" i="6"/>
  <c r="S123" i="6"/>
  <c r="AC123" i="6" s="1"/>
  <c r="AJ123" i="6" s="1"/>
  <c r="T123" i="6"/>
  <c r="U123" i="6"/>
  <c r="B124" i="6"/>
  <c r="Z124" i="6" s="1"/>
  <c r="C124" i="6"/>
  <c r="AA124" i="6" s="1"/>
  <c r="D124" i="6"/>
  <c r="E124" i="6"/>
  <c r="AD124" i="6" s="1"/>
  <c r="F124" i="6"/>
  <c r="G124" i="6"/>
  <c r="H124" i="6"/>
  <c r="AG124" i="6" s="1"/>
  <c r="I124" i="6"/>
  <c r="J124" i="6"/>
  <c r="K124" i="6"/>
  <c r="L124" i="6"/>
  <c r="M124" i="6"/>
  <c r="N124" i="6"/>
  <c r="O124" i="6"/>
  <c r="P124" i="6"/>
  <c r="Q124" i="6"/>
  <c r="AE124" i="6" s="1"/>
  <c r="R124" i="6"/>
  <c r="S124" i="6"/>
  <c r="T124" i="6"/>
  <c r="U124" i="6"/>
  <c r="B125" i="6"/>
  <c r="C125" i="6"/>
  <c r="AA125" i="6" s="1"/>
  <c r="D125" i="6"/>
  <c r="E125" i="6"/>
  <c r="F125" i="6"/>
  <c r="G125" i="6"/>
  <c r="AF125" i="6" s="1"/>
  <c r="H125" i="6"/>
  <c r="I125" i="6"/>
  <c r="J125" i="6"/>
  <c r="K125" i="6"/>
  <c r="L125" i="6"/>
  <c r="M125" i="6"/>
  <c r="N125" i="6"/>
  <c r="O125" i="6"/>
  <c r="P125" i="6"/>
  <c r="Q125" i="6"/>
  <c r="R125" i="6"/>
  <c r="S125" i="6"/>
  <c r="AC125" i="6" s="1"/>
  <c r="AJ125" i="6" s="1"/>
  <c r="T125" i="6"/>
  <c r="U125" i="6"/>
  <c r="B126" i="6"/>
  <c r="C126" i="6"/>
  <c r="D126" i="6"/>
  <c r="AB126" i="6" s="1"/>
  <c r="E126" i="6"/>
  <c r="AD126" i="6" s="1"/>
  <c r="F126" i="6"/>
  <c r="G126" i="6"/>
  <c r="AF126" i="6" s="1"/>
  <c r="H126" i="6"/>
  <c r="I126" i="6"/>
  <c r="J126" i="6"/>
  <c r="K126" i="6"/>
  <c r="L126" i="6"/>
  <c r="M126" i="6"/>
  <c r="N126" i="6"/>
  <c r="O126" i="6"/>
  <c r="P126" i="6"/>
  <c r="Q126" i="6"/>
  <c r="AE126" i="6" s="1"/>
  <c r="R126" i="6"/>
  <c r="S126" i="6"/>
  <c r="AC126" i="6" s="1"/>
  <c r="AJ126" i="6" s="1"/>
  <c r="T126" i="6"/>
  <c r="U126" i="6"/>
  <c r="B127" i="6"/>
  <c r="Z127" i="6" s="1"/>
  <c r="C127" i="6"/>
  <c r="AA127" i="6" s="1"/>
  <c r="D127" i="6"/>
  <c r="E127" i="6"/>
  <c r="AD127" i="6" s="1"/>
  <c r="F127" i="6"/>
  <c r="G127" i="6"/>
  <c r="H127" i="6"/>
  <c r="AG127" i="6" s="1"/>
  <c r="I127" i="6"/>
  <c r="J127" i="6"/>
  <c r="K127" i="6"/>
  <c r="L127" i="6"/>
  <c r="M127" i="6"/>
  <c r="N127" i="6"/>
  <c r="O127" i="6"/>
  <c r="P127" i="6"/>
  <c r="Q127" i="6"/>
  <c r="AE127" i="6" s="1"/>
  <c r="AJ127" i="6" s="1"/>
  <c r="R127" i="6"/>
  <c r="S127" i="6"/>
  <c r="T127" i="6"/>
  <c r="U127" i="6"/>
  <c r="B128" i="6"/>
  <c r="C128" i="6"/>
  <c r="AA128" i="6" s="1"/>
  <c r="D128" i="6"/>
  <c r="E128" i="6"/>
  <c r="F128" i="6"/>
  <c r="G128" i="6"/>
  <c r="AF128" i="6" s="1"/>
  <c r="H128" i="6"/>
  <c r="I128" i="6"/>
  <c r="J128" i="6"/>
  <c r="K128" i="6"/>
  <c r="L128" i="6"/>
  <c r="M128" i="6"/>
  <c r="N128" i="6"/>
  <c r="O128" i="6"/>
  <c r="P128" i="6"/>
  <c r="Q128" i="6"/>
  <c r="R128" i="6"/>
  <c r="S128" i="6"/>
  <c r="T128" i="6"/>
  <c r="U128" i="6"/>
  <c r="B129" i="6"/>
  <c r="C129" i="6"/>
  <c r="D129" i="6"/>
  <c r="AB129" i="6" s="1"/>
  <c r="E129" i="6"/>
  <c r="AD129" i="6" s="1"/>
  <c r="F129" i="6"/>
  <c r="G129" i="6"/>
  <c r="AF129" i="6" s="1"/>
  <c r="H129" i="6"/>
  <c r="I129" i="6"/>
  <c r="J129" i="6"/>
  <c r="K129" i="6"/>
  <c r="L129" i="6"/>
  <c r="M129" i="6"/>
  <c r="N129" i="6"/>
  <c r="O129" i="6"/>
  <c r="P129" i="6"/>
  <c r="Q129" i="6"/>
  <c r="AE129" i="6" s="1"/>
  <c r="R129" i="6"/>
  <c r="S129" i="6"/>
  <c r="AC129" i="6" s="1"/>
  <c r="T129" i="6"/>
  <c r="U129" i="6"/>
  <c r="B130" i="6"/>
  <c r="C130" i="6"/>
  <c r="AA130" i="6" s="1"/>
  <c r="D130" i="6"/>
  <c r="E130" i="6"/>
  <c r="AD130" i="6" s="1"/>
  <c r="F130" i="6"/>
  <c r="G130" i="6"/>
  <c r="H130" i="6"/>
  <c r="I130" i="6"/>
  <c r="J130" i="6"/>
  <c r="K130" i="6"/>
  <c r="L130" i="6"/>
  <c r="M130" i="6"/>
  <c r="N130" i="6"/>
  <c r="O130" i="6"/>
  <c r="P130" i="6"/>
  <c r="Q130" i="6"/>
  <c r="AE130" i="6" s="1"/>
  <c r="R130" i="6"/>
  <c r="S130" i="6"/>
  <c r="T130" i="6"/>
  <c r="U130" i="6"/>
  <c r="B131" i="6"/>
  <c r="C131" i="6"/>
  <c r="AA131" i="6" s="1"/>
  <c r="D131" i="6"/>
  <c r="E131" i="6"/>
  <c r="F131" i="6"/>
  <c r="G131" i="6"/>
  <c r="AF131" i="6" s="1"/>
  <c r="H131" i="6"/>
  <c r="I131" i="6"/>
  <c r="J131" i="6"/>
  <c r="K131" i="6"/>
  <c r="L131" i="6"/>
  <c r="M131" i="6"/>
  <c r="N131" i="6"/>
  <c r="O131" i="6"/>
  <c r="P131" i="6"/>
  <c r="Q131" i="6"/>
  <c r="R131" i="6"/>
  <c r="S131" i="6"/>
  <c r="AC131" i="6" s="1"/>
  <c r="AJ131" i="6" s="1"/>
  <c r="T131" i="6"/>
  <c r="U131" i="6"/>
  <c r="B132" i="6"/>
  <c r="C132" i="6"/>
  <c r="D132" i="6"/>
  <c r="E132" i="6"/>
  <c r="AD132" i="6" s="1"/>
  <c r="F132" i="6"/>
  <c r="G132" i="6"/>
  <c r="AF132" i="6" s="1"/>
  <c r="H132" i="6"/>
  <c r="I132" i="6"/>
  <c r="J132" i="6"/>
  <c r="K132" i="6"/>
  <c r="AH132" i="6" s="1"/>
  <c r="AM132" i="6" s="1"/>
  <c r="L132" i="6"/>
  <c r="M132" i="6"/>
  <c r="N132" i="6"/>
  <c r="O132" i="6"/>
  <c r="P132" i="6"/>
  <c r="Q132" i="6"/>
  <c r="AE132" i="6" s="1"/>
  <c r="R132" i="6"/>
  <c r="S132" i="6"/>
  <c r="AC132" i="6" s="1"/>
  <c r="AJ132" i="6" s="1"/>
  <c r="T132" i="6"/>
  <c r="U132" i="6"/>
  <c r="U2" i="6"/>
  <c r="T2" i="6"/>
  <c r="S2" i="6"/>
  <c r="R2" i="6"/>
  <c r="Q2" i="6"/>
  <c r="P2" i="6"/>
  <c r="O2" i="6"/>
  <c r="N2" i="6"/>
  <c r="M2" i="6"/>
  <c r="L2" i="6"/>
  <c r="K2" i="6"/>
  <c r="J2" i="6"/>
  <c r="AH2" i="6" s="1"/>
  <c r="AM2" i="6" s="1"/>
  <c r="I2" i="6"/>
  <c r="H2" i="6"/>
  <c r="G2" i="6"/>
  <c r="F2" i="6"/>
  <c r="AC2" i="6" s="1"/>
  <c r="AJ2" i="6" s="1"/>
  <c r="E2" i="6"/>
  <c r="AD2" i="6" s="1"/>
  <c r="D2" i="6"/>
  <c r="AB2" i="6" s="1"/>
  <c r="AK2" i="6" s="1"/>
  <c r="C2" i="6"/>
  <c r="Z5" i="6"/>
  <c r="Z6" i="6"/>
  <c r="AL6" i="6" s="1"/>
  <c r="Z7" i="6"/>
  <c r="Z8" i="6"/>
  <c r="Z12" i="6"/>
  <c r="Z13" i="6"/>
  <c r="Z14" i="6"/>
  <c r="Z17" i="6"/>
  <c r="Z18" i="6"/>
  <c r="AL18" i="6" s="1"/>
  <c r="Z20" i="6"/>
  <c r="AL20" i="6" s="1"/>
  <c r="Z23" i="6"/>
  <c r="Z24" i="6"/>
  <c r="AL24" i="6" s="1"/>
  <c r="Z26" i="6"/>
  <c r="AL26" i="6" s="1"/>
  <c r="Z29" i="6"/>
  <c r="Z30" i="6"/>
  <c r="AL30" i="6" s="1"/>
  <c r="Z32" i="6"/>
  <c r="AL32" i="6" s="1"/>
  <c r="Z36" i="6"/>
  <c r="AL36" i="6" s="1"/>
  <c r="Z38" i="6"/>
  <c r="Z43" i="6"/>
  <c r="AL43" i="6" s="1"/>
  <c r="Z44" i="6"/>
  <c r="Z47" i="6"/>
  <c r="AL47" i="6" s="1"/>
  <c r="Z50" i="6"/>
  <c r="AL50" i="6" s="1"/>
  <c r="Z54" i="6"/>
  <c r="Z56" i="6"/>
  <c r="AL56" i="6" s="1"/>
  <c r="Z60" i="6"/>
  <c r="AL60" i="6" s="1"/>
  <c r="Z62" i="6"/>
  <c r="AL62" i="6" s="1"/>
  <c r="Z65" i="6"/>
  <c r="AL65" i="6" s="1"/>
  <c r="Z66" i="6"/>
  <c r="Z67" i="6"/>
  <c r="Z68" i="6"/>
  <c r="Z74" i="6"/>
  <c r="Z76" i="6"/>
  <c r="Z80" i="6"/>
  <c r="AL80" i="6" s="1"/>
  <c r="Z86" i="6"/>
  <c r="AL86" i="6" s="1"/>
  <c r="Z89" i="6"/>
  <c r="Z91" i="6"/>
  <c r="AL91" i="6" s="1"/>
  <c r="Z92" i="6"/>
  <c r="Z96" i="6"/>
  <c r="AL96" i="6" s="1"/>
  <c r="Z98" i="6"/>
  <c r="AL98" i="6" s="1"/>
  <c r="Z101" i="6"/>
  <c r="Z102" i="6"/>
  <c r="AL102" i="6" s="1"/>
  <c r="Z104" i="6"/>
  <c r="Z108" i="6"/>
  <c r="Z114" i="6"/>
  <c r="AL114" i="6" s="1"/>
  <c r="Z116" i="6"/>
  <c r="AL116" i="6" s="1"/>
  <c r="Z119" i="6"/>
  <c r="AL119" i="6" s="1"/>
  <c r="Z122" i="6"/>
  <c r="Z125" i="6"/>
  <c r="AL125" i="6" s="1"/>
  <c r="Z128" i="6"/>
  <c r="B2" i="6"/>
  <c r="AB132" i="6"/>
  <c r="Y132" i="6"/>
  <c r="AG132" i="6"/>
  <c r="AA132" i="6"/>
  <c r="Z132" i="6"/>
  <c r="AL132" i="6" s="1"/>
  <c r="AG131" i="6"/>
  <c r="AD131" i="6"/>
  <c r="AB131" i="6"/>
  <c r="Y131" i="6"/>
  <c r="AE131" i="6"/>
  <c r="Z131" i="6"/>
  <c r="AL131" i="6" s="1"/>
  <c r="AG130" i="6"/>
  <c r="AF130" i="6"/>
  <c r="AB130" i="6"/>
  <c r="Z130" i="6"/>
  <c r="AL130" i="6" s="1"/>
  <c r="Y130" i="6"/>
  <c r="AG129" i="6"/>
  <c r="AA129" i="6"/>
  <c r="Z129" i="6"/>
  <c r="Y129" i="6"/>
  <c r="AG128" i="6"/>
  <c r="AE128" i="6"/>
  <c r="AD128" i="6"/>
  <c r="Y128" i="6"/>
  <c r="AB128" i="6"/>
  <c r="AF127" i="6"/>
  <c r="AC127" i="6"/>
  <c r="Y127" i="6"/>
  <c r="AB127" i="6"/>
  <c r="Y126" i="6"/>
  <c r="AG126" i="6"/>
  <c r="AA126" i="6"/>
  <c r="Z126" i="6"/>
  <c r="AG125" i="6"/>
  <c r="AE125" i="6"/>
  <c r="AD125" i="6"/>
  <c r="AB125" i="6"/>
  <c r="Y125" i="6"/>
  <c r="AB124" i="6"/>
  <c r="AK124" i="6" s="1"/>
  <c r="Y124" i="6"/>
  <c r="AF124" i="6"/>
  <c r="AG123" i="6"/>
  <c r="AE123" i="6"/>
  <c r="AA123" i="6"/>
  <c r="Z123" i="6"/>
  <c r="Y123" i="6"/>
  <c r="AG122" i="6"/>
  <c r="AD122" i="6"/>
  <c r="Y122" i="6"/>
  <c r="AE122" i="6"/>
  <c r="AB122" i="6"/>
  <c r="AF121" i="6"/>
  <c r="AC121" i="6"/>
  <c r="Y121" i="6"/>
  <c r="AB121" i="6"/>
  <c r="Y120" i="6"/>
  <c r="AG120" i="6"/>
  <c r="AA120" i="6"/>
  <c r="Z120" i="6"/>
  <c r="AG119" i="6"/>
  <c r="AE119" i="6"/>
  <c r="AD119" i="6"/>
  <c r="AB119" i="6"/>
  <c r="Y119" i="6"/>
  <c r="AB118" i="6"/>
  <c r="Z118" i="6"/>
  <c r="AL118" i="6" s="1"/>
  <c r="Y118" i="6"/>
  <c r="AF118" i="6"/>
  <c r="AC118" i="6"/>
  <c r="AG117" i="6"/>
  <c r="AA117" i="6"/>
  <c r="Z117" i="6"/>
  <c r="Y117" i="6"/>
  <c r="AH117" i="6"/>
  <c r="AM117" i="6" s="1"/>
  <c r="AG116" i="6"/>
  <c r="AD116" i="6"/>
  <c r="Y116" i="6"/>
  <c r="AE116" i="6"/>
  <c r="AB116" i="6"/>
  <c r="AF115" i="6"/>
  <c r="AC115" i="6"/>
  <c r="Y115" i="6"/>
  <c r="AB115" i="6"/>
  <c r="AD114" i="6"/>
  <c r="AB114" i="6"/>
  <c r="Y114" i="6"/>
  <c r="AG114" i="6"/>
  <c r="AA114" i="6"/>
  <c r="AG113" i="6"/>
  <c r="AE113" i="6"/>
  <c r="AD113" i="6"/>
  <c r="AB113" i="6"/>
  <c r="Y113" i="6"/>
  <c r="Z113" i="6"/>
  <c r="AL113" i="6" s="1"/>
  <c r="AF112" i="6"/>
  <c r="AB112" i="6"/>
  <c r="Y112" i="6"/>
  <c r="AG112" i="6"/>
  <c r="AC112" i="6"/>
  <c r="Z112" i="6"/>
  <c r="AG111" i="6"/>
  <c r="AA111" i="6"/>
  <c r="Z111" i="6"/>
  <c r="AL111" i="6" s="1"/>
  <c r="Y111" i="6"/>
  <c r="AG110" i="6"/>
  <c r="AE110" i="6"/>
  <c r="AD110" i="6"/>
  <c r="Z110" i="6"/>
  <c r="AL110" i="6" s="1"/>
  <c r="Y110" i="6"/>
  <c r="AB110" i="6"/>
  <c r="AF109" i="6"/>
  <c r="Y109" i="6"/>
  <c r="AC109" i="6"/>
  <c r="AJ109" i="6" s="1"/>
  <c r="AB109" i="6"/>
  <c r="Y108" i="6"/>
  <c r="AG108" i="6"/>
  <c r="AD108" i="6"/>
  <c r="AB108" i="6"/>
  <c r="AK108" i="6" s="1"/>
  <c r="AA108" i="6"/>
  <c r="AD107" i="6"/>
  <c r="AB107" i="6"/>
  <c r="Z107" i="6"/>
  <c r="Y107" i="6"/>
  <c r="AE107" i="6"/>
  <c r="AG107" i="6"/>
  <c r="AB106" i="6"/>
  <c r="Y106" i="6"/>
  <c r="AF106" i="6"/>
  <c r="AC106" i="6"/>
  <c r="AD106" i="6"/>
  <c r="AG105" i="6"/>
  <c r="AB105" i="6"/>
  <c r="Z105" i="6"/>
  <c r="Y105" i="6"/>
  <c r="AD105" i="6"/>
  <c r="AA105" i="6"/>
  <c r="AG104" i="6"/>
  <c r="AE104" i="6"/>
  <c r="Y104" i="6"/>
  <c r="AD104" i="6"/>
  <c r="AB104" i="6"/>
  <c r="AH103" i="6"/>
  <c r="AM103" i="6" s="1"/>
  <c r="AF103" i="6"/>
  <c r="Y103" i="6"/>
  <c r="AC103" i="6"/>
  <c r="AG103" i="6"/>
  <c r="AB103" i="6"/>
  <c r="AG102" i="6"/>
  <c r="Y102" i="6"/>
  <c r="AA102" i="6"/>
  <c r="AD101" i="6"/>
  <c r="AB101" i="6"/>
  <c r="Y101" i="6"/>
  <c r="AE101" i="6"/>
  <c r="AG101" i="6"/>
  <c r="AF100" i="6"/>
  <c r="AE100" i="6"/>
  <c r="Y100" i="6"/>
  <c r="AC100" i="6"/>
  <c r="AB100" i="6"/>
  <c r="AG99" i="6"/>
  <c r="AA99" i="6"/>
  <c r="Z99" i="6"/>
  <c r="Y99" i="6"/>
  <c r="AE99" i="6"/>
  <c r="AB99" i="6"/>
  <c r="AF98" i="6"/>
  <c r="AD98" i="6"/>
  <c r="Y98" i="6"/>
  <c r="AE98" i="6"/>
  <c r="AG98" i="6"/>
  <c r="AC98" i="6"/>
  <c r="AJ98" i="6" s="1"/>
  <c r="AB98" i="6"/>
  <c r="AB97" i="6"/>
  <c r="Y97" i="6"/>
  <c r="AC97" i="6"/>
  <c r="AF97" i="6"/>
  <c r="AG96" i="6"/>
  <c r="Y96" i="6"/>
  <c r="AA96" i="6"/>
  <c r="AE95" i="6"/>
  <c r="Y95" i="6"/>
  <c r="AG95" i="6"/>
  <c r="AC95" i="6"/>
  <c r="AJ95" i="6" s="1"/>
  <c r="AD95" i="6"/>
  <c r="AB95" i="6"/>
  <c r="Z95" i="6"/>
  <c r="AB94" i="6"/>
  <c r="Z94" i="6"/>
  <c r="Y94" i="6"/>
  <c r="AC94" i="6"/>
  <c r="AF94" i="6"/>
  <c r="Y93" i="6"/>
  <c r="AG93" i="6"/>
  <c r="AF93" i="6"/>
  <c r="AA93" i="6"/>
  <c r="Z93" i="6"/>
  <c r="AL93" i="6" s="1"/>
  <c r="AD92" i="6"/>
  <c r="AC92" i="6"/>
  <c r="AJ92" i="6" s="1"/>
  <c r="AB92" i="6"/>
  <c r="Y92" i="6"/>
  <c r="AE92" i="6"/>
  <c r="AG92" i="6"/>
  <c r="AG91" i="6"/>
  <c r="AA91" i="6"/>
  <c r="Y91" i="6"/>
  <c r="AC91" i="6"/>
  <c r="AF91" i="6"/>
  <c r="AB91" i="6"/>
  <c r="AG90" i="6"/>
  <c r="AA90" i="6"/>
  <c r="Z90" i="6"/>
  <c r="Y90" i="6"/>
  <c r="AE89" i="6"/>
  <c r="Y89" i="6"/>
  <c r="AG89" i="6"/>
  <c r="AD89" i="6"/>
  <c r="AB89" i="6"/>
  <c r="AB88" i="6"/>
  <c r="Y88" i="6"/>
  <c r="AC88" i="6"/>
  <c r="AF88" i="6"/>
  <c r="AA88" i="6"/>
  <c r="AG87" i="6"/>
  <c r="AA87" i="6"/>
  <c r="Y87" i="6"/>
  <c r="Z87" i="6"/>
  <c r="AL87" i="6" s="1"/>
  <c r="AB86" i="6"/>
  <c r="Y86" i="6"/>
  <c r="AE86" i="6"/>
  <c r="AG86" i="6"/>
  <c r="AD86" i="6"/>
  <c r="AB85" i="6"/>
  <c r="Y85" i="6"/>
  <c r="AC85" i="6"/>
  <c r="AF85" i="6"/>
  <c r="AG84" i="6"/>
  <c r="AB84" i="6"/>
  <c r="AA84" i="6"/>
  <c r="Z84" i="6"/>
  <c r="AL84" i="6" s="1"/>
  <c r="Y84" i="6"/>
  <c r="AG83" i="6"/>
  <c r="AF83" i="6"/>
  <c r="Z83" i="6"/>
  <c r="AL83" i="6" s="1"/>
  <c r="Y83" i="6"/>
  <c r="AE83" i="6"/>
  <c r="AD83" i="6"/>
  <c r="AB83" i="6"/>
  <c r="AF82" i="6"/>
  <c r="Y82" i="6"/>
  <c r="AC82" i="6"/>
  <c r="AG82" i="6"/>
  <c r="AB82" i="6"/>
  <c r="AA82" i="6"/>
  <c r="AG81" i="6"/>
  <c r="Y81" i="6"/>
  <c r="AA81" i="6"/>
  <c r="Z81" i="6"/>
  <c r="AB80" i="6"/>
  <c r="Y80" i="6"/>
  <c r="AE80" i="6"/>
  <c r="AG80" i="6"/>
  <c r="AD80" i="6"/>
  <c r="Y79" i="6"/>
  <c r="AC79" i="6"/>
  <c r="AF79" i="6"/>
  <c r="AB79" i="6"/>
  <c r="AG78" i="6"/>
  <c r="AB78" i="6"/>
  <c r="AA78" i="6"/>
  <c r="Z78" i="6"/>
  <c r="AL78" i="6" s="1"/>
  <c r="Y78" i="6"/>
  <c r="AE77" i="6"/>
  <c r="Y77" i="6"/>
  <c r="AG77" i="6"/>
  <c r="AD77" i="6"/>
  <c r="AB77" i="6"/>
  <c r="Z77" i="6"/>
  <c r="AF76" i="6"/>
  <c r="Y76" i="6"/>
  <c r="AC76" i="6"/>
  <c r="AJ76" i="6" s="1"/>
  <c r="AG76" i="6"/>
  <c r="AB76" i="6"/>
  <c r="AA75" i="6"/>
  <c r="Y75" i="6"/>
  <c r="AG75" i="6"/>
  <c r="Z75" i="6"/>
  <c r="AL75" i="6" s="1"/>
  <c r="AD74" i="6"/>
  <c r="AB74" i="6"/>
  <c r="Y74" i="6"/>
  <c r="AE74" i="6"/>
  <c r="AG74" i="6"/>
  <c r="AG73" i="6"/>
  <c r="Y73" i="6"/>
  <c r="AF73" i="6"/>
  <c r="AC73" i="6"/>
  <c r="AB73" i="6"/>
  <c r="Z73" i="6"/>
  <c r="AL73" i="6" s="1"/>
  <c r="AG72" i="6"/>
  <c r="AB72" i="6"/>
  <c r="Z72" i="6"/>
  <c r="Y72" i="6"/>
  <c r="AA72" i="6"/>
  <c r="AG71" i="6"/>
  <c r="Z71" i="6"/>
  <c r="AL71" i="6" s="1"/>
  <c r="Y71" i="6"/>
  <c r="AE71" i="6"/>
  <c r="AD71" i="6"/>
  <c r="AB71" i="6"/>
  <c r="AB70" i="6"/>
  <c r="Y70" i="6"/>
  <c r="AC70" i="6"/>
  <c r="AJ70" i="6" s="1"/>
  <c r="AF70" i="6"/>
  <c r="Z70" i="6"/>
  <c r="Y69" i="6"/>
  <c r="AG69" i="6"/>
  <c r="AA69" i="6"/>
  <c r="Z69" i="6"/>
  <c r="AL69" i="6" s="1"/>
  <c r="AD68" i="6"/>
  <c r="AB68" i="6"/>
  <c r="Y68" i="6"/>
  <c r="AE68" i="6"/>
  <c r="AG68" i="6"/>
  <c r="AG67" i="6"/>
  <c r="AF67" i="6"/>
  <c r="AC67" i="6"/>
  <c r="Y67" i="6"/>
  <c r="AB67" i="6"/>
  <c r="AG66" i="6"/>
  <c r="AB66" i="6"/>
  <c r="AA66" i="6"/>
  <c r="Y66" i="6"/>
  <c r="AE65" i="6"/>
  <c r="AD65" i="6"/>
  <c r="Y65" i="6"/>
  <c r="AG65" i="6"/>
  <c r="AB65" i="6"/>
  <c r="AF64" i="6"/>
  <c r="Y64" i="6"/>
  <c r="AC64" i="6"/>
  <c r="AG64" i="6"/>
  <c r="AB64" i="6"/>
  <c r="Z64" i="6"/>
  <c r="AL64" i="6" s="1"/>
  <c r="AG63" i="6"/>
  <c r="Y63" i="6"/>
  <c r="AC63" i="6"/>
  <c r="AA63" i="6"/>
  <c r="Z63" i="6"/>
  <c r="AL63" i="6" s="1"/>
  <c r="AG62" i="6"/>
  <c r="AB62" i="6"/>
  <c r="Y62" i="6"/>
  <c r="AE62" i="6"/>
  <c r="AD62" i="6"/>
  <c r="AG61" i="6"/>
  <c r="AF61" i="6"/>
  <c r="Y61" i="6"/>
  <c r="AC61" i="6"/>
  <c r="AD61" i="6"/>
  <c r="AB61" i="6"/>
  <c r="Y60" i="6"/>
  <c r="AG60" i="6"/>
  <c r="AB60" i="6"/>
  <c r="AA60" i="6"/>
  <c r="AE59" i="6"/>
  <c r="AD59" i="6"/>
  <c r="Y59" i="6"/>
  <c r="AG59" i="6"/>
  <c r="AB59" i="6"/>
  <c r="Z59" i="6"/>
  <c r="AL59" i="6" s="1"/>
  <c r="AC58" i="6"/>
  <c r="AB58" i="6"/>
  <c r="Y58" i="6"/>
  <c r="AG58" i="6"/>
  <c r="AF58" i="6"/>
  <c r="AB57" i="6"/>
  <c r="AA57" i="6"/>
  <c r="Y57" i="6"/>
  <c r="AG57" i="6"/>
  <c r="Z57" i="6"/>
  <c r="AG56" i="6"/>
  <c r="AB56" i="6"/>
  <c r="AA56" i="6"/>
  <c r="Y56" i="6"/>
  <c r="AE56" i="6"/>
  <c r="AD56" i="6"/>
  <c r="AF55" i="6"/>
  <c r="Z55" i="6"/>
  <c r="AL55" i="6" s="1"/>
  <c r="Y55" i="6"/>
  <c r="AC55" i="6"/>
  <c r="AB55" i="6"/>
  <c r="AE54" i="6"/>
  <c r="Y54" i="6"/>
  <c r="AH54" i="6"/>
  <c r="AM54" i="6" s="1"/>
  <c r="AG54" i="6"/>
  <c r="AB54" i="6"/>
  <c r="AA54" i="6"/>
  <c r="AE53" i="6"/>
  <c r="AD53" i="6"/>
  <c r="Y53" i="6"/>
  <c r="AG53" i="6"/>
  <c r="AB53" i="6"/>
  <c r="Z53" i="6"/>
  <c r="AL53" i="6" s="1"/>
  <c r="AC52" i="6"/>
  <c r="AB52" i="6"/>
  <c r="Y52" i="6"/>
  <c r="AG52" i="6"/>
  <c r="AF52" i="6"/>
  <c r="Z52" i="6"/>
  <c r="AL52" i="6" s="1"/>
  <c r="AB51" i="6"/>
  <c r="AA51" i="6"/>
  <c r="Y51" i="6"/>
  <c r="AE51" i="6"/>
  <c r="AG51" i="6"/>
  <c r="Z51" i="6"/>
  <c r="AL51" i="6" s="1"/>
  <c r="AG50" i="6"/>
  <c r="AB50" i="6"/>
  <c r="Y50" i="6"/>
  <c r="AE50" i="6"/>
  <c r="AD50" i="6"/>
  <c r="AF49" i="6"/>
  <c r="Z49" i="6"/>
  <c r="Y49" i="6"/>
  <c r="AC49" i="6"/>
  <c r="AB49" i="6"/>
  <c r="Z48" i="6"/>
  <c r="Y48" i="6"/>
  <c r="AG48" i="6"/>
  <c r="AA48" i="6"/>
  <c r="AE47" i="6"/>
  <c r="AD47" i="6"/>
  <c r="AC47" i="6"/>
  <c r="AJ47" i="6" s="1"/>
  <c r="Y47" i="6"/>
  <c r="AG47" i="6"/>
  <c r="AB47" i="6"/>
  <c r="AB46" i="6"/>
  <c r="Y46" i="6"/>
  <c r="AF46" i="6"/>
  <c r="AC46" i="6"/>
  <c r="AG45" i="6"/>
  <c r="AB45" i="6"/>
  <c r="AA45" i="6"/>
  <c r="Z45" i="6"/>
  <c r="Y45" i="6"/>
  <c r="AD45" i="6"/>
  <c r="AG44" i="6"/>
  <c r="AE44" i="6"/>
  <c r="Y44" i="6"/>
  <c r="AD44" i="6"/>
  <c r="AB44" i="6"/>
  <c r="AF43" i="6"/>
  <c r="Y43" i="6"/>
  <c r="AC43" i="6"/>
  <c r="AB43" i="6"/>
  <c r="AD42" i="6"/>
  <c r="Z42" i="6"/>
  <c r="Y42" i="6"/>
  <c r="AG42" i="6"/>
  <c r="AB42" i="6"/>
  <c r="AA42" i="6"/>
  <c r="AE41" i="6"/>
  <c r="AD41" i="6"/>
  <c r="Y41" i="6"/>
  <c r="AG41" i="6"/>
  <c r="AB41" i="6"/>
  <c r="Z41" i="6"/>
  <c r="AL41" i="6" s="1"/>
  <c r="AE40" i="6"/>
  <c r="AC40" i="6"/>
  <c r="AB40" i="6"/>
  <c r="Y40" i="6"/>
  <c r="AG40" i="6"/>
  <c r="AF40" i="6"/>
  <c r="Z40" i="6"/>
  <c r="AB39" i="6"/>
  <c r="Y39" i="6"/>
  <c r="AG39" i="6"/>
  <c r="AA39" i="6"/>
  <c r="Z39" i="6"/>
  <c r="AL39" i="6" s="1"/>
  <c r="AG38" i="6"/>
  <c r="AE38" i="6"/>
  <c r="AC38" i="6"/>
  <c r="Y38" i="6"/>
  <c r="AD38" i="6"/>
  <c r="AB38" i="6"/>
  <c r="AB37" i="6"/>
  <c r="Y37" i="6"/>
  <c r="AC37" i="6"/>
  <c r="AG37" i="6"/>
  <c r="AF37" i="6"/>
  <c r="AB36" i="6"/>
  <c r="AA36" i="6"/>
  <c r="Y36" i="6"/>
  <c r="AG36" i="6"/>
  <c r="AG35" i="6"/>
  <c r="AB35" i="6"/>
  <c r="Z35" i="6"/>
  <c r="AL35" i="6" s="1"/>
  <c r="Y35" i="6"/>
  <c r="AE35" i="6"/>
  <c r="AF35" i="6"/>
  <c r="AD35" i="6"/>
  <c r="AG34" i="6"/>
  <c r="AF34" i="6"/>
  <c r="Y34" i="6"/>
  <c r="AC34" i="6"/>
  <c r="AD34" i="6"/>
  <c r="AB34" i="6"/>
  <c r="Z33" i="6"/>
  <c r="Y33" i="6"/>
  <c r="AE33" i="6"/>
  <c r="AG33" i="6"/>
  <c r="AB33" i="6"/>
  <c r="AA33" i="6"/>
  <c r="AE32" i="6"/>
  <c r="AD32" i="6"/>
  <c r="AC32" i="6"/>
  <c r="AJ32" i="6" s="1"/>
  <c r="Y32" i="6"/>
  <c r="AG32" i="6"/>
  <c r="AB32" i="6"/>
  <c r="AC31" i="6"/>
  <c r="AB31" i="6"/>
  <c r="Y31" i="6"/>
  <c r="AG31" i="6"/>
  <c r="AF31" i="6"/>
  <c r="AB30" i="6"/>
  <c r="AA30" i="6"/>
  <c r="Y30" i="6"/>
  <c r="AG30" i="6"/>
  <c r="AC30" i="6"/>
  <c r="AG29" i="6"/>
  <c r="AB29" i="6"/>
  <c r="Y29" i="6"/>
  <c r="AE29" i="6"/>
  <c r="AH29" i="6"/>
  <c r="AM29" i="6" s="1"/>
  <c r="AD29" i="6"/>
  <c r="AG28" i="6"/>
  <c r="AF28" i="6"/>
  <c r="Z28" i="6"/>
  <c r="Y28" i="6"/>
  <c r="AC28" i="6"/>
  <c r="AB28" i="6"/>
  <c r="Z27" i="6"/>
  <c r="Y27" i="6"/>
  <c r="AG27" i="6"/>
  <c r="AB27" i="6"/>
  <c r="AA27" i="6"/>
  <c r="AJ26" i="6"/>
  <c r="AE26" i="6"/>
  <c r="AD26" i="6"/>
  <c r="Y26" i="6"/>
  <c r="AG26" i="6"/>
  <c r="AF26" i="6"/>
  <c r="AB26" i="6"/>
  <c r="AK26" i="6" s="1"/>
  <c r="AC25" i="6"/>
  <c r="AB25" i="6"/>
  <c r="Y25" i="6"/>
  <c r="AG25" i="6"/>
  <c r="AF25" i="6"/>
  <c r="AA25" i="6"/>
  <c r="AB24" i="6"/>
  <c r="AA24" i="6"/>
  <c r="Y24" i="6"/>
  <c r="AG24" i="6"/>
  <c r="AF24" i="6"/>
  <c r="AG23" i="6"/>
  <c r="AB23" i="6"/>
  <c r="Y23" i="6"/>
  <c r="AE23" i="6"/>
  <c r="AC23" i="6"/>
  <c r="AJ23" i="6" s="1"/>
  <c r="AD23" i="6"/>
  <c r="AG22" i="6"/>
  <c r="AF22" i="6"/>
  <c r="Z22" i="6"/>
  <c r="Y22" i="6"/>
  <c r="AH22" i="6"/>
  <c r="AM22" i="6" s="1"/>
  <c r="AC22" i="6"/>
  <c r="AB22" i="6"/>
  <c r="Z21" i="6"/>
  <c r="AL21" i="6" s="1"/>
  <c r="Y21" i="6"/>
  <c r="AG21" i="6"/>
  <c r="AB21" i="6"/>
  <c r="AA21" i="6"/>
  <c r="AE20" i="6"/>
  <c r="AD20" i="6"/>
  <c r="AC20" i="6"/>
  <c r="AJ20" i="6" s="1"/>
  <c r="Y20" i="6"/>
  <c r="AG20" i="6"/>
  <c r="AB20" i="6"/>
  <c r="AC19" i="6"/>
  <c r="AB19" i="6"/>
  <c r="Y19" i="6"/>
  <c r="AG19" i="6"/>
  <c r="AF19" i="6"/>
  <c r="AB18" i="6"/>
  <c r="AA18" i="6"/>
  <c r="Y18" i="6"/>
  <c r="AG18" i="6"/>
  <c r="AC18" i="6"/>
  <c r="AG17" i="6"/>
  <c r="AB17" i="6"/>
  <c r="Y17" i="6"/>
  <c r="AE17" i="6"/>
  <c r="AH17" i="6"/>
  <c r="AM17" i="6" s="1"/>
  <c r="AD17" i="6"/>
  <c r="AG16" i="6"/>
  <c r="AF16" i="6"/>
  <c r="AE16" i="6"/>
  <c r="Z16" i="6"/>
  <c r="Y16" i="6"/>
  <c r="AC16" i="6"/>
  <c r="AB16" i="6"/>
  <c r="AG15" i="6"/>
  <c r="AA15" i="6"/>
  <c r="Z15" i="6"/>
  <c r="AL15" i="6" s="1"/>
  <c r="Y15" i="6"/>
  <c r="AE15" i="6"/>
  <c r="AC15" i="6"/>
  <c r="AB15" i="6"/>
  <c r="AE14" i="6"/>
  <c r="AD14" i="6"/>
  <c r="AB14" i="6"/>
  <c r="Y14" i="6"/>
  <c r="AG14" i="6"/>
  <c r="AG13" i="6"/>
  <c r="AB13" i="6"/>
  <c r="Y13" i="6"/>
  <c r="AE13" i="6"/>
  <c r="AF13" i="6"/>
  <c r="AC13" i="6"/>
  <c r="AG12" i="6"/>
  <c r="AB12" i="6"/>
  <c r="AK12" i="6" s="1"/>
  <c r="AA12" i="6"/>
  <c r="Y12" i="6"/>
  <c r="AD12" i="6"/>
  <c r="AG11" i="6"/>
  <c r="AE11" i="6"/>
  <c r="Z11" i="6"/>
  <c r="Y11" i="6"/>
  <c r="AD11" i="6"/>
  <c r="AB11" i="6"/>
  <c r="AF10" i="6"/>
  <c r="AC10" i="6"/>
  <c r="Z10" i="6"/>
  <c r="Y10" i="6"/>
  <c r="AG10" i="6"/>
  <c r="AB10" i="6"/>
  <c r="AE9" i="6"/>
  <c r="AD9" i="6"/>
  <c r="Y9" i="6"/>
  <c r="AG9" i="6"/>
  <c r="AB9" i="6"/>
  <c r="AA9" i="6"/>
  <c r="Z9" i="6"/>
  <c r="AE8" i="6"/>
  <c r="AD8" i="6"/>
  <c r="AB8" i="6"/>
  <c r="Y8" i="6"/>
  <c r="AC8" i="6"/>
  <c r="AJ8" i="6" s="1"/>
  <c r="AG8" i="6"/>
  <c r="AG7" i="6"/>
  <c r="AB7" i="6"/>
  <c r="AA7" i="6"/>
  <c r="Y7" i="6"/>
  <c r="AF7" i="6"/>
  <c r="AC7" i="6"/>
  <c r="AG6" i="6"/>
  <c r="AB6" i="6"/>
  <c r="AA6" i="6"/>
  <c r="Y6" i="6"/>
  <c r="AE6" i="6"/>
  <c r="AD6" i="6"/>
  <c r="AG5" i="6"/>
  <c r="AE5" i="6"/>
  <c r="Y5" i="6"/>
  <c r="AC5" i="6"/>
  <c r="AJ5" i="6" s="1"/>
  <c r="AD5" i="6"/>
  <c r="AB5" i="6"/>
  <c r="AF4" i="6"/>
  <c r="AC4" i="6"/>
  <c r="Z4" i="6"/>
  <c r="Y4" i="6"/>
  <c r="AG4" i="6"/>
  <c r="AB4" i="6"/>
  <c r="AA4" i="6"/>
  <c r="AE3" i="6"/>
  <c r="Y3" i="6"/>
  <c r="AG3" i="6"/>
  <c r="AB3" i="6"/>
  <c r="AA3" i="6"/>
  <c r="Z3" i="6"/>
  <c r="AE2" i="6"/>
  <c r="Y2" i="6"/>
  <c r="AG2" i="6"/>
  <c r="AF2" i="6"/>
  <c r="AA2" i="6"/>
  <c r="Z2" i="6"/>
  <c r="T1" i="6"/>
  <c r="S1" i="6"/>
  <c r="R1" i="6"/>
  <c r="Q1" i="6"/>
  <c r="P1" i="6"/>
  <c r="O1" i="6"/>
  <c r="N1" i="6"/>
  <c r="M1" i="6"/>
  <c r="L1" i="6"/>
  <c r="K1" i="6"/>
  <c r="J1" i="6"/>
  <c r="I1" i="6"/>
  <c r="H1" i="6"/>
  <c r="G1" i="6"/>
  <c r="F1" i="6"/>
  <c r="E1" i="6"/>
  <c r="D1" i="6"/>
  <c r="C1" i="6"/>
  <c r="B1" i="6"/>
  <c r="AJ132" i="5"/>
  <c r="AH132" i="5"/>
  <c r="AM132" i="5" s="1"/>
  <c r="AG132" i="5"/>
  <c r="AF132" i="5"/>
  <c r="AE132" i="5"/>
  <c r="AD132" i="5"/>
  <c r="AC132" i="5"/>
  <c r="AB132" i="5"/>
  <c r="AK132" i="5" s="1"/>
  <c r="AA132" i="5"/>
  <c r="Z132" i="5"/>
  <c r="AL132" i="5" s="1"/>
  <c r="Y132" i="5"/>
  <c r="V132" i="5"/>
  <c r="AH131" i="5"/>
  <c r="AM131" i="5" s="1"/>
  <c r="AG131" i="5"/>
  <c r="AF131" i="5"/>
  <c r="AE131" i="5"/>
  <c r="AD131" i="5"/>
  <c r="AC131" i="5"/>
  <c r="AJ131" i="5" s="1"/>
  <c r="AB131" i="5"/>
  <c r="AK131" i="5" s="1"/>
  <c r="AA131" i="5"/>
  <c r="Z131" i="5"/>
  <c r="AL131" i="5" s="1"/>
  <c r="Y131" i="5"/>
  <c r="V131" i="5"/>
  <c r="AM130" i="5"/>
  <c r="AL130" i="5"/>
  <c r="AH130" i="5"/>
  <c r="AG130" i="5"/>
  <c r="AF130" i="5"/>
  <c r="AE130" i="5"/>
  <c r="AD130" i="5"/>
  <c r="AC130" i="5"/>
  <c r="AJ130" i="5" s="1"/>
  <c r="AB130" i="5"/>
  <c r="AA130" i="5"/>
  <c r="Z130" i="5"/>
  <c r="Y130" i="5"/>
  <c r="V130" i="5"/>
  <c r="AM129" i="5"/>
  <c r="AJ129" i="5"/>
  <c r="AH129" i="5"/>
  <c r="AG129" i="5"/>
  <c r="AF129" i="5"/>
  <c r="AE129" i="5"/>
  <c r="AD129" i="5"/>
  <c r="AK129" i="5" s="1"/>
  <c r="AC129" i="5"/>
  <c r="AB129" i="5"/>
  <c r="AA129" i="5"/>
  <c r="Z129" i="5"/>
  <c r="AL129" i="5" s="1"/>
  <c r="Y129" i="5"/>
  <c r="V129" i="5"/>
  <c r="AL128" i="5"/>
  <c r="AK128" i="5"/>
  <c r="AH128" i="5"/>
  <c r="AM128" i="5" s="1"/>
  <c r="AG128" i="5"/>
  <c r="AF128" i="5"/>
  <c r="AE128" i="5"/>
  <c r="AD128" i="5"/>
  <c r="AC128" i="5"/>
  <c r="AJ128" i="5" s="1"/>
  <c r="AB128" i="5"/>
  <c r="AA128" i="5"/>
  <c r="Z128" i="5"/>
  <c r="Y128" i="5"/>
  <c r="V128" i="5"/>
  <c r="AM127" i="5"/>
  <c r="AL127" i="5"/>
  <c r="AJ127" i="5"/>
  <c r="AH127" i="5"/>
  <c r="AG127" i="5"/>
  <c r="AF127" i="5"/>
  <c r="AE127" i="5"/>
  <c r="AD127" i="5"/>
  <c r="AC127" i="5"/>
  <c r="AB127" i="5"/>
  <c r="AA127" i="5"/>
  <c r="Z127" i="5"/>
  <c r="AI127" i="5" s="1"/>
  <c r="Y127" i="5"/>
  <c r="V127" i="5"/>
  <c r="AM126" i="5"/>
  <c r="AH126" i="5"/>
  <c r="AG126" i="5"/>
  <c r="AF126" i="5"/>
  <c r="AE126" i="5"/>
  <c r="AJ126" i="5" s="1"/>
  <c r="AD126" i="5"/>
  <c r="AK126" i="5" s="1"/>
  <c r="AC126" i="5"/>
  <c r="AB126" i="5"/>
  <c r="AA126" i="5"/>
  <c r="Z126" i="5"/>
  <c r="AL126" i="5" s="1"/>
  <c r="Y126" i="5"/>
  <c r="V126" i="5"/>
  <c r="AL125" i="5"/>
  <c r="AK125" i="5"/>
  <c r="AH125" i="5"/>
  <c r="AM125" i="5" s="1"/>
  <c r="AG125" i="5"/>
  <c r="AF125" i="5"/>
  <c r="AE125" i="5"/>
  <c r="AD125" i="5"/>
  <c r="AC125" i="5"/>
  <c r="AB125" i="5"/>
  <c r="AA125" i="5"/>
  <c r="Z125" i="5"/>
  <c r="Y125" i="5"/>
  <c r="V125" i="5"/>
  <c r="AM124" i="5"/>
  <c r="AH124" i="5"/>
  <c r="AG124" i="5"/>
  <c r="AF124" i="5"/>
  <c r="AE124" i="5"/>
  <c r="AD124" i="5"/>
  <c r="AC124" i="5"/>
  <c r="AJ124" i="5" s="1"/>
  <c r="AB124" i="5"/>
  <c r="AA124" i="5"/>
  <c r="AK124" i="5" s="1"/>
  <c r="Z124" i="5"/>
  <c r="Y124" i="5"/>
  <c r="V124" i="5"/>
  <c r="AM123" i="5"/>
  <c r="AH123" i="5"/>
  <c r="AG123" i="5"/>
  <c r="AF123" i="5"/>
  <c r="AE123" i="5"/>
  <c r="AJ123" i="5" s="1"/>
  <c r="AD123" i="5"/>
  <c r="AC123" i="5"/>
  <c r="AB123" i="5"/>
  <c r="AA123" i="5"/>
  <c r="AK123" i="5" s="1"/>
  <c r="Z123" i="5"/>
  <c r="AL123" i="5" s="1"/>
  <c r="Y123" i="5"/>
  <c r="V123" i="5"/>
  <c r="AK122" i="5"/>
  <c r="AH122" i="5"/>
  <c r="AM122" i="5" s="1"/>
  <c r="AG122" i="5"/>
  <c r="AF122" i="5"/>
  <c r="AE122" i="5"/>
  <c r="AD122" i="5"/>
  <c r="AC122" i="5"/>
  <c r="AB122" i="5"/>
  <c r="AA122" i="5"/>
  <c r="Z122" i="5"/>
  <c r="Y122" i="5"/>
  <c r="V122" i="5"/>
  <c r="AM121" i="5"/>
  <c r="AJ121" i="5"/>
  <c r="AH121" i="5"/>
  <c r="AG121" i="5"/>
  <c r="AF121" i="5"/>
  <c r="AE121" i="5"/>
  <c r="AD121" i="5"/>
  <c r="AC121" i="5"/>
  <c r="AB121" i="5"/>
  <c r="AA121" i="5"/>
  <c r="AK121" i="5" s="1"/>
  <c r="Z121" i="5"/>
  <c r="Y121" i="5"/>
  <c r="V121" i="5"/>
  <c r="AH120" i="5"/>
  <c r="AM120" i="5" s="1"/>
  <c r="AG120" i="5"/>
  <c r="AF120" i="5"/>
  <c r="AE120" i="5"/>
  <c r="AJ120" i="5" s="1"/>
  <c r="AD120" i="5"/>
  <c r="AC120" i="5"/>
  <c r="AB120" i="5"/>
  <c r="AA120" i="5"/>
  <c r="AI120" i="5" s="1"/>
  <c r="Z120" i="5"/>
  <c r="AL120" i="5" s="1"/>
  <c r="Y120" i="5"/>
  <c r="V120" i="5"/>
  <c r="AH119" i="5"/>
  <c r="AM119" i="5" s="1"/>
  <c r="AG119" i="5"/>
  <c r="AF119" i="5"/>
  <c r="AE119" i="5"/>
  <c r="AD119" i="5"/>
  <c r="AC119" i="5"/>
  <c r="AB119" i="5"/>
  <c r="AK119" i="5" s="1"/>
  <c r="AA119" i="5"/>
  <c r="Z119" i="5"/>
  <c r="Y119" i="5"/>
  <c r="V119" i="5"/>
  <c r="AM118" i="5"/>
  <c r="AL118" i="5"/>
  <c r="AH118" i="5"/>
  <c r="AG118" i="5"/>
  <c r="AF118" i="5"/>
  <c r="AE118" i="5"/>
  <c r="AD118" i="5"/>
  <c r="AC118" i="5"/>
  <c r="AJ118" i="5" s="1"/>
  <c r="AB118" i="5"/>
  <c r="AA118" i="5"/>
  <c r="Z118" i="5"/>
  <c r="Y118" i="5"/>
  <c r="V118" i="5"/>
  <c r="AJ117" i="5"/>
  <c r="AH117" i="5"/>
  <c r="AM117" i="5" s="1"/>
  <c r="AG117" i="5"/>
  <c r="AF117" i="5"/>
  <c r="AE117" i="5"/>
  <c r="AD117" i="5"/>
  <c r="AC117" i="5"/>
  <c r="AB117" i="5"/>
  <c r="AA117" i="5"/>
  <c r="AI117" i="5" s="1"/>
  <c r="Z117" i="5"/>
  <c r="AL117" i="5" s="1"/>
  <c r="Y117" i="5"/>
  <c r="V117" i="5"/>
  <c r="AL116" i="5"/>
  <c r="AH116" i="5"/>
  <c r="AM116" i="5" s="1"/>
  <c r="AG116" i="5"/>
  <c r="AF116" i="5"/>
  <c r="AE116" i="5"/>
  <c r="AD116" i="5"/>
  <c r="AC116" i="5"/>
  <c r="AJ116" i="5" s="1"/>
  <c r="AB116" i="5"/>
  <c r="AA116" i="5"/>
  <c r="Z116" i="5"/>
  <c r="Y116" i="5"/>
  <c r="V116" i="5"/>
  <c r="AM115" i="5"/>
  <c r="AH115" i="5"/>
  <c r="AG115" i="5"/>
  <c r="AF115" i="5"/>
  <c r="AE115" i="5"/>
  <c r="AD115" i="5"/>
  <c r="AC115" i="5"/>
  <c r="AJ115" i="5" s="1"/>
  <c r="AB115" i="5"/>
  <c r="AA115" i="5"/>
  <c r="Z115" i="5"/>
  <c r="AL115" i="5" s="1"/>
  <c r="Y115" i="5"/>
  <c r="V115" i="5"/>
  <c r="AJ114" i="5"/>
  <c r="AH114" i="5"/>
  <c r="AM114" i="5" s="1"/>
  <c r="AG114" i="5"/>
  <c r="AF114" i="5"/>
  <c r="AE114" i="5"/>
  <c r="AD114" i="5"/>
  <c r="AC114" i="5"/>
  <c r="AB114" i="5"/>
  <c r="AK114" i="5" s="1"/>
  <c r="AA114" i="5"/>
  <c r="Z114" i="5"/>
  <c r="AL114" i="5" s="1"/>
  <c r="Y114" i="5"/>
  <c r="V114" i="5"/>
  <c r="AH113" i="5"/>
  <c r="AM113" i="5" s="1"/>
  <c r="AG113" i="5"/>
  <c r="AF113" i="5"/>
  <c r="AE113" i="5"/>
  <c r="AD113" i="5"/>
  <c r="AC113" i="5"/>
  <c r="AJ113" i="5" s="1"/>
  <c r="AB113" i="5"/>
  <c r="AK113" i="5" s="1"/>
  <c r="AA113" i="5"/>
  <c r="Z113" i="5"/>
  <c r="AL113" i="5" s="1"/>
  <c r="Y113" i="5"/>
  <c r="V113" i="5"/>
  <c r="AM112" i="5"/>
  <c r="AL112" i="5"/>
  <c r="AH112" i="5"/>
  <c r="AG112" i="5"/>
  <c r="AF112" i="5"/>
  <c r="AE112" i="5"/>
  <c r="AD112" i="5"/>
  <c r="AC112" i="5"/>
  <c r="AJ112" i="5" s="1"/>
  <c r="AB112" i="5"/>
  <c r="AA112" i="5"/>
  <c r="Z112" i="5"/>
  <c r="Y112" i="5"/>
  <c r="V112" i="5"/>
  <c r="AM111" i="5"/>
  <c r="AJ111" i="5"/>
  <c r="AH111" i="5"/>
  <c r="AG111" i="5"/>
  <c r="AF111" i="5"/>
  <c r="AE111" i="5"/>
  <c r="AD111" i="5"/>
  <c r="AK111" i="5" s="1"/>
  <c r="AC111" i="5"/>
  <c r="AB111" i="5"/>
  <c r="AA111" i="5"/>
  <c r="Z111" i="5"/>
  <c r="AL111" i="5" s="1"/>
  <c r="Y111" i="5"/>
  <c r="V111" i="5"/>
  <c r="AL110" i="5"/>
  <c r="AK110" i="5"/>
  <c r="AH110" i="5"/>
  <c r="AM110" i="5" s="1"/>
  <c r="AG110" i="5"/>
  <c r="AF110" i="5"/>
  <c r="AE110" i="5"/>
  <c r="AD110" i="5"/>
  <c r="AC110" i="5"/>
  <c r="AJ110" i="5" s="1"/>
  <c r="AB110" i="5"/>
  <c r="AA110" i="5"/>
  <c r="Z110" i="5"/>
  <c r="Y110" i="5"/>
  <c r="V110" i="5"/>
  <c r="AM109" i="5"/>
  <c r="AL109" i="5"/>
  <c r="AJ109" i="5"/>
  <c r="AH109" i="5"/>
  <c r="AG109" i="5"/>
  <c r="AF109" i="5"/>
  <c r="AE109" i="5"/>
  <c r="AD109" i="5"/>
  <c r="AC109" i="5"/>
  <c r="AB109" i="5"/>
  <c r="AA109" i="5"/>
  <c r="Z109" i="5"/>
  <c r="Y109" i="5"/>
  <c r="V109" i="5"/>
  <c r="AM108" i="5"/>
  <c r="AK108" i="5"/>
  <c r="AH108" i="5"/>
  <c r="AG108" i="5"/>
  <c r="AF108" i="5"/>
  <c r="AE108" i="5"/>
  <c r="AJ108" i="5" s="1"/>
  <c r="AD108" i="5"/>
  <c r="AC108" i="5"/>
  <c r="AB108" i="5"/>
  <c r="AA108" i="5"/>
  <c r="Z108" i="5"/>
  <c r="AL108" i="5" s="1"/>
  <c r="Y108" i="5"/>
  <c r="V108" i="5"/>
  <c r="AL107" i="5"/>
  <c r="AK107" i="5"/>
  <c r="AH107" i="5"/>
  <c r="AM107" i="5" s="1"/>
  <c r="AG107" i="5"/>
  <c r="AF107" i="5"/>
  <c r="AE107" i="5"/>
  <c r="AD107" i="5"/>
  <c r="AC107" i="5"/>
  <c r="AB107" i="5"/>
  <c r="AA107" i="5"/>
  <c r="Z107" i="5"/>
  <c r="AI107" i="5" s="1"/>
  <c r="Y107" i="5"/>
  <c r="V107" i="5"/>
  <c r="AM106" i="5"/>
  <c r="AL106" i="5"/>
  <c r="AH106" i="5"/>
  <c r="AG106" i="5"/>
  <c r="AF106" i="5"/>
  <c r="AE106" i="5"/>
  <c r="AD106" i="5"/>
  <c r="AC106" i="5"/>
  <c r="AJ106" i="5" s="1"/>
  <c r="AB106" i="5"/>
  <c r="AA106" i="5"/>
  <c r="Z106" i="5"/>
  <c r="AI106" i="5" s="1"/>
  <c r="Y106" i="5"/>
  <c r="V106" i="5"/>
  <c r="AM105" i="5"/>
  <c r="AH105" i="5"/>
  <c r="AG105" i="5"/>
  <c r="AF105" i="5"/>
  <c r="AE105" i="5"/>
  <c r="AJ105" i="5" s="1"/>
  <c r="AD105" i="5"/>
  <c r="AC105" i="5"/>
  <c r="AB105" i="5"/>
  <c r="AA105" i="5"/>
  <c r="AK105" i="5" s="1"/>
  <c r="Z105" i="5"/>
  <c r="AL105" i="5" s="1"/>
  <c r="Y105" i="5"/>
  <c r="V105" i="5"/>
  <c r="AL104" i="5"/>
  <c r="AK104" i="5"/>
  <c r="AH104" i="5"/>
  <c r="AM104" i="5" s="1"/>
  <c r="AG104" i="5"/>
  <c r="AF104" i="5"/>
  <c r="AE104" i="5"/>
  <c r="AD104" i="5"/>
  <c r="AC104" i="5"/>
  <c r="AB104" i="5"/>
  <c r="AA104" i="5"/>
  <c r="Z104" i="5"/>
  <c r="Y104" i="5"/>
  <c r="V104" i="5"/>
  <c r="AM103" i="5"/>
  <c r="AJ103" i="5"/>
  <c r="AH103" i="5"/>
  <c r="AG103" i="5"/>
  <c r="AF103" i="5"/>
  <c r="AE103" i="5"/>
  <c r="AD103" i="5"/>
  <c r="AC103" i="5"/>
  <c r="AB103" i="5"/>
  <c r="AA103" i="5"/>
  <c r="Z103" i="5"/>
  <c r="Y103" i="5"/>
  <c r="V103" i="5"/>
  <c r="AH102" i="5"/>
  <c r="AM102" i="5" s="1"/>
  <c r="AG102" i="5"/>
  <c r="AF102" i="5"/>
  <c r="AE102" i="5"/>
  <c r="AJ102" i="5" s="1"/>
  <c r="AD102" i="5"/>
  <c r="AC102" i="5"/>
  <c r="AB102" i="5"/>
  <c r="AA102" i="5"/>
  <c r="AK102" i="5" s="1"/>
  <c r="Z102" i="5"/>
  <c r="AL102" i="5" s="1"/>
  <c r="Y102" i="5"/>
  <c r="V102" i="5"/>
  <c r="AK101" i="5"/>
  <c r="AH101" i="5"/>
  <c r="AM101" i="5" s="1"/>
  <c r="AG101" i="5"/>
  <c r="AF101" i="5"/>
  <c r="AE101" i="5"/>
  <c r="AD101" i="5"/>
  <c r="AC101" i="5"/>
  <c r="AB101" i="5"/>
  <c r="AA101" i="5"/>
  <c r="Z101" i="5"/>
  <c r="Y101" i="5"/>
  <c r="V101" i="5"/>
  <c r="AM100" i="5"/>
  <c r="AL100" i="5"/>
  <c r="AH100" i="5"/>
  <c r="AG100" i="5"/>
  <c r="AF100" i="5"/>
  <c r="AE100" i="5"/>
  <c r="AD100" i="5"/>
  <c r="AC100" i="5"/>
  <c r="AJ100" i="5" s="1"/>
  <c r="AB100" i="5"/>
  <c r="AA100" i="5"/>
  <c r="Z100" i="5"/>
  <c r="Y100" i="5"/>
  <c r="V100" i="5"/>
  <c r="AM99" i="5"/>
  <c r="AH99" i="5"/>
  <c r="AG99" i="5"/>
  <c r="AF99" i="5"/>
  <c r="AE99" i="5"/>
  <c r="AJ99" i="5" s="1"/>
  <c r="AD99" i="5"/>
  <c r="AC99" i="5"/>
  <c r="AB99" i="5"/>
  <c r="AK99" i="5" s="1"/>
  <c r="AA99" i="5"/>
  <c r="Z99" i="5"/>
  <c r="AL99" i="5" s="1"/>
  <c r="Y99" i="5"/>
  <c r="V99" i="5"/>
  <c r="AL98" i="5"/>
  <c r="AH98" i="5"/>
  <c r="AM98" i="5" s="1"/>
  <c r="AG98" i="5"/>
  <c r="AF98" i="5"/>
  <c r="AE98" i="5"/>
  <c r="AD98" i="5"/>
  <c r="AC98" i="5"/>
  <c r="AB98" i="5"/>
  <c r="AA98" i="5"/>
  <c r="Z98" i="5"/>
  <c r="Y98" i="5"/>
  <c r="V98" i="5"/>
  <c r="AM97" i="5"/>
  <c r="AJ97" i="5"/>
  <c r="AH97" i="5"/>
  <c r="AG97" i="5"/>
  <c r="AF97" i="5"/>
  <c r="AE97" i="5"/>
  <c r="AD97" i="5"/>
  <c r="AC97" i="5"/>
  <c r="AB97" i="5"/>
  <c r="AA97" i="5"/>
  <c r="Z97" i="5"/>
  <c r="AL97" i="5" s="1"/>
  <c r="Y97" i="5"/>
  <c r="V97" i="5"/>
  <c r="AJ96" i="5"/>
  <c r="AH96" i="5"/>
  <c r="AM96" i="5" s="1"/>
  <c r="AG96" i="5"/>
  <c r="AF96" i="5"/>
  <c r="AE96" i="5"/>
  <c r="AD96" i="5"/>
  <c r="AC96" i="5"/>
  <c r="AB96" i="5"/>
  <c r="AK96" i="5" s="1"/>
  <c r="AA96" i="5"/>
  <c r="Z96" i="5"/>
  <c r="AL96" i="5" s="1"/>
  <c r="Y96" i="5"/>
  <c r="V96" i="5"/>
  <c r="AH95" i="5"/>
  <c r="AM95" i="5" s="1"/>
  <c r="AG95" i="5"/>
  <c r="AF95" i="5"/>
  <c r="AE95" i="5"/>
  <c r="AD95" i="5"/>
  <c r="AC95" i="5"/>
  <c r="AJ95" i="5" s="1"/>
  <c r="AB95" i="5"/>
  <c r="AK95" i="5" s="1"/>
  <c r="AA95" i="5"/>
  <c r="Z95" i="5"/>
  <c r="AL95" i="5" s="1"/>
  <c r="Y95" i="5"/>
  <c r="V95" i="5"/>
  <c r="AM94" i="5"/>
  <c r="AL94" i="5"/>
  <c r="AH94" i="5"/>
  <c r="AG94" i="5"/>
  <c r="AF94" i="5"/>
  <c r="AE94" i="5"/>
  <c r="AD94" i="5"/>
  <c r="AC94" i="5"/>
  <c r="AJ94" i="5" s="1"/>
  <c r="AB94" i="5"/>
  <c r="AA94" i="5"/>
  <c r="AK94" i="5" s="1"/>
  <c r="Z94" i="5"/>
  <c r="Y94" i="5"/>
  <c r="V94" i="5"/>
  <c r="AM93" i="5"/>
  <c r="AJ93" i="5"/>
  <c r="AH93" i="5"/>
  <c r="AG93" i="5"/>
  <c r="AF93" i="5"/>
  <c r="AE93" i="5"/>
  <c r="AD93" i="5"/>
  <c r="AK93" i="5" s="1"/>
  <c r="AC93" i="5"/>
  <c r="AB93" i="5"/>
  <c r="AA93" i="5"/>
  <c r="Z93" i="5"/>
  <c r="AL93" i="5" s="1"/>
  <c r="Y93" i="5"/>
  <c r="V93" i="5"/>
  <c r="AL92" i="5"/>
  <c r="AK92" i="5"/>
  <c r="AH92" i="5"/>
  <c r="AM92" i="5" s="1"/>
  <c r="AG92" i="5"/>
  <c r="AF92" i="5"/>
  <c r="AE92" i="5"/>
  <c r="AD92" i="5"/>
  <c r="AC92" i="5"/>
  <c r="AB92" i="5"/>
  <c r="AA92" i="5"/>
  <c r="Z92" i="5"/>
  <c r="Y92" i="5"/>
  <c r="V92" i="5"/>
  <c r="AM91" i="5"/>
  <c r="AJ91" i="5"/>
  <c r="AH91" i="5"/>
  <c r="AG91" i="5"/>
  <c r="AF91" i="5"/>
  <c r="AE91" i="5"/>
  <c r="AD91" i="5"/>
  <c r="AC91" i="5"/>
  <c r="AB91" i="5"/>
  <c r="AA91" i="5"/>
  <c r="Z91" i="5"/>
  <c r="Y91" i="5"/>
  <c r="V91" i="5"/>
  <c r="AM90" i="5"/>
  <c r="AK90" i="5"/>
  <c r="AH90" i="5"/>
  <c r="AG90" i="5"/>
  <c r="AF90" i="5"/>
  <c r="AE90" i="5"/>
  <c r="AD90" i="5"/>
  <c r="AC90" i="5"/>
  <c r="AJ90" i="5" s="1"/>
  <c r="AB90" i="5"/>
  <c r="AA90" i="5"/>
  <c r="Z90" i="5"/>
  <c r="AL90" i="5" s="1"/>
  <c r="Y90" i="5"/>
  <c r="V90" i="5"/>
  <c r="AL89" i="5"/>
  <c r="AH89" i="5"/>
  <c r="AM89" i="5" s="1"/>
  <c r="AG89" i="5"/>
  <c r="AF89" i="5"/>
  <c r="AE89" i="5"/>
  <c r="AD89" i="5"/>
  <c r="AC89" i="5"/>
  <c r="AJ89" i="5" s="1"/>
  <c r="AB89" i="5"/>
  <c r="AA89" i="5"/>
  <c r="Z89" i="5"/>
  <c r="Y89" i="5"/>
  <c r="V89" i="5"/>
  <c r="AM88" i="5"/>
  <c r="AL88" i="5"/>
  <c r="AH88" i="5"/>
  <c r="AG88" i="5"/>
  <c r="AF88" i="5"/>
  <c r="AE88" i="5"/>
  <c r="AD88" i="5"/>
  <c r="AC88" i="5"/>
  <c r="AJ88" i="5" s="1"/>
  <c r="AB88" i="5"/>
  <c r="AA88" i="5"/>
  <c r="Z88" i="5"/>
  <c r="Y88" i="5"/>
  <c r="V88" i="5"/>
  <c r="AK87" i="5"/>
  <c r="AH87" i="5"/>
  <c r="AM87" i="5" s="1"/>
  <c r="AG87" i="5"/>
  <c r="AF87" i="5"/>
  <c r="AE87" i="5"/>
  <c r="AJ87" i="5" s="1"/>
  <c r="AD87" i="5"/>
  <c r="AC87" i="5"/>
  <c r="AB87" i="5"/>
  <c r="AA87" i="5"/>
  <c r="Z87" i="5"/>
  <c r="AL87" i="5" s="1"/>
  <c r="Y87" i="5"/>
  <c r="V87" i="5"/>
  <c r="AM86" i="5"/>
  <c r="AH86" i="5"/>
  <c r="AG86" i="5"/>
  <c r="AF86" i="5"/>
  <c r="AE86" i="5"/>
  <c r="AD86" i="5"/>
  <c r="AC86" i="5"/>
  <c r="AJ86" i="5" s="1"/>
  <c r="AB86" i="5"/>
  <c r="AA86" i="5"/>
  <c r="AK86" i="5" s="1"/>
  <c r="Z86" i="5"/>
  <c r="Y86" i="5"/>
  <c r="V86" i="5"/>
  <c r="AM85" i="5"/>
  <c r="AJ85" i="5"/>
  <c r="AH85" i="5"/>
  <c r="AG85" i="5"/>
  <c r="AF85" i="5"/>
  <c r="AE85" i="5"/>
  <c r="AD85" i="5"/>
  <c r="AC85" i="5"/>
  <c r="AB85" i="5"/>
  <c r="AA85" i="5"/>
  <c r="Z85" i="5"/>
  <c r="AL85" i="5" s="1"/>
  <c r="Y85" i="5"/>
  <c r="V85" i="5"/>
  <c r="AM84" i="5"/>
  <c r="AK84" i="5"/>
  <c r="AH84" i="5"/>
  <c r="AG84" i="5"/>
  <c r="AF84" i="5"/>
  <c r="AE84" i="5"/>
  <c r="AD84" i="5"/>
  <c r="AC84" i="5"/>
  <c r="AJ84" i="5" s="1"/>
  <c r="AB84" i="5"/>
  <c r="AA84" i="5"/>
  <c r="Z84" i="5"/>
  <c r="AL84" i="5" s="1"/>
  <c r="Y84" i="5"/>
  <c r="V84" i="5"/>
  <c r="AL83" i="5"/>
  <c r="AH83" i="5"/>
  <c r="AM83" i="5" s="1"/>
  <c r="AG83" i="5"/>
  <c r="AF83" i="5"/>
  <c r="AE83" i="5"/>
  <c r="AD83" i="5"/>
  <c r="AC83" i="5"/>
  <c r="AB83" i="5"/>
  <c r="AA83" i="5"/>
  <c r="Z83" i="5"/>
  <c r="Y83" i="5"/>
  <c r="V83" i="5"/>
  <c r="AM82" i="5"/>
  <c r="AK82" i="5"/>
  <c r="AH82" i="5"/>
  <c r="AG82" i="5"/>
  <c r="AF82" i="5"/>
  <c r="AE82" i="5"/>
  <c r="AJ82" i="5" s="1"/>
  <c r="AD82" i="5"/>
  <c r="AC82" i="5"/>
  <c r="AB82" i="5"/>
  <c r="AA82" i="5"/>
  <c r="Z82" i="5"/>
  <c r="Y82" i="5"/>
  <c r="V82" i="5"/>
  <c r="AM81" i="5"/>
  <c r="AJ81" i="5"/>
  <c r="AH81" i="5"/>
  <c r="AG81" i="5"/>
  <c r="AF81" i="5"/>
  <c r="AE81" i="5"/>
  <c r="AD81" i="5"/>
  <c r="AC81" i="5"/>
  <c r="AB81" i="5"/>
  <c r="AK81" i="5" s="1"/>
  <c r="AA81" i="5"/>
  <c r="AI81" i="5" s="1"/>
  <c r="Z81" i="5"/>
  <c r="AL81" i="5" s="1"/>
  <c r="Y81" i="5"/>
  <c r="V81" i="5"/>
  <c r="AM80" i="5"/>
  <c r="AH80" i="5"/>
  <c r="AG80" i="5"/>
  <c r="AF80" i="5"/>
  <c r="AE80" i="5"/>
  <c r="AD80" i="5"/>
  <c r="AC80" i="5"/>
  <c r="AJ80" i="5" s="1"/>
  <c r="AB80" i="5"/>
  <c r="AK80" i="5" s="1"/>
  <c r="AA80" i="5"/>
  <c r="Z80" i="5"/>
  <c r="Y80" i="5"/>
  <c r="V80" i="5"/>
  <c r="AM79" i="5"/>
  <c r="AK79" i="5"/>
  <c r="AH79" i="5"/>
  <c r="AG79" i="5"/>
  <c r="AF79" i="5"/>
  <c r="AE79" i="5"/>
  <c r="AD79" i="5"/>
  <c r="AC79" i="5"/>
  <c r="AB79" i="5"/>
  <c r="AA79" i="5"/>
  <c r="Z79" i="5"/>
  <c r="Y79" i="5"/>
  <c r="V79" i="5"/>
  <c r="AH78" i="5"/>
  <c r="AM78" i="5" s="1"/>
  <c r="AG78" i="5"/>
  <c r="AF78" i="5"/>
  <c r="AE78" i="5"/>
  <c r="AD78" i="5"/>
  <c r="AC78" i="5"/>
  <c r="AJ78" i="5" s="1"/>
  <c r="AB78" i="5"/>
  <c r="AA78" i="5"/>
  <c r="AI78" i="5" s="1"/>
  <c r="Z78" i="5"/>
  <c r="AL78" i="5" s="1"/>
  <c r="Y78" i="5"/>
  <c r="V78" i="5"/>
  <c r="AL77" i="5"/>
  <c r="AH77" i="5"/>
  <c r="AM77" i="5" s="1"/>
  <c r="AG77" i="5"/>
  <c r="AF77" i="5"/>
  <c r="AE77" i="5"/>
  <c r="AD77" i="5"/>
  <c r="AC77" i="5"/>
  <c r="AJ77" i="5" s="1"/>
  <c r="AB77" i="5"/>
  <c r="AA77" i="5"/>
  <c r="Z77" i="5"/>
  <c r="Y77" i="5"/>
  <c r="V77" i="5"/>
  <c r="AM76" i="5"/>
  <c r="AJ76" i="5"/>
  <c r="AH76" i="5"/>
  <c r="AG76" i="5"/>
  <c r="AF76" i="5"/>
  <c r="AE76" i="5"/>
  <c r="AD76" i="5"/>
  <c r="AC76" i="5"/>
  <c r="AB76" i="5"/>
  <c r="AA76" i="5"/>
  <c r="Z76" i="5"/>
  <c r="Y76" i="5"/>
  <c r="V76" i="5"/>
  <c r="AH75" i="5"/>
  <c r="AM75" i="5" s="1"/>
  <c r="AG75" i="5"/>
  <c r="AF75" i="5"/>
  <c r="AE75" i="5"/>
  <c r="AD75" i="5"/>
  <c r="AC75" i="5"/>
  <c r="AJ75" i="5" s="1"/>
  <c r="AB75" i="5"/>
  <c r="AK75" i="5" s="1"/>
  <c r="AA75" i="5"/>
  <c r="Z75" i="5"/>
  <c r="AL75" i="5" s="1"/>
  <c r="Y75" i="5"/>
  <c r="V75" i="5"/>
  <c r="AL74" i="5"/>
  <c r="AK74" i="5"/>
  <c r="AH74" i="5"/>
  <c r="AM74" i="5" s="1"/>
  <c r="AG74" i="5"/>
  <c r="AF74" i="5"/>
  <c r="AE74" i="5"/>
  <c r="AD74" i="5"/>
  <c r="AC74" i="5"/>
  <c r="AB74" i="5"/>
  <c r="AA74" i="5"/>
  <c r="Z74" i="5"/>
  <c r="Y74" i="5"/>
  <c r="V74" i="5"/>
  <c r="AM73" i="5"/>
  <c r="AK73" i="5"/>
  <c r="AH73" i="5"/>
  <c r="AG73" i="5"/>
  <c r="AF73" i="5"/>
  <c r="AE73" i="5"/>
  <c r="AD73" i="5"/>
  <c r="AC73" i="5"/>
  <c r="AJ73" i="5" s="1"/>
  <c r="AB73" i="5"/>
  <c r="AA73" i="5"/>
  <c r="AI73" i="5" s="1"/>
  <c r="Z73" i="5"/>
  <c r="AL73" i="5" s="1"/>
  <c r="Y73" i="5"/>
  <c r="V73" i="5"/>
  <c r="AJ72" i="5"/>
  <c r="AH72" i="5"/>
  <c r="AM72" i="5" s="1"/>
  <c r="AG72" i="5"/>
  <c r="AF72" i="5"/>
  <c r="AE72" i="5"/>
  <c r="AD72" i="5"/>
  <c r="AC72" i="5"/>
  <c r="AB72" i="5"/>
  <c r="AA72" i="5"/>
  <c r="Z72" i="5"/>
  <c r="AL72" i="5" s="1"/>
  <c r="Y72" i="5"/>
  <c r="V72" i="5"/>
  <c r="AM71" i="5"/>
  <c r="AL71" i="5"/>
  <c r="AH71" i="5"/>
  <c r="AG71" i="5"/>
  <c r="AF71" i="5"/>
  <c r="AE71" i="5"/>
  <c r="AD71" i="5"/>
  <c r="AC71" i="5"/>
  <c r="AB71" i="5"/>
  <c r="AA71" i="5"/>
  <c r="AK71" i="5" s="1"/>
  <c r="Z71" i="5"/>
  <c r="Y71" i="5"/>
  <c r="V71" i="5"/>
  <c r="AM70" i="5"/>
  <c r="AH70" i="5"/>
  <c r="AG70" i="5"/>
  <c r="AF70" i="5"/>
  <c r="AE70" i="5"/>
  <c r="AD70" i="5"/>
  <c r="AC70" i="5"/>
  <c r="AJ70" i="5" s="1"/>
  <c r="AB70" i="5"/>
  <c r="AA70" i="5"/>
  <c r="Z70" i="5"/>
  <c r="AL70" i="5" s="1"/>
  <c r="Y70" i="5"/>
  <c r="V70" i="5"/>
  <c r="AH69" i="5"/>
  <c r="AM69" i="5" s="1"/>
  <c r="AG69" i="5"/>
  <c r="AF69" i="5"/>
  <c r="AE69" i="5"/>
  <c r="AD69" i="5"/>
  <c r="AC69" i="5"/>
  <c r="AJ69" i="5" s="1"/>
  <c r="AB69" i="5"/>
  <c r="AK69" i="5" s="1"/>
  <c r="AA69" i="5"/>
  <c r="AI69" i="5" s="1"/>
  <c r="Z69" i="5"/>
  <c r="AL69" i="5" s="1"/>
  <c r="Y69" i="5"/>
  <c r="V69" i="5"/>
  <c r="AM68" i="5"/>
  <c r="AK68" i="5"/>
  <c r="AH68" i="5"/>
  <c r="AG68" i="5"/>
  <c r="AF68" i="5"/>
  <c r="AE68" i="5"/>
  <c r="AD68" i="5"/>
  <c r="AC68" i="5"/>
  <c r="AJ68" i="5" s="1"/>
  <c r="AB68" i="5"/>
  <c r="AA68" i="5"/>
  <c r="Z68" i="5"/>
  <c r="AL68" i="5" s="1"/>
  <c r="Y68" i="5"/>
  <c r="V68" i="5"/>
  <c r="AM67" i="5"/>
  <c r="AJ67" i="5"/>
  <c r="AH67" i="5"/>
  <c r="AG67" i="5"/>
  <c r="AF67" i="5"/>
  <c r="AE67" i="5"/>
  <c r="AD67" i="5"/>
  <c r="AC67" i="5"/>
  <c r="AB67" i="5"/>
  <c r="AA67" i="5"/>
  <c r="Z67" i="5"/>
  <c r="AL67" i="5" s="1"/>
  <c r="Y67" i="5"/>
  <c r="V67" i="5"/>
  <c r="AM66" i="5"/>
  <c r="AH66" i="5"/>
  <c r="AG66" i="5"/>
  <c r="AF66" i="5"/>
  <c r="AE66" i="5"/>
  <c r="AD66" i="5"/>
  <c r="AC66" i="5"/>
  <c r="AB66" i="5"/>
  <c r="AK66" i="5" s="1"/>
  <c r="AA66" i="5"/>
  <c r="Z66" i="5"/>
  <c r="AL66" i="5" s="1"/>
  <c r="Y66" i="5"/>
  <c r="V66" i="5"/>
  <c r="AM65" i="5"/>
  <c r="AL65" i="5"/>
  <c r="AK65" i="5"/>
  <c r="AH65" i="5"/>
  <c r="AG65" i="5"/>
  <c r="AF65" i="5"/>
  <c r="AE65" i="5"/>
  <c r="AD65" i="5"/>
  <c r="AC65" i="5"/>
  <c r="AB65" i="5"/>
  <c r="AA65" i="5"/>
  <c r="Z65" i="5"/>
  <c r="Y65" i="5"/>
  <c r="V65" i="5"/>
  <c r="AM64" i="5"/>
  <c r="AJ64" i="5"/>
  <c r="AH64" i="5"/>
  <c r="AG64" i="5"/>
  <c r="AF64" i="5"/>
  <c r="AE64" i="5"/>
  <c r="AD64" i="5"/>
  <c r="AC64" i="5"/>
  <c r="AI64" i="5" s="1"/>
  <c r="AB64" i="5"/>
  <c r="AA64" i="5"/>
  <c r="Z64" i="5"/>
  <c r="AL64" i="5" s="1"/>
  <c r="Y64" i="5"/>
  <c r="V64" i="5"/>
  <c r="AH63" i="5"/>
  <c r="AM63" i="5" s="1"/>
  <c r="AG63" i="5"/>
  <c r="AF63" i="5"/>
  <c r="AE63" i="5"/>
  <c r="AD63" i="5"/>
  <c r="AC63" i="5"/>
  <c r="AJ63" i="5" s="1"/>
  <c r="AB63" i="5"/>
  <c r="AK63" i="5" s="1"/>
  <c r="AA63" i="5"/>
  <c r="Z63" i="5"/>
  <c r="AL63" i="5" s="1"/>
  <c r="Y63" i="5"/>
  <c r="V63" i="5"/>
  <c r="AM62" i="5"/>
  <c r="AK62" i="5"/>
  <c r="AH62" i="5"/>
  <c r="AG62" i="5"/>
  <c r="AF62" i="5"/>
  <c r="AE62" i="5"/>
  <c r="AD62" i="5"/>
  <c r="AC62" i="5"/>
  <c r="AJ62" i="5" s="1"/>
  <c r="AB62" i="5"/>
  <c r="AA62" i="5"/>
  <c r="Z62" i="5"/>
  <c r="AL62" i="5" s="1"/>
  <c r="Y62" i="5"/>
  <c r="V62" i="5"/>
  <c r="AM61" i="5"/>
  <c r="AJ61" i="5"/>
  <c r="AH61" i="5"/>
  <c r="AG61" i="5"/>
  <c r="AF61" i="5"/>
  <c r="AE61" i="5"/>
  <c r="AD61" i="5"/>
  <c r="AC61" i="5"/>
  <c r="AB61" i="5"/>
  <c r="AA61" i="5"/>
  <c r="Z61" i="5"/>
  <c r="AL61" i="5" s="1"/>
  <c r="Y61" i="5"/>
  <c r="V61" i="5"/>
  <c r="AM60" i="5"/>
  <c r="AH60" i="5"/>
  <c r="AG60" i="5"/>
  <c r="AF60" i="5"/>
  <c r="AE60" i="5"/>
  <c r="AD60" i="5"/>
  <c r="AC60" i="5"/>
  <c r="AB60" i="5"/>
  <c r="AK60" i="5" s="1"/>
  <c r="AA60" i="5"/>
  <c r="Z60" i="5"/>
  <c r="AL60" i="5" s="1"/>
  <c r="Y60" i="5"/>
  <c r="V60" i="5"/>
  <c r="AM59" i="5"/>
  <c r="AK59" i="5"/>
  <c r="AH59" i="5"/>
  <c r="AG59" i="5"/>
  <c r="AF59" i="5"/>
  <c r="AE59" i="5"/>
  <c r="AD59" i="5"/>
  <c r="AC59" i="5"/>
  <c r="AB59" i="5"/>
  <c r="AA59" i="5"/>
  <c r="Z59" i="5"/>
  <c r="Y59" i="5"/>
  <c r="V59" i="5"/>
  <c r="AM58" i="5"/>
  <c r="AH58" i="5"/>
  <c r="AG58" i="5"/>
  <c r="AF58" i="5"/>
  <c r="AE58" i="5"/>
  <c r="AD58" i="5"/>
  <c r="AC58" i="5"/>
  <c r="AJ58" i="5" s="1"/>
  <c r="AB58" i="5"/>
  <c r="AA58" i="5"/>
  <c r="Z58" i="5"/>
  <c r="AL58" i="5" s="1"/>
  <c r="Y58" i="5"/>
  <c r="V58" i="5"/>
  <c r="AM57" i="5"/>
  <c r="AK57" i="5"/>
  <c r="AH57" i="5"/>
  <c r="AG57" i="5"/>
  <c r="AF57" i="5"/>
  <c r="AE57" i="5"/>
  <c r="AD57" i="5"/>
  <c r="AC57" i="5"/>
  <c r="AB57" i="5"/>
  <c r="AA57" i="5"/>
  <c r="Z57" i="5"/>
  <c r="AL57" i="5" s="1"/>
  <c r="Y57" i="5"/>
  <c r="V57" i="5"/>
  <c r="AM56" i="5"/>
  <c r="AK56" i="5"/>
  <c r="AH56" i="5"/>
  <c r="AG56" i="5"/>
  <c r="AF56" i="5"/>
  <c r="AE56" i="5"/>
  <c r="AD56" i="5"/>
  <c r="AC56" i="5"/>
  <c r="AB56" i="5"/>
  <c r="AA56" i="5"/>
  <c r="Z56" i="5"/>
  <c r="AL56" i="5" s="1"/>
  <c r="Y56" i="5"/>
  <c r="V56" i="5"/>
  <c r="AM55" i="5"/>
  <c r="AK55" i="5"/>
  <c r="AH55" i="5"/>
  <c r="AG55" i="5"/>
  <c r="AF55" i="5"/>
  <c r="AE55" i="5"/>
  <c r="AJ55" i="5" s="1"/>
  <c r="AD55" i="5"/>
  <c r="AC55" i="5"/>
  <c r="AB55" i="5"/>
  <c r="AA55" i="5"/>
  <c r="AI55" i="5" s="1"/>
  <c r="Z55" i="5"/>
  <c r="AL55" i="5" s="1"/>
  <c r="Y55" i="5"/>
  <c r="V55" i="5"/>
  <c r="AM54" i="5"/>
  <c r="AH54" i="5"/>
  <c r="AG54" i="5"/>
  <c r="AF54" i="5"/>
  <c r="AE54" i="5"/>
  <c r="AD54" i="5"/>
  <c r="AC54" i="5"/>
  <c r="AB54" i="5"/>
  <c r="AA54" i="5"/>
  <c r="Z54" i="5"/>
  <c r="AL54" i="5" s="1"/>
  <c r="Y54" i="5"/>
  <c r="V54" i="5"/>
  <c r="AM53" i="5"/>
  <c r="AH53" i="5"/>
  <c r="AG53" i="5"/>
  <c r="AF53" i="5"/>
  <c r="AE53" i="5"/>
  <c r="AD53" i="5"/>
  <c r="AC53" i="5"/>
  <c r="AJ53" i="5" s="1"/>
  <c r="AB53" i="5"/>
  <c r="AA53" i="5"/>
  <c r="AK53" i="5" s="1"/>
  <c r="Z53" i="5"/>
  <c r="AL53" i="5" s="1"/>
  <c r="Y53" i="5"/>
  <c r="V53" i="5"/>
  <c r="AK52" i="5"/>
  <c r="AH52" i="5"/>
  <c r="AM52" i="5" s="1"/>
  <c r="AG52" i="5"/>
  <c r="AF52" i="5"/>
  <c r="AE52" i="5"/>
  <c r="AD52" i="5"/>
  <c r="AC52" i="5"/>
  <c r="AJ52" i="5" s="1"/>
  <c r="AB52" i="5"/>
  <c r="AA52" i="5"/>
  <c r="Z52" i="5"/>
  <c r="AL52" i="5" s="1"/>
  <c r="Y52" i="5"/>
  <c r="V52" i="5"/>
  <c r="AM51" i="5"/>
  <c r="AH51" i="5"/>
  <c r="AG51" i="5"/>
  <c r="AF51" i="5"/>
  <c r="AE51" i="5"/>
  <c r="AD51" i="5"/>
  <c r="AC51" i="5"/>
  <c r="AB51" i="5"/>
  <c r="AA51" i="5"/>
  <c r="AK51" i="5" s="1"/>
  <c r="Z51" i="5"/>
  <c r="Y51" i="5"/>
  <c r="V51" i="5"/>
  <c r="AM50" i="5"/>
  <c r="AJ50" i="5"/>
  <c r="AH50" i="5"/>
  <c r="AG50" i="5"/>
  <c r="AF50" i="5"/>
  <c r="AE50" i="5"/>
  <c r="AD50" i="5"/>
  <c r="AC50" i="5"/>
  <c r="AI50" i="5" s="1"/>
  <c r="AB50" i="5"/>
  <c r="AA50" i="5"/>
  <c r="AK50" i="5" s="1"/>
  <c r="Z50" i="5"/>
  <c r="AL50" i="5" s="1"/>
  <c r="Y50" i="5"/>
  <c r="V50" i="5"/>
  <c r="AM49" i="5"/>
  <c r="AH49" i="5"/>
  <c r="AG49" i="5"/>
  <c r="AF49" i="5"/>
  <c r="AE49" i="5"/>
  <c r="AJ49" i="5" s="1"/>
  <c r="AD49" i="5"/>
  <c r="AK49" i="5" s="1"/>
  <c r="AC49" i="5"/>
  <c r="AB49" i="5"/>
  <c r="AI49" i="5" s="1"/>
  <c r="AA49" i="5"/>
  <c r="Z49" i="5"/>
  <c r="AL49" i="5" s="1"/>
  <c r="Y49" i="5"/>
  <c r="V49" i="5"/>
  <c r="AM48" i="5"/>
  <c r="AH48" i="5"/>
  <c r="AG48" i="5"/>
  <c r="AF48" i="5"/>
  <c r="AE48" i="5"/>
  <c r="AD48" i="5"/>
  <c r="AC48" i="5"/>
  <c r="AB48" i="5"/>
  <c r="AA48" i="5"/>
  <c r="Z48" i="5"/>
  <c r="Y48" i="5"/>
  <c r="V48" i="5"/>
  <c r="AH47" i="5"/>
  <c r="AM47" i="5" s="1"/>
  <c r="AG47" i="5"/>
  <c r="AF47" i="5"/>
  <c r="AE47" i="5"/>
  <c r="AD47" i="5"/>
  <c r="AK47" i="5" s="1"/>
  <c r="AC47" i="5"/>
  <c r="AJ47" i="5" s="1"/>
  <c r="AB47" i="5"/>
  <c r="AA47" i="5"/>
  <c r="Z47" i="5"/>
  <c r="AL47" i="5" s="1"/>
  <c r="Y47" i="5"/>
  <c r="V47" i="5"/>
  <c r="AM46" i="5"/>
  <c r="AH46" i="5"/>
  <c r="AG46" i="5"/>
  <c r="AF46" i="5"/>
  <c r="AE46" i="5"/>
  <c r="AD46" i="5"/>
  <c r="AC46" i="5"/>
  <c r="AJ46" i="5" s="1"/>
  <c r="AB46" i="5"/>
  <c r="AA46" i="5"/>
  <c r="AI46" i="5" s="1"/>
  <c r="Z46" i="5"/>
  <c r="AL46" i="5" s="1"/>
  <c r="Y46" i="5"/>
  <c r="V46" i="5"/>
  <c r="AM45" i="5"/>
  <c r="AK45" i="5"/>
  <c r="AH45" i="5"/>
  <c r="AG45" i="5"/>
  <c r="AF45" i="5"/>
  <c r="AE45" i="5"/>
  <c r="AD45" i="5"/>
  <c r="AC45" i="5"/>
  <c r="AJ45" i="5" s="1"/>
  <c r="AB45" i="5"/>
  <c r="AA45" i="5"/>
  <c r="Z45" i="5"/>
  <c r="Y45" i="5"/>
  <c r="V45" i="5"/>
  <c r="AH44" i="5"/>
  <c r="AM44" i="5" s="1"/>
  <c r="AG44" i="5"/>
  <c r="AF44" i="5"/>
  <c r="AE44" i="5"/>
  <c r="AJ44" i="5" s="1"/>
  <c r="AD44" i="5"/>
  <c r="AK44" i="5" s="1"/>
  <c r="AC44" i="5"/>
  <c r="AB44" i="5"/>
  <c r="AA44" i="5"/>
  <c r="Z44" i="5"/>
  <c r="AL44" i="5" s="1"/>
  <c r="Y44" i="5"/>
  <c r="V44" i="5"/>
  <c r="AH43" i="5"/>
  <c r="AM43" i="5" s="1"/>
  <c r="AG43" i="5"/>
  <c r="AF43" i="5"/>
  <c r="AE43" i="5"/>
  <c r="AD43" i="5"/>
  <c r="AC43" i="5"/>
  <c r="AJ43" i="5" s="1"/>
  <c r="AB43" i="5"/>
  <c r="AK43" i="5" s="1"/>
  <c r="AA43" i="5"/>
  <c r="Z43" i="5"/>
  <c r="AL43" i="5" s="1"/>
  <c r="Y43" i="5"/>
  <c r="V43" i="5"/>
  <c r="AM42" i="5"/>
  <c r="AH42" i="5"/>
  <c r="AG42" i="5"/>
  <c r="AF42" i="5"/>
  <c r="AE42" i="5"/>
  <c r="AD42" i="5"/>
  <c r="AC42" i="5"/>
  <c r="AB42" i="5"/>
  <c r="AA42" i="5"/>
  <c r="AK42" i="5" s="1"/>
  <c r="Z42" i="5"/>
  <c r="AL42" i="5" s="1"/>
  <c r="Y42" i="5"/>
  <c r="V42" i="5"/>
  <c r="AJ41" i="5"/>
  <c r="AH41" i="5"/>
  <c r="AM41" i="5" s="1"/>
  <c r="AG41" i="5"/>
  <c r="AF41" i="5"/>
  <c r="AE41" i="5"/>
  <c r="AD41" i="5"/>
  <c r="AK41" i="5" s="1"/>
  <c r="AC41" i="5"/>
  <c r="AB41" i="5"/>
  <c r="AA41" i="5"/>
  <c r="Z41" i="5"/>
  <c r="AL41" i="5" s="1"/>
  <c r="Y41" i="5"/>
  <c r="V41" i="5"/>
  <c r="AH40" i="5"/>
  <c r="AM40" i="5" s="1"/>
  <c r="AG40" i="5"/>
  <c r="AF40" i="5"/>
  <c r="AE40" i="5"/>
  <c r="AD40" i="5"/>
  <c r="AC40" i="5"/>
  <c r="AJ40" i="5" s="1"/>
  <c r="AB40" i="5"/>
  <c r="AA40" i="5"/>
  <c r="Z40" i="5"/>
  <c r="AL40" i="5" s="1"/>
  <c r="Y40" i="5"/>
  <c r="V40" i="5"/>
  <c r="AM39" i="5"/>
  <c r="AL39" i="5"/>
  <c r="AK39" i="5"/>
  <c r="AH39" i="5"/>
  <c r="AG39" i="5"/>
  <c r="AF39" i="5"/>
  <c r="AE39" i="5"/>
  <c r="AD39" i="5"/>
  <c r="AC39" i="5"/>
  <c r="AJ39" i="5" s="1"/>
  <c r="AB39" i="5"/>
  <c r="AA39" i="5"/>
  <c r="Z39" i="5"/>
  <c r="Y39" i="5"/>
  <c r="V39" i="5"/>
  <c r="AJ38" i="5"/>
  <c r="AH38" i="5"/>
  <c r="AM38" i="5" s="1"/>
  <c r="AG38" i="5"/>
  <c r="AF38" i="5"/>
  <c r="AE38" i="5"/>
  <c r="AD38" i="5"/>
  <c r="AC38" i="5"/>
  <c r="AB38" i="5"/>
  <c r="AA38" i="5"/>
  <c r="Z38" i="5"/>
  <c r="AL38" i="5" s="1"/>
  <c r="Y38" i="5"/>
  <c r="V38" i="5"/>
  <c r="AM37" i="5"/>
  <c r="AL37" i="5"/>
  <c r="AH37" i="5"/>
  <c r="AG37" i="5"/>
  <c r="AF37" i="5"/>
  <c r="AE37" i="5"/>
  <c r="AD37" i="5"/>
  <c r="AC37" i="5"/>
  <c r="AJ37" i="5" s="1"/>
  <c r="AB37" i="5"/>
  <c r="AA37" i="5"/>
  <c r="AK37" i="5" s="1"/>
  <c r="Z37" i="5"/>
  <c r="Y37" i="5"/>
  <c r="V37" i="5"/>
  <c r="AM36" i="5"/>
  <c r="AL36" i="5"/>
  <c r="AH36" i="5"/>
  <c r="AG36" i="5"/>
  <c r="AF36" i="5"/>
  <c r="AE36" i="5"/>
  <c r="AD36" i="5"/>
  <c r="AC36" i="5"/>
  <c r="AJ36" i="5" s="1"/>
  <c r="AB36" i="5"/>
  <c r="AA36" i="5"/>
  <c r="AK36" i="5" s="1"/>
  <c r="Z36" i="5"/>
  <c r="Y36" i="5"/>
  <c r="V36" i="5"/>
  <c r="AJ35" i="5"/>
  <c r="AH35" i="5"/>
  <c r="AM35" i="5" s="1"/>
  <c r="AG35" i="5"/>
  <c r="AF35" i="5"/>
  <c r="AE35" i="5"/>
  <c r="AD35" i="5"/>
  <c r="AC35" i="5"/>
  <c r="AB35" i="5"/>
  <c r="AI35" i="5" s="1"/>
  <c r="AA35" i="5"/>
  <c r="Z35" i="5"/>
  <c r="AL35" i="5" s="1"/>
  <c r="Y35" i="5"/>
  <c r="V35" i="5"/>
  <c r="AM34" i="5"/>
  <c r="AK34" i="5"/>
  <c r="AH34" i="5"/>
  <c r="AG34" i="5"/>
  <c r="AF34" i="5"/>
  <c r="AE34" i="5"/>
  <c r="AD34" i="5"/>
  <c r="AC34" i="5"/>
  <c r="AJ34" i="5" s="1"/>
  <c r="AB34" i="5"/>
  <c r="AA34" i="5"/>
  <c r="Z34" i="5"/>
  <c r="AL34" i="5" s="1"/>
  <c r="Y34" i="5"/>
  <c r="V34" i="5"/>
  <c r="AM33" i="5"/>
  <c r="AK33" i="5"/>
  <c r="AH33" i="5"/>
  <c r="AG33" i="5"/>
  <c r="AF33" i="5"/>
  <c r="AE33" i="5"/>
  <c r="AD33" i="5"/>
  <c r="AC33" i="5"/>
  <c r="AJ33" i="5" s="1"/>
  <c r="AB33" i="5"/>
  <c r="AA33" i="5"/>
  <c r="Z33" i="5"/>
  <c r="Y33" i="5"/>
  <c r="V33" i="5"/>
  <c r="AM32" i="5"/>
  <c r="AH32" i="5"/>
  <c r="AG32" i="5"/>
  <c r="AF32" i="5"/>
  <c r="AE32" i="5"/>
  <c r="AD32" i="5"/>
  <c r="AC32" i="5"/>
  <c r="AJ32" i="5" s="1"/>
  <c r="AB32" i="5"/>
  <c r="AA32" i="5"/>
  <c r="Z32" i="5"/>
  <c r="AL32" i="5" s="1"/>
  <c r="Y32" i="5"/>
  <c r="V32" i="5"/>
  <c r="AK31" i="5"/>
  <c r="AH31" i="5"/>
  <c r="AM31" i="5" s="1"/>
  <c r="AG31" i="5"/>
  <c r="AF31" i="5"/>
  <c r="AE31" i="5"/>
  <c r="AD31" i="5"/>
  <c r="AC31" i="5"/>
  <c r="AJ31" i="5" s="1"/>
  <c r="AB31" i="5"/>
  <c r="AA31" i="5"/>
  <c r="AI31" i="5" s="1"/>
  <c r="Z31" i="5"/>
  <c r="AL31" i="5" s="1"/>
  <c r="Y31" i="5"/>
  <c r="V31" i="5"/>
  <c r="AM30" i="5"/>
  <c r="AK30" i="5"/>
  <c r="AH30" i="5"/>
  <c r="AG30" i="5"/>
  <c r="AF30" i="5"/>
  <c r="AE30" i="5"/>
  <c r="AD30" i="5"/>
  <c r="AC30" i="5"/>
  <c r="AJ30" i="5" s="1"/>
  <c r="AB30" i="5"/>
  <c r="AA30" i="5"/>
  <c r="Z30" i="5"/>
  <c r="AL30" i="5" s="1"/>
  <c r="Y30" i="5"/>
  <c r="V30" i="5"/>
  <c r="AM29" i="5"/>
  <c r="AJ29" i="5"/>
  <c r="AH29" i="5"/>
  <c r="AG29" i="5"/>
  <c r="AF29" i="5"/>
  <c r="AE29" i="5"/>
  <c r="AD29" i="5"/>
  <c r="AC29" i="5"/>
  <c r="AB29" i="5"/>
  <c r="AA29" i="5"/>
  <c r="AK29" i="5" s="1"/>
  <c r="Z29" i="5"/>
  <c r="AL29" i="5" s="1"/>
  <c r="Y29" i="5"/>
  <c r="V29" i="5"/>
  <c r="AM28" i="5"/>
  <c r="AK28" i="5"/>
  <c r="AH28" i="5"/>
  <c r="AG28" i="5"/>
  <c r="AF28" i="5"/>
  <c r="AE28" i="5"/>
  <c r="AD28" i="5"/>
  <c r="AC28" i="5"/>
  <c r="AJ28" i="5" s="1"/>
  <c r="AB28" i="5"/>
  <c r="AA28" i="5"/>
  <c r="Z28" i="5"/>
  <c r="AL28" i="5" s="1"/>
  <c r="Y28" i="5"/>
  <c r="V28" i="5"/>
  <c r="AM27" i="5"/>
  <c r="AK27" i="5"/>
  <c r="AH27" i="5"/>
  <c r="AG27" i="5"/>
  <c r="AF27" i="5"/>
  <c r="AE27" i="5"/>
  <c r="AD27" i="5"/>
  <c r="AC27" i="5"/>
  <c r="AJ27" i="5" s="1"/>
  <c r="AB27" i="5"/>
  <c r="AA27" i="5"/>
  <c r="Z27" i="5"/>
  <c r="Y27" i="5"/>
  <c r="V27" i="5"/>
  <c r="AM26" i="5"/>
  <c r="AH26" i="5"/>
  <c r="AG26" i="5"/>
  <c r="AF26" i="5"/>
  <c r="AE26" i="5"/>
  <c r="AD26" i="5"/>
  <c r="AC26" i="5"/>
  <c r="AJ26" i="5" s="1"/>
  <c r="AB26" i="5"/>
  <c r="AA26" i="5"/>
  <c r="Z26" i="5"/>
  <c r="AL26" i="5" s="1"/>
  <c r="Y26" i="5"/>
  <c r="V26" i="5"/>
  <c r="AK25" i="5"/>
  <c r="AH25" i="5"/>
  <c r="AM25" i="5" s="1"/>
  <c r="AG25" i="5"/>
  <c r="AF25" i="5"/>
  <c r="AE25" i="5"/>
  <c r="AD25" i="5"/>
  <c r="AC25" i="5"/>
  <c r="AJ25" i="5" s="1"/>
  <c r="AB25" i="5"/>
  <c r="AA25" i="5"/>
  <c r="AI25" i="5" s="1"/>
  <c r="Z25" i="5"/>
  <c r="AL25" i="5" s="1"/>
  <c r="Y25" i="5"/>
  <c r="V25" i="5"/>
  <c r="AM24" i="5"/>
  <c r="AK24" i="5"/>
  <c r="AH24" i="5"/>
  <c r="AG24" i="5"/>
  <c r="AF24" i="5"/>
  <c r="AE24" i="5"/>
  <c r="AD24" i="5"/>
  <c r="AC24" i="5"/>
  <c r="AJ24" i="5" s="1"/>
  <c r="AB24" i="5"/>
  <c r="AA24" i="5"/>
  <c r="Z24" i="5"/>
  <c r="AL24" i="5" s="1"/>
  <c r="Y24" i="5"/>
  <c r="V24" i="5"/>
  <c r="AM23" i="5"/>
  <c r="AJ23" i="5"/>
  <c r="AH23" i="5"/>
  <c r="AG23" i="5"/>
  <c r="AF23" i="5"/>
  <c r="AE23" i="5"/>
  <c r="AD23" i="5"/>
  <c r="AC23" i="5"/>
  <c r="AB23" i="5"/>
  <c r="AA23" i="5"/>
  <c r="AK23" i="5" s="1"/>
  <c r="Z23" i="5"/>
  <c r="AL23" i="5" s="1"/>
  <c r="Y23" i="5"/>
  <c r="V23" i="5"/>
  <c r="AM22" i="5"/>
  <c r="AK22" i="5"/>
  <c r="AH22" i="5"/>
  <c r="AG22" i="5"/>
  <c r="AF22" i="5"/>
  <c r="AE22" i="5"/>
  <c r="AD22" i="5"/>
  <c r="AC22" i="5"/>
  <c r="AJ22" i="5" s="1"/>
  <c r="AB22" i="5"/>
  <c r="AA22" i="5"/>
  <c r="Z22" i="5"/>
  <c r="AL22" i="5" s="1"/>
  <c r="Y22" i="5"/>
  <c r="V22" i="5"/>
  <c r="AM21" i="5"/>
  <c r="AL21" i="5"/>
  <c r="AH21" i="5"/>
  <c r="AG21" i="5"/>
  <c r="AF21" i="5"/>
  <c r="AE21" i="5"/>
  <c r="AD21" i="5"/>
  <c r="AC21" i="5"/>
  <c r="AB21" i="5"/>
  <c r="AA21" i="5"/>
  <c r="AK21" i="5" s="1"/>
  <c r="Z21" i="5"/>
  <c r="Y21" i="5"/>
  <c r="V21" i="5"/>
  <c r="AM20" i="5"/>
  <c r="AK20" i="5"/>
  <c r="AH20" i="5"/>
  <c r="AG20" i="5"/>
  <c r="AF20" i="5"/>
  <c r="AE20" i="5"/>
  <c r="AJ20" i="5" s="1"/>
  <c r="AD20" i="5"/>
  <c r="AC20" i="5"/>
  <c r="AB20" i="5"/>
  <c r="AA20" i="5"/>
  <c r="AI20" i="5" s="1"/>
  <c r="Z20" i="5"/>
  <c r="AL20" i="5" s="1"/>
  <c r="Y20" i="5"/>
  <c r="V20" i="5"/>
  <c r="AH19" i="5"/>
  <c r="AM19" i="5" s="1"/>
  <c r="AG19" i="5"/>
  <c r="AF19" i="5"/>
  <c r="AE19" i="5"/>
  <c r="AD19" i="5"/>
  <c r="AC19" i="5"/>
  <c r="AB19" i="5"/>
  <c r="AK19" i="5" s="1"/>
  <c r="AA19" i="5"/>
  <c r="AI19" i="5" s="1"/>
  <c r="Z19" i="5"/>
  <c r="AL19" i="5" s="1"/>
  <c r="Y19" i="5"/>
  <c r="V19" i="5"/>
  <c r="AM18" i="5"/>
  <c r="AH18" i="5"/>
  <c r="AG18" i="5"/>
  <c r="AF18" i="5"/>
  <c r="AE18" i="5"/>
  <c r="AD18" i="5"/>
  <c r="AC18" i="5"/>
  <c r="AJ18" i="5" s="1"/>
  <c r="AB18" i="5"/>
  <c r="AA18" i="5"/>
  <c r="AK18" i="5" s="1"/>
  <c r="Z18" i="5"/>
  <c r="AL18" i="5" s="1"/>
  <c r="Y18" i="5"/>
  <c r="V18" i="5"/>
  <c r="AM17" i="5"/>
  <c r="AJ17" i="5"/>
  <c r="AH17" i="5"/>
  <c r="AG17" i="5"/>
  <c r="AF17" i="5"/>
  <c r="AE17" i="5"/>
  <c r="AD17" i="5"/>
  <c r="AC17" i="5"/>
  <c r="AB17" i="5"/>
  <c r="AA17" i="5"/>
  <c r="AK17" i="5" s="1"/>
  <c r="Z17" i="5"/>
  <c r="AL17" i="5" s="1"/>
  <c r="Y17" i="5"/>
  <c r="V17" i="5"/>
  <c r="AH16" i="5"/>
  <c r="AM16" i="5" s="1"/>
  <c r="AG16" i="5"/>
  <c r="AF16" i="5"/>
  <c r="AE16" i="5"/>
  <c r="AD16" i="5"/>
  <c r="AC16" i="5"/>
  <c r="AJ16" i="5" s="1"/>
  <c r="AB16" i="5"/>
  <c r="AK16" i="5" s="1"/>
  <c r="AA16" i="5"/>
  <c r="Z16" i="5"/>
  <c r="AL16" i="5" s="1"/>
  <c r="Y16" i="5"/>
  <c r="V16" i="5"/>
  <c r="AM15" i="5"/>
  <c r="AJ15" i="5"/>
  <c r="AH15" i="5"/>
  <c r="AG15" i="5"/>
  <c r="AF15" i="5"/>
  <c r="AE15" i="5"/>
  <c r="AD15" i="5"/>
  <c r="AK15" i="5" s="1"/>
  <c r="AC15" i="5"/>
  <c r="AB15" i="5"/>
  <c r="AA15" i="5"/>
  <c r="Z15" i="5"/>
  <c r="AI15" i="5" s="1"/>
  <c r="Y15" i="5"/>
  <c r="V15" i="5"/>
  <c r="AM14" i="5"/>
  <c r="AH14" i="5"/>
  <c r="AG14" i="5"/>
  <c r="AF14" i="5"/>
  <c r="AE14" i="5"/>
  <c r="AJ14" i="5" s="1"/>
  <c r="AD14" i="5"/>
  <c r="AC14" i="5"/>
  <c r="AB14" i="5"/>
  <c r="AK14" i="5" s="1"/>
  <c r="AA14" i="5"/>
  <c r="AI14" i="5" s="1"/>
  <c r="Z14" i="5"/>
  <c r="AL14" i="5" s="1"/>
  <c r="Y14" i="5"/>
  <c r="V14" i="5"/>
  <c r="AH13" i="5"/>
  <c r="AM13" i="5" s="1"/>
  <c r="AG13" i="5"/>
  <c r="AF13" i="5"/>
  <c r="AE13" i="5"/>
  <c r="AD13" i="5"/>
  <c r="AC13" i="5"/>
  <c r="AJ13" i="5" s="1"/>
  <c r="AB13" i="5"/>
  <c r="AK13" i="5" s="1"/>
  <c r="AA13" i="5"/>
  <c r="Z13" i="5"/>
  <c r="AL13" i="5" s="1"/>
  <c r="Y13" i="5"/>
  <c r="V13" i="5"/>
  <c r="AM12" i="5"/>
  <c r="AK12" i="5"/>
  <c r="AH12" i="5"/>
  <c r="AG12" i="5"/>
  <c r="AF12" i="5"/>
  <c r="AE12" i="5"/>
  <c r="AJ12" i="5" s="1"/>
  <c r="AD12" i="5"/>
  <c r="AC12" i="5"/>
  <c r="AB12" i="5"/>
  <c r="AA12" i="5"/>
  <c r="Z12" i="5"/>
  <c r="Y12" i="5"/>
  <c r="V12" i="5"/>
  <c r="AM11" i="5"/>
  <c r="AH11" i="5"/>
  <c r="AG11" i="5"/>
  <c r="AF11" i="5"/>
  <c r="AE11" i="5"/>
  <c r="AD11" i="5"/>
  <c r="AC11" i="5"/>
  <c r="AJ11" i="5" s="1"/>
  <c r="AB11" i="5"/>
  <c r="AA11" i="5"/>
  <c r="AI11" i="5" s="1"/>
  <c r="Z11" i="5"/>
  <c r="AL11" i="5" s="1"/>
  <c r="Y11" i="5"/>
  <c r="V11" i="5"/>
  <c r="AL10" i="5"/>
  <c r="AH10" i="5"/>
  <c r="AM10" i="5" s="1"/>
  <c r="AG10" i="5"/>
  <c r="AF10" i="5"/>
  <c r="AE10" i="5"/>
  <c r="AD10" i="5"/>
  <c r="AC10" i="5"/>
  <c r="AB10" i="5"/>
  <c r="AK10" i="5" s="1"/>
  <c r="AA10" i="5"/>
  <c r="Z10" i="5"/>
  <c r="Y10" i="5"/>
  <c r="V10" i="5"/>
  <c r="AM9" i="5"/>
  <c r="AK9" i="5"/>
  <c r="AH9" i="5"/>
  <c r="AG9" i="5"/>
  <c r="AF9" i="5"/>
  <c r="AE9" i="5"/>
  <c r="AJ9" i="5" s="1"/>
  <c r="AD9" i="5"/>
  <c r="AC9" i="5"/>
  <c r="AB9" i="5"/>
  <c r="AA9" i="5"/>
  <c r="Z9" i="5"/>
  <c r="Y9" i="5"/>
  <c r="V9" i="5"/>
  <c r="AJ8" i="5"/>
  <c r="AH8" i="5"/>
  <c r="AM8" i="5" s="1"/>
  <c r="AG8" i="5"/>
  <c r="AF8" i="5"/>
  <c r="AE8" i="5"/>
  <c r="AD8" i="5"/>
  <c r="AC8" i="5"/>
  <c r="AB8" i="5"/>
  <c r="AA8" i="5"/>
  <c r="Z8" i="5"/>
  <c r="AL8" i="5" s="1"/>
  <c r="Y8" i="5"/>
  <c r="V8" i="5"/>
  <c r="AM7" i="5"/>
  <c r="AK7" i="5"/>
  <c r="AH7" i="5"/>
  <c r="AG7" i="5"/>
  <c r="AF7" i="5"/>
  <c r="AE7" i="5"/>
  <c r="AD7" i="5"/>
  <c r="AC7" i="5"/>
  <c r="AJ7" i="5" s="1"/>
  <c r="AB7" i="5"/>
  <c r="AA7" i="5"/>
  <c r="Z7" i="5"/>
  <c r="Y7" i="5"/>
  <c r="V7" i="5"/>
  <c r="AM6" i="5"/>
  <c r="AH6" i="5"/>
  <c r="AG6" i="5"/>
  <c r="AF6" i="5"/>
  <c r="AE6" i="5"/>
  <c r="AD6" i="5"/>
  <c r="AC6" i="5"/>
  <c r="AJ6" i="5" s="1"/>
  <c r="AB6" i="5"/>
  <c r="AA6" i="5"/>
  <c r="AK6" i="5" s="1"/>
  <c r="Z6" i="5"/>
  <c r="AL6" i="5" s="1"/>
  <c r="Y6" i="5"/>
  <c r="V6" i="5"/>
  <c r="AK5" i="5"/>
  <c r="AH5" i="5"/>
  <c r="AM5" i="5" s="1"/>
  <c r="AG5" i="5"/>
  <c r="AF5" i="5"/>
  <c r="AE5" i="5"/>
  <c r="AD5" i="5"/>
  <c r="AC5" i="5"/>
  <c r="AJ5" i="5" s="1"/>
  <c r="AB5" i="5"/>
  <c r="AA5" i="5"/>
  <c r="Z5" i="5"/>
  <c r="AL5" i="5" s="1"/>
  <c r="Y5" i="5"/>
  <c r="V5" i="5"/>
  <c r="AH4" i="5"/>
  <c r="AM4" i="5" s="1"/>
  <c r="AG4" i="5"/>
  <c r="AF4" i="5"/>
  <c r="AE4" i="5"/>
  <c r="AJ4" i="5" s="1"/>
  <c r="AD4" i="5"/>
  <c r="AC4" i="5"/>
  <c r="AB4" i="5"/>
  <c r="AK4" i="5" s="1"/>
  <c r="AA4" i="5"/>
  <c r="Z4" i="5"/>
  <c r="Y4" i="5"/>
  <c r="V4" i="5"/>
  <c r="AL3" i="5"/>
  <c r="AJ3" i="5"/>
  <c r="AH3" i="5"/>
  <c r="AM3" i="5" s="1"/>
  <c r="AG3" i="5"/>
  <c r="AF3" i="5"/>
  <c r="AE3" i="5"/>
  <c r="AD3" i="5"/>
  <c r="AK3" i="5" s="1"/>
  <c r="AC3" i="5"/>
  <c r="AB3" i="5"/>
  <c r="AA3" i="5"/>
  <c r="Z3" i="5"/>
  <c r="Y3" i="5"/>
  <c r="V3" i="5"/>
  <c r="AK2" i="5"/>
  <c r="AH2" i="5"/>
  <c r="AM2" i="5" s="1"/>
  <c r="AG2" i="5"/>
  <c r="AF2" i="5"/>
  <c r="AE2" i="5"/>
  <c r="AD2" i="5"/>
  <c r="AC2" i="5"/>
  <c r="AB2" i="5"/>
  <c r="AA2" i="5"/>
  <c r="Z2" i="5"/>
  <c r="AL2" i="5" s="1"/>
  <c r="Y2" i="5"/>
  <c r="V2" i="5"/>
  <c r="AG132" i="4"/>
  <c r="AF132" i="4"/>
  <c r="AC132" i="4"/>
  <c r="AB132" i="4"/>
  <c r="AK132" i="4" s="1"/>
  <c r="AA132" i="4"/>
  <c r="Y132" i="4"/>
  <c r="U132" i="4"/>
  <c r="T132" i="4"/>
  <c r="S132" i="4"/>
  <c r="R132" i="4"/>
  <c r="Q132" i="4"/>
  <c r="AE132" i="4" s="1"/>
  <c r="P132" i="4"/>
  <c r="O132" i="4"/>
  <c r="N132" i="4"/>
  <c r="M132" i="4"/>
  <c r="L132" i="4"/>
  <c r="K132" i="4"/>
  <c r="J132" i="4"/>
  <c r="I132" i="4"/>
  <c r="H132" i="4"/>
  <c r="G132" i="4"/>
  <c r="F132" i="4"/>
  <c r="E132" i="4"/>
  <c r="AD132" i="4" s="1"/>
  <c r="D132" i="4"/>
  <c r="C132" i="4"/>
  <c r="B132" i="4"/>
  <c r="Z132" i="4" s="1"/>
  <c r="AL132" i="4" s="1"/>
  <c r="AG131" i="4"/>
  <c r="AB131" i="4"/>
  <c r="AK131" i="4" s="1"/>
  <c r="AA131" i="4"/>
  <c r="Z131" i="4"/>
  <c r="Y131" i="4"/>
  <c r="U131" i="4"/>
  <c r="T131" i="4"/>
  <c r="S131" i="4"/>
  <c r="R131" i="4"/>
  <c r="Q131" i="4"/>
  <c r="AE131" i="4" s="1"/>
  <c r="P131" i="4"/>
  <c r="O131" i="4"/>
  <c r="N131" i="4"/>
  <c r="M131" i="4"/>
  <c r="AH131" i="4" s="1"/>
  <c r="AM131" i="4" s="1"/>
  <c r="L131" i="4"/>
  <c r="K131" i="4"/>
  <c r="J131" i="4"/>
  <c r="I131" i="4"/>
  <c r="H131" i="4"/>
  <c r="G131" i="4"/>
  <c r="AF131" i="4" s="1"/>
  <c r="F131" i="4"/>
  <c r="E131" i="4"/>
  <c r="AD131" i="4" s="1"/>
  <c r="D131" i="4"/>
  <c r="C131" i="4"/>
  <c r="B131" i="4"/>
  <c r="AG130" i="4"/>
  <c r="AF130" i="4"/>
  <c r="AE130" i="4"/>
  <c r="AD130" i="4"/>
  <c r="AA130" i="4"/>
  <c r="Z130" i="4"/>
  <c r="Y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AC130" i="4" s="1"/>
  <c r="E130" i="4"/>
  <c r="D130" i="4"/>
  <c r="AB130" i="4" s="1"/>
  <c r="AK130" i="4" s="1"/>
  <c r="C130" i="4"/>
  <c r="B130" i="4"/>
  <c r="AL129" i="4"/>
  <c r="AJ129" i="4"/>
  <c r="AF129" i="4"/>
  <c r="AD129" i="4"/>
  <c r="AC129" i="4"/>
  <c r="Z129" i="4"/>
  <c r="Y129" i="4"/>
  <c r="U129" i="4"/>
  <c r="T129" i="4"/>
  <c r="S129" i="4"/>
  <c r="R129" i="4"/>
  <c r="Q129" i="4"/>
  <c r="AE129" i="4" s="1"/>
  <c r="P129" i="4"/>
  <c r="O129" i="4"/>
  <c r="N129" i="4"/>
  <c r="M129" i="4"/>
  <c r="L129" i="4"/>
  <c r="K129" i="4"/>
  <c r="J129" i="4"/>
  <c r="I129" i="4"/>
  <c r="H129" i="4"/>
  <c r="AG129" i="4" s="1"/>
  <c r="G129" i="4"/>
  <c r="F129" i="4"/>
  <c r="E129" i="4"/>
  <c r="D129" i="4"/>
  <c r="AB129" i="4" s="1"/>
  <c r="C129" i="4"/>
  <c r="AA129" i="4" s="1"/>
  <c r="B129" i="4"/>
  <c r="AE128" i="4"/>
  <c r="AC128" i="4"/>
  <c r="Y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AG128" i="4" s="1"/>
  <c r="G128" i="4"/>
  <c r="AF128" i="4" s="1"/>
  <c r="F128" i="4"/>
  <c r="E128" i="4"/>
  <c r="AD128" i="4" s="1"/>
  <c r="D128" i="4"/>
  <c r="AB128" i="4" s="1"/>
  <c r="C128" i="4"/>
  <c r="AA128" i="4" s="1"/>
  <c r="B128" i="4"/>
  <c r="Z128" i="4" s="1"/>
  <c r="AL128" i="4" s="1"/>
  <c r="AH127" i="4"/>
  <c r="AM127" i="4" s="1"/>
  <c r="AG127" i="4"/>
  <c r="AD127" i="4"/>
  <c r="AB127" i="4"/>
  <c r="AK127" i="4" s="1"/>
  <c r="Y127" i="4"/>
  <c r="U127" i="4"/>
  <c r="T127" i="4"/>
  <c r="S127" i="4"/>
  <c r="R127" i="4"/>
  <c r="Q127" i="4"/>
  <c r="AE127" i="4" s="1"/>
  <c r="P127" i="4"/>
  <c r="O127" i="4"/>
  <c r="N127" i="4"/>
  <c r="M127" i="4"/>
  <c r="L127" i="4"/>
  <c r="K127" i="4"/>
  <c r="J127" i="4"/>
  <c r="I127" i="4"/>
  <c r="H127" i="4"/>
  <c r="G127" i="4"/>
  <c r="AF127" i="4" s="1"/>
  <c r="F127" i="4"/>
  <c r="AC127" i="4" s="1"/>
  <c r="AJ127" i="4" s="1"/>
  <c r="E127" i="4"/>
  <c r="D127" i="4"/>
  <c r="C127" i="4"/>
  <c r="AA127" i="4" s="1"/>
  <c r="B127" i="4"/>
  <c r="Z127" i="4" s="1"/>
  <c r="AF126" i="4"/>
  <c r="AA126" i="4"/>
  <c r="Y126" i="4"/>
  <c r="U126" i="4"/>
  <c r="T126" i="4"/>
  <c r="S126" i="4"/>
  <c r="R126" i="4"/>
  <c r="Q126" i="4"/>
  <c r="AE126" i="4" s="1"/>
  <c r="P126" i="4"/>
  <c r="O126" i="4"/>
  <c r="N126" i="4"/>
  <c r="M126" i="4"/>
  <c r="L126" i="4"/>
  <c r="K126" i="4"/>
  <c r="J126" i="4"/>
  <c r="I126" i="4"/>
  <c r="H126" i="4"/>
  <c r="AG126" i="4" s="1"/>
  <c r="G126" i="4"/>
  <c r="F126" i="4"/>
  <c r="AC126" i="4" s="1"/>
  <c r="AJ126" i="4" s="1"/>
  <c r="E126" i="4"/>
  <c r="AD126" i="4" s="1"/>
  <c r="D126" i="4"/>
  <c r="AB126" i="4" s="1"/>
  <c r="AK126" i="4" s="1"/>
  <c r="C126" i="4"/>
  <c r="B126" i="4"/>
  <c r="Z126" i="4" s="1"/>
  <c r="AL126" i="4" s="1"/>
  <c r="AB125" i="4"/>
  <c r="Z125" i="4"/>
  <c r="Y125" i="4"/>
  <c r="U125" i="4"/>
  <c r="T125" i="4"/>
  <c r="S125" i="4"/>
  <c r="R125" i="4"/>
  <c r="Q125" i="4"/>
  <c r="AE125" i="4" s="1"/>
  <c r="P125" i="4"/>
  <c r="O125" i="4"/>
  <c r="N125" i="4"/>
  <c r="M125" i="4"/>
  <c r="L125" i="4"/>
  <c r="K125" i="4"/>
  <c r="J125" i="4"/>
  <c r="I125" i="4"/>
  <c r="H125" i="4"/>
  <c r="AG125" i="4" s="1"/>
  <c r="G125" i="4"/>
  <c r="AF125" i="4" s="1"/>
  <c r="F125" i="4"/>
  <c r="E125" i="4"/>
  <c r="AD125" i="4" s="1"/>
  <c r="D125" i="4"/>
  <c r="C125" i="4"/>
  <c r="AA125" i="4" s="1"/>
  <c r="B125" i="4"/>
  <c r="AG124" i="4"/>
  <c r="AE124" i="4"/>
  <c r="AD124" i="4"/>
  <c r="AA124" i="4"/>
  <c r="Y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AF124" i="4" s="1"/>
  <c r="F124" i="4"/>
  <c r="AC124" i="4" s="1"/>
  <c r="AJ124" i="4" s="1"/>
  <c r="E124" i="4"/>
  <c r="D124" i="4"/>
  <c r="AB124" i="4" s="1"/>
  <c r="AK124" i="4" s="1"/>
  <c r="C124" i="4"/>
  <c r="B124" i="4"/>
  <c r="Z124" i="4" s="1"/>
  <c r="AJ123" i="4"/>
  <c r="AF123" i="4"/>
  <c r="AC123" i="4"/>
  <c r="AB123" i="4"/>
  <c r="AK123" i="4" s="1"/>
  <c r="Z123" i="4"/>
  <c r="Y123" i="4"/>
  <c r="U123" i="4"/>
  <c r="T123" i="4"/>
  <c r="S123" i="4"/>
  <c r="R123" i="4"/>
  <c r="Q123" i="4"/>
  <c r="AE123" i="4" s="1"/>
  <c r="P123" i="4"/>
  <c r="O123" i="4"/>
  <c r="N123" i="4"/>
  <c r="M123" i="4"/>
  <c r="L123" i="4"/>
  <c r="K123" i="4"/>
  <c r="J123" i="4"/>
  <c r="I123" i="4"/>
  <c r="H123" i="4"/>
  <c r="AG123" i="4" s="1"/>
  <c r="G123" i="4"/>
  <c r="F123" i="4"/>
  <c r="E123" i="4"/>
  <c r="AD123" i="4" s="1"/>
  <c r="D123" i="4"/>
  <c r="C123" i="4"/>
  <c r="AA123" i="4" s="1"/>
  <c r="B123" i="4"/>
  <c r="AE122" i="4"/>
  <c r="AC122" i="4"/>
  <c r="AJ122" i="4" s="1"/>
  <c r="AA122" i="4"/>
  <c r="Y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AG122" i="4" s="1"/>
  <c r="G122" i="4"/>
  <c r="AF122" i="4" s="1"/>
  <c r="F122" i="4"/>
  <c r="E122" i="4"/>
  <c r="AD122" i="4" s="1"/>
  <c r="D122" i="4"/>
  <c r="AB122" i="4" s="1"/>
  <c r="AK122" i="4" s="1"/>
  <c r="C122" i="4"/>
  <c r="B122" i="4"/>
  <c r="Z122" i="4" s="1"/>
  <c r="AL122" i="4" s="1"/>
  <c r="AG121" i="4"/>
  <c r="AD121" i="4"/>
  <c r="AB121" i="4"/>
  <c r="Z121" i="4"/>
  <c r="AL121" i="4" s="1"/>
  <c r="Y121" i="4"/>
  <c r="U121" i="4"/>
  <c r="T121" i="4"/>
  <c r="S121" i="4"/>
  <c r="R121" i="4"/>
  <c r="Q121" i="4"/>
  <c r="AE121" i="4" s="1"/>
  <c r="P121" i="4"/>
  <c r="O121" i="4"/>
  <c r="N121" i="4"/>
  <c r="M121" i="4"/>
  <c r="L121" i="4"/>
  <c r="K121" i="4"/>
  <c r="J121" i="4"/>
  <c r="I121" i="4"/>
  <c r="AH121" i="4" s="1"/>
  <c r="AM121" i="4" s="1"/>
  <c r="H121" i="4"/>
  <c r="G121" i="4"/>
  <c r="AF121" i="4" s="1"/>
  <c r="F121" i="4"/>
  <c r="E121" i="4"/>
  <c r="D121" i="4"/>
  <c r="C121" i="4"/>
  <c r="AA121" i="4" s="1"/>
  <c r="B121" i="4"/>
  <c r="AF120" i="4"/>
  <c r="AA120" i="4"/>
  <c r="Y120" i="4"/>
  <c r="U120" i="4"/>
  <c r="T120" i="4"/>
  <c r="S120" i="4"/>
  <c r="R120" i="4"/>
  <c r="Q120" i="4"/>
  <c r="AE120" i="4" s="1"/>
  <c r="P120" i="4"/>
  <c r="O120" i="4"/>
  <c r="N120" i="4"/>
  <c r="M120" i="4"/>
  <c r="L120" i="4"/>
  <c r="K120" i="4"/>
  <c r="J120" i="4"/>
  <c r="I120" i="4"/>
  <c r="H120" i="4"/>
  <c r="AG120" i="4" s="1"/>
  <c r="G120" i="4"/>
  <c r="F120" i="4"/>
  <c r="AC120" i="4" s="1"/>
  <c r="AJ120" i="4" s="1"/>
  <c r="E120" i="4"/>
  <c r="AD120" i="4" s="1"/>
  <c r="D120" i="4"/>
  <c r="AB120" i="4" s="1"/>
  <c r="AK120" i="4" s="1"/>
  <c r="C120" i="4"/>
  <c r="B120" i="4"/>
  <c r="Z120" i="4" s="1"/>
  <c r="AE119" i="4"/>
  <c r="Z119" i="4"/>
  <c r="Y119" i="4"/>
  <c r="U119" i="4"/>
  <c r="T119" i="4"/>
  <c r="S119" i="4"/>
  <c r="R119" i="4"/>
  <c r="Q119" i="4"/>
  <c r="P119" i="4"/>
  <c r="O119" i="4"/>
  <c r="N119" i="4"/>
  <c r="M119" i="4"/>
  <c r="AH119" i="4" s="1"/>
  <c r="AM119" i="4" s="1"/>
  <c r="L119" i="4"/>
  <c r="K119" i="4"/>
  <c r="J119" i="4"/>
  <c r="I119" i="4"/>
  <c r="H119" i="4"/>
  <c r="AG119" i="4" s="1"/>
  <c r="G119" i="4"/>
  <c r="AF119" i="4" s="1"/>
  <c r="F119" i="4"/>
  <c r="E119" i="4"/>
  <c r="AD119" i="4" s="1"/>
  <c r="D119" i="4"/>
  <c r="AB119" i="4" s="1"/>
  <c r="C119" i="4"/>
  <c r="AA119" i="4" s="1"/>
  <c r="B119" i="4"/>
  <c r="AG118" i="4"/>
  <c r="AE118" i="4"/>
  <c r="AD118" i="4"/>
  <c r="AA118" i="4"/>
  <c r="Y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AF118" i="4" s="1"/>
  <c r="F118" i="4"/>
  <c r="AC118" i="4" s="1"/>
  <c r="AJ118" i="4" s="1"/>
  <c r="E118" i="4"/>
  <c r="D118" i="4"/>
  <c r="AB118" i="4" s="1"/>
  <c r="AK118" i="4" s="1"/>
  <c r="C118" i="4"/>
  <c r="B118" i="4"/>
  <c r="Z118" i="4" s="1"/>
  <c r="AF117" i="4"/>
  <c r="AD117" i="4"/>
  <c r="AC117" i="4"/>
  <c r="AJ117" i="4" s="1"/>
  <c r="AB117" i="4"/>
  <c r="AK117" i="4" s="1"/>
  <c r="Y117" i="4"/>
  <c r="U117" i="4"/>
  <c r="T117" i="4"/>
  <c r="S117" i="4"/>
  <c r="R117" i="4"/>
  <c r="Q117" i="4"/>
  <c r="AE117" i="4" s="1"/>
  <c r="P117" i="4"/>
  <c r="O117" i="4"/>
  <c r="N117" i="4"/>
  <c r="M117" i="4"/>
  <c r="L117" i="4"/>
  <c r="K117" i="4"/>
  <c r="J117" i="4"/>
  <c r="I117" i="4"/>
  <c r="H117" i="4"/>
  <c r="AG117" i="4" s="1"/>
  <c r="G117" i="4"/>
  <c r="F117" i="4"/>
  <c r="E117" i="4"/>
  <c r="D117" i="4"/>
  <c r="C117" i="4"/>
  <c r="AA117" i="4" s="1"/>
  <c r="B117" i="4"/>
  <c r="Z117" i="4" s="1"/>
  <c r="AL117" i="4" s="1"/>
  <c r="AE116" i="4"/>
  <c r="AA116" i="4"/>
  <c r="Y116" i="4"/>
  <c r="U116" i="4"/>
  <c r="T116" i="4"/>
  <c r="S116" i="4"/>
  <c r="AC116" i="4" s="1"/>
  <c r="AJ116" i="4" s="1"/>
  <c r="R116" i="4"/>
  <c r="Q116" i="4"/>
  <c r="P116" i="4"/>
  <c r="O116" i="4"/>
  <c r="N116" i="4"/>
  <c r="M116" i="4"/>
  <c r="L116" i="4"/>
  <c r="K116" i="4"/>
  <c r="J116" i="4"/>
  <c r="I116" i="4"/>
  <c r="H116" i="4"/>
  <c r="AG116" i="4" s="1"/>
  <c r="G116" i="4"/>
  <c r="AF116" i="4" s="1"/>
  <c r="F116" i="4"/>
  <c r="E116" i="4"/>
  <c r="AD116" i="4" s="1"/>
  <c r="D116" i="4"/>
  <c r="AB116" i="4" s="1"/>
  <c r="AK116" i="4" s="1"/>
  <c r="C116" i="4"/>
  <c r="B116" i="4"/>
  <c r="Z116" i="4" s="1"/>
  <c r="AL116" i="4" s="1"/>
  <c r="AG115" i="4"/>
  <c r="AD115" i="4"/>
  <c r="AB115" i="4"/>
  <c r="AK115" i="4" s="1"/>
  <c r="Z115" i="4"/>
  <c r="AL115" i="4" s="1"/>
  <c r="Y115" i="4"/>
  <c r="U115" i="4"/>
  <c r="T115" i="4"/>
  <c r="S115" i="4"/>
  <c r="R115" i="4"/>
  <c r="Q115" i="4"/>
  <c r="AE115" i="4" s="1"/>
  <c r="P115" i="4"/>
  <c r="O115" i="4"/>
  <c r="N115" i="4"/>
  <c r="M115" i="4"/>
  <c r="L115" i="4"/>
  <c r="K115" i="4"/>
  <c r="J115" i="4"/>
  <c r="I115" i="4"/>
  <c r="H115" i="4"/>
  <c r="G115" i="4"/>
  <c r="AF115" i="4" s="1"/>
  <c r="F115" i="4"/>
  <c r="E115" i="4"/>
  <c r="D115" i="4"/>
  <c r="C115" i="4"/>
  <c r="AA115" i="4" s="1"/>
  <c r="B115" i="4"/>
  <c r="AL114" i="4"/>
  <c r="AG114" i="4"/>
  <c r="AF114" i="4"/>
  <c r="AB114" i="4"/>
  <c r="AA114" i="4"/>
  <c r="Y114" i="4"/>
  <c r="U114" i="4"/>
  <c r="T114" i="4"/>
  <c r="S114" i="4"/>
  <c r="R114" i="4"/>
  <c r="Q114" i="4"/>
  <c r="AE114" i="4" s="1"/>
  <c r="P114" i="4"/>
  <c r="O114" i="4"/>
  <c r="N114" i="4"/>
  <c r="M114" i="4"/>
  <c r="L114" i="4"/>
  <c r="K114" i="4"/>
  <c r="J114" i="4"/>
  <c r="I114" i="4"/>
  <c r="H114" i="4"/>
  <c r="G114" i="4"/>
  <c r="F114" i="4"/>
  <c r="AC114" i="4" s="1"/>
  <c r="AJ114" i="4" s="1"/>
  <c r="E114" i="4"/>
  <c r="AD114" i="4" s="1"/>
  <c r="D114" i="4"/>
  <c r="C114" i="4"/>
  <c r="B114" i="4"/>
  <c r="Z114" i="4" s="1"/>
  <c r="AB113" i="4"/>
  <c r="Z113" i="4"/>
  <c r="Y113" i="4"/>
  <c r="U113" i="4"/>
  <c r="T113" i="4"/>
  <c r="S113" i="4"/>
  <c r="R113" i="4"/>
  <c r="Q113" i="4"/>
  <c r="AE113" i="4" s="1"/>
  <c r="P113" i="4"/>
  <c r="O113" i="4"/>
  <c r="N113" i="4"/>
  <c r="M113" i="4"/>
  <c r="L113" i="4"/>
  <c r="K113" i="4"/>
  <c r="AH113" i="4" s="1"/>
  <c r="AM113" i="4" s="1"/>
  <c r="J113" i="4"/>
  <c r="I113" i="4"/>
  <c r="H113" i="4"/>
  <c r="AG113" i="4" s="1"/>
  <c r="G113" i="4"/>
  <c r="AF113" i="4" s="1"/>
  <c r="F113" i="4"/>
  <c r="E113" i="4"/>
  <c r="AD113" i="4" s="1"/>
  <c r="D113" i="4"/>
  <c r="C113" i="4"/>
  <c r="AA113" i="4" s="1"/>
  <c r="B113" i="4"/>
  <c r="AG112" i="4"/>
  <c r="AE112" i="4"/>
  <c r="AD112" i="4"/>
  <c r="Y112" i="4"/>
  <c r="U112" i="4"/>
  <c r="T112" i="4"/>
  <c r="AH112" i="4" s="1"/>
  <c r="AM112" i="4" s="1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AF112" i="4" s="1"/>
  <c r="F112" i="4"/>
  <c r="AC112" i="4" s="1"/>
  <c r="AJ112" i="4" s="1"/>
  <c r="E112" i="4"/>
  <c r="D112" i="4"/>
  <c r="AB112" i="4" s="1"/>
  <c r="C112" i="4"/>
  <c r="AA112" i="4" s="1"/>
  <c r="B112" i="4"/>
  <c r="Z112" i="4" s="1"/>
  <c r="AJ111" i="4"/>
  <c r="AF111" i="4"/>
  <c r="AD111" i="4"/>
  <c r="AC111" i="4"/>
  <c r="Z111" i="4"/>
  <c r="AL111" i="4" s="1"/>
  <c r="Y111" i="4"/>
  <c r="U111" i="4"/>
  <c r="T111" i="4"/>
  <c r="S111" i="4"/>
  <c r="R111" i="4"/>
  <c r="Q111" i="4"/>
  <c r="AE111" i="4" s="1"/>
  <c r="P111" i="4"/>
  <c r="O111" i="4"/>
  <c r="N111" i="4"/>
  <c r="M111" i="4"/>
  <c r="L111" i="4"/>
  <c r="K111" i="4"/>
  <c r="J111" i="4"/>
  <c r="I111" i="4"/>
  <c r="H111" i="4"/>
  <c r="AG111" i="4" s="1"/>
  <c r="G111" i="4"/>
  <c r="F111" i="4"/>
  <c r="E111" i="4"/>
  <c r="D111" i="4"/>
  <c r="AB111" i="4" s="1"/>
  <c r="C111" i="4"/>
  <c r="AA111" i="4" s="1"/>
  <c r="B111" i="4"/>
  <c r="AE110" i="4"/>
  <c r="AD110" i="4"/>
  <c r="AC110" i="4"/>
  <c r="Y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AG110" i="4" s="1"/>
  <c r="G110" i="4"/>
  <c r="AF110" i="4" s="1"/>
  <c r="F110" i="4"/>
  <c r="E110" i="4"/>
  <c r="D110" i="4"/>
  <c r="AB110" i="4" s="1"/>
  <c r="AK110" i="4" s="1"/>
  <c r="C110" i="4"/>
  <c r="AA110" i="4" s="1"/>
  <c r="B110" i="4"/>
  <c r="Z110" i="4" s="1"/>
  <c r="AL110" i="4" s="1"/>
  <c r="AG109" i="4"/>
  <c r="AE109" i="4"/>
  <c r="AD109" i="4"/>
  <c r="AB109" i="4"/>
  <c r="AK109" i="4" s="1"/>
  <c r="AA109" i="4"/>
  <c r="Y109" i="4"/>
  <c r="U109" i="4"/>
  <c r="T109" i="4"/>
  <c r="S109" i="4"/>
  <c r="R109" i="4"/>
  <c r="Q109" i="4"/>
  <c r="P109" i="4"/>
  <c r="O109" i="4"/>
  <c r="N109" i="4"/>
  <c r="M109" i="4"/>
  <c r="L109" i="4"/>
  <c r="AH109" i="4" s="1"/>
  <c r="AM109" i="4" s="1"/>
  <c r="K109" i="4"/>
  <c r="J109" i="4"/>
  <c r="I109" i="4"/>
  <c r="H109" i="4"/>
  <c r="G109" i="4"/>
  <c r="AF109" i="4" s="1"/>
  <c r="F109" i="4"/>
  <c r="AC109" i="4" s="1"/>
  <c r="AJ109" i="4" s="1"/>
  <c r="E109" i="4"/>
  <c r="D109" i="4"/>
  <c r="C109" i="4"/>
  <c r="B109" i="4"/>
  <c r="Z109" i="4" s="1"/>
  <c r="AG108" i="4"/>
  <c r="AF108" i="4"/>
  <c r="AD108" i="4"/>
  <c r="AB108" i="4"/>
  <c r="Z108" i="4"/>
  <c r="Y108" i="4"/>
  <c r="U108" i="4"/>
  <c r="T108" i="4"/>
  <c r="S108" i="4"/>
  <c r="R108" i="4"/>
  <c r="Q108" i="4"/>
  <c r="AE108" i="4" s="1"/>
  <c r="P108" i="4"/>
  <c r="O108" i="4"/>
  <c r="N108" i="4"/>
  <c r="M108" i="4"/>
  <c r="L108" i="4"/>
  <c r="K108" i="4"/>
  <c r="J108" i="4"/>
  <c r="I108" i="4"/>
  <c r="H108" i="4"/>
  <c r="G108" i="4"/>
  <c r="F108" i="4"/>
  <c r="AC108" i="4" s="1"/>
  <c r="E108" i="4"/>
  <c r="D108" i="4"/>
  <c r="C108" i="4"/>
  <c r="AA108" i="4" s="1"/>
  <c r="B108" i="4"/>
  <c r="AF107" i="4"/>
  <c r="AC107" i="4"/>
  <c r="AA107" i="4"/>
  <c r="Y107" i="4"/>
  <c r="U107" i="4"/>
  <c r="T107" i="4"/>
  <c r="S107" i="4"/>
  <c r="R107" i="4"/>
  <c r="Q107" i="4"/>
  <c r="AE107" i="4" s="1"/>
  <c r="P107" i="4"/>
  <c r="O107" i="4"/>
  <c r="N107" i="4"/>
  <c r="M107" i="4"/>
  <c r="L107" i="4"/>
  <c r="K107" i="4"/>
  <c r="J107" i="4"/>
  <c r="I107" i="4"/>
  <c r="H107" i="4"/>
  <c r="AG107" i="4" s="1"/>
  <c r="G107" i="4"/>
  <c r="F107" i="4"/>
  <c r="E107" i="4"/>
  <c r="AD107" i="4" s="1"/>
  <c r="D107" i="4"/>
  <c r="AB107" i="4" s="1"/>
  <c r="AK107" i="4" s="1"/>
  <c r="C107" i="4"/>
  <c r="B107" i="4"/>
  <c r="Z107" i="4" s="1"/>
  <c r="AG106" i="4"/>
  <c r="AE106" i="4"/>
  <c r="AD106" i="4"/>
  <c r="AB106" i="4"/>
  <c r="Z106" i="4"/>
  <c r="Y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AH106" i="4" s="1"/>
  <c r="AM106" i="4" s="1"/>
  <c r="H106" i="4"/>
  <c r="G106" i="4"/>
  <c r="AF106" i="4" s="1"/>
  <c r="F106" i="4"/>
  <c r="E106" i="4"/>
  <c r="D106" i="4"/>
  <c r="C106" i="4"/>
  <c r="AA106" i="4" s="1"/>
  <c r="AK106" i="4" s="1"/>
  <c r="B106" i="4"/>
  <c r="AF105" i="4"/>
  <c r="AD105" i="4"/>
  <c r="AA105" i="4"/>
  <c r="Y105" i="4"/>
  <c r="U105" i="4"/>
  <c r="T105" i="4"/>
  <c r="S105" i="4"/>
  <c r="R105" i="4"/>
  <c r="Q105" i="4"/>
  <c r="AE105" i="4" s="1"/>
  <c r="P105" i="4"/>
  <c r="O105" i="4"/>
  <c r="N105" i="4"/>
  <c r="M105" i="4"/>
  <c r="L105" i="4"/>
  <c r="K105" i="4"/>
  <c r="J105" i="4"/>
  <c r="I105" i="4"/>
  <c r="H105" i="4"/>
  <c r="AG105" i="4" s="1"/>
  <c r="G105" i="4"/>
  <c r="F105" i="4"/>
  <c r="AC105" i="4" s="1"/>
  <c r="AJ105" i="4" s="1"/>
  <c r="E105" i="4"/>
  <c r="D105" i="4"/>
  <c r="AB105" i="4" s="1"/>
  <c r="C105" i="4"/>
  <c r="B105" i="4"/>
  <c r="Z105" i="4" s="1"/>
  <c r="AK104" i="4"/>
  <c r="AE104" i="4"/>
  <c r="Y104" i="4"/>
  <c r="U104" i="4"/>
  <c r="T104" i="4"/>
  <c r="S104" i="4"/>
  <c r="AC104" i="4" s="1"/>
  <c r="AJ104" i="4" s="1"/>
  <c r="R104" i="4"/>
  <c r="Q104" i="4"/>
  <c r="P104" i="4"/>
  <c r="O104" i="4"/>
  <c r="N104" i="4"/>
  <c r="M104" i="4"/>
  <c r="L104" i="4"/>
  <c r="K104" i="4"/>
  <c r="J104" i="4"/>
  <c r="AH104" i="4" s="1"/>
  <c r="AM104" i="4" s="1"/>
  <c r="I104" i="4"/>
  <c r="H104" i="4"/>
  <c r="AG104" i="4" s="1"/>
  <c r="G104" i="4"/>
  <c r="AF104" i="4" s="1"/>
  <c r="F104" i="4"/>
  <c r="E104" i="4"/>
  <c r="AD104" i="4" s="1"/>
  <c r="D104" i="4"/>
  <c r="AB104" i="4" s="1"/>
  <c r="C104" i="4"/>
  <c r="AA104" i="4" s="1"/>
  <c r="B104" i="4"/>
  <c r="Z104" i="4" s="1"/>
  <c r="AG103" i="4"/>
  <c r="AE103" i="4"/>
  <c r="AJ103" i="4" s="1"/>
  <c r="AD103" i="4"/>
  <c r="AA103" i="4"/>
  <c r="Y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AH103" i="4" s="1"/>
  <c r="AM103" i="4" s="1"/>
  <c r="I103" i="4"/>
  <c r="H103" i="4"/>
  <c r="G103" i="4"/>
  <c r="AF103" i="4" s="1"/>
  <c r="F103" i="4"/>
  <c r="AC103" i="4" s="1"/>
  <c r="E103" i="4"/>
  <c r="D103" i="4"/>
  <c r="AB103" i="4" s="1"/>
  <c r="AK103" i="4" s="1"/>
  <c r="C103" i="4"/>
  <c r="B103" i="4"/>
  <c r="Z103" i="4" s="1"/>
  <c r="AL102" i="4"/>
  <c r="AF102" i="4"/>
  <c r="AC102" i="4"/>
  <c r="AJ102" i="4" s="1"/>
  <c r="AB102" i="4"/>
  <c r="AA102" i="4"/>
  <c r="Y102" i="4"/>
  <c r="U102" i="4"/>
  <c r="T102" i="4"/>
  <c r="S102" i="4"/>
  <c r="R102" i="4"/>
  <c r="Q102" i="4"/>
  <c r="AE102" i="4" s="1"/>
  <c r="P102" i="4"/>
  <c r="O102" i="4"/>
  <c r="N102" i="4"/>
  <c r="M102" i="4"/>
  <c r="L102" i="4"/>
  <c r="K102" i="4"/>
  <c r="J102" i="4"/>
  <c r="I102" i="4"/>
  <c r="H102" i="4"/>
  <c r="AG102" i="4" s="1"/>
  <c r="G102" i="4"/>
  <c r="F102" i="4"/>
  <c r="E102" i="4"/>
  <c r="AD102" i="4" s="1"/>
  <c r="D102" i="4"/>
  <c r="C102" i="4"/>
  <c r="B102" i="4"/>
  <c r="Z102" i="4" s="1"/>
  <c r="AF101" i="4"/>
  <c r="AE101" i="4"/>
  <c r="AB101" i="4"/>
  <c r="AK101" i="4" s="1"/>
  <c r="Y101" i="4"/>
  <c r="U101" i="4"/>
  <c r="T101" i="4"/>
  <c r="S101" i="4"/>
  <c r="AC101" i="4" s="1"/>
  <c r="R101" i="4"/>
  <c r="Q101" i="4"/>
  <c r="P101" i="4"/>
  <c r="O101" i="4"/>
  <c r="N101" i="4"/>
  <c r="M101" i="4"/>
  <c r="L101" i="4"/>
  <c r="K101" i="4"/>
  <c r="J101" i="4"/>
  <c r="I101" i="4"/>
  <c r="H101" i="4"/>
  <c r="AG101" i="4" s="1"/>
  <c r="G101" i="4"/>
  <c r="F101" i="4"/>
  <c r="E101" i="4"/>
  <c r="AD101" i="4" s="1"/>
  <c r="D101" i="4"/>
  <c r="C101" i="4"/>
  <c r="AA101" i="4" s="1"/>
  <c r="B101" i="4"/>
  <c r="Z101" i="4" s="1"/>
  <c r="AK100" i="4"/>
  <c r="AH100" i="4"/>
  <c r="AM100" i="4" s="1"/>
  <c r="AG100" i="4"/>
  <c r="AE100" i="4"/>
  <c r="AD100" i="4"/>
  <c r="AB100" i="4"/>
  <c r="Z100" i="4"/>
  <c r="Y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AF100" i="4" s="1"/>
  <c r="F100" i="4"/>
  <c r="E100" i="4"/>
  <c r="D100" i="4"/>
  <c r="C100" i="4"/>
  <c r="AA100" i="4" s="1"/>
  <c r="B100" i="4"/>
  <c r="AG99" i="4"/>
  <c r="AF99" i="4"/>
  <c r="AD99" i="4"/>
  <c r="AA99" i="4"/>
  <c r="Y99" i="4"/>
  <c r="U99" i="4"/>
  <c r="T99" i="4"/>
  <c r="S99" i="4"/>
  <c r="R99" i="4"/>
  <c r="Q99" i="4"/>
  <c r="AE99" i="4" s="1"/>
  <c r="P99" i="4"/>
  <c r="O99" i="4"/>
  <c r="N99" i="4"/>
  <c r="M99" i="4"/>
  <c r="L99" i="4"/>
  <c r="K99" i="4"/>
  <c r="J99" i="4"/>
  <c r="I99" i="4"/>
  <c r="H99" i="4"/>
  <c r="G99" i="4"/>
  <c r="F99" i="4"/>
  <c r="AC99" i="4" s="1"/>
  <c r="AJ99" i="4" s="1"/>
  <c r="E99" i="4"/>
  <c r="D99" i="4"/>
  <c r="AB99" i="4" s="1"/>
  <c r="C99" i="4"/>
  <c r="B99" i="4"/>
  <c r="Z99" i="4" s="1"/>
  <c r="AF98" i="4"/>
  <c r="AE98" i="4"/>
  <c r="AD98" i="4"/>
  <c r="AA98" i="4"/>
  <c r="Y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AG98" i="4" s="1"/>
  <c r="G98" i="4"/>
  <c r="F98" i="4"/>
  <c r="AC98" i="4" s="1"/>
  <c r="AJ98" i="4" s="1"/>
  <c r="E98" i="4"/>
  <c r="D98" i="4"/>
  <c r="AB98" i="4" s="1"/>
  <c r="AK98" i="4" s="1"/>
  <c r="C98" i="4"/>
  <c r="B98" i="4"/>
  <c r="Z98" i="4" s="1"/>
  <c r="AL97" i="4"/>
  <c r="AB97" i="4"/>
  <c r="AK97" i="4" s="1"/>
  <c r="Z97" i="4"/>
  <c r="Y97" i="4"/>
  <c r="U97" i="4"/>
  <c r="T97" i="4"/>
  <c r="S97" i="4"/>
  <c r="AC97" i="4" s="1"/>
  <c r="AJ97" i="4" s="1"/>
  <c r="R97" i="4"/>
  <c r="Q97" i="4"/>
  <c r="AE97" i="4" s="1"/>
  <c r="P97" i="4"/>
  <c r="O97" i="4"/>
  <c r="N97" i="4"/>
  <c r="M97" i="4"/>
  <c r="AH97" i="4" s="1"/>
  <c r="AM97" i="4" s="1"/>
  <c r="L97" i="4"/>
  <c r="K97" i="4"/>
  <c r="J97" i="4"/>
  <c r="I97" i="4"/>
  <c r="H97" i="4"/>
  <c r="AG97" i="4" s="1"/>
  <c r="G97" i="4"/>
  <c r="AF97" i="4" s="1"/>
  <c r="F97" i="4"/>
  <c r="E97" i="4"/>
  <c r="AD97" i="4" s="1"/>
  <c r="D97" i="4"/>
  <c r="C97" i="4"/>
  <c r="AA97" i="4" s="1"/>
  <c r="B97" i="4"/>
  <c r="AG96" i="4"/>
  <c r="AE96" i="4"/>
  <c r="AD96" i="4"/>
  <c r="AA96" i="4"/>
  <c r="AK96" i="4" s="1"/>
  <c r="Y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AF96" i="4" s="1"/>
  <c r="F96" i="4"/>
  <c r="AC96" i="4" s="1"/>
  <c r="AJ96" i="4" s="1"/>
  <c r="E96" i="4"/>
  <c r="D96" i="4"/>
  <c r="AB96" i="4" s="1"/>
  <c r="C96" i="4"/>
  <c r="B96" i="4"/>
  <c r="Z96" i="4" s="1"/>
  <c r="AL95" i="4"/>
  <c r="AG95" i="4"/>
  <c r="AF95" i="4"/>
  <c r="AB95" i="4"/>
  <c r="Z95" i="4"/>
  <c r="Y95" i="4"/>
  <c r="U95" i="4"/>
  <c r="T95" i="4"/>
  <c r="S95" i="4"/>
  <c r="R95" i="4"/>
  <c r="Q95" i="4"/>
  <c r="AE95" i="4" s="1"/>
  <c r="P95" i="4"/>
  <c r="O95" i="4"/>
  <c r="N95" i="4"/>
  <c r="M95" i="4"/>
  <c r="L95" i="4"/>
  <c r="K95" i="4"/>
  <c r="J95" i="4"/>
  <c r="I95" i="4"/>
  <c r="H95" i="4"/>
  <c r="G95" i="4"/>
  <c r="F95" i="4"/>
  <c r="AC95" i="4" s="1"/>
  <c r="AJ95" i="4" s="1"/>
  <c r="E95" i="4"/>
  <c r="AD95" i="4" s="1"/>
  <c r="D95" i="4"/>
  <c r="C95" i="4"/>
  <c r="AA95" i="4" s="1"/>
  <c r="B95" i="4"/>
  <c r="AK94" i="4"/>
  <c r="AF94" i="4"/>
  <c r="AE94" i="4"/>
  <c r="AC94" i="4"/>
  <c r="AJ94" i="4" s="1"/>
  <c r="AA94" i="4"/>
  <c r="Y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AG94" i="4" s="1"/>
  <c r="G94" i="4"/>
  <c r="F94" i="4"/>
  <c r="E94" i="4"/>
  <c r="AD94" i="4" s="1"/>
  <c r="D94" i="4"/>
  <c r="AB94" i="4" s="1"/>
  <c r="C94" i="4"/>
  <c r="B94" i="4"/>
  <c r="Z94" i="4" s="1"/>
  <c r="AL94" i="4" s="1"/>
  <c r="AJ93" i="4"/>
  <c r="AH93" i="4"/>
  <c r="AM93" i="4" s="1"/>
  <c r="AG93" i="4"/>
  <c r="AE93" i="4"/>
  <c r="AD93" i="4"/>
  <c r="AB93" i="4"/>
  <c r="AK93" i="4" s="1"/>
  <c r="Z93" i="4"/>
  <c r="AL93" i="4" s="1"/>
  <c r="Y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AF93" i="4" s="1"/>
  <c r="F93" i="4"/>
  <c r="AC93" i="4" s="1"/>
  <c r="E93" i="4"/>
  <c r="D93" i="4"/>
  <c r="C93" i="4"/>
  <c r="AA93" i="4" s="1"/>
  <c r="B93" i="4"/>
  <c r="AF92" i="4"/>
  <c r="AE92" i="4"/>
  <c r="AD92" i="4"/>
  <c r="AA92" i="4"/>
  <c r="Y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AG92" i="4" s="1"/>
  <c r="G92" i="4"/>
  <c r="F92" i="4"/>
  <c r="AC92" i="4" s="1"/>
  <c r="AJ92" i="4" s="1"/>
  <c r="E92" i="4"/>
  <c r="D92" i="4"/>
  <c r="AB92" i="4" s="1"/>
  <c r="C92" i="4"/>
  <c r="B92" i="4"/>
  <c r="Z92" i="4" s="1"/>
  <c r="AL92" i="4" s="1"/>
  <c r="AL91" i="4"/>
  <c r="AB91" i="4"/>
  <c r="Z91" i="4"/>
  <c r="Y91" i="4"/>
  <c r="U91" i="4"/>
  <c r="T91" i="4"/>
  <c r="S91" i="4"/>
  <c r="AC91" i="4" s="1"/>
  <c r="AJ91" i="4" s="1"/>
  <c r="R91" i="4"/>
  <c r="Q91" i="4"/>
  <c r="AE91" i="4" s="1"/>
  <c r="P91" i="4"/>
  <c r="O91" i="4"/>
  <c r="N91" i="4"/>
  <c r="M91" i="4"/>
  <c r="L91" i="4"/>
  <c r="K91" i="4"/>
  <c r="AH91" i="4" s="1"/>
  <c r="AM91" i="4" s="1"/>
  <c r="J91" i="4"/>
  <c r="I91" i="4"/>
  <c r="H91" i="4"/>
  <c r="AG91" i="4" s="1"/>
  <c r="G91" i="4"/>
  <c r="AF91" i="4" s="1"/>
  <c r="F91" i="4"/>
  <c r="E91" i="4"/>
  <c r="AD91" i="4" s="1"/>
  <c r="D91" i="4"/>
  <c r="C91" i="4"/>
  <c r="AA91" i="4" s="1"/>
  <c r="B91" i="4"/>
  <c r="AM90" i="4"/>
  <c r="AG90" i="4"/>
  <c r="AE90" i="4"/>
  <c r="AA90" i="4"/>
  <c r="AK90" i="4" s="1"/>
  <c r="Y90" i="4"/>
  <c r="U90" i="4"/>
  <c r="T90" i="4"/>
  <c r="S90" i="4"/>
  <c r="R90" i="4"/>
  <c r="Q90" i="4"/>
  <c r="P90" i="4"/>
  <c r="O90" i="4"/>
  <c r="N90" i="4"/>
  <c r="M90" i="4"/>
  <c r="L90" i="4"/>
  <c r="K90" i="4"/>
  <c r="J90" i="4"/>
  <c r="AH90" i="4" s="1"/>
  <c r="I90" i="4"/>
  <c r="H90" i="4"/>
  <c r="G90" i="4"/>
  <c r="AF90" i="4" s="1"/>
  <c r="F90" i="4"/>
  <c r="AC90" i="4" s="1"/>
  <c r="AJ90" i="4" s="1"/>
  <c r="E90" i="4"/>
  <c r="AD90" i="4" s="1"/>
  <c r="D90" i="4"/>
  <c r="AB90" i="4" s="1"/>
  <c r="C90" i="4"/>
  <c r="B90" i="4"/>
  <c r="Z90" i="4" s="1"/>
  <c r="AG89" i="4"/>
  <c r="AF89" i="4"/>
  <c r="AD89" i="4"/>
  <c r="AB89" i="4"/>
  <c r="Z89" i="4"/>
  <c r="Y89" i="4"/>
  <c r="U89" i="4"/>
  <c r="T89" i="4"/>
  <c r="S89" i="4"/>
  <c r="R89" i="4"/>
  <c r="Q89" i="4"/>
  <c r="AE89" i="4" s="1"/>
  <c r="AJ89" i="4" s="1"/>
  <c r="P89" i="4"/>
  <c r="O89" i="4"/>
  <c r="N89" i="4"/>
  <c r="M89" i="4"/>
  <c r="L89" i="4"/>
  <c r="K89" i="4"/>
  <c r="J89" i="4"/>
  <c r="I89" i="4"/>
  <c r="H89" i="4"/>
  <c r="G89" i="4"/>
  <c r="F89" i="4"/>
  <c r="AC89" i="4" s="1"/>
  <c r="E89" i="4"/>
  <c r="D89" i="4"/>
  <c r="C89" i="4"/>
  <c r="AA89" i="4" s="1"/>
  <c r="B89" i="4"/>
  <c r="AF88" i="4"/>
  <c r="AE88" i="4"/>
  <c r="AC88" i="4"/>
  <c r="AJ88" i="4" s="1"/>
  <c r="AA88" i="4"/>
  <c r="Y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AG88" i="4" s="1"/>
  <c r="G88" i="4"/>
  <c r="F88" i="4"/>
  <c r="E88" i="4"/>
  <c r="AD88" i="4" s="1"/>
  <c r="D88" i="4"/>
  <c r="AB88" i="4" s="1"/>
  <c r="AK88" i="4" s="1"/>
  <c r="C88" i="4"/>
  <c r="B88" i="4"/>
  <c r="Z88" i="4" s="1"/>
  <c r="AL88" i="4" s="1"/>
  <c r="AE87" i="4"/>
  <c r="AD87" i="4"/>
  <c r="AB87" i="4"/>
  <c r="Z87" i="4"/>
  <c r="AL87" i="4" s="1"/>
  <c r="Y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AH87" i="4" s="1"/>
  <c r="AM87" i="4" s="1"/>
  <c r="H87" i="4"/>
  <c r="AG87" i="4" s="1"/>
  <c r="G87" i="4"/>
  <c r="AF87" i="4" s="1"/>
  <c r="F87" i="4"/>
  <c r="AC87" i="4" s="1"/>
  <c r="AJ87" i="4" s="1"/>
  <c r="E87" i="4"/>
  <c r="D87" i="4"/>
  <c r="C87" i="4"/>
  <c r="AA87" i="4" s="1"/>
  <c r="B87" i="4"/>
  <c r="AG86" i="4"/>
  <c r="AF86" i="4"/>
  <c r="AE86" i="4"/>
  <c r="AD86" i="4"/>
  <c r="AA86" i="4"/>
  <c r="Y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AC86" i="4" s="1"/>
  <c r="AJ86" i="4" s="1"/>
  <c r="E86" i="4"/>
  <c r="D86" i="4"/>
  <c r="AB86" i="4" s="1"/>
  <c r="AK86" i="4" s="1"/>
  <c r="C86" i="4"/>
  <c r="B86" i="4"/>
  <c r="Z86" i="4" s="1"/>
  <c r="AL86" i="4" s="1"/>
  <c r="AH85" i="4"/>
  <c r="AM85" i="4" s="1"/>
  <c r="AB85" i="4"/>
  <c r="Z85" i="4"/>
  <c r="AL85" i="4" s="1"/>
  <c r="Y85" i="4"/>
  <c r="U85" i="4"/>
  <c r="T85" i="4"/>
  <c r="S85" i="4"/>
  <c r="AC85" i="4" s="1"/>
  <c r="R85" i="4"/>
  <c r="Q85" i="4"/>
  <c r="AE85" i="4" s="1"/>
  <c r="P85" i="4"/>
  <c r="O85" i="4"/>
  <c r="N85" i="4"/>
  <c r="M85" i="4"/>
  <c r="L85" i="4"/>
  <c r="K85" i="4"/>
  <c r="J85" i="4"/>
  <c r="I85" i="4"/>
  <c r="H85" i="4"/>
  <c r="AG85" i="4" s="1"/>
  <c r="G85" i="4"/>
  <c r="AF85" i="4" s="1"/>
  <c r="F85" i="4"/>
  <c r="E85" i="4"/>
  <c r="AD85" i="4" s="1"/>
  <c r="D85" i="4"/>
  <c r="C85" i="4"/>
  <c r="AA85" i="4" s="1"/>
  <c r="B85" i="4"/>
  <c r="AK84" i="4"/>
  <c r="AG84" i="4"/>
  <c r="AE84" i="4"/>
  <c r="AA84" i="4"/>
  <c r="Y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AF84" i="4" s="1"/>
  <c r="F84" i="4"/>
  <c r="AC84" i="4" s="1"/>
  <c r="AJ84" i="4" s="1"/>
  <c r="E84" i="4"/>
  <c r="AD84" i="4" s="1"/>
  <c r="D84" i="4"/>
  <c r="AB84" i="4" s="1"/>
  <c r="C84" i="4"/>
  <c r="B84" i="4"/>
  <c r="Z84" i="4" s="1"/>
  <c r="AG83" i="4"/>
  <c r="AF83" i="4"/>
  <c r="AB83" i="4"/>
  <c r="Z83" i="4"/>
  <c r="Y83" i="4"/>
  <c r="U83" i="4"/>
  <c r="T83" i="4"/>
  <c r="S83" i="4"/>
  <c r="R83" i="4"/>
  <c r="Q83" i="4"/>
  <c r="AE83" i="4" s="1"/>
  <c r="P83" i="4"/>
  <c r="O83" i="4"/>
  <c r="N83" i="4"/>
  <c r="M83" i="4"/>
  <c r="L83" i="4"/>
  <c r="K83" i="4"/>
  <c r="J83" i="4"/>
  <c r="I83" i="4"/>
  <c r="AH83" i="4" s="1"/>
  <c r="AM83" i="4" s="1"/>
  <c r="H83" i="4"/>
  <c r="G83" i="4"/>
  <c r="F83" i="4"/>
  <c r="AC83" i="4" s="1"/>
  <c r="AJ83" i="4" s="1"/>
  <c r="E83" i="4"/>
  <c r="AD83" i="4" s="1"/>
  <c r="D83" i="4"/>
  <c r="C83" i="4"/>
  <c r="AA83" i="4" s="1"/>
  <c r="B83" i="4"/>
  <c r="AF82" i="4"/>
  <c r="AE82" i="4"/>
  <c r="AC82" i="4"/>
  <c r="AA82" i="4"/>
  <c r="Y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AG82" i="4" s="1"/>
  <c r="G82" i="4"/>
  <c r="F82" i="4"/>
  <c r="E82" i="4"/>
  <c r="AD82" i="4" s="1"/>
  <c r="D82" i="4"/>
  <c r="AB82" i="4" s="1"/>
  <c r="AK82" i="4" s="1"/>
  <c r="C82" i="4"/>
  <c r="B82" i="4"/>
  <c r="Z82" i="4" s="1"/>
  <c r="AL82" i="4" s="1"/>
  <c r="AG81" i="4"/>
  <c r="AE81" i="4"/>
  <c r="AD81" i="4"/>
  <c r="AB81" i="4"/>
  <c r="Z81" i="4"/>
  <c r="AL81" i="4" s="1"/>
  <c r="Y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AF81" i="4" s="1"/>
  <c r="F81" i="4"/>
  <c r="E81" i="4"/>
  <c r="D81" i="4"/>
  <c r="C81" i="4"/>
  <c r="AA81" i="4" s="1"/>
  <c r="B81" i="4"/>
  <c r="AD80" i="4"/>
  <c r="AA80" i="4"/>
  <c r="Y80" i="4"/>
  <c r="U80" i="4"/>
  <c r="T80" i="4"/>
  <c r="S80" i="4"/>
  <c r="R80" i="4"/>
  <c r="Q80" i="4"/>
  <c r="AE80" i="4" s="1"/>
  <c r="P80" i="4"/>
  <c r="O80" i="4"/>
  <c r="N80" i="4"/>
  <c r="M80" i="4"/>
  <c r="L80" i="4"/>
  <c r="K80" i="4"/>
  <c r="J80" i="4"/>
  <c r="I80" i="4"/>
  <c r="H80" i="4"/>
  <c r="AG80" i="4" s="1"/>
  <c r="G80" i="4"/>
  <c r="AF80" i="4" s="1"/>
  <c r="F80" i="4"/>
  <c r="AC80" i="4" s="1"/>
  <c r="AJ80" i="4" s="1"/>
  <c r="E80" i="4"/>
  <c r="D80" i="4"/>
  <c r="AB80" i="4" s="1"/>
  <c r="AK80" i="4" s="1"/>
  <c r="C80" i="4"/>
  <c r="B80" i="4"/>
  <c r="Z80" i="4" s="1"/>
  <c r="AL80" i="4" s="1"/>
  <c r="AH79" i="4"/>
  <c r="AM79" i="4" s="1"/>
  <c r="AB79" i="4"/>
  <c r="Z79" i="4"/>
  <c r="AL79" i="4" s="1"/>
  <c r="Y79" i="4"/>
  <c r="U79" i="4"/>
  <c r="T79" i="4"/>
  <c r="S79" i="4"/>
  <c r="AC79" i="4" s="1"/>
  <c r="R79" i="4"/>
  <c r="Q79" i="4"/>
  <c r="AE79" i="4" s="1"/>
  <c r="P79" i="4"/>
  <c r="O79" i="4"/>
  <c r="N79" i="4"/>
  <c r="M79" i="4"/>
  <c r="L79" i="4"/>
  <c r="K79" i="4"/>
  <c r="J79" i="4"/>
  <c r="I79" i="4"/>
  <c r="H79" i="4"/>
  <c r="AG79" i="4" s="1"/>
  <c r="G79" i="4"/>
  <c r="AF79" i="4" s="1"/>
  <c r="F79" i="4"/>
  <c r="E79" i="4"/>
  <c r="AD79" i="4" s="1"/>
  <c r="D79" i="4"/>
  <c r="C79" i="4"/>
  <c r="AA79" i="4" s="1"/>
  <c r="B79" i="4"/>
  <c r="AK78" i="4"/>
  <c r="AG78" i="4"/>
  <c r="AE78" i="4"/>
  <c r="AA78" i="4"/>
  <c r="Y78" i="4"/>
  <c r="U78" i="4"/>
  <c r="T78" i="4"/>
  <c r="AH78" i="4" s="1"/>
  <c r="AM78" i="4" s="1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AF78" i="4" s="1"/>
  <c r="F78" i="4"/>
  <c r="AC78" i="4" s="1"/>
  <c r="AJ78" i="4" s="1"/>
  <c r="E78" i="4"/>
  <c r="AD78" i="4" s="1"/>
  <c r="D78" i="4"/>
  <c r="AB78" i="4" s="1"/>
  <c r="C78" i="4"/>
  <c r="B78" i="4"/>
  <c r="Z78" i="4" s="1"/>
  <c r="AG77" i="4"/>
  <c r="AF77" i="4"/>
  <c r="AB77" i="4"/>
  <c r="Z77" i="4"/>
  <c r="Y77" i="4"/>
  <c r="U77" i="4"/>
  <c r="T77" i="4"/>
  <c r="S77" i="4"/>
  <c r="R77" i="4"/>
  <c r="Q77" i="4"/>
  <c r="AE77" i="4" s="1"/>
  <c r="P77" i="4"/>
  <c r="O77" i="4"/>
  <c r="N77" i="4"/>
  <c r="M77" i="4"/>
  <c r="L77" i="4"/>
  <c r="K77" i="4"/>
  <c r="J77" i="4"/>
  <c r="I77" i="4"/>
  <c r="AH77" i="4" s="1"/>
  <c r="AM77" i="4" s="1"/>
  <c r="H77" i="4"/>
  <c r="G77" i="4"/>
  <c r="F77" i="4"/>
  <c r="AC77" i="4" s="1"/>
  <c r="AJ77" i="4" s="1"/>
  <c r="E77" i="4"/>
  <c r="AD77" i="4" s="1"/>
  <c r="D77" i="4"/>
  <c r="C77" i="4"/>
  <c r="AA77" i="4" s="1"/>
  <c r="B77" i="4"/>
  <c r="AE76" i="4"/>
  <c r="AC76" i="4"/>
  <c r="AJ76" i="4" s="1"/>
  <c r="AA76" i="4"/>
  <c r="Y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AG76" i="4" s="1"/>
  <c r="G76" i="4"/>
  <c r="AF76" i="4" s="1"/>
  <c r="F76" i="4"/>
  <c r="E76" i="4"/>
  <c r="AD76" i="4" s="1"/>
  <c r="D76" i="4"/>
  <c r="AB76" i="4" s="1"/>
  <c r="AK76" i="4" s="1"/>
  <c r="C76" i="4"/>
  <c r="B76" i="4"/>
  <c r="Z76" i="4" s="1"/>
  <c r="AL76" i="4" s="1"/>
  <c r="AH75" i="4"/>
  <c r="AM75" i="4" s="1"/>
  <c r="AD75" i="4"/>
  <c r="AB75" i="4"/>
  <c r="AK75" i="4" s="1"/>
  <c r="Z75" i="4"/>
  <c r="AL75" i="4" s="1"/>
  <c r="Y75" i="4"/>
  <c r="U75" i="4"/>
  <c r="T75" i="4"/>
  <c r="S75" i="4"/>
  <c r="R75" i="4"/>
  <c r="Q75" i="4"/>
  <c r="AE75" i="4" s="1"/>
  <c r="P75" i="4"/>
  <c r="O75" i="4"/>
  <c r="N75" i="4"/>
  <c r="M75" i="4"/>
  <c r="L75" i="4"/>
  <c r="K75" i="4"/>
  <c r="J75" i="4"/>
  <c r="I75" i="4"/>
  <c r="H75" i="4"/>
  <c r="AG75" i="4" s="1"/>
  <c r="G75" i="4"/>
  <c r="AF75" i="4" s="1"/>
  <c r="F75" i="4"/>
  <c r="AC75" i="4" s="1"/>
  <c r="AJ75" i="4" s="1"/>
  <c r="E75" i="4"/>
  <c r="D75" i="4"/>
  <c r="C75" i="4"/>
  <c r="AA75" i="4" s="1"/>
  <c r="B75" i="4"/>
  <c r="AA74" i="4"/>
  <c r="Y74" i="4"/>
  <c r="U74" i="4"/>
  <c r="T74" i="4"/>
  <c r="S74" i="4"/>
  <c r="R74" i="4"/>
  <c r="Q74" i="4"/>
  <c r="AE74" i="4" s="1"/>
  <c r="P74" i="4"/>
  <c r="O74" i="4"/>
  <c r="N74" i="4"/>
  <c r="M74" i="4"/>
  <c r="L74" i="4"/>
  <c r="K74" i="4"/>
  <c r="J74" i="4"/>
  <c r="I74" i="4"/>
  <c r="H74" i="4"/>
  <c r="AG74" i="4" s="1"/>
  <c r="G74" i="4"/>
  <c r="AF74" i="4" s="1"/>
  <c r="F74" i="4"/>
  <c r="AC74" i="4" s="1"/>
  <c r="AJ74" i="4" s="1"/>
  <c r="E74" i="4"/>
  <c r="AD74" i="4" s="1"/>
  <c r="D74" i="4"/>
  <c r="AB74" i="4" s="1"/>
  <c r="AK74" i="4" s="1"/>
  <c r="C74" i="4"/>
  <c r="B74" i="4"/>
  <c r="Z74" i="4" s="1"/>
  <c r="AL74" i="4" s="1"/>
  <c r="AG73" i="4"/>
  <c r="AB73" i="4"/>
  <c r="Z73" i="4"/>
  <c r="Y73" i="4"/>
  <c r="U73" i="4"/>
  <c r="T73" i="4"/>
  <c r="S73" i="4"/>
  <c r="R73" i="4"/>
  <c r="Q73" i="4"/>
  <c r="AE73" i="4" s="1"/>
  <c r="P73" i="4"/>
  <c r="O73" i="4"/>
  <c r="N73" i="4"/>
  <c r="M73" i="4"/>
  <c r="L73" i="4"/>
  <c r="K73" i="4"/>
  <c r="J73" i="4"/>
  <c r="I73" i="4"/>
  <c r="H73" i="4"/>
  <c r="G73" i="4"/>
  <c r="AF73" i="4" s="1"/>
  <c r="F73" i="4"/>
  <c r="E73" i="4"/>
  <c r="AD73" i="4" s="1"/>
  <c r="D73" i="4"/>
  <c r="C73" i="4"/>
  <c r="AA73" i="4" s="1"/>
  <c r="B73" i="4"/>
  <c r="AG72" i="4"/>
  <c r="AE72" i="4"/>
  <c r="AA72" i="4"/>
  <c r="Y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AF72" i="4" s="1"/>
  <c r="F72" i="4"/>
  <c r="AC72" i="4" s="1"/>
  <c r="AJ72" i="4" s="1"/>
  <c r="E72" i="4"/>
  <c r="AD72" i="4" s="1"/>
  <c r="D72" i="4"/>
  <c r="AB72" i="4" s="1"/>
  <c r="C72" i="4"/>
  <c r="B72" i="4"/>
  <c r="Z72" i="4" s="1"/>
  <c r="AL71" i="4"/>
  <c r="AF71" i="4"/>
  <c r="AB71" i="4"/>
  <c r="Z71" i="4"/>
  <c r="Y71" i="4"/>
  <c r="U71" i="4"/>
  <c r="T71" i="4"/>
  <c r="S71" i="4"/>
  <c r="R71" i="4"/>
  <c r="Q71" i="4"/>
  <c r="AE71" i="4" s="1"/>
  <c r="P71" i="4"/>
  <c r="O71" i="4"/>
  <c r="N71" i="4"/>
  <c r="M71" i="4"/>
  <c r="L71" i="4"/>
  <c r="K71" i="4"/>
  <c r="J71" i="4"/>
  <c r="I71" i="4"/>
  <c r="H71" i="4"/>
  <c r="AG71" i="4" s="1"/>
  <c r="G71" i="4"/>
  <c r="F71" i="4"/>
  <c r="AC71" i="4" s="1"/>
  <c r="AJ71" i="4" s="1"/>
  <c r="E71" i="4"/>
  <c r="AD71" i="4" s="1"/>
  <c r="D71" i="4"/>
  <c r="C71" i="4"/>
  <c r="AA71" i="4" s="1"/>
  <c r="B71" i="4"/>
  <c r="AE70" i="4"/>
  <c r="AA70" i="4"/>
  <c r="Y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AG70" i="4" s="1"/>
  <c r="G70" i="4"/>
  <c r="AF70" i="4" s="1"/>
  <c r="F70" i="4"/>
  <c r="AC70" i="4" s="1"/>
  <c r="AJ70" i="4" s="1"/>
  <c r="E70" i="4"/>
  <c r="AD70" i="4" s="1"/>
  <c r="D70" i="4"/>
  <c r="AB70" i="4" s="1"/>
  <c r="AK70" i="4" s="1"/>
  <c r="C70" i="4"/>
  <c r="B70" i="4"/>
  <c r="Z70" i="4" s="1"/>
  <c r="AG69" i="4"/>
  <c r="AF69" i="4"/>
  <c r="AD69" i="4"/>
  <c r="AK69" i="4" s="1"/>
  <c r="AB69" i="4"/>
  <c r="Z69" i="4"/>
  <c r="Y69" i="4"/>
  <c r="U69" i="4"/>
  <c r="T69" i="4"/>
  <c r="S69" i="4"/>
  <c r="R69" i="4"/>
  <c r="Q69" i="4"/>
  <c r="AE69" i="4" s="1"/>
  <c r="P69" i="4"/>
  <c r="O69" i="4"/>
  <c r="N69" i="4"/>
  <c r="M69" i="4"/>
  <c r="L69" i="4"/>
  <c r="K69" i="4"/>
  <c r="J69" i="4"/>
  <c r="I69" i="4"/>
  <c r="AH69" i="4" s="1"/>
  <c r="AM69" i="4" s="1"/>
  <c r="H69" i="4"/>
  <c r="G69" i="4"/>
  <c r="F69" i="4"/>
  <c r="AC69" i="4" s="1"/>
  <c r="AJ69" i="4" s="1"/>
  <c r="E69" i="4"/>
  <c r="D69" i="4"/>
  <c r="C69" i="4"/>
  <c r="AA69" i="4" s="1"/>
  <c r="B69" i="4"/>
  <c r="AF68" i="4"/>
  <c r="AE68" i="4"/>
  <c r="AC68" i="4"/>
  <c r="AJ68" i="4" s="1"/>
  <c r="AA68" i="4"/>
  <c r="Y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AG68" i="4" s="1"/>
  <c r="G68" i="4"/>
  <c r="F68" i="4"/>
  <c r="E68" i="4"/>
  <c r="AD68" i="4" s="1"/>
  <c r="D68" i="4"/>
  <c r="AB68" i="4" s="1"/>
  <c r="AK68" i="4" s="1"/>
  <c r="C68" i="4"/>
  <c r="B68" i="4"/>
  <c r="Z68" i="4" s="1"/>
  <c r="AL68" i="4" s="1"/>
  <c r="AJ67" i="4"/>
  <c r="AG67" i="4"/>
  <c r="AE67" i="4"/>
  <c r="AD67" i="4"/>
  <c r="AB67" i="4"/>
  <c r="AK67" i="4" s="1"/>
  <c r="Z67" i="4"/>
  <c r="AL67" i="4" s="1"/>
  <c r="Y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AH67" i="4" s="1"/>
  <c r="AM67" i="4" s="1"/>
  <c r="H67" i="4"/>
  <c r="G67" i="4"/>
  <c r="AF67" i="4" s="1"/>
  <c r="F67" i="4"/>
  <c r="AC67" i="4" s="1"/>
  <c r="E67" i="4"/>
  <c r="D67" i="4"/>
  <c r="C67" i="4"/>
  <c r="AA67" i="4" s="1"/>
  <c r="B67" i="4"/>
  <c r="AG66" i="4"/>
  <c r="AE66" i="4"/>
  <c r="AD66" i="4"/>
  <c r="AA66" i="4"/>
  <c r="Y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AF66" i="4" s="1"/>
  <c r="F66" i="4"/>
  <c r="AC66" i="4" s="1"/>
  <c r="AJ66" i="4" s="1"/>
  <c r="E66" i="4"/>
  <c r="D66" i="4"/>
  <c r="AB66" i="4" s="1"/>
  <c r="C66" i="4"/>
  <c r="B66" i="4"/>
  <c r="Z66" i="4" s="1"/>
  <c r="AL66" i="4" s="1"/>
  <c r="AL65" i="4"/>
  <c r="AB65" i="4"/>
  <c r="Z65" i="4"/>
  <c r="Y65" i="4"/>
  <c r="U65" i="4"/>
  <c r="T65" i="4"/>
  <c r="S65" i="4"/>
  <c r="AC65" i="4" s="1"/>
  <c r="AJ65" i="4" s="1"/>
  <c r="R65" i="4"/>
  <c r="Q65" i="4"/>
  <c r="AE65" i="4" s="1"/>
  <c r="P65" i="4"/>
  <c r="O65" i="4"/>
  <c r="N65" i="4"/>
  <c r="M65" i="4"/>
  <c r="L65" i="4"/>
  <c r="K65" i="4"/>
  <c r="AH65" i="4" s="1"/>
  <c r="AM65" i="4" s="1"/>
  <c r="J65" i="4"/>
  <c r="I65" i="4"/>
  <c r="H65" i="4"/>
  <c r="AG65" i="4" s="1"/>
  <c r="G65" i="4"/>
  <c r="AF65" i="4" s="1"/>
  <c r="F65" i="4"/>
  <c r="E65" i="4"/>
  <c r="AD65" i="4" s="1"/>
  <c r="D65" i="4"/>
  <c r="C65" i="4"/>
  <c r="AA65" i="4" s="1"/>
  <c r="B65" i="4"/>
  <c r="AK64" i="4"/>
  <c r="AG64" i="4"/>
  <c r="AE64" i="4"/>
  <c r="AA64" i="4"/>
  <c r="Y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AF64" i="4" s="1"/>
  <c r="F64" i="4"/>
  <c r="AC64" i="4" s="1"/>
  <c r="AJ64" i="4" s="1"/>
  <c r="E64" i="4"/>
  <c r="AD64" i="4" s="1"/>
  <c r="D64" i="4"/>
  <c r="AB64" i="4" s="1"/>
  <c r="C64" i="4"/>
  <c r="B64" i="4"/>
  <c r="Z64" i="4" s="1"/>
  <c r="AL63" i="4"/>
  <c r="AJ63" i="4"/>
  <c r="AG63" i="4"/>
  <c r="AF63" i="4"/>
  <c r="AE63" i="4"/>
  <c r="AD63" i="4"/>
  <c r="Z63" i="4"/>
  <c r="Y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AH63" i="4" s="1"/>
  <c r="AM63" i="4" s="1"/>
  <c r="H63" i="4"/>
  <c r="G63" i="4"/>
  <c r="F63" i="4"/>
  <c r="AC63" i="4" s="1"/>
  <c r="E63" i="4"/>
  <c r="D63" i="4"/>
  <c r="AB63" i="4" s="1"/>
  <c r="AK63" i="4" s="1"/>
  <c r="C63" i="4"/>
  <c r="AA63" i="4" s="1"/>
  <c r="B63" i="4"/>
  <c r="AJ62" i="4"/>
  <c r="AF62" i="4"/>
  <c r="AE62" i="4"/>
  <c r="AD62" i="4"/>
  <c r="AC62" i="4"/>
  <c r="Y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AG62" i="4" s="1"/>
  <c r="G62" i="4"/>
  <c r="F62" i="4"/>
  <c r="E62" i="4"/>
  <c r="D62" i="4"/>
  <c r="AB62" i="4" s="1"/>
  <c r="AK62" i="4" s="1"/>
  <c r="C62" i="4"/>
  <c r="AA62" i="4" s="1"/>
  <c r="B62" i="4"/>
  <c r="Z62" i="4" s="1"/>
  <c r="AL62" i="4" s="1"/>
  <c r="AJ61" i="4"/>
  <c r="AE61" i="4"/>
  <c r="AD61" i="4"/>
  <c r="AC61" i="4"/>
  <c r="AB61" i="4"/>
  <c r="AK61" i="4" s="1"/>
  <c r="Y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AH61" i="4" s="1"/>
  <c r="AM61" i="4" s="1"/>
  <c r="H61" i="4"/>
  <c r="AG61" i="4" s="1"/>
  <c r="G61" i="4"/>
  <c r="AF61" i="4" s="1"/>
  <c r="F61" i="4"/>
  <c r="E61" i="4"/>
  <c r="D61" i="4"/>
  <c r="C61" i="4"/>
  <c r="AA61" i="4" s="1"/>
  <c r="B61" i="4"/>
  <c r="Z61" i="4" s="1"/>
  <c r="AL61" i="4" s="1"/>
  <c r="AE60" i="4"/>
  <c r="AD60" i="4"/>
  <c r="AB60" i="4"/>
  <c r="AK60" i="4" s="1"/>
  <c r="AA60" i="4"/>
  <c r="Y60" i="4"/>
  <c r="U60" i="4"/>
  <c r="T60" i="4"/>
  <c r="AH60" i="4" s="1"/>
  <c r="AM60" i="4" s="1"/>
  <c r="S60" i="4"/>
  <c r="R60" i="4"/>
  <c r="Q60" i="4"/>
  <c r="P60" i="4"/>
  <c r="O60" i="4"/>
  <c r="N60" i="4"/>
  <c r="M60" i="4"/>
  <c r="L60" i="4"/>
  <c r="K60" i="4"/>
  <c r="J60" i="4"/>
  <c r="I60" i="4"/>
  <c r="H60" i="4"/>
  <c r="AG60" i="4" s="1"/>
  <c r="G60" i="4"/>
  <c r="AF60" i="4" s="1"/>
  <c r="F60" i="4"/>
  <c r="AC60" i="4" s="1"/>
  <c r="AJ60" i="4" s="1"/>
  <c r="E60" i="4"/>
  <c r="D60" i="4"/>
  <c r="C60" i="4"/>
  <c r="B60" i="4"/>
  <c r="Z60" i="4" s="1"/>
  <c r="AL60" i="4" s="1"/>
  <c r="AH59" i="4"/>
  <c r="AM59" i="4" s="1"/>
  <c r="AG59" i="4"/>
  <c r="AF59" i="4"/>
  <c r="AB59" i="4"/>
  <c r="AA59" i="4"/>
  <c r="Z59" i="4"/>
  <c r="Y59" i="4"/>
  <c r="U59" i="4"/>
  <c r="T59" i="4"/>
  <c r="S59" i="4"/>
  <c r="R59" i="4"/>
  <c r="Q59" i="4"/>
  <c r="AE59" i="4" s="1"/>
  <c r="P59" i="4"/>
  <c r="O59" i="4"/>
  <c r="N59" i="4"/>
  <c r="M59" i="4"/>
  <c r="L59" i="4"/>
  <c r="K59" i="4"/>
  <c r="J59" i="4"/>
  <c r="I59" i="4"/>
  <c r="H59" i="4"/>
  <c r="G59" i="4"/>
  <c r="F59" i="4"/>
  <c r="E59" i="4"/>
  <c r="AD59" i="4" s="1"/>
  <c r="D59" i="4"/>
  <c r="C59" i="4"/>
  <c r="B59" i="4"/>
  <c r="AG58" i="4"/>
  <c r="AF58" i="4"/>
  <c r="AE58" i="4"/>
  <c r="AA58" i="4"/>
  <c r="Z58" i="4"/>
  <c r="Y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AC58" i="4" s="1"/>
  <c r="AJ58" i="4" s="1"/>
  <c r="E58" i="4"/>
  <c r="AD58" i="4" s="1"/>
  <c r="D58" i="4"/>
  <c r="AB58" i="4" s="1"/>
  <c r="AK58" i="4" s="1"/>
  <c r="C58" i="4"/>
  <c r="B58" i="4"/>
  <c r="AL57" i="4"/>
  <c r="AG57" i="4"/>
  <c r="AF57" i="4"/>
  <c r="AD57" i="4"/>
  <c r="Z57" i="4"/>
  <c r="Y57" i="4"/>
  <c r="U57" i="4"/>
  <c r="T57" i="4"/>
  <c r="S57" i="4"/>
  <c r="R57" i="4"/>
  <c r="Q57" i="4"/>
  <c r="AE57" i="4" s="1"/>
  <c r="P57" i="4"/>
  <c r="O57" i="4"/>
  <c r="N57" i="4"/>
  <c r="M57" i="4"/>
  <c r="L57" i="4"/>
  <c r="K57" i="4"/>
  <c r="J57" i="4"/>
  <c r="I57" i="4"/>
  <c r="AH57" i="4" s="1"/>
  <c r="AM57" i="4" s="1"/>
  <c r="H57" i="4"/>
  <c r="G57" i="4"/>
  <c r="F57" i="4"/>
  <c r="AC57" i="4" s="1"/>
  <c r="AJ57" i="4" s="1"/>
  <c r="E57" i="4"/>
  <c r="D57" i="4"/>
  <c r="AB57" i="4" s="1"/>
  <c r="C57" i="4"/>
  <c r="AA57" i="4" s="1"/>
  <c r="AK57" i="4" s="1"/>
  <c r="B57" i="4"/>
  <c r="AJ56" i="4"/>
  <c r="AF56" i="4"/>
  <c r="AE56" i="4"/>
  <c r="AD56" i="4"/>
  <c r="AC56" i="4"/>
  <c r="Y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AG56" i="4" s="1"/>
  <c r="G56" i="4"/>
  <c r="F56" i="4"/>
  <c r="E56" i="4"/>
  <c r="D56" i="4"/>
  <c r="AB56" i="4" s="1"/>
  <c r="AK56" i="4" s="1"/>
  <c r="C56" i="4"/>
  <c r="AA56" i="4" s="1"/>
  <c r="B56" i="4"/>
  <c r="Z56" i="4" s="1"/>
  <c r="AL56" i="4" s="1"/>
  <c r="AE55" i="4"/>
  <c r="AD55" i="4"/>
  <c r="AB55" i="4"/>
  <c r="AK55" i="4" s="1"/>
  <c r="Y55" i="4"/>
  <c r="U55" i="4"/>
  <c r="T55" i="4"/>
  <c r="AH55" i="4" s="1"/>
  <c r="AM55" i="4" s="1"/>
  <c r="S55" i="4"/>
  <c r="AC55" i="4" s="1"/>
  <c r="R55" i="4"/>
  <c r="Q55" i="4"/>
  <c r="P55" i="4"/>
  <c r="O55" i="4"/>
  <c r="N55" i="4"/>
  <c r="M55" i="4"/>
  <c r="L55" i="4"/>
  <c r="K55" i="4"/>
  <c r="J55" i="4"/>
  <c r="I55" i="4"/>
  <c r="H55" i="4"/>
  <c r="AG55" i="4" s="1"/>
  <c r="G55" i="4"/>
  <c r="AF55" i="4" s="1"/>
  <c r="F55" i="4"/>
  <c r="E55" i="4"/>
  <c r="D55" i="4"/>
  <c r="C55" i="4"/>
  <c r="AA55" i="4" s="1"/>
  <c r="B55" i="4"/>
  <c r="Z55" i="4" s="1"/>
  <c r="AL55" i="4" s="1"/>
  <c r="AE54" i="4"/>
  <c r="AD54" i="4"/>
  <c r="AB54" i="4"/>
  <c r="AA54" i="4"/>
  <c r="Y54" i="4"/>
  <c r="U54" i="4"/>
  <c r="T54" i="4"/>
  <c r="AH54" i="4" s="1"/>
  <c r="AM54" i="4" s="1"/>
  <c r="S54" i="4"/>
  <c r="AC54" i="4" s="1"/>
  <c r="AJ54" i="4" s="1"/>
  <c r="R54" i="4"/>
  <c r="Q54" i="4"/>
  <c r="P54" i="4"/>
  <c r="O54" i="4"/>
  <c r="N54" i="4"/>
  <c r="M54" i="4"/>
  <c r="L54" i="4"/>
  <c r="K54" i="4"/>
  <c r="J54" i="4"/>
  <c r="I54" i="4"/>
  <c r="H54" i="4"/>
  <c r="AG54" i="4" s="1"/>
  <c r="G54" i="4"/>
  <c r="AF54" i="4" s="1"/>
  <c r="F54" i="4"/>
  <c r="E54" i="4"/>
  <c r="D54" i="4"/>
  <c r="C54" i="4"/>
  <c r="B54" i="4"/>
  <c r="Z54" i="4" s="1"/>
  <c r="AL54" i="4" s="1"/>
  <c r="AG53" i="4"/>
  <c r="AB53" i="4"/>
  <c r="AK53" i="4" s="1"/>
  <c r="AA53" i="4"/>
  <c r="Z53" i="4"/>
  <c r="Y53" i="4"/>
  <c r="U53" i="4"/>
  <c r="T53" i="4"/>
  <c r="S53" i="4"/>
  <c r="R53" i="4"/>
  <c r="Q53" i="4"/>
  <c r="AE53" i="4" s="1"/>
  <c r="P53" i="4"/>
  <c r="O53" i="4"/>
  <c r="N53" i="4"/>
  <c r="M53" i="4"/>
  <c r="AH53" i="4" s="1"/>
  <c r="AM53" i="4" s="1"/>
  <c r="L53" i="4"/>
  <c r="K53" i="4"/>
  <c r="J53" i="4"/>
  <c r="I53" i="4"/>
  <c r="H53" i="4"/>
  <c r="G53" i="4"/>
  <c r="AF53" i="4" s="1"/>
  <c r="F53" i="4"/>
  <c r="E53" i="4"/>
  <c r="AD53" i="4" s="1"/>
  <c r="D53" i="4"/>
  <c r="C53" i="4"/>
  <c r="B53" i="4"/>
  <c r="AG52" i="4"/>
  <c r="AF52" i="4"/>
  <c r="AA52" i="4"/>
  <c r="Z52" i="4"/>
  <c r="AL52" i="4" s="1"/>
  <c r="Y52" i="4"/>
  <c r="U52" i="4"/>
  <c r="T52" i="4"/>
  <c r="S52" i="4"/>
  <c r="R52" i="4"/>
  <c r="Q52" i="4"/>
  <c r="AE52" i="4" s="1"/>
  <c r="P52" i="4"/>
  <c r="O52" i="4"/>
  <c r="N52" i="4"/>
  <c r="M52" i="4"/>
  <c r="L52" i="4"/>
  <c r="K52" i="4"/>
  <c r="J52" i="4"/>
  <c r="I52" i="4"/>
  <c r="H52" i="4"/>
  <c r="G52" i="4"/>
  <c r="F52" i="4"/>
  <c r="AC52" i="4" s="1"/>
  <c r="E52" i="4"/>
  <c r="AD52" i="4" s="1"/>
  <c r="D52" i="4"/>
  <c r="AB52" i="4" s="1"/>
  <c r="AK52" i="4" s="1"/>
  <c r="C52" i="4"/>
  <c r="B52" i="4"/>
  <c r="AG51" i="4"/>
  <c r="AF51" i="4"/>
  <c r="AE51" i="4"/>
  <c r="AJ51" i="4" s="1"/>
  <c r="Z51" i="4"/>
  <c r="Y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AC51" i="4" s="1"/>
  <c r="E51" i="4"/>
  <c r="AD51" i="4" s="1"/>
  <c r="AK51" i="4" s="1"/>
  <c r="D51" i="4"/>
  <c r="AB51" i="4" s="1"/>
  <c r="C51" i="4"/>
  <c r="AA51" i="4" s="1"/>
  <c r="B51" i="4"/>
  <c r="AF50" i="4"/>
  <c r="AE50" i="4"/>
  <c r="AD50" i="4"/>
  <c r="AC50" i="4"/>
  <c r="AJ50" i="4" s="1"/>
  <c r="Y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AG50" i="4" s="1"/>
  <c r="G50" i="4"/>
  <c r="F50" i="4"/>
  <c r="E50" i="4"/>
  <c r="D50" i="4"/>
  <c r="AB50" i="4" s="1"/>
  <c r="C50" i="4"/>
  <c r="AA50" i="4" s="1"/>
  <c r="AK50" i="4" s="1"/>
  <c r="B50" i="4"/>
  <c r="Z50" i="4" s="1"/>
  <c r="AL50" i="4" s="1"/>
  <c r="AE49" i="4"/>
  <c r="AD49" i="4"/>
  <c r="Y49" i="4"/>
  <c r="U49" i="4"/>
  <c r="T49" i="4"/>
  <c r="AH49" i="4" s="1"/>
  <c r="AM49" i="4" s="1"/>
  <c r="S49" i="4"/>
  <c r="AC49" i="4" s="1"/>
  <c r="AJ49" i="4" s="1"/>
  <c r="R49" i="4"/>
  <c r="Q49" i="4"/>
  <c r="P49" i="4"/>
  <c r="O49" i="4"/>
  <c r="N49" i="4"/>
  <c r="M49" i="4"/>
  <c r="L49" i="4"/>
  <c r="K49" i="4"/>
  <c r="J49" i="4"/>
  <c r="I49" i="4"/>
  <c r="H49" i="4"/>
  <c r="AG49" i="4" s="1"/>
  <c r="G49" i="4"/>
  <c r="AF49" i="4" s="1"/>
  <c r="F49" i="4"/>
  <c r="E49" i="4"/>
  <c r="D49" i="4"/>
  <c r="AB49" i="4" s="1"/>
  <c r="C49" i="4"/>
  <c r="AA49" i="4" s="1"/>
  <c r="B49" i="4"/>
  <c r="Z49" i="4" s="1"/>
  <c r="AL49" i="4" s="1"/>
  <c r="AG48" i="4"/>
  <c r="AE48" i="4"/>
  <c r="AD48" i="4"/>
  <c r="AB48" i="4"/>
  <c r="Y48" i="4"/>
  <c r="U48" i="4"/>
  <c r="T48" i="4"/>
  <c r="AH48" i="4" s="1"/>
  <c r="AM48" i="4" s="1"/>
  <c r="S48" i="4"/>
  <c r="AC48" i="4" s="1"/>
  <c r="AJ48" i="4" s="1"/>
  <c r="R48" i="4"/>
  <c r="Q48" i="4"/>
  <c r="P48" i="4"/>
  <c r="O48" i="4"/>
  <c r="N48" i="4"/>
  <c r="M48" i="4"/>
  <c r="L48" i="4"/>
  <c r="K48" i="4"/>
  <c r="J48" i="4"/>
  <c r="I48" i="4"/>
  <c r="H48" i="4"/>
  <c r="G48" i="4"/>
  <c r="AF48" i="4" s="1"/>
  <c r="F48" i="4"/>
  <c r="E48" i="4"/>
  <c r="D48" i="4"/>
  <c r="C48" i="4"/>
  <c r="AA48" i="4" s="1"/>
  <c r="B48" i="4"/>
  <c r="Z48" i="4" s="1"/>
  <c r="AL48" i="4" s="1"/>
  <c r="AF47" i="4"/>
  <c r="AC47" i="4"/>
  <c r="AJ47" i="4" s="1"/>
  <c r="AB47" i="4"/>
  <c r="AA47" i="4"/>
  <c r="Y47" i="4"/>
  <c r="U47" i="4"/>
  <c r="T47" i="4"/>
  <c r="AH47" i="4" s="1"/>
  <c r="AM47" i="4" s="1"/>
  <c r="S47" i="4"/>
  <c r="R47" i="4"/>
  <c r="Q47" i="4"/>
  <c r="AE47" i="4" s="1"/>
  <c r="P47" i="4"/>
  <c r="O47" i="4"/>
  <c r="N47" i="4"/>
  <c r="M47" i="4"/>
  <c r="L47" i="4"/>
  <c r="K47" i="4"/>
  <c r="J47" i="4"/>
  <c r="I47" i="4"/>
  <c r="H47" i="4"/>
  <c r="AG47" i="4" s="1"/>
  <c r="G47" i="4"/>
  <c r="F47" i="4"/>
  <c r="E47" i="4"/>
  <c r="AD47" i="4" s="1"/>
  <c r="D47" i="4"/>
  <c r="C47" i="4"/>
  <c r="B47" i="4"/>
  <c r="Z47" i="4" s="1"/>
  <c r="AL46" i="4"/>
  <c r="AG46" i="4"/>
  <c r="AB46" i="4"/>
  <c r="AK46" i="4" s="1"/>
  <c r="AA46" i="4"/>
  <c r="Z46" i="4"/>
  <c r="Y46" i="4"/>
  <c r="U46" i="4"/>
  <c r="T46" i="4"/>
  <c r="S46" i="4"/>
  <c r="R46" i="4"/>
  <c r="Q46" i="4"/>
  <c r="AE46" i="4" s="1"/>
  <c r="P46" i="4"/>
  <c r="O46" i="4"/>
  <c r="N46" i="4"/>
  <c r="M46" i="4"/>
  <c r="L46" i="4"/>
  <c r="K46" i="4"/>
  <c r="AH46" i="4" s="1"/>
  <c r="AM46" i="4" s="1"/>
  <c r="J46" i="4"/>
  <c r="I46" i="4"/>
  <c r="H46" i="4"/>
  <c r="G46" i="4"/>
  <c r="AF46" i="4" s="1"/>
  <c r="F46" i="4"/>
  <c r="E46" i="4"/>
  <c r="AD46" i="4" s="1"/>
  <c r="D46" i="4"/>
  <c r="C46" i="4"/>
  <c r="B46" i="4"/>
  <c r="AL45" i="4"/>
  <c r="AG45" i="4"/>
  <c r="AF45" i="4"/>
  <c r="AD45" i="4"/>
  <c r="AA45" i="4"/>
  <c r="AK45" i="4" s="1"/>
  <c r="Z45" i="4"/>
  <c r="Y45" i="4"/>
  <c r="U45" i="4"/>
  <c r="T45" i="4"/>
  <c r="S45" i="4"/>
  <c r="R45" i="4"/>
  <c r="Q45" i="4"/>
  <c r="AE45" i="4" s="1"/>
  <c r="P45" i="4"/>
  <c r="O45" i="4"/>
  <c r="N45" i="4"/>
  <c r="M45" i="4"/>
  <c r="L45" i="4"/>
  <c r="K45" i="4"/>
  <c r="J45" i="4"/>
  <c r="I45" i="4"/>
  <c r="H45" i="4"/>
  <c r="G45" i="4"/>
  <c r="F45" i="4"/>
  <c r="AC45" i="4" s="1"/>
  <c r="E45" i="4"/>
  <c r="D45" i="4"/>
  <c r="AB45" i="4" s="1"/>
  <c r="C45" i="4"/>
  <c r="B45" i="4"/>
  <c r="AF44" i="4"/>
  <c r="AE44" i="4"/>
  <c r="AJ44" i="4" s="1"/>
  <c r="AC44" i="4"/>
  <c r="Y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AG44" i="4" s="1"/>
  <c r="G44" i="4"/>
  <c r="F44" i="4"/>
  <c r="E44" i="4"/>
  <c r="AD44" i="4" s="1"/>
  <c r="D44" i="4"/>
  <c r="AB44" i="4" s="1"/>
  <c r="AK44" i="4" s="1"/>
  <c r="C44" i="4"/>
  <c r="AA44" i="4" s="1"/>
  <c r="B44" i="4"/>
  <c r="Z44" i="4" s="1"/>
  <c r="AE43" i="4"/>
  <c r="AD43" i="4"/>
  <c r="AB43" i="4"/>
  <c r="AK43" i="4" s="1"/>
  <c r="Y43" i="4"/>
  <c r="U43" i="4"/>
  <c r="T43" i="4"/>
  <c r="AH43" i="4" s="1"/>
  <c r="AM43" i="4" s="1"/>
  <c r="S43" i="4"/>
  <c r="AC43" i="4" s="1"/>
  <c r="AJ43" i="4" s="1"/>
  <c r="R43" i="4"/>
  <c r="Q43" i="4"/>
  <c r="P43" i="4"/>
  <c r="O43" i="4"/>
  <c r="N43" i="4"/>
  <c r="M43" i="4"/>
  <c r="L43" i="4"/>
  <c r="K43" i="4"/>
  <c r="J43" i="4"/>
  <c r="I43" i="4"/>
  <c r="H43" i="4"/>
  <c r="AG43" i="4" s="1"/>
  <c r="G43" i="4"/>
  <c r="AF43" i="4" s="1"/>
  <c r="F43" i="4"/>
  <c r="E43" i="4"/>
  <c r="D43" i="4"/>
  <c r="C43" i="4"/>
  <c r="AA43" i="4" s="1"/>
  <c r="B43" i="4"/>
  <c r="Z43" i="4" s="1"/>
  <c r="AL43" i="4" s="1"/>
  <c r="AG42" i="4"/>
  <c r="AE42" i="4"/>
  <c r="AD42" i="4"/>
  <c r="AB42" i="4"/>
  <c r="Y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AH42" i="4" s="1"/>
  <c r="AM42" i="4" s="1"/>
  <c r="H42" i="4"/>
  <c r="G42" i="4"/>
  <c r="AF42" i="4" s="1"/>
  <c r="F42" i="4"/>
  <c r="AC42" i="4" s="1"/>
  <c r="AJ42" i="4" s="1"/>
  <c r="E42" i="4"/>
  <c r="D42" i="4"/>
  <c r="C42" i="4"/>
  <c r="AA42" i="4" s="1"/>
  <c r="AI42" i="4" s="1"/>
  <c r="B42" i="4"/>
  <c r="Z42" i="4" s="1"/>
  <c r="AL42" i="4" s="1"/>
  <c r="AF41" i="4"/>
  <c r="AB41" i="4"/>
  <c r="AA41" i="4"/>
  <c r="Z41" i="4"/>
  <c r="AL41" i="4" s="1"/>
  <c r="Y41" i="4"/>
  <c r="U41" i="4"/>
  <c r="T41" i="4"/>
  <c r="S41" i="4"/>
  <c r="R41" i="4"/>
  <c r="Q41" i="4"/>
  <c r="AE41" i="4" s="1"/>
  <c r="P41" i="4"/>
  <c r="O41" i="4"/>
  <c r="N41" i="4"/>
  <c r="M41" i="4"/>
  <c r="L41" i="4"/>
  <c r="K41" i="4"/>
  <c r="AH41" i="4" s="1"/>
  <c r="AM41" i="4" s="1"/>
  <c r="J41" i="4"/>
  <c r="I41" i="4"/>
  <c r="H41" i="4"/>
  <c r="AG41" i="4" s="1"/>
  <c r="G41" i="4"/>
  <c r="F41" i="4"/>
  <c r="AC41" i="4" s="1"/>
  <c r="AJ41" i="4" s="1"/>
  <c r="E41" i="4"/>
  <c r="AD41" i="4" s="1"/>
  <c r="D41" i="4"/>
  <c r="C41" i="4"/>
  <c r="B41" i="4"/>
  <c r="AG40" i="4"/>
  <c r="AE40" i="4"/>
  <c r="AA40" i="4"/>
  <c r="Z40" i="4"/>
  <c r="Y40" i="4"/>
  <c r="U40" i="4"/>
  <c r="T40" i="4"/>
  <c r="S40" i="4"/>
  <c r="R40" i="4"/>
  <c r="Q40" i="4"/>
  <c r="P40" i="4"/>
  <c r="O40" i="4"/>
  <c r="N40" i="4"/>
  <c r="M40" i="4"/>
  <c r="L40" i="4"/>
  <c r="K40" i="4"/>
  <c r="J40" i="4"/>
  <c r="AH40" i="4" s="1"/>
  <c r="AM40" i="4" s="1"/>
  <c r="I40" i="4"/>
  <c r="H40" i="4"/>
  <c r="G40" i="4"/>
  <c r="AF40" i="4" s="1"/>
  <c r="F40" i="4"/>
  <c r="E40" i="4"/>
  <c r="AD40" i="4" s="1"/>
  <c r="D40" i="4"/>
  <c r="AB40" i="4" s="1"/>
  <c r="AK40" i="4" s="1"/>
  <c r="C40" i="4"/>
  <c r="B40" i="4"/>
  <c r="AL39" i="4"/>
  <c r="AG39" i="4"/>
  <c r="AF39" i="4"/>
  <c r="AD39" i="4"/>
  <c r="Z39" i="4"/>
  <c r="Y39" i="4"/>
  <c r="U39" i="4"/>
  <c r="T39" i="4"/>
  <c r="S39" i="4"/>
  <c r="R39" i="4"/>
  <c r="Q39" i="4"/>
  <c r="AE39" i="4" s="1"/>
  <c r="P39" i="4"/>
  <c r="O39" i="4"/>
  <c r="N39" i="4"/>
  <c r="M39" i="4"/>
  <c r="L39" i="4"/>
  <c r="K39" i="4"/>
  <c r="J39" i="4"/>
  <c r="I39" i="4"/>
  <c r="AH39" i="4" s="1"/>
  <c r="AM39" i="4" s="1"/>
  <c r="H39" i="4"/>
  <c r="G39" i="4"/>
  <c r="F39" i="4"/>
  <c r="AC39" i="4" s="1"/>
  <c r="AJ39" i="4" s="1"/>
  <c r="E39" i="4"/>
  <c r="D39" i="4"/>
  <c r="AB39" i="4" s="1"/>
  <c r="C39" i="4"/>
  <c r="AA39" i="4" s="1"/>
  <c r="B39" i="4"/>
  <c r="AF38" i="4"/>
  <c r="AE38" i="4"/>
  <c r="AD38" i="4"/>
  <c r="AA38" i="4"/>
  <c r="Y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AG38" i="4" s="1"/>
  <c r="G38" i="4"/>
  <c r="F38" i="4"/>
  <c r="AC38" i="4" s="1"/>
  <c r="AJ38" i="4" s="1"/>
  <c r="E38" i="4"/>
  <c r="D38" i="4"/>
  <c r="AB38" i="4" s="1"/>
  <c r="AK38" i="4" s="1"/>
  <c r="C38" i="4"/>
  <c r="B38" i="4"/>
  <c r="Z38" i="4" s="1"/>
  <c r="AG37" i="4"/>
  <c r="AE37" i="4"/>
  <c r="AD37" i="4"/>
  <c r="AA37" i="4"/>
  <c r="Y37" i="4"/>
  <c r="U37" i="4"/>
  <c r="T37" i="4"/>
  <c r="S37" i="4"/>
  <c r="R37" i="4"/>
  <c r="Q37" i="4"/>
  <c r="P37" i="4"/>
  <c r="O37" i="4"/>
  <c r="N37" i="4"/>
  <c r="M37" i="4"/>
  <c r="L37" i="4"/>
  <c r="K37" i="4"/>
  <c r="J37" i="4"/>
  <c r="AH37" i="4" s="1"/>
  <c r="AM37" i="4" s="1"/>
  <c r="I37" i="4"/>
  <c r="H37" i="4"/>
  <c r="G37" i="4"/>
  <c r="AF37" i="4" s="1"/>
  <c r="F37" i="4"/>
  <c r="AC37" i="4" s="1"/>
  <c r="AJ37" i="4" s="1"/>
  <c r="E37" i="4"/>
  <c r="D37" i="4"/>
  <c r="AB37" i="4" s="1"/>
  <c r="AK37" i="4" s="1"/>
  <c r="C37" i="4"/>
  <c r="B37" i="4"/>
  <c r="Z37" i="4" s="1"/>
  <c r="AG36" i="4"/>
  <c r="AF36" i="4"/>
  <c r="AB36" i="4"/>
  <c r="Z36" i="4"/>
  <c r="Y36" i="4"/>
  <c r="U36" i="4"/>
  <c r="T36" i="4"/>
  <c r="AH36" i="4" s="1"/>
  <c r="AM36" i="4" s="1"/>
  <c r="S36" i="4"/>
  <c r="R36" i="4"/>
  <c r="Q36" i="4"/>
  <c r="AE36" i="4" s="1"/>
  <c r="P36" i="4"/>
  <c r="O36" i="4"/>
  <c r="N36" i="4"/>
  <c r="M36" i="4"/>
  <c r="L36" i="4"/>
  <c r="K36" i="4"/>
  <c r="J36" i="4"/>
  <c r="I36" i="4"/>
  <c r="H36" i="4"/>
  <c r="G36" i="4"/>
  <c r="F36" i="4"/>
  <c r="AC36" i="4" s="1"/>
  <c r="E36" i="4"/>
  <c r="AD36" i="4" s="1"/>
  <c r="D36" i="4"/>
  <c r="C36" i="4"/>
  <c r="AA36" i="4" s="1"/>
  <c r="B36" i="4"/>
  <c r="AF35" i="4"/>
  <c r="AE35" i="4"/>
  <c r="AC35" i="4"/>
  <c r="AJ35" i="4" s="1"/>
  <c r="AA35" i="4"/>
  <c r="Y35" i="4"/>
  <c r="U35" i="4"/>
  <c r="T35" i="4"/>
  <c r="AH35" i="4" s="1"/>
  <c r="AM35" i="4" s="1"/>
  <c r="S35" i="4"/>
  <c r="R35" i="4"/>
  <c r="Q35" i="4"/>
  <c r="P35" i="4"/>
  <c r="O35" i="4"/>
  <c r="N35" i="4"/>
  <c r="M35" i="4"/>
  <c r="L35" i="4"/>
  <c r="K35" i="4"/>
  <c r="J35" i="4"/>
  <c r="I35" i="4"/>
  <c r="H35" i="4"/>
  <c r="AG35" i="4" s="1"/>
  <c r="G35" i="4"/>
  <c r="F35" i="4"/>
  <c r="E35" i="4"/>
  <c r="AD35" i="4" s="1"/>
  <c r="D35" i="4"/>
  <c r="AB35" i="4" s="1"/>
  <c r="C35" i="4"/>
  <c r="B35" i="4"/>
  <c r="Z35" i="4" s="1"/>
  <c r="AG34" i="4"/>
  <c r="AE34" i="4"/>
  <c r="AD34" i="4"/>
  <c r="AB34" i="4"/>
  <c r="Z34" i="4"/>
  <c r="AL34" i="4" s="1"/>
  <c r="Y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AH34" i="4" s="1"/>
  <c r="AM34" i="4" s="1"/>
  <c r="H34" i="4"/>
  <c r="G34" i="4"/>
  <c r="AF34" i="4" s="1"/>
  <c r="F34" i="4"/>
  <c r="AC34" i="4" s="1"/>
  <c r="AJ34" i="4" s="1"/>
  <c r="E34" i="4"/>
  <c r="D34" i="4"/>
  <c r="C34" i="4"/>
  <c r="AA34" i="4" s="1"/>
  <c r="B34" i="4"/>
  <c r="AF33" i="4"/>
  <c r="AD33" i="4"/>
  <c r="AC33" i="4"/>
  <c r="AA33" i="4"/>
  <c r="Y33" i="4"/>
  <c r="U33" i="4"/>
  <c r="T33" i="4"/>
  <c r="AH33" i="4" s="1"/>
  <c r="AM33" i="4" s="1"/>
  <c r="S33" i="4"/>
  <c r="R33" i="4"/>
  <c r="Q33" i="4"/>
  <c r="AE33" i="4" s="1"/>
  <c r="P33" i="4"/>
  <c r="O33" i="4"/>
  <c r="N33" i="4"/>
  <c r="M33" i="4"/>
  <c r="L33" i="4"/>
  <c r="K33" i="4"/>
  <c r="J33" i="4"/>
  <c r="I33" i="4"/>
  <c r="H33" i="4"/>
  <c r="AG33" i="4" s="1"/>
  <c r="G33" i="4"/>
  <c r="F33" i="4"/>
  <c r="E33" i="4"/>
  <c r="D33" i="4"/>
  <c r="AB33" i="4" s="1"/>
  <c r="AK33" i="4" s="1"/>
  <c r="C33" i="4"/>
  <c r="B33" i="4"/>
  <c r="Z33" i="4" s="1"/>
  <c r="AB32" i="4"/>
  <c r="Z32" i="4"/>
  <c r="Y32" i="4"/>
  <c r="U32" i="4"/>
  <c r="T32" i="4"/>
  <c r="S32" i="4"/>
  <c r="AC32" i="4" s="1"/>
  <c r="AJ32" i="4" s="1"/>
  <c r="R32" i="4"/>
  <c r="Q32" i="4"/>
  <c r="AE32" i="4" s="1"/>
  <c r="P32" i="4"/>
  <c r="O32" i="4"/>
  <c r="N32" i="4"/>
  <c r="M32" i="4"/>
  <c r="AH32" i="4" s="1"/>
  <c r="AM32" i="4" s="1"/>
  <c r="L32" i="4"/>
  <c r="K32" i="4"/>
  <c r="J32" i="4"/>
  <c r="I32" i="4"/>
  <c r="H32" i="4"/>
  <c r="AG32" i="4" s="1"/>
  <c r="G32" i="4"/>
  <c r="AF32" i="4" s="1"/>
  <c r="F32" i="4"/>
  <c r="E32" i="4"/>
  <c r="AD32" i="4" s="1"/>
  <c r="D32" i="4"/>
  <c r="C32" i="4"/>
  <c r="AA32" i="4" s="1"/>
  <c r="B32" i="4"/>
  <c r="AG31" i="4"/>
  <c r="AE31" i="4"/>
  <c r="AD31" i="4"/>
  <c r="AA31" i="4"/>
  <c r="Y31" i="4"/>
  <c r="U31" i="4"/>
  <c r="T31" i="4"/>
  <c r="S31" i="4"/>
  <c r="R31" i="4"/>
  <c r="Q31" i="4"/>
  <c r="P31" i="4"/>
  <c r="O31" i="4"/>
  <c r="N31" i="4"/>
  <c r="M31" i="4"/>
  <c r="L31" i="4"/>
  <c r="K31" i="4"/>
  <c r="J31" i="4"/>
  <c r="AH31" i="4" s="1"/>
  <c r="AM31" i="4" s="1"/>
  <c r="I31" i="4"/>
  <c r="H31" i="4"/>
  <c r="G31" i="4"/>
  <c r="AF31" i="4" s="1"/>
  <c r="F31" i="4"/>
  <c r="AC31" i="4" s="1"/>
  <c r="AJ31" i="4" s="1"/>
  <c r="E31" i="4"/>
  <c r="D31" i="4"/>
  <c r="AB31" i="4" s="1"/>
  <c r="AK31" i="4" s="1"/>
  <c r="C31" i="4"/>
  <c r="B31" i="4"/>
  <c r="Z31" i="4" s="1"/>
  <c r="AG30" i="4"/>
  <c r="AF30" i="4"/>
  <c r="AB30" i="4"/>
  <c r="Z30" i="4"/>
  <c r="Y30" i="4"/>
  <c r="U30" i="4"/>
  <c r="T30" i="4"/>
  <c r="AH30" i="4" s="1"/>
  <c r="AM30" i="4" s="1"/>
  <c r="S30" i="4"/>
  <c r="R30" i="4"/>
  <c r="Q30" i="4"/>
  <c r="AE30" i="4" s="1"/>
  <c r="P30" i="4"/>
  <c r="O30" i="4"/>
  <c r="N30" i="4"/>
  <c r="M30" i="4"/>
  <c r="L30" i="4"/>
  <c r="K30" i="4"/>
  <c r="J30" i="4"/>
  <c r="I30" i="4"/>
  <c r="H30" i="4"/>
  <c r="G30" i="4"/>
  <c r="F30" i="4"/>
  <c r="AC30" i="4" s="1"/>
  <c r="E30" i="4"/>
  <c r="AD30" i="4" s="1"/>
  <c r="D30" i="4"/>
  <c r="C30" i="4"/>
  <c r="AA30" i="4" s="1"/>
  <c r="B30" i="4"/>
  <c r="AF29" i="4"/>
  <c r="AE29" i="4"/>
  <c r="AC29" i="4"/>
  <c r="AJ29" i="4" s="1"/>
  <c r="AA29" i="4"/>
  <c r="Y29" i="4"/>
  <c r="U29" i="4"/>
  <c r="T29" i="4"/>
  <c r="AH29" i="4" s="1"/>
  <c r="AM29" i="4" s="1"/>
  <c r="S29" i="4"/>
  <c r="R29" i="4"/>
  <c r="Q29" i="4"/>
  <c r="P29" i="4"/>
  <c r="O29" i="4"/>
  <c r="N29" i="4"/>
  <c r="M29" i="4"/>
  <c r="L29" i="4"/>
  <c r="K29" i="4"/>
  <c r="J29" i="4"/>
  <c r="I29" i="4"/>
  <c r="H29" i="4"/>
  <c r="AG29" i="4" s="1"/>
  <c r="G29" i="4"/>
  <c r="F29" i="4"/>
  <c r="E29" i="4"/>
  <c r="AD29" i="4" s="1"/>
  <c r="D29" i="4"/>
  <c r="AB29" i="4" s="1"/>
  <c r="AK29" i="4" s="1"/>
  <c r="C29" i="4"/>
  <c r="B29" i="4"/>
  <c r="Z29" i="4" s="1"/>
  <c r="AG28" i="4"/>
  <c r="AE28" i="4"/>
  <c r="AD28" i="4"/>
  <c r="AB28" i="4"/>
  <c r="AK28" i="4" s="1"/>
  <c r="Z28" i="4"/>
  <c r="AL28" i="4" s="1"/>
  <c r="Y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AH28" i="4" s="1"/>
  <c r="AM28" i="4" s="1"/>
  <c r="H28" i="4"/>
  <c r="G28" i="4"/>
  <c r="AF28" i="4" s="1"/>
  <c r="F28" i="4"/>
  <c r="AC28" i="4" s="1"/>
  <c r="AJ28" i="4" s="1"/>
  <c r="E28" i="4"/>
  <c r="D28" i="4"/>
  <c r="C28" i="4"/>
  <c r="AA28" i="4" s="1"/>
  <c r="B28" i="4"/>
  <c r="AD27" i="4"/>
  <c r="AC27" i="4"/>
  <c r="AJ27" i="4" s="1"/>
  <c r="AA27" i="4"/>
  <c r="Y27" i="4"/>
  <c r="U27" i="4"/>
  <c r="T27" i="4"/>
  <c r="AH27" i="4" s="1"/>
  <c r="AM27" i="4" s="1"/>
  <c r="S27" i="4"/>
  <c r="R27" i="4"/>
  <c r="Q27" i="4"/>
  <c r="AE27" i="4" s="1"/>
  <c r="P27" i="4"/>
  <c r="O27" i="4"/>
  <c r="N27" i="4"/>
  <c r="M27" i="4"/>
  <c r="L27" i="4"/>
  <c r="K27" i="4"/>
  <c r="J27" i="4"/>
  <c r="I27" i="4"/>
  <c r="H27" i="4"/>
  <c r="AG27" i="4" s="1"/>
  <c r="G27" i="4"/>
  <c r="AF27" i="4" s="1"/>
  <c r="F27" i="4"/>
  <c r="E27" i="4"/>
  <c r="D27" i="4"/>
  <c r="AB27" i="4" s="1"/>
  <c r="AK27" i="4" s="1"/>
  <c r="C27" i="4"/>
  <c r="B27" i="4"/>
  <c r="Z27" i="4" s="1"/>
  <c r="AH26" i="4"/>
  <c r="AM26" i="4" s="1"/>
  <c r="AB26" i="4"/>
  <c r="AK26" i="4" s="1"/>
  <c r="AA26" i="4"/>
  <c r="Z26" i="4"/>
  <c r="Y26" i="4"/>
  <c r="U26" i="4"/>
  <c r="T26" i="4"/>
  <c r="S26" i="4"/>
  <c r="AC26" i="4" s="1"/>
  <c r="AJ26" i="4" s="1"/>
  <c r="R26" i="4"/>
  <c r="Q26" i="4"/>
  <c r="AE26" i="4" s="1"/>
  <c r="P26" i="4"/>
  <c r="O26" i="4"/>
  <c r="N26" i="4"/>
  <c r="M26" i="4"/>
  <c r="L26" i="4"/>
  <c r="K26" i="4"/>
  <c r="J26" i="4"/>
  <c r="I26" i="4"/>
  <c r="H26" i="4"/>
  <c r="AG26" i="4" s="1"/>
  <c r="G26" i="4"/>
  <c r="AF26" i="4" s="1"/>
  <c r="F26" i="4"/>
  <c r="E26" i="4"/>
  <c r="AD26" i="4" s="1"/>
  <c r="D26" i="4"/>
  <c r="C26" i="4"/>
  <c r="B26" i="4"/>
  <c r="AG25" i="4"/>
  <c r="AE25" i="4"/>
  <c r="AA25" i="4"/>
  <c r="Y25" i="4"/>
  <c r="U25" i="4"/>
  <c r="T25" i="4"/>
  <c r="S25" i="4"/>
  <c r="R25" i="4"/>
  <c r="Q25" i="4"/>
  <c r="P25" i="4"/>
  <c r="O25" i="4"/>
  <c r="N25" i="4"/>
  <c r="M25" i="4"/>
  <c r="L25" i="4"/>
  <c r="K25" i="4"/>
  <c r="J25" i="4"/>
  <c r="AH25" i="4" s="1"/>
  <c r="AM25" i="4" s="1"/>
  <c r="I25" i="4"/>
  <c r="H25" i="4"/>
  <c r="G25" i="4"/>
  <c r="AF25" i="4" s="1"/>
  <c r="F25" i="4"/>
  <c r="AC25" i="4" s="1"/>
  <c r="AJ25" i="4" s="1"/>
  <c r="E25" i="4"/>
  <c r="AD25" i="4" s="1"/>
  <c r="D25" i="4"/>
  <c r="AB25" i="4" s="1"/>
  <c r="C25" i="4"/>
  <c r="B25" i="4"/>
  <c r="Z25" i="4" s="1"/>
  <c r="AG24" i="4"/>
  <c r="AF24" i="4"/>
  <c r="AB24" i="4"/>
  <c r="Z24" i="4"/>
  <c r="Y24" i="4"/>
  <c r="U24" i="4"/>
  <c r="T24" i="4"/>
  <c r="AH24" i="4" s="1"/>
  <c r="AM24" i="4" s="1"/>
  <c r="S24" i="4"/>
  <c r="R24" i="4"/>
  <c r="Q24" i="4"/>
  <c r="AE24" i="4" s="1"/>
  <c r="P24" i="4"/>
  <c r="O24" i="4"/>
  <c r="N24" i="4"/>
  <c r="M24" i="4"/>
  <c r="L24" i="4"/>
  <c r="K24" i="4"/>
  <c r="J24" i="4"/>
  <c r="I24" i="4"/>
  <c r="H24" i="4"/>
  <c r="G24" i="4"/>
  <c r="F24" i="4"/>
  <c r="AC24" i="4" s="1"/>
  <c r="AJ24" i="4" s="1"/>
  <c r="E24" i="4"/>
  <c r="AD24" i="4" s="1"/>
  <c r="D24" i="4"/>
  <c r="C24" i="4"/>
  <c r="AA24" i="4" s="1"/>
  <c r="B24" i="4"/>
  <c r="AF23" i="4"/>
  <c r="AE23" i="4"/>
  <c r="AC23" i="4"/>
  <c r="AJ23" i="4" s="1"/>
  <c r="AA23" i="4"/>
  <c r="Y23" i="4"/>
  <c r="U23" i="4"/>
  <c r="T23" i="4"/>
  <c r="AH23" i="4" s="1"/>
  <c r="AM23" i="4" s="1"/>
  <c r="S23" i="4"/>
  <c r="R23" i="4"/>
  <c r="Q23" i="4"/>
  <c r="P23" i="4"/>
  <c r="O23" i="4"/>
  <c r="N23" i="4"/>
  <c r="M23" i="4"/>
  <c r="L23" i="4"/>
  <c r="K23" i="4"/>
  <c r="J23" i="4"/>
  <c r="I23" i="4"/>
  <c r="H23" i="4"/>
  <c r="AG23" i="4" s="1"/>
  <c r="G23" i="4"/>
  <c r="F23" i="4"/>
  <c r="E23" i="4"/>
  <c r="AD23" i="4" s="1"/>
  <c r="D23" i="4"/>
  <c r="AB23" i="4" s="1"/>
  <c r="AK23" i="4" s="1"/>
  <c r="C23" i="4"/>
  <c r="B23" i="4"/>
  <c r="Z23" i="4" s="1"/>
  <c r="AG22" i="4"/>
  <c r="AE22" i="4"/>
  <c r="AD22" i="4"/>
  <c r="AB22" i="4"/>
  <c r="AK22" i="4" s="1"/>
  <c r="Z22" i="4"/>
  <c r="AL22" i="4" s="1"/>
  <c r="Y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AH22" i="4" s="1"/>
  <c r="AM22" i="4" s="1"/>
  <c r="H22" i="4"/>
  <c r="G22" i="4"/>
  <c r="AF22" i="4" s="1"/>
  <c r="F22" i="4"/>
  <c r="AC22" i="4" s="1"/>
  <c r="AJ22" i="4" s="1"/>
  <c r="E22" i="4"/>
  <c r="D22" i="4"/>
  <c r="C22" i="4"/>
  <c r="AA22" i="4" s="1"/>
  <c r="B22" i="4"/>
  <c r="AD21" i="4"/>
  <c r="AC21" i="4"/>
  <c r="AA21" i="4"/>
  <c r="Y21" i="4"/>
  <c r="U21" i="4"/>
  <c r="T21" i="4"/>
  <c r="AH21" i="4" s="1"/>
  <c r="AM21" i="4" s="1"/>
  <c r="S21" i="4"/>
  <c r="R21" i="4"/>
  <c r="Q21" i="4"/>
  <c r="AE21" i="4" s="1"/>
  <c r="P21" i="4"/>
  <c r="O21" i="4"/>
  <c r="N21" i="4"/>
  <c r="M21" i="4"/>
  <c r="L21" i="4"/>
  <c r="K21" i="4"/>
  <c r="J21" i="4"/>
  <c r="I21" i="4"/>
  <c r="H21" i="4"/>
  <c r="AG21" i="4" s="1"/>
  <c r="G21" i="4"/>
  <c r="AF21" i="4" s="1"/>
  <c r="F21" i="4"/>
  <c r="E21" i="4"/>
  <c r="D21" i="4"/>
  <c r="AB21" i="4" s="1"/>
  <c r="AK21" i="4" s="1"/>
  <c r="C21" i="4"/>
  <c r="B21" i="4"/>
  <c r="Z21" i="4" s="1"/>
  <c r="AB20" i="4"/>
  <c r="AA20" i="4"/>
  <c r="Z20" i="4"/>
  <c r="Y20" i="4"/>
  <c r="U20" i="4"/>
  <c r="T20" i="4"/>
  <c r="S20" i="4"/>
  <c r="AC20" i="4" s="1"/>
  <c r="R20" i="4"/>
  <c r="Q20" i="4"/>
  <c r="AE20" i="4" s="1"/>
  <c r="P20" i="4"/>
  <c r="O20" i="4"/>
  <c r="N20" i="4"/>
  <c r="M20" i="4"/>
  <c r="AH20" i="4" s="1"/>
  <c r="AM20" i="4" s="1"/>
  <c r="L20" i="4"/>
  <c r="K20" i="4"/>
  <c r="J20" i="4"/>
  <c r="I20" i="4"/>
  <c r="H20" i="4"/>
  <c r="AG20" i="4" s="1"/>
  <c r="G20" i="4"/>
  <c r="AF20" i="4" s="1"/>
  <c r="F20" i="4"/>
  <c r="E20" i="4"/>
  <c r="AD20" i="4" s="1"/>
  <c r="D20" i="4"/>
  <c r="C20" i="4"/>
  <c r="B20" i="4"/>
  <c r="AG19" i="4"/>
  <c r="AE19" i="4"/>
  <c r="AA19" i="4"/>
  <c r="Y19" i="4"/>
  <c r="U19" i="4"/>
  <c r="T19" i="4"/>
  <c r="S19" i="4"/>
  <c r="R19" i="4"/>
  <c r="Q19" i="4"/>
  <c r="P19" i="4"/>
  <c r="O19" i="4"/>
  <c r="N19" i="4"/>
  <c r="M19" i="4"/>
  <c r="L19" i="4"/>
  <c r="K19" i="4"/>
  <c r="J19" i="4"/>
  <c r="AH19" i="4" s="1"/>
  <c r="AM19" i="4" s="1"/>
  <c r="I19" i="4"/>
  <c r="H19" i="4"/>
  <c r="G19" i="4"/>
  <c r="AF19" i="4" s="1"/>
  <c r="F19" i="4"/>
  <c r="AC19" i="4" s="1"/>
  <c r="AJ19" i="4" s="1"/>
  <c r="E19" i="4"/>
  <c r="AD19" i="4" s="1"/>
  <c r="D19" i="4"/>
  <c r="AB19" i="4" s="1"/>
  <c r="C19" i="4"/>
  <c r="B19" i="4"/>
  <c r="Z19" i="4" s="1"/>
  <c r="AG18" i="4"/>
  <c r="AF18" i="4"/>
  <c r="AB18" i="4"/>
  <c r="AK18" i="4" s="1"/>
  <c r="Z18" i="4"/>
  <c r="Y18" i="4"/>
  <c r="U18" i="4"/>
  <c r="T18" i="4"/>
  <c r="AH18" i="4" s="1"/>
  <c r="AM18" i="4" s="1"/>
  <c r="S18" i="4"/>
  <c r="R18" i="4"/>
  <c r="Q18" i="4"/>
  <c r="AE18" i="4" s="1"/>
  <c r="P18" i="4"/>
  <c r="O18" i="4"/>
  <c r="N18" i="4"/>
  <c r="M18" i="4"/>
  <c r="L18" i="4"/>
  <c r="K18" i="4"/>
  <c r="J18" i="4"/>
  <c r="I18" i="4"/>
  <c r="H18" i="4"/>
  <c r="G18" i="4"/>
  <c r="F18" i="4"/>
  <c r="AC18" i="4" s="1"/>
  <c r="AJ18" i="4" s="1"/>
  <c r="E18" i="4"/>
  <c r="AD18" i="4" s="1"/>
  <c r="D18" i="4"/>
  <c r="C18" i="4"/>
  <c r="AA18" i="4" s="1"/>
  <c r="B18" i="4"/>
  <c r="AF17" i="4"/>
  <c r="AE17" i="4"/>
  <c r="AC17" i="4"/>
  <c r="AJ17" i="4" s="1"/>
  <c r="AA17" i="4"/>
  <c r="Y17" i="4"/>
  <c r="U17" i="4"/>
  <c r="T17" i="4"/>
  <c r="AH17" i="4" s="1"/>
  <c r="AM17" i="4" s="1"/>
  <c r="S17" i="4"/>
  <c r="R17" i="4"/>
  <c r="Q17" i="4"/>
  <c r="P17" i="4"/>
  <c r="O17" i="4"/>
  <c r="N17" i="4"/>
  <c r="M17" i="4"/>
  <c r="L17" i="4"/>
  <c r="K17" i="4"/>
  <c r="J17" i="4"/>
  <c r="I17" i="4"/>
  <c r="H17" i="4"/>
  <c r="AG17" i="4" s="1"/>
  <c r="G17" i="4"/>
  <c r="F17" i="4"/>
  <c r="E17" i="4"/>
  <c r="AD17" i="4" s="1"/>
  <c r="D17" i="4"/>
  <c r="AB17" i="4" s="1"/>
  <c r="C17" i="4"/>
  <c r="B17" i="4"/>
  <c r="Z17" i="4" s="1"/>
  <c r="AE16" i="4"/>
  <c r="AD16" i="4"/>
  <c r="AB16" i="4"/>
  <c r="Y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AH16" i="4" s="1"/>
  <c r="AM16" i="4" s="1"/>
  <c r="H16" i="4"/>
  <c r="AG16" i="4" s="1"/>
  <c r="G16" i="4"/>
  <c r="AF16" i="4" s="1"/>
  <c r="F16" i="4"/>
  <c r="AC16" i="4" s="1"/>
  <c r="AJ16" i="4" s="1"/>
  <c r="E16" i="4"/>
  <c r="D16" i="4"/>
  <c r="C16" i="4"/>
  <c r="AA16" i="4" s="1"/>
  <c r="B16" i="4"/>
  <c r="Z16" i="4" s="1"/>
  <c r="AD15" i="4"/>
  <c r="AC15" i="4"/>
  <c r="AJ15" i="4" s="1"/>
  <c r="AA15" i="4"/>
  <c r="Y15" i="4"/>
  <c r="U15" i="4"/>
  <c r="T15" i="4"/>
  <c r="AH15" i="4" s="1"/>
  <c r="AM15" i="4" s="1"/>
  <c r="S15" i="4"/>
  <c r="R15" i="4"/>
  <c r="Q15" i="4"/>
  <c r="AE15" i="4" s="1"/>
  <c r="P15" i="4"/>
  <c r="O15" i="4"/>
  <c r="N15" i="4"/>
  <c r="M15" i="4"/>
  <c r="L15" i="4"/>
  <c r="K15" i="4"/>
  <c r="J15" i="4"/>
  <c r="I15" i="4"/>
  <c r="H15" i="4"/>
  <c r="AG15" i="4" s="1"/>
  <c r="G15" i="4"/>
  <c r="AF15" i="4" s="1"/>
  <c r="F15" i="4"/>
  <c r="E15" i="4"/>
  <c r="D15" i="4"/>
  <c r="AB15" i="4" s="1"/>
  <c r="AK15" i="4" s="1"/>
  <c r="C15" i="4"/>
  <c r="B15" i="4"/>
  <c r="Z15" i="4" s="1"/>
  <c r="AB14" i="4"/>
  <c r="AK14" i="4" s="1"/>
  <c r="Z14" i="4"/>
  <c r="Y14" i="4"/>
  <c r="U14" i="4"/>
  <c r="T14" i="4"/>
  <c r="S14" i="4"/>
  <c r="AC14" i="4" s="1"/>
  <c r="AJ14" i="4" s="1"/>
  <c r="R14" i="4"/>
  <c r="Q14" i="4"/>
  <c r="AE14" i="4" s="1"/>
  <c r="P14" i="4"/>
  <c r="O14" i="4"/>
  <c r="N14" i="4"/>
  <c r="M14" i="4"/>
  <c r="AH14" i="4" s="1"/>
  <c r="AM14" i="4" s="1"/>
  <c r="L14" i="4"/>
  <c r="K14" i="4"/>
  <c r="J14" i="4"/>
  <c r="I14" i="4"/>
  <c r="H14" i="4"/>
  <c r="AG14" i="4" s="1"/>
  <c r="G14" i="4"/>
  <c r="AF14" i="4" s="1"/>
  <c r="F14" i="4"/>
  <c r="E14" i="4"/>
  <c r="AD14" i="4" s="1"/>
  <c r="D14" i="4"/>
  <c r="C14" i="4"/>
  <c r="AA14" i="4" s="1"/>
  <c r="B14" i="4"/>
  <c r="AG13" i="4"/>
  <c r="AE13" i="4"/>
  <c r="AA13" i="4"/>
  <c r="Y13" i="4"/>
  <c r="U13" i="4"/>
  <c r="T13" i="4"/>
  <c r="S13" i="4"/>
  <c r="R13" i="4"/>
  <c r="Q13" i="4"/>
  <c r="P13" i="4"/>
  <c r="O13" i="4"/>
  <c r="N13" i="4"/>
  <c r="M13" i="4"/>
  <c r="L13" i="4"/>
  <c r="K13" i="4"/>
  <c r="J13" i="4"/>
  <c r="AH13" i="4" s="1"/>
  <c r="AM13" i="4" s="1"/>
  <c r="I13" i="4"/>
  <c r="H13" i="4"/>
  <c r="G13" i="4"/>
  <c r="AF13" i="4" s="1"/>
  <c r="F13" i="4"/>
  <c r="AC13" i="4" s="1"/>
  <c r="AJ13" i="4" s="1"/>
  <c r="E13" i="4"/>
  <c r="AD13" i="4" s="1"/>
  <c r="D13" i="4"/>
  <c r="AB13" i="4" s="1"/>
  <c r="C13" i="4"/>
  <c r="B13" i="4"/>
  <c r="Z13" i="4" s="1"/>
  <c r="AG12" i="4"/>
  <c r="AF12" i="4"/>
  <c r="Z12" i="4"/>
  <c r="Y12" i="4"/>
  <c r="U12" i="4"/>
  <c r="T12" i="4"/>
  <c r="AH12" i="4" s="1"/>
  <c r="AM12" i="4" s="1"/>
  <c r="S12" i="4"/>
  <c r="R12" i="4"/>
  <c r="Q12" i="4"/>
  <c r="AE12" i="4" s="1"/>
  <c r="P12" i="4"/>
  <c r="O12" i="4"/>
  <c r="N12" i="4"/>
  <c r="M12" i="4"/>
  <c r="L12" i="4"/>
  <c r="K12" i="4"/>
  <c r="J12" i="4"/>
  <c r="I12" i="4"/>
  <c r="H12" i="4"/>
  <c r="G12" i="4"/>
  <c r="F12" i="4"/>
  <c r="AC12" i="4" s="1"/>
  <c r="AJ12" i="4" s="1"/>
  <c r="E12" i="4"/>
  <c r="AD12" i="4" s="1"/>
  <c r="D12" i="4"/>
  <c r="AB12" i="4" s="1"/>
  <c r="C12" i="4"/>
  <c r="AA12" i="4" s="1"/>
  <c r="B12" i="4"/>
  <c r="AF11" i="4"/>
  <c r="AE11" i="4"/>
  <c r="AC11" i="4"/>
  <c r="AJ11" i="4" s="1"/>
  <c r="AA11" i="4"/>
  <c r="Y11" i="4"/>
  <c r="U11" i="4"/>
  <c r="T11" i="4"/>
  <c r="AH11" i="4" s="1"/>
  <c r="AM11" i="4" s="1"/>
  <c r="S11" i="4"/>
  <c r="R11" i="4"/>
  <c r="Q11" i="4"/>
  <c r="P11" i="4"/>
  <c r="O11" i="4"/>
  <c r="N11" i="4"/>
  <c r="M11" i="4"/>
  <c r="L11" i="4"/>
  <c r="K11" i="4"/>
  <c r="J11" i="4"/>
  <c r="I11" i="4"/>
  <c r="H11" i="4"/>
  <c r="AG11" i="4" s="1"/>
  <c r="G11" i="4"/>
  <c r="F11" i="4"/>
  <c r="E11" i="4"/>
  <c r="AD11" i="4" s="1"/>
  <c r="D11" i="4"/>
  <c r="AB11" i="4" s="1"/>
  <c r="C11" i="4"/>
  <c r="B11" i="4"/>
  <c r="Z11" i="4" s="1"/>
  <c r="AE10" i="4"/>
  <c r="AD10" i="4"/>
  <c r="AB10" i="4"/>
  <c r="Y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AH10" i="4" s="1"/>
  <c r="AM10" i="4" s="1"/>
  <c r="H10" i="4"/>
  <c r="AG10" i="4" s="1"/>
  <c r="G10" i="4"/>
  <c r="AF10" i="4" s="1"/>
  <c r="F10" i="4"/>
  <c r="AC10" i="4" s="1"/>
  <c r="AJ10" i="4" s="1"/>
  <c r="E10" i="4"/>
  <c r="D10" i="4"/>
  <c r="C10" i="4"/>
  <c r="AA10" i="4" s="1"/>
  <c r="B10" i="4"/>
  <c r="Z10" i="4" s="1"/>
  <c r="AD9" i="4"/>
  <c r="AC9" i="4"/>
  <c r="AJ9" i="4" s="1"/>
  <c r="AA9" i="4"/>
  <c r="Y9" i="4"/>
  <c r="U9" i="4"/>
  <c r="T9" i="4"/>
  <c r="AH9" i="4" s="1"/>
  <c r="AM9" i="4" s="1"/>
  <c r="S9" i="4"/>
  <c r="R9" i="4"/>
  <c r="Q9" i="4"/>
  <c r="AE9" i="4" s="1"/>
  <c r="P9" i="4"/>
  <c r="O9" i="4"/>
  <c r="N9" i="4"/>
  <c r="M9" i="4"/>
  <c r="L9" i="4"/>
  <c r="K9" i="4"/>
  <c r="J9" i="4"/>
  <c r="I9" i="4"/>
  <c r="H9" i="4"/>
  <c r="AG9" i="4" s="1"/>
  <c r="G9" i="4"/>
  <c r="AF9" i="4" s="1"/>
  <c r="F9" i="4"/>
  <c r="E9" i="4"/>
  <c r="D9" i="4"/>
  <c r="AB9" i="4" s="1"/>
  <c r="AK9" i="4" s="1"/>
  <c r="C9" i="4"/>
  <c r="B9" i="4"/>
  <c r="Z9" i="4" s="1"/>
  <c r="AB8" i="4"/>
  <c r="AK8" i="4" s="1"/>
  <c r="AA8" i="4"/>
  <c r="Z8" i="4"/>
  <c r="Y8" i="4"/>
  <c r="U8" i="4"/>
  <c r="T8" i="4"/>
  <c r="S8" i="4"/>
  <c r="AC8" i="4" s="1"/>
  <c r="AJ8" i="4" s="1"/>
  <c r="R8" i="4"/>
  <c r="Q8" i="4"/>
  <c r="AE8" i="4" s="1"/>
  <c r="P8" i="4"/>
  <c r="O8" i="4"/>
  <c r="N8" i="4"/>
  <c r="M8" i="4"/>
  <c r="AH8" i="4" s="1"/>
  <c r="AM8" i="4" s="1"/>
  <c r="L8" i="4"/>
  <c r="K8" i="4"/>
  <c r="J8" i="4"/>
  <c r="I8" i="4"/>
  <c r="H8" i="4"/>
  <c r="AG8" i="4" s="1"/>
  <c r="G8" i="4"/>
  <c r="AF8" i="4" s="1"/>
  <c r="F8" i="4"/>
  <c r="E8" i="4"/>
  <c r="AD8" i="4" s="1"/>
  <c r="D8" i="4"/>
  <c r="C8" i="4"/>
  <c r="B8" i="4"/>
  <c r="AG7" i="4"/>
  <c r="AE7" i="4"/>
  <c r="AA7" i="4"/>
  <c r="Y7" i="4"/>
  <c r="U7" i="4"/>
  <c r="T7" i="4"/>
  <c r="S7" i="4"/>
  <c r="R7" i="4"/>
  <c r="Q7" i="4"/>
  <c r="P7" i="4"/>
  <c r="O7" i="4"/>
  <c r="N7" i="4"/>
  <c r="M7" i="4"/>
  <c r="L7" i="4"/>
  <c r="K7" i="4"/>
  <c r="J7" i="4"/>
  <c r="AH7" i="4" s="1"/>
  <c r="AM7" i="4" s="1"/>
  <c r="I7" i="4"/>
  <c r="H7" i="4"/>
  <c r="G7" i="4"/>
  <c r="AF7" i="4" s="1"/>
  <c r="F7" i="4"/>
  <c r="AC7" i="4" s="1"/>
  <c r="AJ7" i="4" s="1"/>
  <c r="E7" i="4"/>
  <c r="AD7" i="4" s="1"/>
  <c r="D7" i="4"/>
  <c r="AB7" i="4" s="1"/>
  <c r="C7" i="4"/>
  <c r="B7" i="4"/>
  <c r="Z7" i="4" s="1"/>
  <c r="AG6" i="4"/>
  <c r="AF6" i="4"/>
  <c r="AB6" i="4"/>
  <c r="Z6" i="4"/>
  <c r="Y6" i="4"/>
  <c r="U6" i="4"/>
  <c r="T6" i="4"/>
  <c r="S6" i="4"/>
  <c r="R6" i="4"/>
  <c r="Q6" i="4"/>
  <c r="AE6" i="4" s="1"/>
  <c r="P6" i="4"/>
  <c r="O6" i="4"/>
  <c r="N6" i="4"/>
  <c r="M6" i="4"/>
  <c r="L6" i="4"/>
  <c r="K6" i="4"/>
  <c r="J6" i="4"/>
  <c r="I6" i="4"/>
  <c r="AH6" i="4" s="1"/>
  <c r="AM6" i="4" s="1"/>
  <c r="H6" i="4"/>
  <c r="G6" i="4"/>
  <c r="F6" i="4"/>
  <c r="AC6" i="4" s="1"/>
  <c r="AJ6" i="4" s="1"/>
  <c r="E6" i="4"/>
  <c r="AD6" i="4" s="1"/>
  <c r="D6" i="4"/>
  <c r="C6" i="4"/>
  <c r="AA6" i="4" s="1"/>
  <c r="B6" i="4"/>
  <c r="AF5" i="4"/>
  <c r="AE5" i="4"/>
  <c r="AC5" i="4"/>
  <c r="AJ5" i="4" s="1"/>
  <c r="AA5" i="4"/>
  <c r="Y5" i="4"/>
  <c r="U5" i="4"/>
  <c r="T5" i="4"/>
  <c r="AH5" i="4" s="1"/>
  <c r="AM5" i="4" s="1"/>
  <c r="S5" i="4"/>
  <c r="R5" i="4"/>
  <c r="Q5" i="4"/>
  <c r="P5" i="4"/>
  <c r="O5" i="4"/>
  <c r="N5" i="4"/>
  <c r="M5" i="4"/>
  <c r="L5" i="4"/>
  <c r="K5" i="4"/>
  <c r="J5" i="4"/>
  <c r="I5" i="4"/>
  <c r="H5" i="4"/>
  <c r="AG5" i="4" s="1"/>
  <c r="G5" i="4"/>
  <c r="F5" i="4"/>
  <c r="E5" i="4"/>
  <c r="AD5" i="4" s="1"/>
  <c r="D5" i="4"/>
  <c r="AB5" i="4" s="1"/>
  <c r="AK5" i="4" s="1"/>
  <c r="C5" i="4"/>
  <c r="B5" i="4"/>
  <c r="Z5" i="4" s="1"/>
  <c r="AE4" i="4"/>
  <c r="AD4" i="4"/>
  <c r="AB4" i="4"/>
  <c r="AK4" i="4" s="1"/>
  <c r="Z4" i="4"/>
  <c r="AL4" i="4" s="1"/>
  <c r="Y4" i="4"/>
  <c r="U4" i="4"/>
  <c r="T4" i="4"/>
  <c r="S4" i="4"/>
  <c r="R4" i="4"/>
  <c r="Q4" i="4"/>
  <c r="P4" i="4"/>
  <c r="O4" i="4"/>
  <c r="N4" i="4"/>
  <c r="M4" i="4"/>
  <c r="L4" i="4"/>
  <c r="K4" i="4"/>
  <c r="J4" i="4"/>
  <c r="I4" i="4"/>
  <c r="AH4" i="4" s="1"/>
  <c r="AM4" i="4" s="1"/>
  <c r="H4" i="4"/>
  <c r="AG4" i="4" s="1"/>
  <c r="G4" i="4"/>
  <c r="AF4" i="4" s="1"/>
  <c r="F4" i="4"/>
  <c r="AC4" i="4" s="1"/>
  <c r="AJ4" i="4" s="1"/>
  <c r="E4" i="4"/>
  <c r="D4" i="4"/>
  <c r="C4" i="4"/>
  <c r="AA4" i="4" s="1"/>
  <c r="B4" i="4"/>
  <c r="AE3" i="4"/>
  <c r="AD3" i="4"/>
  <c r="AC3" i="4"/>
  <c r="AJ3" i="4" s="1"/>
  <c r="AA3" i="4"/>
  <c r="Y3" i="4"/>
  <c r="U3" i="4"/>
  <c r="T3" i="4"/>
  <c r="AH3" i="4" s="1"/>
  <c r="AM3" i="4" s="1"/>
  <c r="S3" i="4"/>
  <c r="R3" i="4"/>
  <c r="Q3" i="4"/>
  <c r="P3" i="4"/>
  <c r="O3" i="4"/>
  <c r="N3" i="4"/>
  <c r="M3" i="4"/>
  <c r="L3" i="4"/>
  <c r="K3" i="4"/>
  <c r="J3" i="4"/>
  <c r="I3" i="4"/>
  <c r="H3" i="4"/>
  <c r="AG3" i="4" s="1"/>
  <c r="G3" i="4"/>
  <c r="AF3" i="4" s="1"/>
  <c r="F3" i="4"/>
  <c r="E3" i="4"/>
  <c r="D3" i="4"/>
  <c r="AB3" i="4" s="1"/>
  <c r="AK3" i="4" s="1"/>
  <c r="C3" i="4"/>
  <c r="B3" i="4"/>
  <c r="Z3" i="4" s="1"/>
  <c r="AD2" i="4"/>
  <c r="AC2" i="4"/>
  <c r="AJ2" i="4" s="1"/>
  <c r="AB2" i="4"/>
  <c r="AK2" i="4" s="1"/>
  <c r="AA2" i="4"/>
  <c r="Y2" i="4"/>
  <c r="U2" i="4"/>
  <c r="T2" i="4"/>
  <c r="AH2" i="4" s="1"/>
  <c r="AM2" i="4" s="1"/>
  <c r="S2" i="4"/>
  <c r="R2" i="4"/>
  <c r="Q2" i="4"/>
  <c r="AE2" i="4" s="1"/>
  <c r="P2" i="4"/>
  <c r="O2" i="4"/>
  <c r="N2" i="4"/>
  <c r="M2" i="4"/>
  <c r="L2" i="4"/>
  <c r="K2" i="4"/>
  <c r="J2" i="4"/>
  <c r="I2" i="4"/>
  <c r="H2" i="4"/>
  <c r="AG2" i="4" s="1"/>
  <c r="G2" i="4"/>
  <c r="AF2" i="4" s="1"/>
  <c r="F2" i="4"/>
  <c r="E2" i="4"/>
  <c r="D2" i="4"/>
  <c r="C2" i="4"/>
  <c r="B2" i="4"/>
  <c r="Z2" i="4" s="1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AK3" i="3"/>
  <c r="AL3" i="3"/>
  <c r="AM3" i="3"/>
  <c r="AN3" i="3"/>
  <c r="AO3" i="3"/>
  <c r="AT3" i="3" s="1"/>
  <c r="AP3" i="3"/>
  <c r="AQ3" i="3"/>
  <c r="AR3" i="3"/>
  <c r="AS3" i="3"/>
  <c r="AK4" i="3"/>
  <c r="AL4" i="3"/>
  <c r="AM4" i="3"/>
  <c r="AN4" i="3"/>
  <c r="AO4" i="3"/>
  <c r="AP4" i="3"/>
  <c r="AQ4" i="3"/>
  <c r="AR4" i="3"/>
  <c r="AS4" i="3"/>
  <c r="AT4" i="3"/>
  <c r="AK5" i="3"/>
  <c r="AL5" i="3"/>
  <c r="AM5" i="3"/>
  <c r="AT5" i="3" s="1"/>
  <c r="AN5" i="3"/>
  <c r="AO5" i="3"/>
  <c r="AP5" i="3"/>
  <c r="AQ5" i="3"/>
  <c r="AR5" i="3"/>
  <c r="AS5" i="3"/>
  <c r="AK6" i="3"/>
  <c r="AL6" i="3"/>
  <c r="AT6" i="3" s="1"/>
  <c r="AM6" i="3"/>
  <c r="AN6" i="3"/>
  <c r="AO6" i="3"/>
  <c r="AP6" i="3"/>
  <c r="AQ6" i="3"/>
  <c r="AR6" i="3"/>
  <c r="AS6" i="3"/>
  <c r="AK7" i="3"/>
  <c r="AL7" i="3"/>
  <c r="AM7" i="3"/>
  <c r="AN7" i="3"/>
  <c r="AO7" i="3"/>
  <c r="AP7" i="3"/>
  <c r="AT7" i="3" s="1"/>
  <c r="AQ7" i="3"/>
  <c r="AR7" i="3"/>
  <c r="AS7" i="3"/>
  <c r="AK8" i="3"/>
  <c r="AL8" i="3"/>
  <c r="AT8" i="3" s="1"/>
  <c r="AM8" i="3"/>
  <c r="AN8" i="3"/>
  <c r="AO8" i="3"/>
  <c r="AP8" i="3"/>
  <c r="AQ8" i="3"/>
  <c r="AR8" i="3"/>
  <c r="AS8" i="3"/>
  <c r="AK9" i="3"/>
  <c r="AL9" i="3"/>
  <c r="AM9" i="3"/>
  <c r="AN9" i="3"/>
  <c r="AO9" i="3"/>
  <c r="AP9" i="3"/>
  <c r="AQ9" i="3"/>
  <c r="AR9" i="3"/>
  <c r="AS9" i="3"/>
  <c r="AT9" i="3"/>
  <c r="AK10" i="3"/>
  <c r="AL10" i="3"/>
  <c r="AT10" i="3" s="1"/>
  <c r="AM10" i="3"/>
  <c r="AN10" i="3"/>
  <c r="AO10" i="3"/>
  <c r="AP10" i="3"/>
  <c r="AQ10" i="3"/>
  <c r="AR10" i="3"/>
  <c r="AS10" i="3"/>
  <c r="AK11" i="3"/>
  <c r="AL11" i="3"/>
  <c r="AT11" i="3" s="1"/>
  <c r="AM11" i="3"/>
  <c r="AN11" i="3"/>
  <c r="AO11" i="3"/>
  <c r="AP11" i="3"/>
  <c r="AQ11" i="3"/>
  <c r="AR11" i="3"/>
  <c r="AS11" i="3"/>
  <c r="AK12" i="3"/>
  <c r="AL12" i="3"/>
  <c r="AM12" i="3"/>
  <c r="AN12" i="3"/>
  <c r="AO12" i="3"/>
  <c r="AP12" i="3"/>
  <c r="AQ12" i="3"/>
  <c r="AR12" i="3"/>
  <c r="AS12" i="3"/>
  <c r="AT12" i="3"/>
  <c r="AK13" i="3"/>
  <c r="AL13" i="3"/>
  <c r="AT13" i="3" s="1"/>
  <c r="AM13" i="3"/>
  <c r="AN13" i="3"/>
  <c r="AO13" i="3"/>
  <c r="AP13" i="3"/>
  <c r="AQ13" i="3"/>
  <c r="AR13" i="3"/>
  <c r="AS13" i="3"/>
  <c r="AK14" i="3"/>
  <c r="AL14" i="3"/>
  <c r="AT14" i="3" s="1"/>
  <c r="AM14" i="3"/>
  <c r="AN14" i="3"/>
  <c r="AO14" i="3"/>
  <c r="AP14" i="3"/>
  <c r="AQ14" i="3"/>
  <c r="AR14" i="3"/>
  <c r="AS14" i="3"/>
  <c r="AK15" i="3"/>
  <c r="AL15" i="3"/>
  <c r="AM15" i="3"/>
  <c r="AN15" i="3"/>
  <c r="AO15" i="3"/>
  <c r="AP15" i="3"/>
  <c r="AQ15" i="3"/>
  <c r="AR15" i="3"/>
  <c r="AS15" i="3"/>
  <c r="AT15" i="3"/>
  <c r="AK16" i="3"/>
  <c r="AL16" i="3"/>
  <c r="AT16" i="3" s="1"/>
  <c r="AM16" i="3"/>
  <c r="AN16" i="3"/>
  <c r="AO16" i="3"/>
  <c r="AP16" i="3"/>
  <c r="AQ16" i="3"/>
  <c r="AR16" i="3"/>
  <c r="AS16" i="3"/>
  <c r="AK17" i="3"/>
  <c r="AL17" i="3"/>
  <c r="AT17" i="3" s="1"/>
  <c r="AM17" i="3"/>
  <c r="AN17" i="3"/>
  <c r="AO17" i="3"/>
  <c r="AP17" i="3"/>
  <c r="AQ17" i="3"/>
  <c r="AR17" i="3"/>
  <c r="AS17" i="3"/>
  <c r="AK18" i="3"/>
  <c r="AL18" i="3"/>
  <c r="AM18" i="3"/>
  <c r="AN18" i="3"/>
  <c r="AO18" i="3"/>
  <c r="AP18" i="3"/>
  <c r="AQ18" i="3"/>
  <c r="AR18" i="3"/>
  <c r="AS18" i="3"/>
  <c r="AT18" i="3"/>
  <c r="AK19" i="3"/>
  <c r="AL19" i="3"/>
  <c r="AT19" i="3" s="1"/>
  <c r="AM19" i="3"/>
  <c r="AN19" i="3"/>
  <c r="AO19" i="3"/>
  <c r="AP19" i="3"/>
  <c r="AQ19" i="3"/>
  <c r="AR19" i="3"/>
  <c r="AS19" i="3"/>
  <c r="AK20" i="3"/>
  <c r="AL20" i="3"/>
  <c r="AT20" i="3" s="1"/>
  <c r="AM20" i="3"/>
  <c r="AN20" i="3"/>
  <c r="AO20" i="3"/>
  <c r="AP20" i="3"/>
  <c r="AQ20" i="3"/>
  <c r="AR20" i="3"/>
  <c r="AS20" i="3"/>
  <c r="AK21" i="3"/>
  <c r="AL21" i="3"/>
  <c r="AM21" i="3"/>
  <c r="AN21" i="3"/>
  <c r="AO21" i="3"/>
  <c r="AP21" i="3"/>
  <c r="AQ21" i="3"/>
  <c r="AR21" i="3"/>
  <c r="AS21" i="3"/>
  <c r="AT21" i="3"/>
  <c r="AK22" i="3"/>
  <c r="AL22" i="3"/>
  <c r="AT22" i="3" s="1"/>
  <c r="AM22" i="3"/>
  <c r="AN22" i="3"/>
  <c r="AO22" i="3"/>
  <c r="AP22" i="3"/>
  <c r="AQ22" i="3"/>
  <c r="AR22" i="3"/>
  <c r="AS22" i="3"/>
  <c r="AK23" i="3"/>
  <c r="AL23" i="3"/>
  <c r="AT23" i="3" s="1"/>
  <c r="AM23" i="3"/>
  <c r="AN23" i="3"/>
  <c r="AO23" i="3"/>
  <c r="AP23" i="3"/>
  <c r="AQ23" i="3"/>
  <c r="AR23" i="3"/>
  <c r="AS23" i="3"/>
  <c r="AK24" i="3"/>
  <c r="AL24" i="3"/>
  <c r="AM24" i="3"/>
  <c r="AN24" i="3"/>
  <c r="AO24" i="3"/>
  <c r="AP24" i="3"/>
  <c r="AQ24" i="3"/>
  <c r="AR24" i="3"/>
  <c r="AS24" i="3"/>
  <c r="AT24" i="3"/>
  <c r="AK25" i="3"/>
  <c r="AL25" i="3"/>
  <c r="AT25" i="3" s="1"/>
  <c r="AM25" i="3"/>
  <c r="AN25" i="3"/>
  <c r="AO25" i="3"/>
  <c r="AP25" i="3"/>
  <c r="AQ25" i="3"/>
  <c r="AR25" i="3"/>
  <c r="AS25" i="3"/>
  <c r="AK26" i="3"/>
  <c r="AL26" i="3"/>
  <c r="AT26" i="3" s="1"/>
  <c r="AM26" i="3"/>
  <c r="AN26" i="3"/>
  <c r="AO26" i="3"/>
  <c r="AP26" i="3"/>
  <c r="AQ26" i="3"/>
  <c r="AR26" i="3"/>
  <c r="AS26" i="3"/>
  <c r="AK27" i="3"/>
  <c r="AL27" i="3"/>
  <c r="AM27" i="3"/>
  <c r="AN27" i="3"/>
  <c r="AO27" i="3"/>
  <c r="AP27" i="3"/>
  <c r="AQ27" i="3"/>
  <c r="AR27" i="3"/>
  <c r="AS27" i="3"/>
  <c r="AT27" i="3"/>
  <c r="AK28" i="3"/>
  <c r="AL28" i="3"/>
  <c r="AT28" i="3" s="1"/>
  <c r="AM28" i="3"/>
  <c r="AN28" i="3"/>
  <c r="AO28" i="3"/>
  <c r="AP28" i="3"/>
  <c r="AQ28" i="3"/>
  <c r="AR28" i="3"/>
  <c r="AS28" i="3"/>
  <c r="AK29" i="3"/>
  <c r="AL29" i="3"/>
  <c r="AT29" i="3" s="1"/>
  <c r="AM29" i="3"/>
  <c r="AN29" i="3"/>
  <c r="AO29" i="3"/>
  <c r="AP29" i="3"/>
  <c r="AQ29" i="3"/>
  <c r="AR29" i="3"/>
  <c r="AS29" i="3"/>
  <c r="AK30" i="3"/>
  <c r="AL30" i="3"/>
  <c r="AM30" i="3"/>
  <c r="AN30" i="3"/>
  <c r="AO30" i="3"/>
  <c r="AP30" i="3"/>
  <c r="AQ30" i="3"/>
  <c r="AR30" i="3"/>
  <c r="AS30" i="3"/>
  <c r="AT30" i="3"/>
  <c r="AK31" i="3"/>
  <c r="AL31" i="3"/>
  <c r="AT31" i="3" s="1"/>
  <c r="AM31" i="3"/>
  <c r="AN31" i="3"/>
  <c r="AO31" i="3"/>
  <c r="AP31" i="3"/>
  <c r="AQ31" i="3"/>
  <c r="AR31" i="3"/>
  <c r="AS31" i="3"/>
  <c r="AK32" i="3"/>
  <c r="AL32" i="3"/>
  <c r="AT32" i="3" s="1"/>
  <c r="AM32" i="3"/>
  <c r="AN32" i="3"/>
  <c r="AO32" i="3"/>
  <c r="AP32" i="3"/>
  <c r="AQ32" i="3"/>
  <c r="AR32" i="3"/>
  <c r="AS32" i="3"/>
  <c r="AK33" i="3"/>
  <c r="AL33" i="3"/>
  <c r="AM33" i="3"/>
  <c r="AN33" i="3"/>
  <c r="AO33" i="3"/>
  <c r="AP33" i="3"/>
  <c r="AQ33" i="3"/>
  <c r="AR33" i="3"/>
  <c r="AS33" i="3"/>
  <c r="AT33" i="3"/>
  <c r="AK34" i="3"/>
  <c r="AL34" i="3"/>
  <c r="AT34" i="3" s="1"/>
  <c r="AM34" i="3"/>
  <c r="AN34" i="3"/>
  <c r="AO34" i="3"/>
  <c r="AP34" i="3"/>
  <c r="AQ34" i="3"/>
  <c r="AR34" i="3"/>
  <c r="AS34" i="3"/>
  <c r="AK35" i="3"/>
  <c r="AL35" i="3"/>
  <c r="AT35" i="3" s="1"/>
  <c r="AM35" i="3"/>
  <c r="AN35" i="3"/>
  <c r="AO35" i="3"/>
  <c r="AP35" i="3"/>
  <c r="AQ35" i="3"/>
  <c r="AR35" i="3"/>
  <c r="AS35" i="3"/>
  <c r="AK36" i="3"/>
  <c r="AL36" i="3"/>
  <c r="AM36" i="3"/>
  <c r="AN36" i="3"/>
  <c r="AO36" i="3"/>
  <c r="AP36" i="3"/>
  <c r="AQ36" i="3"/>
  <c r="AR36" i="3"/>
  <c r="AS36" i="3"/>
  <c r="AT36" i="3"/>
  <c r="AK37" i="3"/>
  <c r="AL37" i="3"/>
  <c r="AT37" i="3" s="1"/>
  <c r="AM37" i="3"/>
  <c r="AN37" i="3"/>
  <c r="AO37" i="3"/>
  <c r="AP37" i="3"/>
  <c r="AQ37" i="3"/>
  <c r="AR37" i="3"/>
  <c r="AS37" i="3"/>
  <c r="AK38" i="3"/>
  <c r="AL38" i="3"/>
  <c r="AT38" i="3" s="1"/>
  <c r="AM38" i="3"/>
  <c r="AN38" i="3"/>
  <c r="AO38" i="3"/>
  <c r="AP38" i="3"/>
  <c r="AQ38" i="3"/>
  <c r="AR38" i="3"/>
  <c r="AS38" i="3"/>
  <c r="AK39" i="3"/>
  <c r="AL39" i="3"/>
  <c r="AM39" i="3"/>
  <c r="AN39" i="3"/>
  <c r="AO39" i="3"/>
  <c r="AP39" i="3"/>
  <c r="AQ39" i="3"/>
  <c r="AR39" i="3"/>
  <c r="AS39" i="3"/>
  <c r="AT39" i="3"/>
  <c r="AK40" i="3"/>
  <c r="AL40" i="3"/>
  <c r="AT40" i="3" s="1"/>
  <c r="AM40" i="3"/>
  <c r="AN40" i="3"/>
  <c r="AO40" i="3"/>
  <c r="AP40" i="3"/>
  <c r="AQ40" i="3"/>
  <c r="AR40" i="3"/>
  <c r="AS40" i="3"/>
  <c r="AK41" i="3"/>
  <c r="AL41" i="3"/>
  <c r="AT41" i="3" s="1"/>
  <c r="AM41" i="3"/>
  <c r="AN41" i="3"/>
  <c r="AO41" i="3"/>
  <c r="AP41" i="3"/>
  <c r="AQ41" i="3"/>
  <c r="AR41" i="3"/>
  <c r="AS41" i="3"/>
  <c r="AK42" i="3"/>
  <c r="AL42" i="3"/>
  <c r="AM42" i="3"/>
  <c r="AN42" i="3"/>
  <c r="AO42" i="3"/>
  <c r="AP42" i="3"/>
  <c r="AQ42" i="3"/>
  <c r="AR42" i="3"/>
  <c r="AS42" i="3"/>
  <c r="AT42" i="3"/>
  <c r="AK43" i="3"/>
  <c r="AL43" i="3"/>
  <c r="AT43" i="3" s="1"/>
  <c r="AM43" i="3"/>
  <c r="AN43" i="3"/>
  <c r="AO43" i="3"/>
  <c r="AP43" i="3"/>
  <c r="AQ43" i="3"/>
  <c r="AR43" i="3"/>
  <c r="AS43" i="3"/>
  <c r="AK44" i="3"/>
  <c r="AL44" i="3"/>
  <c r="AT44" i="3" s="1"/>
  <c r="AM44" i="3"/>
  <c r="AN44" i="3"/>
  <c r="AO44" i="3"/>
  <c r="AP44" i="3"/>
  <c r="AQ44" i="3"/>
  <c r="AR44" i="3"/>
  <c r="AS44" i="3"/>
  <c r="AK45" i="3"/>
  <c r="AL45" i="3"/>
  <c r="AM45" i="3"/>
  <c r="AN45" i="3"/>
  <c r="AO45" i="3"/>
  <c r="AP45" i="3"/>
  <c r="AQ45" i="3"/>
  <c r="AR45" i="3"/>
  <c r="AS45" i="3"/>
  <c r="AT45" i="3"/>
  <c r="AK46" i="3"/>
  <c r="AL46" i="3"/>
  <c r="AT46" i="3" s="1"/>
  <c r="AM46" i="3"/>
  <c r="AN46" i="3"/>
  <c r="AO46" i="3"/>
  <c r="AP46" i="3"/>
  <c r="AQ46" i="3"/>
  <c r="AR46" i="3"/>
  <c r="AS46" i="3"/>
  <c r="AK47" i="3"/>
  <c r="AL47" i="3"/>
  <c r="AT47" i="3" s="1"/>
  <c r="AM47" i="3"/>
  <c r="AN47" i="3"/>
  <c r="AO47" i="3"/>
  <c r="AP47" i="3"/>
  <c r="AQ47" i="3"/>
  <c r="AR47" i="3"/>
  <c r="AS47" i="3"/>
  <c r="AK48" i="3"/>
  <c r="AL48" i="3"/>
  <c r="AM48" i="3"/>
  <c r="AN48" i="3"/>
  <c r="AO48" i="3"/>
  <c r="AP48" i="3"/>
  <c r="AQ48" i="3"/>
  <c r="AR48" i="3"/>
  <c r="AS48" i="3"/>
  <c r="AT48" i="3"/>
  <c r="AK49" i="3"/>
  <c r="AL49" i="3"/>
  <c r="AT49" i="3" s="1"/>
  <c r="AM49" i="3"/>
  <c r="AN49" i="3"/>
  <c r="AO49" i="3"/>
  <c r="AP49" i="3"/>
  <c r="AQ49" i="3"/>
  <c r="AR49" i="3"/>
  <c r="AS49" i="3"/>
  <c r="AK50" i="3"/>
  <c r="AL50" i="3"/>
  <c r="AT50" i="3" s="1"/>
  <c r="AM50" i="3"/>
  <c r="AN50" i="3"/>
  <c r="AO50" i="3"/>
  <c r="AP50" i="3"/>
  <c r="AQ50" i="3"/>
  <c r="AR50" i="3"/>
  <c r="AS50" i="3"/>
  <c r="AK51" i="3"/>
  <c r="AL51" i="3"/>
  <c r="AM51" i="3"/>
  <c r="AN51" i="3"/>
  <c r="AO51" i="3"/>
  <c r="AP51" i="3"/>
  <c r="AQ51" i="3"/>
  <c r="AR51" i="3"/>
  <c r="AS51" i="3"/>
  <c r="AT51" i="3"/>
  <c r="AK52" i="3"/>
  <c r="AL52" i="3"/>
  <c r="AT52" i="3" s="1"/>
  <c r="AM52" i="3"/>
  <c r="AN52" i="3"/>
  <c r="AO52" i="3"/>
  <c r="AP52" i="3"/>
  <c r="AQ52" i="3"/>
  <c r="AR52" i="3"/>
  <c r="AS52" i="3"/>
  <c r="AK53" i="3"/>
  <c r="AL53" i="3"/>
  <c r="AT53" i="3" s="1"/>
  <c r="AM53" i="3"/>
  <c r="AN53" i="3"/>
  <c r="AO53" i="3"/>
  <c r="AP53" i="3"/>
  <c r="AQ53" i="3"/>
  <c r="AR53" i="3"/>
  <c r="AS53" i="3"/>
  <c r="AK54" i="3"/>
  <c r="AL54" i="3"/>
  <c r="AM54" i="3"/>
  <c r="AN54" i="3"/>
  <c r="AO54" i="3"/>
  <c r="AP54" i="3"/>
  <c r="AQ54" i="3"/>
  <c r="AR54" i="3"/>
  <c r="AS54" i="3"/>
  <c r="AT54" i="3"/>
  <c r="AK55" i="3"/>
  <c r="AL55" i="3"/>
  <c r="AT55" i="3" s="1"/>
  <c r="AM55" i="3"/>
  <c r="AN55" i="3"/>
  <c r="AO55" i="3"/>
  <c r="AP55" i="3"/>
  <c r="AQ55" i="3"/>
  <c r="AR55" i="3"/>
  <c r="AS55" i="3"/>
  <c r="AK56" i="3"/>
  <c r="AL56" i="3"/>
  <c r="AT56" i="3" s="1"/>
  <c r="AM56" i="3"/>
  <c r="AN56" i="3"/>
  <c r="AO56" i="3"/>
  <c r="AP56" i="3"/>
  <c r="AQ56" i="3"/>
  <c r="AR56" i="3"/>
  <c r="AS56" i="3"/>
  <c r="AK57" i="3"/>
  <c r="AL57" i="3"/>
  <c r="AM57" i="3"/>
  <c r="AN57" i="3"/>
  <c r="AO57" i="3"/>
  <c r="AP57" i="3"/>
  <c r="AQ57" i="3"/>
  <c r="AR57" i="3"/>
  <c r="AS57" i="3"/>
  <c r="AT57" i="3"/>
  <c r="AK58" i="3"/>
  <c r="AL58" i="3"/>
  <c r="AT58" i="3" s="1"/>
  <c r="AM58" i="3"/>
  <c r="AN58" i="3"/>
  <c r="AO58" i="3"/>
  <c r="AP58" i="3"/>
  <c r="AQ58" i="3"/>
  <c r="AR58" i="3"/>
  <c r="AS58" i="3"/>
  <c r="AK59" i="3"/>
  <c r="AL59" i="3"/>
  <c r="AT59" i="3" s="1"/>
  <c r="AM59" i="3"/>
  <c r="AN59" i="3"/>
  <c r="AO59" i="3"/>
  <c r="AP59" i="3"/>
  <c r="AQ59" i="3"/>
  <c r="AR59" i="3"/>
  <c r="AS59" i="3"/>
  <c r="AK60" i="3"/>
  <c r="AL60" i="3"/>
  <c r="AM60" i="3"/>
  <c r="AN60" i="3"/>
  <c r="AO60" i="3"/>
  <c r="AP60" i="3"/>
  <c r="AQ60" i="3"/>
  <c r="AR60" i="3"/>
  <c r="AS60" i="3"/>
  <c r="AT60" i="3"/>
  <c r="AK61" i="3"/>
  <c r="AL61" i="3"/>
  <c r="AT61" i="3" s="1"/>
  <c r="AM61" i="3"/>
  <c r="AN61" i="3"/>
  <c r="AO61" i="3"/>
  <c r="AP61" i="3"/>
  <c r="AQ61" i="3"/>
  <c r="AR61" i="3"/>
  <c r="AS61" i="3"/>
  <c r="AK62" i="3"/>
  <c r="AL62" i="3"/>
  <c r="AT62" i="3" s="1"/>
  <c r="AM62" i="3"/>
  <c r="AN62" i="3"/>
  <c r="AO62" i="3"/>
  <c r="AP62" i="3"/>
  <c r="AQ62" i="3"/>
  <c r="AR62" i="3"/>
  <c r="AS62" i="3"/>
  <c r="AK63" i="3"/>
  <c r="AL63" i="3"/>
  <c r="AM63" i="3"/>
  <c r="AN63" i="3"/>
  <c r="AO63" i="3"/>
  <c r="AP63" i="3"/>
  <c r="AQ63" i="3"/>
  <c r="AR63" i="3"/>
  <c r="AS63" i="3"/>
  <c r="AT63" i="3"/>
  <c r="AK64" i="3"/>
  <c r="AL64" i="3"/>
  <c r="AT64" i="3" s="1"/>
  <c r="AM64" i="3"/>
  <c r="AN64" i="3"/>
  <c r="AO64" i="3"/>
  <c r="AP64" i="3"/>
  <c r="AQ64" i="3"/>
  <c r="AR64" i="3"/>
  <c r="AS64" i="3"/>
  <c r="AK65" i="3"/>
  <c r="AL65" i="3"/>
  <c r="AT65" i="3" s="1"/>
  <c r="AM65" i="3"/>
  <c r="AN65" i="3"/>
  <c r="AO65" i="3"/>
  <c r="AP65" i="3"/>
  <c r="AQ65" i="3"/>
  <c r="AR65" i="3"/>
  <c r="AS65" i="3"/>
  <c r="AK66" i="3"/>
  <c r="AL66" i="3"/>
  <c r="AM66" i="3"/>
  <c r="AN66" i="3"/>
  <c r="AO66" i="3"/>
  <c r="AP66" i="3"/>
  <c r="AQ66" i="3"/>
  <c r="AR66" i="3"/>
  <c r="AS66" i="3"/>
  <c r="AT66" i="3"/>
  <c r="AK67" i="3"/>
  <c r="AL67" i="3"/>
  <c r="AT67" i="3" s="1"/>
  <c r="AM67" i="3"/>
  <c r="AN67" i="3"/>
  <c r="AO67" i="3"/>
  <c r="AP67" i="3"/>
  <c r="AQ67" i="3"/>
  <c r="AR67" i="3"/>
  <c r="AS67" i="3"/>
  <c r="AK68" i="3"/>
  <c r="AL68" i="3"/>
  <c r="AT68" i="3" s="1"/>
  <c r="AM68" i="3"/>
  <c r="AN68" i="3"/>
  <c r="AO68" i="3"/>
  <c r="AP68" i="3"/>
  <c r="AQ68" i="3"/>
  <c r="AR68" i="3"/>
  <c r="AS68" i="3"/>
  <c r="AK69" i="3"/>
  <c r="AL69" i="3"/>
  <c r="AM69" i="3"/>
  <c r="AN69" i="3"/>
  <c r="AO69" i="3"/>
  <c r="AP69" i="3"/>
  <c r="AQ69" i="3"/>
  <c r="AR69" i="3"/>
  <c r="AS69" i="3"/>
  <c r="AT69" i="3"/>
  <c r="AK70" i="3"/>
  <c r="AL70" i="3"/>
  <c r="AT70" i="3" s="1"/>
  <c r="AM70" i="3"/>
  <c r="AN70" i="3"/>
  <c r="AO70" i="3"/>
  <c r="AP70" i="3"/>
  <c r="AQ70" i="3"/>
  <c r="AR70" i="3"/>
  <c r="AS70" i="3"/>
  <c r="AK71" i="3"/>
  <c r="AL71" i="3"/>
  <c r="AT71" i="3" s="1"/>
  <c r="AM71" i="3"/>
  <c r="AN71" i="3"/>
  <c r="AO71" i="3"/>
  <c r="AP71" i="3"/>
  <c r="AQ71" i="3"/>
  <c r="AR71" i="3"/>
  <c r="AS71" i="3"/>
  <c r="AK72" i="3"/>
  <c r="AL72" i="3"/>
  <c r="AM72" i="3"/>
  <c r="AN72" i="3"/>
  <c r="AO72" i="3"/>
  <c r="AP72" i="3"/>
  <c r="AQ72" i="3"/>
  <c r="AR72" i="3"/>
  <c r="AS72" i="3"/>
  <c r="AT72" i="3"/>
  <c r="AK73" i="3"/>
  <c r="AL73" i="3"/>
  <c r="AT73" i="3" s="1"/>
  <c r="AM73" i="3"/>
  <c r="AN73" i="3"/>
  <c r="AO73" i="3"/>
  <c r="AP73" i="3"/>
  <c r="AQ73" i="3"/>
  <c r="AR73" i="3"/>
  <c r="AS73" i="3"/>
  <c r="AK74" i="3"/>
  <c r="AL74" i="3"/>
  <c r="AT74" i="3" s="1"/>
  <c r="AM74" i="3"/>
  <c r="AN74" i="3"/>
  <c r="AO74" i="3"/>
  <c r="AP74" i="3"/>
  <c r="AQ74" i="3"/>
  <c r="AR74" i="3"/>
  <c r="AS74" i="3"/>
  <c r="AK75" i="3"/>
  <c r="AL75" i="3"/>
  <c r="AM75" i="3"/>
  <c r="AN75" i="3"/>
  <c r="AO75" i="3"/>
  <c r="AP75" i="3"/>
  <c r="AQ75" i="3"/>
  <c r="AR75" i="3"/>
  <c r="AS75" i="3"/>
  <c r="AT75" i="3"/>
  <c r="AK76" i="3"/>
  <c r="AL76" i="3"/>
  <c r="AT76" i="3" s="1"/>
  <c r="AM76" i="3"/>
  <c r="AN76" i="3"/>
  <c r="AO76" i="3"/>
  <c r="AP76" i="3"/>
  <c r="AQ76" i="3"/>
  <c r="AR76" i="3"/>
  <c r="AS76" i="3"/>
  <c r="AK77" i="3"/>
  <c r="AL77" i="3"/>
  <c r="AT77" i="3" s="1"/>
  <c r="AM77" i="3"/>
  <c r="AN77" i="3"/>
  <c r="AO77" i="3"/>
  <c r="AP77" i="3"/>
  <c r="AQ77" i="3"/>
  <c r="AR77" i="3"/>
  <c r="AS77" i="3"/>
  <c r="AK78" i="3"/>
  <c r="AL78" i="3"/>
  <c r="AM78" i="3"/>
  <c r="AN78" i="3"/>
  <c r="AO78" i="3"/>
  <c r="AP78" i="3"/>
  <c r="AQ78" i="3"/>
  <c r="AR78" i="3"/>
  <c r="AS78" i="3"/>
  <c r="AT78" i="3"/>
  <c r="AK79" i="3"/>
  <c r="AL79" i="3"/>
  <c r="AT79" i="3" s="1"/>
  <c r="AM79" i="3"/>
  <c r="AN79" i="3"/>
  <c r="AO79" i="3"/>
  <c r="AP79" i="3"/>
  <c r="AQ79" i="3"/>
  <c r="AR79" i="3"/>
  <c r="AS79" i="3"/>
  <c r="AK80" i="3"/>
  <c r="AL80" i="3"/>
  <c r="AT80" i="3" s="1"/>
  <c r="AM80" i="3"/>
  <c r="AN80" i="3"/>
  <c r="AO80" i="3"/>
  <c r="AP80" i="3"/>
  <c r="AQ80" i="3"/>
  <c r="AR80" i="3"/>
  <c r="AS80" i="3"/>
  <c r="AK81" i="3"/>
  <c r="AL81" i="3"/>
  <c r="AM81" i="3"/>
  <c r="AN81" i="3"/>
  <c r="AO81" i="3"/>
  <c r="AP81" i="3"/>
  <c r="AQ81" i="3"/>
  <c r="AR81" i="3"/>
  <c r="AS81" i="3"/>
  <c r="AT81" i="3"/>
  <c r="AK82" i="3"/>
  <c r="AL82" i="3"/>
  <c r="AT82" i="3" s="1"/>
  <c r="AM82" i="3"/>
  <c r="AN82" i="3"/>
  <c r="AO82" i="3"/>
  <c r="AP82" i="3"/>
  <c r="AQ82" i="3"/>
  <c r="AR82" i="3"/>
  <c r="AS82" i="3"/>
  <c r="AK83" i="3"/>
  <c r="AL83" i="3"/>
  <c r="AT83" i="3" s="1"/>
  <c r="AM83" i="3"/>
  <c r="AN83" i="3"/>
  <c r="AO83" i="3"/>
  <c r="AP83" i="3"/>
  <c r="AQ83" i="3"/>
  <c r="AR83" i="3"/>
  <c r="AS83" i="3"/>
  <c r="AK84" i="3"/>
  <c r="AL84" i="3"/>
  <c r="AM84" i="3"/>
  <c r="AN84" i="3"/>
  <c r="AO84" i="3"/>
  <c r="AP84" i="3"/>
  <c r="AQ84" i="3"/>
  <c r="AR84" i="3"/>
  <c r="AS84" i="3"/>
  <c r="AT84" i="3"/>
  <c r="AK85" i="3"/>
  <c r="AL85" i="3"/>
  <c r="AT85" i="3" s="1"/>
  <c r="AM85" i="3"/>
  <c r="AN85" i="3"/>
  <c r="AO85" i="3"/>
  <c r="AP85" i="3"/>
  <c r="AQ85" i="3"/>
  <c r="AR85" i="3"/>
  <c r="AS85" i="3"/>
  <c r="AK86" i="3"/>
  <c r="AL86" i="3"/>
  <c r="AT86" i="3" s="1"/>
  <c r="AM86" i="3"/>
  <c r="AN86" i="3"/>
  <c r="AO86" i="3"/>
  <c r="AP86" i="3"/>
  <c r="AQ86" i="3"/>
  <c r="AR86" i="3"/>
  <c r="AS86" i="3"/>
  <c r="AK87" i="3"/>
  <c r="AL87" i="3"/>
  <c r="AM87" i="3"/>
  <c r="AN87" i="3"/>
  <c r="AO87" i="3"/>
  <c r="AP87" i="3"/>
  <c r="AQ87" i="3"/>
  <c r="AR87" i="3"/>
  <c r="AS87" i="3"/>
  <c r="AT87" i="3"/>
  <c r="AK88" i="3"/>
  <c r="AL88" i="3"/>
  <c r="AT88" i="3" s="1"/>
  <c r="AM88" i="3"/>
  <c r="AN88" i="3"/>
  <c r="AO88" i="3"/>
  <c r="AP88" i="3"/>
  <c r="AQ88" i="3"/>
  <c r="AR88" i="3"/>
  <c r="AS88" i="3"/>
  <c r="AK89" i="3"/>
  <c r="AL89" i="3"/>
  <c r="AT89" i="3" s="1"/>
  <c r="AM89" i="3"/>
  <c r="AN89" i="3"/>
  <c r="AO89" i="3"/>
  <c r="AP89" i="3"/>
  <c r="AQ89" i="3"/>
  <c r="AR89" i="3"/>
  <c r="AS89" i="3"/>
  <c r="AK90" i="3"/>
  <c r="AL90" i="3"/>
  <c r="AM90" i="3"/>
  <c r="AN90" i="3"/>
  <c r="AO90" i="3"/>
  <c r="AP90" i="3"/>
  <c r="AT90" i="3" s="1"/>
  <c r="AQ90" i="3"/>
  <c r="AR90" i="3"/>
  <c r="AS90" i="3"/>
  <c r="AK91" i="3"/>
  <c r="AL91" i="3"/>
  <c r="AT91" i="3" s="1"/>
  <c r="AM91" i="3"/>
  <c r="AN91" i="3"/>
  <c r="AO91" i="3"/>
  <c r="AP91" i="3"/>
  <c r="AQ91" i="3"/>
  <c r="AR91" i="3"/>
  <c r="AS91" i="3"/>
  <c r="AK92" i="3"/>
  <c r="AL92" i="3"/>
  <c r="AT92" i="3" s="1"/>
  <c r="AM92" i="3"/>
  <c r="AN92" i="3"/>
  <c r="AO92" i="3"/>
  <c r="AP92" i="3"/>
  <c r="AQ92" i="3"/>
  <c r="AR92" i="3"/>
  <c r="AS92" i="3"/>
  <c r="AK93" i="3"/>
  <c r="AL93" i="3"/>
  <c r="AM93" i="3"/>
  <c r="AN93" i="3"/>
  <c r="AO93" i="3"/>
  <c r="AP93" i="3"/>
  <c r="AT93" i="3" s="1"/>
  <c r="AQ93" i="3"/>
  <c r="AR93" i="3"/>
  <c r="AS93" i="3"/>
  <c r="AK94" i="3"/>
  <c r="AL94" i="3"/>
  <c r="AT94" i="3" s="1"/>
  <c r="AM94" i="3"/>
  <c r="AN94" i="3"/>
  <c r="AO94" i="3"/>
  <c r="AP94" i="3"/>
  <c r="AQ94" i="3"/>
  <c r="AR94" i="3"/>
  <c r="AS94" i="3"/>
  <c r="AK95" i="3"/>
  <c r="AL95" i="3"/>
  <c r="AM95" i="3"/>
  <c r="AN95" i="3"/>
  <c r="AO95" i="3"/>
  <c r="AP95" i="3"/>
  <c r="AQ95" i="3"/>
  <c r="AR95" i="3"/>
  <c r="AS95" i="3"/>
  <c r="AT95" i="3"/>
  <c r="AK96" i="3"/>
  <c r="AL96" i="3"/>
  <c r="AM96" i="3"/>
  <c r="AN96" i="3"/>
  <c r="AO96" i="3"/>
  <c r="AP96" i="3"/>
  <c r="AT96" i="3" s="1"/>
  <c r="AQ96" i="3"/>
  <c r="AR96" i="3"/>
  <c r="AS96" i="3"/>
  <c r="AK97" i="3"/>
  <c r="AL97" i="3"/>
  <c r="AT97" i="3" s="1"/>
  <c r="AM97" i="3"/>
  <c r="AN97" i="3"/>
  <c r="AO97" i="3"/>
  <c r="AP97" i="3"/>
  <c r="AQ97" i="3"/>
  <c r="AR97" i="3"/>
  <c r="AS97" i="3"/>
  <c r="AK98" i="3"/>
  <c r="AL98" i="3"/>
  <c r="AT98" i="3" s="1"/>
  <c r="AM98" i="3"/>
  <c r="AN98" i="3"/>
  <c r="AO98" i="3"/>
  <c r="AP98" i="3"/>
  <c r="AQ98" i="3"/>
  <c r="AR98" i="3"/>
  <c r="AS98" i="3"/>
  <c r="AK99" i="3"/>
  <c r="AL99" i="3"/>
  <c r="AM99" i="3"/>
  <c r="AN99" i="3"/>
  <c r="AO99" i="3"/>
  <c r="AP99" i="3"/>
  <c r="AT99" i="3" s="1"/>
  <c r="AQ99" i="3"/>
  <c r="AR99" i="3"/>
  <c r="AS99" i="3"/>
  <c r="AK100" i="3"/>
  <c r="AL100" i="3"/>
  <c r="AT100" i="3" s="1"/>
  <c r="AM100" i="3"/>
  <c r="AN100" i="3"/>
  <c r="AO100" i="3"/>
  <c r="AP100" i="3"/>
  <c r="AQ100" i="3"/>
  <c r="AR100" i="3"/>
  <c r="AS100" i="3"/>
  <c r="AK101" i="3"/>
  <c r="AL101" i="3"/>
  <c r="AM101" i="3"/>
  <c r="AN101" i="3"/>
  <c r="AO101" i="3"/>
  <c r="AP101" i="3"/>
  <c r="AQ101" i="3"/>
  <c r="AR101" i="3"/>
  <c r="AS101" i="3"/>
  <c r="AT101" i="3"/>
  <c r="AK102" i="3"/>
  <c r="AL102" i="3"/>
  <c r="AM102" i="3"/>
  <c r="AN102" i="3"/>
  <c r="AO102" i="3"/>
  <c r="AP102" i="3"/>
  <c r="AT102" i="3" s="1"/>
  <c r="AQ102" i="3"/>
  <c r="AR102" i="3"/>
  <c r="AS102" i="3"/>
  <c r="AK103" i="3"/>
  <c r="AL103" i="3"/>
  <c r="AT103" i="3" s="1"/>
  <c r="AM103" i="3"/>
  <c r="AN103" i="3"/>
  <c r="AO103" i="3"/>
  <c r="AP103" i="3"/>
  <c r="AQ103" i="3"/>
  <c r="AR103" i="3"/>
  <c r="AS103" i="3"/>
  <c r="AK104" i="3"/>
  <c r="AL104" i="3"/>
  <c r="AT104" i="3" s="1"/>
  <c r="AM104" i="3"/>
  <c r="AN104" i="3"/>
  <c r="AO104" i="3"/>
  <c r="AP104" i="3"/>
  <c r="AQ104" i="3"/>
  <c r="AR104" i="3"/>
  <c r="AS104" i="3"/>
  <c r="AK105" i="3"/>
  <c r="AL105" i="3"/>
  <c r="AM105" i="3"/>
  <c r="AN105" i="3"/>
  <c r="AO105" i="3"/>
  <c r="AP105" i="3"/>
  <c r="AT105" i="3" s="1"/>
  <c r="AQ105" i="3"/>
  <c r="AR105" i="3"/>
  <c r="AS105" i="3"/>
  <c r="AK106" i="3"/>
  <c r="AL106" i="3"/>
  <c r="AT106" i="3" s="1"/>
  <c r="AM106" i="3"/>
  <c r="AN106" i="3"/>
  <c r="AO106" i="3"/>
  <c r="AP106" i="3"/>
  <c r="AQ106" i="3"/>
  <c r="AR106" i="3"/>
  <c r="AS106" i="3"/>
  <c r="AK107" i="3"/>
  <c r="AL107" i="3"/>
  <c r="AM107" i="3"/>
  <c r="AN107" i="3"/>
  <c r="AO107" i="3"/>
  <c r="AP107" i="3"/>
  <c r="AQ107" i="3"/>
  <c r="AR107" i="3"/>
  <c r="AS107" i="3"/>
  <c r="AT107" i="3"/>
  <c r="AK108" i="3"/>
  <c r="AL108" i="3"/>
  <c r="AM108" i="3"/>
  <c r="AN108" i="3"/>
  <c r="AO108" i="3"/>
  <c r="AP108" i="3"/>
  <c r="AT108" i="3" s="1"/>
  <c r="AQ108" i="3"/>
  <c r="AR108" i="3"/>
  <c r="AS108" i="3"/>
  <c r="AK109" i="3"/>
  <c r="AL109" i="3"/>
  <c r="AT109" i="3" s="1"/>
  <c r="AM109" i="3"/>
  <c r="AN109" i="3"/>
  <c r="AO109" i="3"/>
  <c r="AP109" i="3"/>
  <c r="AQ109" i="3"/>
  <c r="AR109" i="3"/>
  <c r="AS109" i="3"/>
  <c r="AK110" i="3"/>
  <c r="AL110" i="3"/>
  <c r="AT110" i="3" s="1"/>
  <c r="AM110" i="3"/>
  <c r="AN110" i="3"/>
  <c r="AO110" i="3"/>
  <c r="AP110" i="3"/>
  <c r="AQ110" i="3"/>
  <c r="AR110" i="3"/>
  <c r="AS110" i="3"/>
  <c r="AK111" i="3"/>
  <c r="AL111" i="3"/>
  <c r="AM111" i="3"/>
  <c r="AN111" i="3"/>
  <c r="AO111" i="3"/>
  <c r="AP111" i="3"/>
  <c r="AT111" i="3" s="1"/>
  <c r="AQ111" i="3"/>
  <c r="AR111" i="3"/>
  <c r="AS111" i="3"/>
  <c r="AK112" i="3"/>
  <c r="AL112" i="3"/>
  <c r="AT112" i="3" s="1"/>
  <c r="AM112" i="3"/>
  <c r="AN112" i="3"/>
  <c r="AO112" i="3"/>
  <c r="AP112" i="3"/>
  <c r="AQ112" i="3"/>
  <c r="AR112" i="3"/>
  <c r="AS112" i="3"/>
  <c r="AK113" i="3"/>
  <c r="AL113" i="3"/>
  <c r="AM113" i="3"/>
  <c r="AN113" i="3"/>
  <c r="AO113" i="3"/>
  <c r="AP113" i="3"/>
  <c r="AQ113" i="3"/>
  <c r="AR113" i="3"/>
  <c r="AS113" i="3"/>
  <c r="AT113" i="3"/>
  <c r="AK114" i="3"/>
  <c r="AL114" i="3"/>
  <c r="AM114" i="3"/>
  <c r="AN114" i="3"/>
  <c r="AO114" i="3"/>
  <c r="AP114" i="3"/>
  <c r="AT114" i="3" s="1"/>
  <c r="AQ114" i="3"/>
  <c r="AR114" i="3"/>
  <c r="AS114" i="3"/>
  <c r="AK115" i="3"/>
  <c r="AL115" i="3"/>
  <c r="AT115" i="3" s="1"/>
  <c r="AM115" i="3"/>
  <c r="AN115" i="3"/>
  <c r="AO115" i="3"/>
  <c r="AP115" i="3"/>
  <c r="AQ115" i="3"/>
  <c r="AR115" i="3"/>
  <c r="AS115" i="3"/>
  <c r="AK116" i="3"/>
  <c r="AL116" i="3"/>
  <c r="AT116" i="3" s="1"/>
  <c r="AM116" i="3"/>
  <c r="AN116" i="3"/>
  <c r="AO116" i="3"/>
  <c r="AP116" i="3"/>
  <c r="AQ116" i="3"/>
  <c r="AR116" i="3"/>
  <c r="AS116" i="3"/>
  <c r="AK117" i="3"/>
  <c r="AL117" i="3"/>
  <c r="AM117" i="3"/>
  <c r="AN117" i="3"/>
  <c r="AO117" i="3"/>
  <c r="AP117" i="3"/>
  <c r="AT117" i="3" s="1"/>
  <c r="AQ117" i="3"/>
  <c r="AR117" i="3"/>
  <c r="AS117" i="3"/>
  <c r="AK118" i="3"/>
  <c r="AL118" i="3"/>
  <c r="AT118" i="3" s="1"/>
  <c r="AM118" i="3"/>
  <c r="AN118" i="3"/>
  <c r="AO118" i="3"/>
  <c r="AP118" i="3"/>
  <c r="AQ118" i="3"/>
  <c r="AR118" i="3"/>
  <c r="AS118" i="3"/>
  <c r="AK119" i="3"/>
  <c r="AL119" i="3"/>
  <c r="AM119" i="3"/>
  <c r="AN119" i="3"/>
  <c r="AO119" i="3"/>
  <c r="AP119" i="3"/>
  <c r="AQ119" i="3"/>
  <c r="AR119" i="3"/>
  <c r="AS119" i="3"/>
  <c r="AT119" i="3"/>
  <c r="AK120" i="3"/>
  <c r="AL120" i="3"/>
  <c r="AM120" i="3"/>
  <c r="AN120" i="3"/>
  <c r="AO120" i="3"/>
  <c r="AP120" i="3"/>
  <c r="AT120" i="3" s="1"/>
  <c r="AQ120" i="3"/>
  <c r="AR120" i="3"/>
  <c r="AS120" i="3"/>
  <c r="AK121" i="3"/>
  <c r="AL121" i="3"/>
  <c r="AT121" i="3" s="1"/>
  <c r="AM121" i="3"/>
  <c r="AN121" i="3"/>
  <c r="AO121" i="3"/>
  <c r="AP121" i="3"/>
  <c r="AQ121" i="3"/>
  <c r="AR121" i="3"/>
  <c r="AS121" i="3"/>
  <c r="AK122" i="3"/>
  <c r="AL122" i="3"/>
  <c r="AM122" i="3"/>
  <c r="AN122" i="3"/>
  <c r="AO122" i="3"/>
  <c r="AP122" i="3"/>
  <c r="AQ122" i="3"/>
  <c r="AR122" i="3"/>
  <c r="AS122" i="3"/>
  <c r="AT122" i="3"/>
  <c r="AK123" i="3"/>
  <c r="AL123" i="3"/>
  <c r="AM123" i="3"/>
  <c r="AN123" i="3"/>
  <c r="AO123" i="3"/>
  <c r="AP123" i="3"/>
  <c r="AT123" i="3" s="1"/>
  <c r="AQ123" i="3"/>
  <c r="AR123" i="3"/>
  <c r="AS123" i="3"/>
  <c r="AK124" i="3"/>
  <c r="AL124" i="3"/>
  <c r="AT124" i="3" s="1"/>
  <c r="AM124" i="3"/>
  <c r="AN124" i="3"/>
  <c r="AO124" i="3"/>
  <c r="AP124" i="3"/>
  <c r="AQ124" i="3"/>
  <c r="AR124" i="3"/>
  <c r="AS124" i="3"/>
  <c r="AK125" i="3"/>
  <c r="AL125" i="3"/>
  <c r="AM125" i="3"/>
  <c r="AN125" i="3"/>
  <c r="AO125" i="3"/>
  <c r="AP125" i="3"/>
  <c r="AQ125" i="3"/>
  <c r="AR125" i="3"/>
  <c r="AS125" i="3"/>
  <c r="AT125" i="3"/>
  <c r="AK126" i="3"/>
  <c r="AL126" i="3"/>
  <c r="AM126" i="3"/>
  <c r="AN126" i="3"/>
  <c r="AO126" i="3"/>
  <c r="AP126" i="3"/>
  <c r="AT126" i="3" s="1"/>
  <c r="AQ126" i="3"/>
  <c r="AR126" i="3"/>
  <c r="AS126" i="3"/>
  <c r="AK127" i="3"/>
  <c r="AL127" i="3"/>
  <c r="AT127" i="3" s="1"/>
  <c r="AM127" i="3"/>
  <c r="AN127" i="3"/>
  <c r="AO127" i="3"/>
  <c r="AP127" i="3"/>
  <c r="AQ127" i="3"/>
  <c r="AR127" i="3"/>
  <c r="AS127" i="3"/>
  <c r="AK128" i="3"/>
  <c r="AL128" i="3"/>
  <c r="AT128" i="3" s="1"/>
  <c r="AM128" i="3"/>
  <c r="AN128" i="3"/>
  <c r="AO128" i="3"/>
  <c r="AP128" i="3"/>
  <c r="AQ128" i="3"/>
  <c r="AR128" i="3"/>
  <c r="AS128" i="3"/>
  <c r="AK129" i="3"/>
  <c r="AL129" i="3"/>
  <c r="AM129" i="3"/>
  <c r="AN129" i="3"/>
  <c r="AO129" i="3"/>
  <c r="AP129" i="3"/>
  <c r="AT129" i="3" s="1"/>
  <c r="AQ129" i="3"/>
  <c r="AR129" i="3"/>
  <c r="AS129" i="3"/>
  <c r="AK130" i="3"/>
  <c r="AL130" i="3"/>
  <c r="AT130" i="3" s="1"/>
  <c r="AM130" i="3"/>
  <c r="AN130" i="3"/>
  <c r="AO130" i="3"/>
  <c r="AP130" i="3"/>
  <c r="AQ130" i="3"/>
  <c r="AR130" i="3"/>
  <c r="AS130" i="3"/>
  <c r="AK131" i="3"/>
  <c r="AL131" i="3"/>
  <c r="AM131" i="3"/>
  <c r="AN131" i="3"/>
  <c r="AO131" i="3"/>
  <c r="AP131" i="3"/>
  <c r="AQ131" i="3"/>
  <c r="AR131" i="3"/>
  <c r="AS131" i="3"/>
  <c r="AT131" i="3"/>
  <c r="AK132" i="3"/>
  <c r="AL132" i="3"/>
  <c r="AM132" i="3"/>
  <c r="AN132" i="3"/>
  <c r="AO132" i="3"/>
  <c r="AP132" i="3"/>
  <c r="AT132" i="3" s="1"/>
  <c r="AQ132" i="3"/>
  <c r="AR132" i="3"/>
  <c r="AS132" i="3"/>
  <c r="AT2" i="3"/>
  <c r="AS2" i="3"/>
  <c r="AR2" i="3"/>
  <c r="AQ2" i="3"/>
  <c r="AP2" i="3"/>
  <c r="AO2" i="3"/>
  <c r="AN2" i="3"/>
  <c r="AM2" i="3"/>
  <c r="AL2" i="3"/>
  <c r="AK2" i="3"/>
  <c r="AE3" i="3"/>
  <c r="AF3" i="3"/>
  <c r="AE4" i="3"/>
  <c r="AF4" i="3"/>
  <c r="AE5" i="3"/>
  <c r="AF5" i="3"/>
  <c r="AE6" i="3"/>
  <c r="AF6" i="3"/>
  <c r="AE7" i="3"/>
  <c r="AF7" i="3"/>
  <c r="AE8" i="3"/>
  <c r="AF8" i="3"/>
  <c r="AE9" i="3"/>
  <c r="AF9" i="3"/>
  <c r="AE10" i="3"/>
  <c r="AF10" i="3"/>
  <c r="AE11" i="3"/>
  <c r="AF11" i="3"/>
  <c r="AE12" i="3"/>
  <c r="AF12" i="3"/>
  <c r="AE13" i="3"/>
  <c r="AF13" i="3"/>
  <c r="AE14" i="3"/>
  <c r="AF14" i="3"/>
  <c r="AE15" i="3"/>
  <c r="AF15" i="3"/>
  <c r="AE16" i="3"/>
  <c r="AF16" i="3"/>
  <c r="AE17" i="3"/>
  <c r="AF17" i="3"/>
  <c r="AE18" i="3"/>
  <c r="AF18" i="3"/>
  <c r="AE19" i="3"/>
  <c r="AF19" i="3"/>
  <c r="AE20" i="3"/>
  <c r="AF20" i="3"/>
  <c r="AE21" i="3"/>
  <c r="AF21" i="3"/>
  <c r="AE22" i="3"/>
  <c r="AF22" i="3"/>
  <c r="AE23" i="3"/>
  <c r="AF23" i="3"/>
  <c r="AE24" i="3"/>
  <c r="AF24" i="3"/>
  <c r="AE25" i="3"/>
  <c r="AF25" i="3"/>
  <c r="AE26" i="3"/>
  <c r="AF26" i="3"/>
  <c r="AE27" i="3"/>
  <c r="AF27" i="3"/>
  <c r="AE28" i="3"/>
  <c r="AF28" i="3"/>
  <c r="AE29" i="3"/>
  <c r="AF29" i="3"/>
  <c r="AE30" i="3"/>
  <c r="AF30" i="3"/>
  <c r="AE31" i="3"/>
  <c r="AF31" i="3"/>
  <c r="AE32" i="3"/>
  <c r="AF32" i="3"/>
  <c r="AE33" i="3"/>
  <c r="AF33" i="3"/>
  <c r="AE34" i="3"/>
  <c r="AF34" i="3"/>
  <c r="AE35" i="3"/>
  <c r="AF35" i="3"/>
  <c r="AE36" i="3"/>
  <c r="AF36" i="3"/>
  <c r="AE37" i="3"/>
  <c r="AF37" i="3"/>
  <c r="AE38" i="3"/>
  <c r="AF38" i="3"/>
  <c r="AE39" i="3"/>
  <c r="AF39" i="3"/>
  <c r="AE40" i="3"/>
  <c r="AF40" i="3"/>
  <c r="AE41" i="3"/>
  <c r="AF41" i="3"/>
  <c r="AE42" i="3"/>
  <c r="AF42" i="3"/>
  <c r="AE43" i="3"/>
  <c r="AF43" i="3"/>
  <c r="AE44" i="3"/>
  <c r="AF44" i="3"/>
  <c r="AE45" i="3"/>
  <c r="AF45" i="3"/>
  <c r="AE46" i="3"/>
  <c r="AF46" i="3"/>
  <c r="AE47" i="3"/>
  <c r="AF47" i="3"/>
  <c r="AE48" i="3"/>
  <c r="AF48" i="3"/>
  <c r="AE49" i="3"/>
  <c r="AF49" i="3"/>
  <c r="AE50" i="3"/>
  <c r="AF50" i="3"/>
  <c r="AE51" i="3"/>
  <c r="AF51" i="3"/>
  <c r="AE52" i="3"/>
  <c r="AF52" i="3"/>
  <c r="AE53" i="3"/>
  <c r="AF53" i="3"/>
  <c r="AE54" i="3"/>
  <c r="AF54" i="3"/>
  <c r="AE55" i="3"/>
  <c r="AF55" i="3"/>
  <c r="AE56" i="3"/>
  <c r="AF56" i="3"/>
  <c r="AE57" i="3"/>
  <c r="AF57" i="3"/>
  <c r="AE58" i="3"/>
  <c r="AF58" i="3"/>
  <c r="AE59" i="3"/>
  <c r="AF59" i="3"/>
  <c r="AE60" i="3"/>
  <c r="AF60" i="3"/>
  <c r="AE61" i="3"/>
  <c r="AF61" i="3"/>
  <c r="AE62" i="3"/>
  <c r="AF62" i="3"/>
  <c r="AE63" i="3"/>
  <c r="AF63" i="3"/>
  <c r="AE64" i="3"/>
  <c r="AF64" i="3"/>
  <c r="AE65" i="3"/>
  <c r="AF65" i="3"/>
  <c r="AE66" i="3"/>
  <c r="AF66" i="3"/>
  <c r="AE67" i="3"/>
  <c r="AF67" i="3"/>
  <c r="AE68" i="3"/>
  <c r="AF68" i="3"/>
  <c r="AE69" i="3"/>
  <c r="AF69" i="3"/>
  <c r="AE70" i="3"/>
  <c r="AF70" i="3"/>
  <c r="AE71" i="3"/>
  <c r="AF71" i="3"/>
  <c r="AE72" i="3"/>
  <c r="AF72" i="3"/>
  <c r="AE73" i="3"/>
  <c r="AF73" i="3"/>
  <c r="AE74" i="3"/>
  <c r="AF74" i="3"/>
  <c r="AE75" i="3"/>
  <c r="AF75" i="3"/>
  <c r="AE76" i="3"/>
  <c r="AF76" i="3"/>
  <c r="AE77" i="3"/>
  <c r="AF77" i="3"/>
  <c r="AE78" i="3"/>
  <c r="AF78" i="3"/>
  <c r="AE79" i="3"/>
  <c r="AF79" i="3"/>
  <c r="AE80" i="3"/>
  <c r="AF80" i="3"/>
  <c r="AE81" i="3"/>
  <c r="AF81" i="3"/>
  <c r="AE82" i="3"/>
  <c r="AF82" i="3"/>
  <c r="AE83" i="3"/>
  <c r="AF83" i="3"/>
  <c r="AE84" i="3"/>
  <c r="AF84" i="3"/>
  <c r="AE85" i="3"/>
  <c r="AF85" i="3"/>
  <c r="AE86" i="3"/>
  <c r="AF86" i="3"/>
  <c r="AE87" i="3"/>
  <c r="AF87" i="3"/>
  <c r="AE88" i="3"/>
  <c r="AF88" i="3"/>
  <c r="AE89" i="3"/>
  <c r="AF89" i="3"/>
  <c r="AE90" i="3"/>
  <c r="AF90" i="3"/>
  <c r="AE91" i="3"/>
  <c r="AF91" i="3"/>
  <c r="AE92" i="3"/>
  <c r="AF92" i="3"/>
  <c r="AE93" i="3"/>
  <c r="AF93" i="3"/>
  <c r="AE94" i="3"/>
  <c r="AF94" i="3"/>
  <c r="AE95" i="3"/>
  <c r="AF95" i="3"/>
  <c r="AE96" i="3"/>
  <c r="AF96" i="3"/>
  <c r="AE97" i="3"/>
  <c r="AF97" i="3"/>
  <c r="AE98" i="3"/>
  <c r="AF98" i="3"/>
  <c r="AE99" i="3"/>
  <c r="AF99" i="3"/>
  <c r="AE100" i="3"/>
  <c r="AF100" i="3"/>
  <c r="AE101" i="3"/>
  <c r="AF101" i="3"/>
  <c r="AE102" i="3"/>
  <c r="AF102" i="3"/>
  <c r="AE103" i="3"/>
  <c r="AF103" i="3"/>
  <c r="AE104" i="3"/>
  <c r="AF104" i="3"/>
  <c r="AE105" i="3"/>
  <c r="AF105" i="3"/>
  <c r="AE106" i="3"/>
  <c r="AF106" i="3"/>
  <c r="AE107" i="3"/>
  <c r="AF107" i="3"/>
  <c r="AE108" i="3"/>
  <c r="AF108" i="3"/>
  <c r="AE109" i="3"/>
  <c r="AF109" i="3"/>
  <c r="AE110" i="3"/>
  <c r="AF110" i="3"/>
  <c r="AE111" i="3"/>
  <c r="AF111" i="3"/>
  <c r="AE112" i="3"/>
  <c r="AF112" i="3"/>
  <c r="AE113" i="3"/>
  <c r="AF113" i="3"/>
  <c r="AE114" i="3"/>
  <c r="AF114" i="3"/>
  <c r="AE115" i="3"/>
  <c r="AF115" i="3"/>
  <c r="AE116" i="3"/>
  <c r="AF116" i="3"/>
  <c r="AE117" i="3"/>
  <c r="AF117" i="3"/>
  <c r="AE118" i="3"/>
  <c r="AF118" i="3"/>
  <c r="AE119" i="3"/>
  <c r="AF119" i="3"/>
  <c r="AE120" i="3"/>
  <c r="AF120" i="3"/>
  <c r="AE121" i="3"/>
  <c r="AF121" i="3"/>
  <c r="AE122" i="3"/>
  <c r="AF122" i="3"/>
  <c r="AE123" i="3"/>
  <c r="AF123" i="3"/>
  <c r="AE124" i="3"/>
  <c r="AF124" i="3"/>
  <c r="AE125" i="3"/>
  <c r="AF125" i="3"/>
  <c r="AE126" i="3"/>
  <c r="AF126" i="3"/>
  <c r="AE127" i="3"/>
  <c r="AF127" i="3"/>
  <c r="AE128" i="3"/>
  <c r="AF128" i="3"/>
  <c r="AE129" i="3"/>
  <c r="AF129" i="3"/>
  <c r="AE130" i="3"/>
  <c r="AF130" i="3"/>
  <c r="AE131" i="3"/>
  <c r="AF131" i="3"/>
  <c r="AE132" i="3"/>
  <c r="AF132" i="3"/>
  <c r="AF2" i="3"/>
  <c r="AE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132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B131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130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129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128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127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126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B125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124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123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B121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B120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119" i="3"/>
  <c r="AD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118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117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116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B115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114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113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111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110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108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B105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104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103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101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B100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B99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B98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B97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B96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B95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B94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B93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B91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B90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B89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B88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B86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B85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B83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B81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B80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B79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B76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B75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B74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B73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J19" i="6" l="1"/>
  <c r="AJ27" i="6"/>
  <c r="AH131" i="6"/>
  <c r="AM131" i="6" s="1"/>
  <c r="AJ120" i="6"/>
  <c r="AH62" i="6"/>
  <c r="AM62" i="6" s="1"/>
  <c r="AJ4" i="6"/>
  <c r="AK100" i="6"/>
  <c r="AJ7" i="6"/>
  <c r="AK14" i="6"/>
  <c r="AK41" i="6"/>
  <c r="AK70" i="6"/>
  <c r="AH91" i="6"/>
  <c r="AM91" i="6" s="1"/>
  <c r="AK76" i="6"/>
  <c r="AH37" i="6"/>
  <c r="AM37" i="6" s="1"/>
  <c r="AH30" i="6"/>
  <c r="AM30" i="6" s="1"/>
  <c r="AJ21" i="6"/>
  <c r="AH19" i="6"/>
  <c r="AM19" i="6" s="1"/>
  <c r="AH9" i="6"/>
  <c r="AM9" i="6" s="1"/>
  <c r="AH6" i="6"/>
  <c r="AM6" i="6" s="1"/>
  <c r="AH4" i="6"/>
  <c r="AM4" i="6" s="1"/>
  <c r="AK4" i="6"/>
  <c r="AK32" i="6"/>
  <c r="AK81" i="6"/>
  <c r="AK91" i="6"/>
  <c r="AJ97" i="6"/>
  <c r="AJ103" i="6"/>
  <c r="AL107" i="6"/>
  <c r="AK111" i="6"/>
  <c r="AC107" i="6"/>
  <c r="AJ107" i="6" s="1"/>
  <c r="AH100" i="6"/>
  <c r="AM100" i="6" s="1"/>
  <c r="AH97" i="6"/>
  <c r="AM97" i="6" s="1"/>
  <c r="AK16" i="6"/>
  <c r="AH116" i="6"/>
  <c r="AM116" i="6" s="1"/>
  <c r="AJ69" i="6"/>
  <c r="AJ33" i="6"/>
  <c r="AK42" i="6"/>
  <c r="AJ90" i="6"/>
  <c r="AH34" i="6"/>
  <c r="AM34" i="6" s="1"/>
  <c r="AJ29" i="6"/>
  <c r="AH16" i="6"/>
  <c r="AM16" i="6" s="1"/>
  <c r="AK21" i="6"/>
  <c r="AK38" i="6"/>
  <c r="AJ85" i="6"/>
  <c r="AK106" i="6"/>
  <c r="AJ112" i="6"/>
  <c r="AH125" i="6"/>
  <c r="AM125" i="6" s="1"/>
  <c r="AN125" i="6" s="1"/>
  <c r="AH107" i="6"/>
  <c r="AM107" i="6" s="1"/>
  <c r="AH23" i="6"/>
  <c r="AM23" i="6" s="1"/>
  <c r="AH14" i="6"/>
  <c r="AM14" i="6" s="1"/>
  <c r="AK7" i="6"/>
  <c r="AJ15" i="6"/>
  <c r="AK44" i="6"/>
  <c r="AJ54" i="6"/>
  <c r="AK85" i="6"/>
  <c r="AK60" i="6"/>
  <c r="AH36" i="6"/>
  <c r="AM36" i="6" s="1"/>
  <c r="AH25" i="6"/>
  <c r="AM25" i="6" s="1"/>
  <c r="AK11" i="6"/>
  <c r="AJ25" i="6"/>
  <c r="AK34" i="6"/>
  <c r="AJ40" i="6"/>
  <c r="AK128" i="6"/>
  <c r="AK22" i="6"/>
  <c r="AK27" i="6"/>
  <c r="AJ37" i="6"/>
  <c r="AK62" i="6"/>
  <c r="AJ73" i="6"/>
  <c r="AH129" i="6"/>
  <c r="AM129" i="6" s="1"/>
  <c r="AK129" i="6"/>
  <c r="AC128" i="6"/>
  <c r="AJ128" i="6" s="1"/>
  <c r="AH124" i="6"/>
  <c r="AM124" i="6" s="1"/>
  <c r="AH123" i="6"/>
  <c r="AM123" i="6" s="1"/>
  <c r="AK123" i="6"/>
  <c r="AC116" i="6"/>
  <c r="AJ116" i="6" s="1"/>
  <c r="AC113" i="6"/>
  <c r="AJ113" i="6" s="1"/>
  <c r="AH111" i="6"/>
  <c r="AM111" i="6" s="1"/>
  <c r="AH108" i="6"/>
  <c r="AM108" i="6" s="1"/>
  <c r="AH105" i="6"/>
  <c r="AM105" i="6" s="1"/>
  <c r="AC104" i="6"/>
  <c r="AJ104" i="6" s="1"/>
  <c r="AK102" i="6"/>
  <c r="AC101" i="6"/>
  <c r="AJ101" i="6" s="1"/>
  <c r="AH99" i="6"/>
  <c r="AM99" i="6" s="1"/>
  <c r="AH94" i="6"/>
  <c r="AM94" i="6" s="1"/>
  <c r="AH90" i="6"/>
  <c r="AM90" i="6" s="1"/>
  <c r="AC89" i="6"/>
  <c r="AC86" i="6"/>
  <c r="AC83" i="6"/>
  <c r="AJ83" i="6" s="1"/>
  <c r="AH82" i="6"/>
  <c r="AM82" i="6" s="1"/>
  <c r="AH81" i="6"/>
  <c r="AM81" i="6" s="1"/>
  <c r="AC80" i="6"/>
  <c r="AJ80" i="6" s="1"/>
  <c r="AH79" i="6"/>
  <c r="AM79" i="6" s="1"/>
  <c r="AC77" i="6"/>
  <c r="AJ77" i="6" s="1"/>
  <c r="AH76" i="6"/>
  <c r="AM76" i="6" s="1"/>
  <c r="AH72" i="6"/>
  <c r="AM72" i="6" s="1"/>
  <c r="AC71" i="6"/>
  <c r="AJ71" i="6" s="1"/>
  <c r="AK69" i="6"/>
  <c r="AC68" i="6"/>
  <c r="AJ68" i="6" s="1"/>
  <c r="AH66" i="6"/>
  <c r="AM66" i="6" s="1"/>
  <c r="AC65" i="6"/>
  <c r="AJ65" i="6" s="1"/>
  <c r="AH63" i="6"/>
  <c r="AM63" i="6" s="1"/>
  <c r="AH57" i="6"/>
  <c r="AM57" i="6" s="1"/>
  <c r="AC53" i="6"/>
  <c r="AJ53" i="6" s="1"/>
  <c r="AH52" i="6"/>
  <c r="AM52" i="6" s="1"/>
  <c r="AH51" i="6"/>
  <c r="AM51" i="6" s="1"/>
  <c r="AH49" i="6"/>
  <c r="AM49" i="6" s="1"/>
  <c r="AH46" i="6"/>
  <c r="AM46" i="6" s="1"/>
  <c r="AK15" i="6"/>
  <c r="AK20" i="6"/>
  <c r="AK48" i="6"/>
  <c r="AJ82" i="6"/>
  <c r="AK3" i="6"/>
  <c r="AN3" i="6" s="1"/>
  <c r="AJ13" i="6"/>
  <c r="AK13" i="6"/>
  <c r="AK28" i="6"/>
  <c r="AK88" i="6"/>
  <c r="AK99" i="6"/>
  <c r="AJ121" i="6"/>
  <c r="AN121" i="6" s="1"/>
  <c r="AK46" i="6"/>
  <c r="AK61" i="6"/>
  <c r="AK73" i="6"/>
  <c r="AK80" i="6"/>
  <c r="AJ94" i="6"/>
  <c r="AK103" i="6"/>
  <c r="AJ106" i="6"/>
  <c r="AK110" i="6"/>
  <c r="AK49" i="6"/>
  <c r="AJ52" i="6"/>
  <c r="AJ55" i="6"/>
  <c r="AJ91" i="6"/>
  <c r="AN91" i="6" s="1"/>
  <c r="AJ100" i="6"/>
  <c r="AK130" i="6"/>
  <c r="AK47" i="6"/>
  <c r="AJ58" i="6"/>
  <c r="AK64" i="6"/>
  <c r="AK104" i="6"/>
  <c r="AJ118" i="6"/>
  <c r="AK122" i="6"/>
  <c r="AI31" i="6"/>
  <c r="AI86" i="6"/>
  <c r="AI51" i="6"/>
  <c r="AL2" i="6"/>
  <c r="AN2" i="6" s="1"/>
  <c r="AI2" i="6"/>
  <c r="AI3" i="6"/>
  <c r="AL3" i="6"/>
  <c r="AI5" i="6"/>
  <c r="AL7" i="6"/>
  <c r="AN7" i="6" s="1"/>
  <c r="AI7" i="6"/>
  <c r="AL8" i="6"/>
  <c r="AI8" i="6"/>
  <c r="AL9" i="6"/>
  <c r="AI11" i="6"/>
  <c r="AJ24" i="6"/>
  <c r="AI24" i="6"/>
  <c r="AL13" i="6"/>
  <c r="AI13" i="6"/>
  <c r="AL14" i="6"/>
  <c r="AN14" i="6" s="1"/>
  <c r="AI14" i="6"/>
  <c r="AI4" i="6"/>
  <c r="AJ6" i="6"/>
  <c r="AK9" i="6"/>
  <c r="AK10" i="6"/>
  <c r="AI12" i="6"/>
  <c r="AK33" i="6"/>
  <c r="AJ36" i="6"/>
  <c r="AI36" i="6"/>
  <c r="AI46" i="6"/>
  <c r="AJ46" i="6"/>
  <c r="AK6" i="6"/>
  <c r="AK8" i="6"/>
  <c r="AI10" i="6"/>
  <c r="AJ12" i="6"/>
  <c r="AJ18" i="6"/>
  <c r="AI18" i="6"/>
  <c r="AJ30" i="6"/>
  <c r="AI30" i="6"/>
  <c r="AK5" i="6"/>
  <c r="AN31" i="6"/>
  <c r="AL12" i="6"/>
  <c r="AL5" i="6"/>
  <c r="AN5" i="6" s="1"/>
  <c r="AL11" i="6"/>
  <c r="AJ35" i="6"/>
  <c r="AL81" i="6"/>
  <c r="AL89" i="6"/>
  <c r="AK19" i="6"/>
  <c r="AN19" i="6" s="1"/>
  <c r="AK25" i="6"/>
  <c r="AN41" i="6"/>
  <c r="AH53" i="6"/>
  <c r="AM53" i="6" s="1"/>
  <c r="AL101" i="6"/>
  <c r="AK29" i="6"/>
  <c r="AH39" i="6"/>
  <c r="AM39" i="6" s="1"/>
  <c r="AL68" i="6"/>
  <c r="AH98" i="6"/>
  <c r="AM98" i="6" s="1"/>
  <c r="AL4" i="6"/>
  <c r="AK31" i="6"/>
  <c r="AK35" i="6"/>
  <c r="AK53" i="6"/>
  <c r="AN53" i="6" s="1"/>
  <c r="AH95" i="6"/>
  <c r="AM95" i="6" s="1"/>
  <c r="AI6" i="6"/>
  <c r="AH15" i="6"/>
  <c r="AM15" i="6" s="1"/>
  <c r="AL16" i="6"/>
  <c r="AI22" i="6"/>
  <c r="AL22" i="6"/>
  <c r="AI28" i="6"/>
  <c r="AL28" i="6"/>
  <c r="AL33" i="6"/>
  <c r="AK36" i="6"/>
  <c r="AK37" i="6"/>
  <c r="AI38" i="6"/>
  <c r="AL38" i="6"/>
  <c r="AK43" i="6"/>
  <c r="AN43" i="6" s="1"/>
  <c r="AL48" i="6"/>
  <c r="AL58" i="6"/>
  <c r="AH58" i="6"/>
  <c r="AM58" i="6" s="1"/>
  <c r="AK59" i="6"/>
  <c r="AH61" i="6"/>
  <c r="AM61" i="6" s="1"/>
  <c r="AL74" i="6"/>
  <c r="AH74" i="6"/>
  <c r="AM74" i="6" s="1"/>
  <c r="AL92" i="6"/>
  <c r="AH92" i="6"/>
  <c r="AL105" i="6"/>
  <c r="AI35" i="6"/>
  <c r="AH68" i="6"/>
  <c r="AM68" i="6" s="1"/>
  <c r="AN68" i="6"/>
  <c r="AH89" i="6"/>
  <c r="AM89" i="6" s="1"/>
  <c r="AI90" i="6"/>
  <c r="AL90" i="6"/>
  <c r="AI98" i="6"/>
  <c r="AL10" i="6"/>
  <c r="AN10" i="6" s="1"/>
  <c r="AK24" i="6"/>
  <c r="AL27" i="6"/>
  <c r="AK30" i="6"/>
  <c r="AL45" i="6"/>
  <c r="AI45" i="6"/>
  <c r="AL66" i="6"/>
  <c r="AL95" i="6"/>
  <c r="AJ16" i="6"/>
  <c r="AJ22" i="6"/>
  <c r="AJ28" i="6"/>
  <c r="AI34" i="6"/>
  <c r="AL34" i="6"/>
  <c r="AK39" i="6"/>
  <c r="AI41" i="6"/>
  <c r="AJ45" i="6"/>
  <c r="AI52" i="6"/>
  <c r="AK54" i="6"/>
  <c r="AK55" i="6"/>
  <c r="AJ59" i="6"/>
  <c r="AH64" i="6"/>
  <c r="AN65" i="6"/>
  <c r="AJ79" i="6"/>
  <c r="AK87" i="6"/>
  <c r="AI87" i="6"/>
  <c r="AJ88" i="6"/>
  <c r="AI15" i="6"/>
  <c r="AK17" i="6"/>
  <c r="AK23" i="6"/>
  <c r="AI37" i="6"/>
  <c r="AK50" i="6"/>
  <c r="AN50" i="6" s="1"/>
  <c r="AK18" i="6"/>
  <c r="AI17" i="6"/>
  <c r="AL17" i="6"/>
  <c r="AH20" i="6"/>
  <c r="AH21" i="6"/>
  <c r="AM21" i="6" s="1"/>
  <c r="AI23" i="6"/>
  <c r="AL23" i="6"/>
  <c r="AH26" i="6"/>
  <c r="AH27" i="6"/>
  <c r="AM27" i="6" s="1"/>
  <c r="AI29" i="6"/>
  <c r="AL29" i="6"/>
  <c r="AH32" i="6"/>
  <c r="AH33" i="6"/>
  <c r="AM33" i="6" s="1"/>
  <c r="AJ34" i="6"/>
  <c r="AL40" i="6"/>
  <c r="AH40" i="6"/>
  <c r="AM40" i="6" s="1"/>
  <c r="AL42" i="6"/>
  <c r="AH50" i="6"/>
  <c r="AM50" i="6" s="1"/>
  <c r="AI50" i="6"/>
  <c r="AL57" i="6"/>
  <c r="AI61" i="6"/>
  <c r="AK67" i="6"/>
  <c r="AL67" i="6"/>
  <c r="AI73" i="6"/>
  <c r="AL79" i="6"/>
  <c r="AI79" i="6"/>
  <c r="AN80" i="6"/>
  <c r="AH93" i="6"/>
  <c r="AM93" i="6" s="1"/>
  <c r="AI93" i="6"/>
  <c r="AK114" i="6"/>
  <c r="AH42" i="6"/>
  <c r="AI44" i="6"/>
  <c r="AK51" i="6"/>
  <c r="AN51" i="6" s="1"/>
  <c r="AK52" i="6"/>
  <c r="AC56" i="6"/>
  <c r="AJ56" i="6" s="1"/>
  <c r="AH59" i="6"/>
  <c r="AM59" i="6" s="1"/>
  <c r="AI59" i="6"/>
  <c r="AH60" i="6"/>
  <c r="AM60" i="6" s="1"/>
  <c r="AN60" i="6" s="1"/>
  <c r="AJ61" i="6"/>
  <c r="AK63" i="6"/>
  <c r="AC66" i="6"/>
  <c r="AJ66" i="6" s="1"/>
  <c r="AK68" i="6"/>
  <c r="AH84" i="6"/>
  <c r="AM84" i="6" s="1"/>
  <c r="AK94" i="6"/>
  <c r="AK96" i="6"/>
  <c r="AK105" i="6"/>
  <c r="AK131" i="6"/>
  <c r="AI131" i="6"/>
  <c r="AI43" i="6"/>
  <c r="AJ44" i="6"/>
  <c r="AK45" i="6"/>
  <c r="AL49" i="6"/>
  <c r="AI54" i="6"/>
  <c r="AH55" i="6"/>
  <c r="AM55" i="6" s="1"/>
  <c r="AK56" i="6"/>
  <c r="AH65" i="6"/>
  <c r="AM65" i="6" s="1"/>
  <c r="AK66" i="6"/>
  <c r="AI76" i="6"/>
  <c r="AL76" i="6"/>
  <c r="AL77" i="6"/>
  <c r="AN77" i="6" s="1"/>
  <c r="AH77" i="6"/>
  <c r="AM77" i="6" s="1"/>
  <c r="AC84" i="6"/>
  <c r="AJ84" i="6" s="1"/>
  <c r="AJ38" i="6"/>
  <c r="AK40" i="6"/>
  <c r="AN40" i="6" s="1"/>
  <c r="AL44" i="6"/>
  <c r="AH47" i="6"/>
  <c r="AM47" i="6" s="1"/>
  <c r="AH48" i="6"/>
  <c r="AM48" i="6" s="1"/>
  <c r="AJ49" i="6"/>
  <c r="AL54" i="6"/>
  <c r="AK57" i="6"/>
  <c r="AK58" i="6"/>
  <c r="AC62" i="6"/>
  <c r="AJ62" i="6" s="1"/>
  <c r="AJ63" i="6"/>
  <c r="AJ64" i="6"/>
  <c r="AH67" i="6"/>
  <c r="AM67" i="6" s="1"/>
  <c r="AL70" i="6"/>
  <c r="AH70" i="6"/>
  <c r="AM70" i="6" s="1"/>
  <c r="AN73" i="6"/>
  <c r="AK84" i="6"/>
  <c r="AI100" i="6"/>
  <c r="AL100" i="6"/>
  <c r="AK109" i="6"/>
  <c r="AK116" i="6"/>
  <c r="AK118" i="6"/>
  <c r="AH69" i="6"/>
  <c r="AM69" i="6" s="1"/>
  <c r="AH71" i="6"/>
  <c r="AI72" i="6"/>
  <c r="AL72" i="6"/>
  <c r="AH75" i="6"/>
  <c r="AM75" i="6" s="1"/>
  <c r="AK78" i="6"/>
  <c r="AK79" i="6"/>
  <c r="AI80" i="6"/>
  <c r="AK82" i="6"/>
  <c r="AH88" i="6"/>
  <c r="AM88" i="6" s="1"/>
  <c r="AK93" i="6"/>
  <c r="AN93" i="6" s="1"/>
  <c r="AH96" i="6"/>
  <c r="AM96" i="6" s="1"/>
  <c r="AH102" i="6"/>
  <c r="AM102" i="6" s="1"/>
  <c r="AI102" i="6"/>
  <c r="AL112" i="6"/>
  <c r="AH112" i="6"/>
  <c r="AM112" i="6" s="1"/>
  <c r="AL120" i="6"/>
  <c r="AH120" i="6"/>
  <c r="AM120" i="6" s="1"/>
  <c r="AI125" i="6"/>
  <c r="AI75" i="6"/>
  <c r="AL82" i="6"/>
  <c r="AJ86" i="6"/>
  <c r="AK89" i="6"/>
  <c r="AK98" i="6"/>
  <c r="AI99" i="6"/>
  <c r="AL99" i="6"/>
  <c r="AL104" i="6"/>
  <c r="AH104" i="6"/>
  <c r="AK115" i="6"/>
  <c r="AH126" i="6"/>
  <c r="AM126" i="6" s="1"/>
  <c r="AJ67" i="6"/>
  <c r="AK71" i="6"/>
  <c r="AK74" i="6"/>
  <c r="AK75" i="6"/>
  <c r="AN75" i="6" s="1"/>
  <c r="AH78" i="6"/>
  <c r="AM78" i="6" s="1"/>
  <c r="AL85" i="6"/>
  <c r="AN85" i="6" s="1"/>
  <c r="AI85" i="6"/>
  <c r="AH85" i="6"/>
  <c r="AM85" i="6" s="1"/>
  <c r="AK92" i="6"/>
  <c r="AL94" i="6"/>
  <c r="AI97" i="6"/>
  <c r="AL97" i="6"/>
  <c r="AH106" i="6"/>
  <c r="AM106" i="6" s="1"/>
  <c r="AK107" i="6"/>
  <c r="AK117" i="6"/>
  <c r="AN117" i="6" s="1"/>
  <c r="AK72" i="6"/>
  <c r="AI78" i="6"/>
  <c r="AH83" i="6"/>
  <c r="AK86" i="6"/>
  <c r="AH87" i="6"/>
  <c r="AM87" i="6" s="1"/>
  <c r="AK90" i="6"/>
  <c r="AI103" i="6"/>
  <c r="AL103" i="6"/>
  <c r="AL106" i="6"/>
  <c r="AK126" i="6"/>
  <c r="AI88" i="6"/>
  <c r="AJ89" i="6"/>
  <c r="AC96" i="6"/>
  <c r="AJ96" i="6" s="1"/>
  <c r="AK101" i="6"/>
  <c r="AN101" i="6" s="1"/>
  <c r="AI132" i="6"/>
  <c r="AH109" i="6"/>
  <c r="AC110" i="6"/>
  <c r="AJ110" i="6" s="1"/>
  <c r="AI117" i="6"/>
  <c r="AL117" i="6"/>
  <c r="AI122" i="6"/>
  <c r="AL122" i="6"/>
  <c r="AC124" i="6"/>
  <c r="AJ124" i="6" s="1"/>
  <c r="AK125" i="6"/>
  <c r="AL127" i="6"/>
  <c r="AI127" i="6"/>
  <c r="AH127" i="6"/>
  <c r="AM127" i="6" s="1"/>
  <c r="AH128" i="6"/>
  <c r="AM128" i="6" s="1"/>
  <c r="AC105" i="6"/>
  <c r="AL108" i="6"/>
  <c r="AH114" i="6"/>
  <c r="AH115" i="6"/>
  <c r="AM115" i="6" s="1"/>
  <c r="AH118" i="6"/>
  <c r="AM118" i="6" s="1"/>
  <c r="AI118" i="6"/>
  <c r="AL126" i="6"/>
  <c r="AI126" i="6"/>
  <c r="AK127" i="6"/>
  <c r="AL128" i="6"/>
  <c r="AI129" i="6"/>
  <c r="AL129" i="6"/>
  <c r="AH130" i="6"/>
  <c r="AM130" i="6" s="1"/>
  <c r="AK132" i="6"/>
  <c r="AH110" i="6"/>
  <c r="AM110" i="6" s="1"/>
  <c r="AK113" i="6"/>
  <c r="AK119" i="6"/>
  <c r="AI119" i="6"/>
  <c r="AH121" i="6"/>
  <c r="AM121" i="6" s="1"/>
  <c r="AI123" i="6"/>
  <c r="AL123" i="6"/>
  <c r="AN123" i="6" s="1"/>
  <c r="AJ129" i="6"/>
  <c r="AC111" i="6"/>
  <c r="AK112" i="6"/>
  <c r="AK120" i="6"/>
  <c r="AH122" i="6"/>
  <c r="AM122" i="6" s="1"/>
  <c r="AL124" i="6"/>
  <c r="AC130" i="6"/>
  <c r="AJ130" i="6" s="1"/>
  <c r="AI31" i="4"/>
  <c r="AL31" i="4"/>
  <c r="AL33" i="4"/>
  <c r="AI33" i="4"/>
  <c r="AL44" i="4"/>
  <c r="AP5" i="4"/>
  <c r="AL10" i="4"/>
  <c r="AI10" i="4"/>
  <c r="AL11" i="4"/>
  <c r="AI11" i="4"/>
  <c r="AL15" i="4"/>
  <c r="AI15" i="4"/>
  <c r="AI36" i="4"/>
  <c r="AI48" i="4"/>
  <c r="AI20" i="4"/>
  <c r="AN49" i="4"/>
  <c r="AN60" i="4"/>
  <c r="AL38" i="4"/>
  <c r="AI13" i="4"/>
  <c r="AL13" i="4"/>
  <c r="AJ20" i="4"/>
  <c r="AN41" i="4"/>
  <c r="AL3" i="4"/>
  <c r="AN3" i="4" s="1"/>
  <c r="AI3" i="4"/>
  <c r="AN5" i="4"/>
  <c r="AS5" i="4" s="1"/>
  <c r="AI6" i="4"/>
  <c r="AK7" i="4"/>
  <c r="AK11" i="4"/>
  <c r="AK17" i="4"/>
  <c r="AI19" i="4"/>
  <c r="AL19" i="4"/>
  <c r="AL21" i="4"/>
  <c r="AI21" i="4"/>
  <c r="AN23" i="4"/>
  <c r="AI24" i="4"/>
  <c r="AK25" i="4"/>
  <c r="AJ30" i="4"/>
  <c r="AK30" i="4"/>
  <c r="AL35" i="4"/>
  <c r="AI35" i="4"/>
  <c r="AN37" i="4"/>
  <c r="AK39" i="4"/>
  <c r="AK49" i="4"/>
  <c r="AI49" i="4"/>
  <c r="AN28" i="4"/>
  <c r="AI7" i="4"/>
  <c r="AL7" i="4"/>
  <c r="AL9" i="4"/>
  <c r="AI9" i="4"/>
  <c r="AL16" i="4"/>
  <c r="AI16" i="4"/>
  <c r="AL17" i="4"/>
  <c r="AI17" i="4"/>
  <c r="AJ21" i="4"/>
  <c r="AN22" i="4"/>
  <c r="AI25" i="4"/>
  <c r="AL25" i="4"/>
  <c r="AL2" i="4"/>
  <c r="AN2" i="4" s="1"/>
  <c r="AI2" i="4"/>
  <c r="AN4" i="4"/>
  <c r="AR10" i="4"/>
  <c r="AK20" i="4"/>
  <c r="AL27" i="4"/>
  <c r="AI27" i="4"/>
  <c r="AI30" i="4"/>
  <c r="AJ36" i="4"/>
  <c r="AK36" i="4"/>
  <c r="AK6" i="4"/>
  <c r="AI8" i="4"/>
  <c r="AK10" i="4"/>
  <c r="AK12" i="4"/>
  <c r="AK13" i="4"/>
  <c r="AN13" i="4" s="1"/>
  <c r="AK16" i="4"/>
  <c r="AK24" i="4"/>
  <c r="AI26" i="4"/>
  <c r="AL29" i="4"/>
  <c r="AI29" i="4"/>
  <c r="AN31" i="4"/>
  <c r="AI32" i="4"/>
  <c r="AJ33" i="4"/>
  <c r="AJ45" i="4"/>
  <c r="AJ55" i="4"/>
  <c r="AI55" i="4"/>
  <c r="AI92" i="4"/>
  <c r="AL5" i="4"/>
  <c r="AI5" i="4"/>
  <c r="AR5" i="4"/>
  <c r="AN9" i="4"/>
  <c r="AO10" i="4"/>
  <c r="AN10" i="4"/>
  <c r="AS10" i="4" s="1"/>
  <c r="AN11" i="4"/>
  <c r="AI12" i="4"/>
  <c r="AI14" i="4"/>
  <c r="AN15" i="4"/>
  <c r="AO16" i="4"/>
  <c r="AN16" i="4"/>
  <c r="AI18" i="4"/>
  <c r="AK19" i="4"/>
  <c r="AL23" i="4"/>
  <c r="AI23" i="4"/>
  <c r="AN25" i="4"/>
  <c r="AK32" i="4"/>
  <c r="AK34" i="4"/>
  <c r="AK35" i="4"/>
  <c r="AN35" i="4" s="1"/>
  <c r="AI37" i="4"/>
  <c r="AL37" i="4"/>
  <c r="AN39" i="4"/>
  <c r="AN43" i="4"/>
  <c r="AL47" i="4"/>
  <c r="AI47" i="4"/>
  <c r="AN57" i="4"/>
  <c r="AL6" i="4"/>
  <c r="AN6" i="4" s="1"/>
  <c r="AL8" i="4"/>
  <c r="AL14" i="4"/>
  <c r="AL20" i="4"/>
  <c r="AL26" i="4"/>
  <c r="AL32" i="4"/>
  <c r="AH44" i="4"/>
  <c r="AM44" i="4" s="1"/>
  <c r="AH58" i="4"/>
  <c r="AM58" i="4" s="1"/>
  <c r="AI60" i="4"/>
  <c r="AH62" i="4"/>
  <c r="AM62" i="4" s="1"/>
  <c r="AK72" i="4"/>
  <c r="AL99" i="4"/>
  <c r="AN116" i="4"/>
  <c r="AI4" i="4"/>
  <c r="AI22" i="4"/>
  <c r="AI28" i="4"/>
  <c r="AI34" i="4"/>
  <c r="AC46" i="4"/>
  <c r="AJ46" i="4" s="1"/>
  <c r="AK47" i="4"/>
  <c r="AL51" i="4"/>
  <c r="AH52" i="4"/>
  <c r="AK54" i="4"/>
  <c r="AI54" i="4"/>
  <c r="AH56" i="4"/>
  <c r="AM56" i="4" s="1"/>
  <c r="AR57" i="4" s="1"/>
  <c r="AI58" i="4"/>
  <c r="AL58" i="4"/>
  <c r="AI61" i="4"/>
  <c r="AI62" i="4"/>
  <c r="AK66" i="4"/>
  <c r="AI69" i="4"/>
  <c r="AL69" i="4"/>
  <c r="AH73" i="4"/>
  <c r="AM73" i="4" s="1"/>
  <c r="AI78" i="4"/>
  <c r="AL78" i="4"/>
  <c r="AN31" i="5"/>
  <c r="AP31" i="5"/>
  <c r="AL12" i="4"/>
  <c r="AL18" i="4"/>
  <c r="AL24" i="4"/>
  <c r="AN24" i="4" s="1"/>
  <c r="AL104" i="4"/>
  <c r="AI104" i="4"/>
  <c r="AL113" i="4"/>
  <c r="AN47" i="4"/>
  <c r="AL30" i="4"/>
  <c r="AL36" i="4"/>
  <c r="AH38" i="4"/>
  <c r="AM38" i="4" s="1"/>
  <c r="AK42" i="4"/>
  <c r="AH50" i="4"/>
  <c r="AM50" i="4" s="1"/>
  <c r="AN58" i="4"/>
  <c r="AS58" i="4" s="1"/>
  <c r="AN62" i="4"/>
  <c r="AQ63" i="4" s="1"/>
  <c r="AN69" i="4"/>
  <c r="AL70" i="4"/>
  <c r="AI41" i="4"/>
  <c r="AI50" i="4"/>
  <c r="AJ52" i="4"/>
  <c r="AN56" i="4"/>
  <c r="AL59" i="4"/>
  <c r="AN61" i="4"/>
  <c r="AS61" i="4" s="1"/>
  <c r="AN63" i="4"/>
  <c r="AP63" i="4" s="1"/>
  <c r="AL64" i="4"/>
  <c r="AN67" i="4"/>
  <c r="AL84" i="4"/>
  <c r="AR93" i="4"/>
  <c r="AN97" i="4"/>
  <c r="AI39" i="4"/>
  <c r="AC40" i="4"/>
  <c r="AK41" i="4"/>
  <c r="AH51" i="4"/>
  <c r="AM51" i="4" s="1"/>
  <c r="AN51" i="4" s="1"/>
  <c r="AI53" i="4"/>
  <c r="AL53" i="4"/>
  <c r="AC59" i="4"/>
  <c r="AJ59" i="4" s="1"/>
  <c r="AI63" i="4"/>
  <c r="AI65" i="4"/>
  <c r="AI95" i="4"/>
  <c r="AL40" i="4"/>
  <c r="AI43" i="4"/>
  <c r="AH45" i="4"/>
  <c r="AM45" i="4" s="1"/>
  <c r="AK48" i="4"/>
  <c r="AC53" i="4"/>
  <c r="AJ53" i="4" s="1"/>
  <c r="AI57" i="4"/>
  <c r="AK59" i="4"/>
  <c r="AH64" i="4"/>
  <c r="AM64" i="4" s="1"/>
  <c r="AK65" i="4"/>
  <c r="AH66" i="4"/>
  <c r="AM66" i="4" s="1"/>
  <c r="AH68" i="4"/>
  <c r="AH74" i="4"/>
  <c r="AM74" i="4" s="1"/>
  <c r="AN74" i="4" s="1"/>
  <c r="AN75" i="4"/>
  <c r="AH81" i="4"/>
  <c r="AM81" i="4" s="1"/>
  <c r="AL98" i="4"/>
  <c r="AH98" i="4"/>
  <c r="AH122" i="4"/>
  <c r="AM122" i="4" s="1"/>
  <c r="AI122" i="4"/>
  <c r="AN5" i="5"/>
  <c r="AI5" i="5"/>
  <c r="AH70" i="4"/>
  <c r="AM70" i="4" s="1"/>
  <c r="AK77" i="4"/>
  <c r="AN78" i="4"/>
  <c r="AK83" i="4"/>
  <c r="AL89" i="4"/>
  <c r="AH94" i="4"/>
  <c r="AH95" i="4"/>
  <c r="AM95" i="4" s="1"/>
  <c r="AN103" i="4"/>
  <c r="AI118" i="4"/>
  <c r="AL118" i="4"/>
  <c r="AH118" i="4"/>
  <c r="AM118" i="4" s="1"/>
  <c r="AJ2" i="5"/>
  <c r="AN2" i="5" s="1"/>
  <c r="AI2" i="5"/>
  <c r="AR3" i="5"/>
  <c r="AN113" i="5"/>
  <c r="AI113" i="5"/>
  <c r="AI67" i="4"/>
  <c r="AH71" i="4"/>
  <c r="AM71" i="4" s="1"/>
  <c r="AC73" i="4"/>
  <c r="AK73" i="4"/>
  <c r="AC81" i="4"/>
  <c r="AJ81" i="4" s="1"/>
  <c r="AK81" i="4"/>
  <c r="AJ82" i="4"/>
  <c r="AK89" i="4"/>
  <c r="AK92" i="4"/>
  <c r="AN92" i="4" s="1"/>
  <c r="AP93" i="4" s="1"/>
  <c r="AH96" i="4"/>
  <c r="AM96" i="4" s="1"/>
  <c r="AI97" i="4"/>
  <c r="AH102" i="4"/>
  <c r="AM102" i="4" s="1"/>
  <c r="AH116" i="4"/>
  <c r="AM116" i="4" s="1"/>
  <c r="AH125" i="4"/>
  <c r="AM125" i="4" s="1"/>
  <c r="AL125" i="4"/>
  <c r="AI7" i="5"/>
  <c r="AL7" i="5"/>
  <c r="AO25" i="5"/>
  <c r="AN25" i="5"/>
  <c r="AI71" i="4"/>
  <c r="AQ75" i="4"/>
  <c r="AI79" i="4"/>
  <c r="AH82" i="4"/>
  <c r="AM82" i="4" s="1"/>
  <c r="AI85" i="4"/>
  <c r="AK87" i="4"/>
  <c r="AI90" i="4"/>
  <c r="AL90" i="4"/>
  <c r="AK95" i="4"/>
  <c r="AJ107" i="4"/>
  <c r="AH110" i="4"/>
  <c r="AM110" i="4" s="1"/>
  <c r="AI110" i="4"/>
  <c r="AI112" i="4"/>
  <c r="AL112" i="4"/>
  <c r="AK113" i="4"/>
  <c r="AN126" i="4"/>
  <c r="AK128" i="4"/>
  <c r="AJ132" i="4"/>
  <c r="AI9" i="5"/>
  <c r="AL9" i="5"/>
  <c r="AN13" i="5"/>
  <c r="AR13" i="5" s="1"/>
  <c r="AK71" i="4"/>
  <c r="AH76" i="4"/>
  <c r="AM76" i="4" s="1"/>
  <c r="AK79" i="4"/>
  <c r="AH80" i="4"/>
  <c r="AH84" i="4"/>
  <c r="AM84" i="4" s="1"/>
  <c r="AK85" i="4"/>
  <c r="AH86" i="4"/>
  <c r="AM86" i="4" s="1"/>
  <c r="AH88" i="4"/>
  <c r="AH89" i="4"/>
  <c r="AM89" i="4" s="1"/>
  <c r="AI91" i="4"/>
  <c r="AN93" i="4"/>
  <c r="AK99" i="4"/>
  <c r="AN99" i="4" s="1"/>
  <c r="AJ101" i="4"/>
  <c r="AL103" i="4"/>
  <c r="AI103" i="4"/>
  <c r="AL105" i="4"/>
  <c r="AH105" i="4"/>
  <c r="AM105" i="4" s="1"/>
  <c r="AL108" i="4"/>
  <c r="AN118" i="4"/>
  <c r="AP118" i="4" s="1"/>
  <c r="AL120" i="4"/>
  <c r="AN120" i="4" s="1"/>
  <c r="AI120" i="4"/>
  <c r="AH120" i="4"/>
  <c r="AM120" i="4" s="1"/>
  <c r="AH130" i="4"/>
  <c r="AK8" i="5"/>
  <c r="AN24" i="5"/>
  <c r="AP25" i="5" s="1"/>
  <c r="AI24" i="5"/>
  <c r="AP44" i="5"/>
  <c r="AL72" i="4"/>
  <c r="AH72" i="4"/>
  <c r="AM72" i="4" s="1"/>
  <c r="AL73" i="4"/>
  <c r="AI77" i="4"/>
  <c r="AL77" i="4"/>
  <c r="AJ79" i="4"/>
  <c r="AI83" i="4"/>
  <c r="AL83" i="4"/>
  <c r="AJ85" i="4"/>
  <c r="AK91" i="4"/>
  <c r="AH92" i="4"/>
  <c r="AM92" i="4" s="1"/>
  <c r="AI96" i="4"/>
  <c r="AL96" i="4"/>
  <c r="AL101" i="4"/>
  <c r="AH101" i="4"/>
  <c r="AM101" i="4" s="1"/>
  <c r="AH107" i="4"/>
  <c r="AL107" i="4"/>
  <c r="AJ108" i="4"/>
  <c r="AK112" i="4"/>
  <c r="AH115" i="4"/>
  <c r="AM115" i="4" s="1"/>
  <c r="AK119" i="4"/>
  <c r="AN124" i="4"/>
  <c r="AL127" i="4"/>
  <c r="AI127" i="4"/>
  <c r="AQ23" i="5"/>
  <c r="AN30" i="5"/>
  <c r="AO30" i="5" s="1"/>
  <c r="AI30" i="5"/>
  <c r="AN36" i="5"/>
  <c r="AO36" i="5"/>
  <c r="AI36" i="5"/>
  <c r="AI75" i="4"/>
  <c r="AI81" i="4"/>
  <c r="AI87" i="4"/>
  <c r="AI93" i="4"/>
  <c r="AC100" i="4"/>
  <c r="AH111" i="4"/>
  <c r="AM111" i="4" s="1"/>
  <c r="AC113" i="4"/>
  <c r="AJ113" i="4" s="1"/>
  <c r="AL123" i="4"/>
  <c r="AC125" i="4"/>
  <c r="AJ125" i="4" s="1"/>
  <c r="AK125" i="4"/>
  <c r="AH126" i="4"/>
  <c r="AM126" i="4" s="1"/>
  <c r="AJ128" i="4"/>
  <c r="AH129" i="4"/>
  <c r="AM129" i="4" s="1"/>
  <c r="AH132" i="4"/>
  <c r="AM132" i="4" s="1"/>
  <c r="AN3" i="5"/>
  <c r="AS3" i="5" s="1"/>
  <c r="AI4" i="5"/>
  <c r="AN8" i="5"/>
  <c r="AJ10" i="5"/>
  <c r="AI10" i="5"/>
  <c r="AI13" i="5"/>
  <c r="AN14" i="5"/>
  <c r="AL15" i="5"/>
  <c r="AI16" i="5"/>
  <c r="AN18" i="5"/>
  <c r="AI18" i="5"/>
  <c r="AN20" i="5"/>
  <c r="AI26" i="5"/>
  <c r="AI32" i="5"/>
  <c r="AN44" i="5"/>
  <c r="AO44" i="5" s="1"/>
  <c r="AN108" i="5"/>
  <c r="AK111" i="4"/>
  <c r="AN111" i="4"/>
  <c r="AK114" i="4"/>
  <c r="AK129" i="4"/>
  <c r="AN6" i="5"/>
  <c r="AI6" i="5"/>
  <c r="AK11" i="5"/>
  <c r="AN12" i="5"/>
  <c r="AN16" i="5"/>
  <c r="AN22" i="5"/>
  <c r="AQ25" i="5"/>
  <c r="AN28" i="5"/>
  <c r="AN34" i="5"/>
  <c r="AN87" i="5"/>
  <c r="AO87" i="5" s="1"/>
  <c r="AH99" i="4"/>
  <c r="AM99" i="4" s="1"/>
  <c r="AK105" i="4"/>
  <c r="AK108" i="4"/>
  <c r="AL109" i="4"/>
  <c r="AI109" i="4"/>
  <c r="AJ110" i="4"/>
  <c r="AH114" i="4"/>
  <c r="AH117" i="4"/>
  <c r="AM117" i="4" s="1"/>
  <c r="AN117" i="4" s="1"/>
  <c r="AL119" i="4"/>
  <c r="AN122" i="4"/>
  <c r="AH123" i="4"/>
  <c r="AM123" i="4" s="1"/>
  <c r="AL124" i="4"/>
  <c r="AH124" i="4"/>
  <c r="AM124" i="4" s="1"/>
  <c r="AH128" i="4"/>
  <c r="AJ130" i="4"/>
  <c r="AL131" i="4"/>
  <c r="AI3" i="5"/>
  <c r="AL4" i="5"/>
  <c r="AI12" i="5"/>
  <c r="AO13" i="5"/>
  <c r="AP14" i="5"/>
  <c r="AN17" i="5"/>
  <c r="AI21" i="5"/>
  <c r="AP36" i="5"/>
  <c r="AN39" i="5"/>
  <c r="AK102" i="4"/>
  <c r="AC106" i="4"/>
  <c r="AJ106" i="4" s="1"/>
  <c r="AH108" i="4"/>
  <c r="AM108" i="4" s="1"/>
  <c r="AC115" i="4"/>
  <c r="AJ115" i="4" s="1"/>
  <c r="AI116" i="4"/>
  <c r="AC119" i="4"/>
  <c r="AJ119" i="4" s="1"/>
  <c r="AC121" i="4"/>
  <c r="AJ121" i="4" s="1"/>
  <c r="AK121" i="4"/>
  <c r="AC131" i="4"/>
  <c r="AJ131" i="4" s="1"/>
  <c r="AI8" i="5"/>
  <c r="AN9" i="5"/>
  <c r="AR14" i="5"/>
  <c r="AR25" i="5"/>
  <c r="AI27" i="5"/>
  <c r="AL27" i="5"/>
  <c r="AR31" i="5"/>
  <c r="AI33" i="5"/>
  <c r="AL33" i="5"/>
  <c r="AN35" i="5"/>
  <c r="AS35" i="5" s="1"/>
  <c r="AO35" i="5"/>
  <c r="AL100" i="4"/>
  <c r="AL106" i="4"/>
  <c r="AI121" i="4"/>
  <c r="AL130" i="4"/>
  <c r="AL12" i="5"/>
  <c r="AQ13" i="5" s="1"/>
  <c r="AI17" i="5"/>
  <c r="AR35" i="5"/>
  <c r="AQ36" i="5"/>
  <c r="AK38" i="5"/>
  <c r="AN38" i="5" s="1"/>
  <c r="AR38" i="5" s="1"/>
  <c r="AN53" i="5"/>
  <c r="AI53" i="5"/>
  <c r="AK61" i="5"/>
  <c r="AI61" i="5"/>
  <c r="AK72" i="5"/>
  <c r="AI72" i="5"/>
  <c r="AK78" i="5"/>
  <c r="AN84" i="5"/>
  <c r="AI84" i="5"/>
  <c r="AL86" i="5"/>
  <c r="AI86" i="5"/>
  <c r="AR36" i="5"/>
  <c r="AK40" i="5"/>
  <c r="AI40" i="5"/>
  <c r="AN43" i="5"/>
  <c r="AI43" i="5"/>
  <c r="AR44" i="5"/>
  <c r="AI45" i="5"/>
  <c r="AL45" i="5"/>
  <c r="AN49" i="5"/>
  <c r="AN50" i="5"/>
  <c r="AS50" i="5" s="1"/>
  <c r="AI76" i="5"/>
  <c r="AL76" i="5"/>
  <c r="AN7" i="5"/>
  <c r="AJ19" i="5"/>
  <c r="AI22" i="5"/>
  <c r="AI23" i="5"/>
  <c r="AP24" i="5"/>
  <c r="AI28" i="5"/>
  <c r="AI29" i="5"/>
  <c r="AP30" i="5"/>
  <c r="AI34" i="5"/>
  <c r="AK35" i="5"/>
  <c r="AI38" i="5"/>
  <c r="AI44" i="5"/>
  <c r="AN47" i="5"/>
  <c r="AI47" i="5"/>
  <c r="AI122" i="5"/>
  <c r="AL122" i="5"/>
  <c r="AI124" i="5"/>
  <c r="AL124" i="5"/>
  <c r="AJ21" i="5"/>
  <c r="AN23" i="5"/>
  <c r="AK26" i="5"/>
  <c r="AN29" i="5"/>
  <c r="AP29" i="5" s="1"/>
  <c r="AK32" i="5"/>
  <c r="AI41" i="5"/>
  <c r="AN41" i="5"/>
  <c r="AI59" i="5"/>
  <c r="AL59" i="5"/>
  <c r="AI79" i="5"/>
  <c r="AL79" i="5"/>
  <c r="AN81" i="5"/>
  <c r="AR23" i="5"/>
  <c r="AN27" i="5"/>
  <c r="AR29" i="5"/>
  <c r="AN33" i="5"/>
  <c r="AO34" i="5" s="1"/>
  <c r="AP34" i="5"/>
  <c r="AN37" i="5"/>
  <c r="AS37" i="5" s="1"/>
  <c r="AI37" i="5"/>
  <c r="AQ44" i="5"/>
  <c r="AN45" i="5"/>
  <c r="AS45" i="5" s="1"/>
  <c r="AN52" i="5"/>
  <c r="AQ53" i="5" s="1"/>
  <c r="AN62" i="5"/>
  <c r="AI62" i="5"/>
  <c r="AN105" i="5"/>
  <c r="AJ42" i="5"/>
  <c r="AK46" i="5"/>
  <c r="AR50" i="5"/>
  <c r="AI51" i="5"/>
  <c r="AI52" i="5"/>
  <c r="AK54" i="5"/>
  <c r="AI54" i="5"/>
  <c r="AN55" i="5"/>
  <c r="AI58" i="5"/>
  <c r="AI74" i="5"/>
  <c r="AL80" i="5"/>
  <c r="AI80" i="5"/>
  <c r="AI83" i="5"/>
  <c r="AN86" i="5"/>
  <c r="AI95" i="5"/>
  <c r="AN96" i="5"/>
  <c r="AN123" i="5"/>
  <c r="AI39" i="5"/>
  <c r="AL48" i="5"/>
  <c r="AI48" i="5"/>
  <c r="AI63" i="5"/>
  <c r="AN69" i="5"/>
  <c r="AI71" i="5"/>
  <c r="AN75" i="5"/>
  <c r="AI75" i="5"/>
  <c r="AN78" i="5"/>
  <c r="AK89" i="5"/>
  <c r="AI89" i="5"/>
  <c r="AN95" i="5"/>
  <c r="AI97" i="5"/>
  <c r="AK100" i="5"/>
  <c r="AI100" i="5"/>
  <c r="AK67" i="5"/>
  <c r="AI67" i="5"/>
  <c r="AN68" i="5"/>
  <c r="AI68" i="5"/>
  <c r="AI70" i="5"/>
  <c r="AN73" i="5"/>
  <c r="AK77" i="5"/>
  <c r="AI77" i="5"/>
  <c r="AI91" i="5"/>
  <c r="AL91" i="5"/>
  <c r="AN93" i="5"/>
  <c r="AK98" i="5"/>
  <c r="AI98" i="5"/>
  <c r="AN129" i="5"/>
  <c r="AI42" i="5"/>
  <c r="AK48" i="5"/>
  <c r="AL51" i="5"/>
  <c r="AI56" i="5"/>
  <c r="AJ57" i="5"/>
  <c r="AI57" i="5"/>
  <c r="AN63" i="5"/>
  <c r="AR63" i="5" s="1"/>
  <c r="AI65" i="5"/>
  <c r="AI82" i="5"/>
  <c r="AK88" i="5"/>
  <c r="AN88" i="5" s="1"/>
  <c r="AI88" i="5"/>
  <c r="AN90" i="5"/>
  <c r="AI90" i="5"/>
  <c r="AP129" i="5"/>
  <c r="AJ48" i="5"/>
  <c r="AI60" i="5"/>
  <c r="AP62" i="5"/>
  <c r="AI66" i="5"/>
  <c r="AK76" i="5"/>
  <c r="AK83" i="5"/>
  <c r="AK85" i="5"/>
  <c r="AN89" i="5"/>
  <c r="AN102" i="5"/>
  <c r="AL103" i="5"/>
  <c r="AI103" i="5"/>
  <c r="AK116" i="5"/>
  <c r="AI116" i="5"/>
  <c r="AI130" i="5"/>
  <c r="AJ51" i="5"/>
  <c r="AJ54" i="5"/>
  <c r="AK58" i="5"/>
  <c r="AN61" i="5"/>
  <c r="AO62" i="5" s="1"/>
  <c r="AK64" i="5"/>
  <c r="AN67" i="5"/>
  <c r="AK70" i="5"/>
  <c r="AI87" i="5"/>
  <c r="AN94" i="5"/>
  <c r="AS94" i="5" s="1"/>
  <c r="AI94" i="5"/>
  <c r="AK118" i="5"/>
  <c r="AI118" i="5"/>
  <c r="AL119" i="5"/>
  <c r="AI119" i="5"/>
  <c r="AN124" i="5"/>
  <c r="AS124" i="5" s="1"/>
  <c r="AO124" i="5"/>
  <c r="AN128" i="5"/>
  <c r="AI128" i="5"/>
  <c r="AJ56" i="5"/>
  <c r="AJ59" i="5"/>
  <c r="AJ60" i="5"/>
  <c r="AJ65" i="5"/>
  <c r="AJ66" i="5"/>
  <c r="AJ71" i="5"/>
  <c r="AN72" i="5"/>
  <c r="AN76" i="5"/>
  <c r="AO76" i="5" s="1"/>
  <c r="AJ79" i="5"/>
  <c r="AN80" i="5"/>
  <c r="AI85" i="5"/>
  <c r="AR87" i="5"/>
  <c r="AI93" i="5"/>
  <c r="AL82" i="5"/>
  <c r="AJ83" i="5"/>
  <c r="AR90" i="5"/>
  <c r="AJ92" i="5"/>
  <c r="AI92" i="5"/>
  <c r="AP94" i="5"/>
  <c r="AO96" i="5"/>
  <c r="AI104" i="5"/>
  <c r="AI109" i="5"/>
  <c r="AN110" i="5"/>
  <c r="AI110" i="5"/>
  <c r="AI112" i="5"/>
  <c r="AP114" i="5"/>
  <c r="AR114" i="5"/>
  <c r="AL121" i="5"/>
  <c r="AI121" i="5"/>
  <c r="AP124" i="5"/>
  <c r="AI125" i="5"/>
  <c r="AN126" i="5"/>
  <c r="AR94" i="5"/>
  <c r="AN99" i="5"/>
  <c r="AN100" i="5"/>
  <c r="AS100" i="5" s="1"/>
  <c r="AL101" i="5"/>
  <c r="AI101" i="5"/>
  <c r="AO114" i="5"/>
  <c r="AN114" i="5"/>
  <c r="AK117" i="5"/>
  <c r="AK120" i="5"/>
  <c r="AN131" i="5"/>
  <c r="AI131" i="5"/>
  <c r="AJ74" i="5"/>
  <c r="AJ98" i="5"/>
  <c r="AI99" i="5"/>
  <c r="AO100" i="5"/>
  <c r="AN109" i="5"/>
  <c r="AO110" i="5" s="1"/>
  <c r="AO109" i="5"/>
  <c r="AO111" i="5"/>
  <c r="AN111" i="5"/>
  <c r="AI115" i="5"/>
  <c r="AR124" i="5"/>
  <c r="AO132" i="5"/>
  <c r="AN132" i="5"/>
  <c r="AS132" i="5" s="1"/>
  <c r="AK103" i="5"/>
  <c r="AN103" i="5" s="1"/>
  <c r="AR111" i="5"/>
  <c r="AR129" i="5"/>
  <c r="AK91" i="5"/>
  <c r="AJ101" i="5"/>
  <c r="AK106" i="5"/>
  <c r="AJ119" i="5"/>
  <c r="AK127" i="5"/>
  <c r="AQ100" i="5"/>
  <c r="AJ104" i="5"/>
  <c r="AK109" i="5"/>
  <c r="AN121" i="5"/>
  <c r="AJ122" i="5"/>
  <c r="AI129" i="5"/>
  <c r="AK130" i="5"/>
  <c r="AI96" i="5"/>
  <c r="AK97" i="5"/>
  <c r="AJ107" i="5"/>
  <c r="AK112" i="5"/>
  <c r="AI114" i="5"/>
  <c r="AK115" i="5"/>
  <c r="AN115" i="5" s="1"/>
  <c r="AN117" i="5"/>
  <c r="AJ125" i="5"/>
  <c r="AI132" i="5"/>
  <c r="AI102" i="5"/>
  <c r="AI105" i="5"/>
  <c r="AI108" i="5"/>
  <c r="AI111" i="5"/>
  <c r="AI123" i="5"/>
  <c r="AI126" i="5"/>
  <c r="AI57" i="6" l="1"/>
  <c r="AI91" i="6"/>
  <c r="AN94" i="6"/>
  <c r="AI74" i="6"/>
  <c r="AI113" i="6"/>
  <c r="AI116" i="6"/>
  <c r="AN90" i="6"/>
  <c r="AI94" i="6"/>
  <c r="AI120" i="6"/>
  <c r="AI63" i="6"/>
  <c r="AI55" i="6"/>
  <c r="AN21" i="6"/>
  <c r="AI95" i="6"/>
  <c r="AI48" i="6"/>
  <c r="AI16" i="6"/>
  <c r="AN11" i="6"/>
  <c r="AS11" i="6" s="1"/>
  <c r="AN13" i="6"/>
  <c r="AP14" i="6" s="1"/>
  <c r="AO3" i="6"/>
  <c r="AN57" i="6"/>
  <c r="AI9" i="6"/>
  <c r="AI124" i="6"/>
  <c r="AN82" i="6"/>
  <c r="AQ82" i="6" s="1"/>
  <c r="AN120" i="6"/>
  <c r="AQ121" i="6" s="1"/>
  <c r="AI49" i="6"/>
  <c r="AI40" i="6"/>
  <c r="AI27" i="6"/>
  <c r="AI101" i="6"/>
  <c r="AI68" i="6"/>
  <c r="AI108" i="6"/>
  <c r="AI70" i="6"/>
  <c r="AI107" i="6"/>
  <c r="AI128" i="6"/>
  <c r="AI82" i="6"/>
  <c r="AI65" i="6"/>
  <c r="AI81" i="6"/>
  <c r="AI25" i="6"/>
  <c r="AI19" i="6"/>
  <c r="AS3" i="6"/>
  <c r="AN29" i="6"/>
  <c r="AP3" i="6"/>
  <c r="AR3" i="6"/>
  <c r="AO14" i="6"/>
  <c r="AS94" i="6"/>
  <c r="AO94" i="6"/>
  <c r="AR91" i="6"/>
  <c r="AO91" i="6"/>
  <c r="AN110" i="6"/>
  <c r="AO121" i="6"/>
  <c r="AN9" i="6"/>
  <c r="AQ9" i="6" s="1"/>
  <c r="AN130" i="6"/>
  <c r="AN113" i="6"/>
  <c r="AN108" i="6"/>
  <c r="AN122" i="6"/>
  <c r="AM109" i="6"/>
  <c r="AI109" i="6"/>
  <c r="AI96" i="6"/>
  <c r="AN72" i="6"/>
  <c r="AP73" i="6" s="1"/>
  <c r="AI112" i="6"/>
  <c r="AP57" i="6"/>
  <c r="AN131" i="6"/>
  <c r="AO131" i="6" s="1"/>
  <c r="AM26" i="6"/>
  <c r="AI26" i="6"/>
  <c r="AQ91" i="6"/>
  <c r="AN48" i="6"/>
  <c r="AN36" i="6"/>
  <c r="AN33" i="6"/>
  <c r="AN6" i="6"/>
  <c r="AN66" i="6"/>
  <c r="AS66" i="6" s="1"/>
  <c r="AM20" i="6"/>
  <c r="AI20" i="6"/>
  <c r="AN98" i="6"/>
  <c r="AQ98" i="6" s="1"/>
  <c r="AM64" i="6"/>
  <c r="AN64" i="6" s="1"/>
  <c r="AI64" i="6"/>
  <c r="AJ111" i="6"/>
  <c r="AI111" i="6"/>
  <c r="AJ105" i="6"/>
  <c r="AI105" i="6"/>
  <c r="AN96" i="6"/>
  <c r="AI106" i="6"/>
  <c r="AN132" i="6"/>
  <c r="AN76" i="6"/>
  <c r="AR76" i="6" s="1"/>
  <c r="AN81" i="6"/>
  <c r="AQ81" i="6" s="1"/>
  <c r="AN23" i="6"/>
  <c r="AN87" i="6"/>
  <c r="AN16" i="6"/>
  <c r="AI66" i="6"/>
  <c r="AO11" i="6"/>
  <c r="AR11" i="6"/>
  <c r="AN30" i="6"/>
  <c r="AO30" i="6" s="1"/>
  <c r="AO31" i="6"/>
  <c r="AP7" i="6"/>
  <c r="AN27" i="6"/>
  <c r="AN129" i="6"/>
  <c r="AR129" i="6" s="1"/>
  <c r="AP126" i="6"/>
  <c r="AN100" i="6"/>
  <c r="AR101" i="6" s="1"/>
  <c r="AN70" i="6"/>
  <c r="AN58" i="6"/>
  <c r="AP58" i="6" s="1"/>
  <c r="AN47" i="6"/>
  <c r="AN37" i="6"/>
  <c r="AN112" i="6"/>
  <c r="AN128" i="6"/>
  <c r="AP91" i="6"/>
  <c r="AS51" i="6"/>
  <c r="AQ51" i="6"/>
  <c r="AO51" i="6"/>
  <c r="AM32" i="6"/>
  <c r="AI32" i="6"/>
  <c r="AN8" i="6"/>
  <c r="AQ8" i="6" s="1"/>
  <c r="AI110" i="6"/>
  <c r="AI130" i="6"/>
  <c r="AN127" i="6"/>
  <c r="AR128" i="6"/>
  <c r="AI121" i="6"/>
  <c r="AN106" i="6"/>
  <c r="AQ94" i="6"/>
  <c r="AN99" i="6"/>
  <c r="AP99" i="6" s="1"/>
  <c r="AM71" i="6"/>
  <c r="AI71" i="6"/>
  <c r="AN126" i="6"/>
  <c r="AQ127" i="6" s="1"/>
  <c r="AM42" i="6"/>
  <c r="AN42" i="6" s="1"/>
  <c r="AS43" i="6" s="1"/>
  <c r="AI42" i="6"/>
  <c r="AN17" i="6"/>
  <c r="AN55" i="6"/>
  <c r="AN15" i="6"/>
  <c r="AP11" i="6"/>
  <c r="AS82" i="6"/>
  <c r="AR82" i="6"/>
  <c r="AN97" i="6"/>
  <c r="AN67" i="6"/>
  <c r="AM104" i="6"/>
  <c r="AN104" i="6" s="1"/>
  <c r="AI104" i="6"/>
  <c r="AS41" i="6"/>
  <c r="AO41" i="6"/>
  <c r="AN119" i="6"/>
  <c r="AM114" i="6"/>
  <c r="AI114" i="6"/>
  <c r="AN124" i="6"/>
  <c r="AP125" i="6" s="1"/>
  <c r="AI115" i="6"/>
  <c r="AN103" i="6"/>
  <c r="AM83" i="6"/>
  <c r="AI83" i="6"/>
  <c r="AN107" i="6"/>
  <c r="AQ108" i="6" s="1"/>
  <c r="AN115" i="6"/>
  <c r="AI47" i="6"/>
  <c r="AN118" i="6"/>
  <c r="AQ118" i="6" s="1"/>
  <c r="AR51" i="6"/>
  <c r="AQ41" i="6"/>
  <c r="AN54" i="6"/>
  <c r="AN95" i="6"/>
  <c r="AM92" i="6"/>
  <c r="AI92" i="6"/>
  <c r="AI58" i="6"/>
  <c r="AN4" i="6"/>
  <c r="AR5" i="6" s="1"/>
  <c r="AN18" i="6"/>
  <c r="AI84" i="6"/>
  <c r="AN56" i="6"/>
  <c r="AR56" i="6" s="1"/>
  <c r="AR94" i="6"/>
  <c r="AN79" i="6"/>
  <c r="AS79" i="6" s="1"/>
  <c r="AS91" i="6"/>
  <c r="AQ58" i="6"/>
  <c r="AI60" i="6"/>
  <c r="AI67" i="6"/>
  <c r="AI39" i="6"/>
  <c r="AN12" i="6"/>
  <c r="AS13" i="6" s="1"/>
  <c r="AQ3" i="6"/>
  <c r="AP41" i="6"/>
  <c r="AN116" i="6"/>
  <c r="AP116" i="6" s="1"/>
  <c r="AI62" i="6"/>
  <c r="AP52" i="6"/>
  <c r="AN34" i="6"/>
  <c r="AN78" i="6"/>
  <c r="AR78" i="6" s="1"/>
  <c r="AN59" i="6"/>
  <c r="AO59" i="6" s="1"/>
  <c r="AN45" i="6"/>
  <c r="AN28" i="6"/>
  <c r="AP29" i="6" s="1"/>
  <c r="AI21" i="6"/>
  <c r="AR54" i="6"/>
  <c r="AP19" i="6"/>
  <c r="AI89" i="6"/>
  <c r="AN35" i="6"/>
  <c r="AO35" i="6" s="1"/>
  <c r="AN69" i="6"/>
  <c r="AQ70" i="6" s="1"/>
  <c r="AN25" i="6"/>
  <c r="AN63" i="6"/>
  <c r="AN49" i="6"/>
  <c r="AR49" i="6" s="1"/>
  <c r="AN38" i="6"/>
  <c r="AI77" i="6"/>
  <c r="AN44" i="6"/>
  <c r="AQ44" i="6" s="1"/>
  <c r="AN61" i="6"/>
  <c r="AO61" i="6" s="1"/>
  <c r="AP51" i="6"/>
  <c r="AP50" i="6"/>
  <c r="AQ38" i="6"/>
  <c r="AI33" i="6"/>
  <c r="AQ55" i="6"/>
  <c r="AN46" i="6"/>
  <c r="AO46" i="6" s="1"/>
  <c r="AN89" i="6"/>
  <c r="AN74" i="6"/>
  <c r="AS75" i="6" s="1"/>
  <c r="AN86" i="6"/>
  <c r="AS86" i="6" s="1"/>
  <c r="AN62" i="6"/>
  <c r="AO62" i="6" s="1"/>
  <c r="AN84" i="6"/>
  <c r="AS85" i="6" s="1"/>
  <c r="AQ77" i="6"/>
  <c r="AP94" i="6"/>
  <c r="AI69" i="6"/>
  <c r="AR60" i="6"/>
  <c r="AQ57" i="6"/>
  <c r="AN88" i="6"/>
  <c r="AI56" i="6"/>
  <c r="AN22" i="6"/>
  <c r="AN52" i="6"/>
  <c r="AS53" i="6" s="1"/>
  <c r="AP31" i="6"/>
  <c r="AN102" i="6"/>
  <c r="AQ103" i="6" s="1"/>
  <c r="AQ11" i="6"/>
  <c r="AI53" i="6"/>
  <c r="AN39" i="6"/>
  <c r="AQ53" i="6"/>
  <c r="AR41" i="6"/>
  <c r="AN24" i="6"/>
  <c r="AO24" i="6" s="1"/>
  <c r="AQ7" i="6"/>
  <c r="AS88" i="5"/>
  <c r="AR88" i="5"/>
  <c r="AO88" i="5"/>
  <c r="AQ89" i="5"/>
  <c r="AQ88" i="5"/>
  <c r="AS103" i="5"/>
  <c r="AR103" i="5"/>
  <c r="AO103" i="5"/>
  <c r="AQ104" i="5"/>
  <c r="AS115" i="5"/>
  <c r="AQ115" i="5"/>
  <c r="AR115" i="5"/>
  <c r="AO115" i="5"/>
  <c r="AP92" i="5"/>
  <c r="AO81" i="5"/>
  <c r="AR72" i="5"/>
  <c r="AN60" i="5"/>
  <c r="AP84" i="5"/>
  <c r="AR75" i="5"/>
  <c r="AQ96" i="4"/>
  <c r="AN96" i="4"/>
  <c r="AQ97" i="4" s="1"/>
  <c r="AN71" i="4"/>
  <c r="AN34" i="4"/>
  <c r="AS23" i="4"/>
  <c r="AO23" i="4"/>
  <c r="AP23" i="4"/>
  <c r="AR23" i="4"/>
  <c r="AQ132" i="5"/>
  <c r="AP109" i="5"/>
  <c r="AN119" i="5"/>
  <c r="AP119" i="5" s="1"/>
  <c r="AN74" i="5"/>
  <c r="AO74" i="5"/>
  <c r="AO75" i="5"/>
  <c r="AQ94" i="5"/>
  <c r="AN79" i="5"/>
  <c r="AO79" i="5" s="1"/>
  <c r="AO80" i="5"/>
  <c r="AN91" i="5"/>
  <c r="AR81" i="5"/>
  <c r="AS90" i="5"/>
  <c r="AQ90" i="5"/>
  <c r="AN77" i="5"/>
  <c r="AR96" i="5"/>
  <c r="AO42" i="5"/>
  <c r="AN42" i="5"/>
  <c r="AO43" i="5" s="1"/>
  <c r="AI115" i="4"/>
  <c r="AM128" i="4"/>
  <c r="AI128" i="4"/>
  <c r="AJ100" i="4"/>
  <c r="AI100" i="4"/>
  <c r="AM130" i="4"/>
  <c r="AI130" i="4"/>
  <c r="AN26" i="4"/>
  <c r="AQ26" i="4" s="1"/>
  <c r="AS11" i="4"/>
  <c r="AR11" i="4"/>
  <c r="AO11" i="4"/>
  <c r="AR13" i="4"/>
  <c r="AN98" i="5"/>
  <c r="AO98" i="5" s="1"/>
  <c r="AN51" i="5"/>
  <c r="AO51" i="5" s="1"/>
  <c r="AM52" i="4"/>
  <c r="AI52" i="4"/>
  <c r="AR31" i="4"/>
  <c r="AN125" i="5"/>
  <c r="AQ110" i="5"/>
  <c r="AP130" i="5"/>
  <c r="AN130" i="5"/>
  <c r="AN104" i="5"/>
  <c r="AS111" i="5"/>
  <c r="AQ111" i="5"/>
  <c r="AS114" i="5"/>
  <c r="AQ114" i="5"/>
  <c r="AN116" i="5"/>
  <c r="AP116" i="5" s="1"/>
  <c r="AN56" i="5"/>
  <c r="AO56" i="5" s="1"/>
  <c r="AO94" i="5"/>
  <c r="AN64" i="5"/>
  <c r="AS89" i="5"/>
  <c r="AO89" i="5"/>
  <c r="AR89" i="5"/>
  <c r="AP76" i="5"/>
  <c r="AO90" i="5"/>
  <c r="AR73" i="5"/>
  <c r="AS129" i="5"/>
  <c r="AQ129" i="5"/>
  <c r="AO129" i="5"/>
  <c r="AQ91" i="5"/>
  <c r="AO73" i="5"/>
  <c r="AP67" i="5"/>
  <c r="AP90" i="5"/>
  <c r="AS69" i="5"/>
  <c r="AQ69" i="5"/>
  <c r="AR69" i="5"/>
  <c r="AP69" i="5"/>
  <c r="AO69" i="5"/>
  <c r="AP75" i="5"/>
  <c r="AO28" i="5"/>
  <c r="AP28" i="5"/>
  <c r="AR28" i="5"/>
  <c r="AR39" i="5"/>
  <c r="AQ39" i="5"/>
  <c r="AS117" i="4"/>
  <c r="AQ117" i="4"/>
  <c r="AP117" i="4"/>
  <c r="AN105" i="4"/>
  <c r="AQ105" i="4" s="1"/>
  <c r="AN15" i="5"/>
  <c r="AS124" i="4"/>
  <c r="AO117" i="4"/>
  <c r="AS92" i="4"/>
  <c r="AJ73" i="4"/>
  <c r="AI73" i="4"/>
  <c r="AJ40" i="4"/>
  <c r="AI40" i="4"/>
  <c r="AN42" i="4"/>
  <c r="AR43" i="4" s="1"/>
  <c r="AP43" i="4"/>
  <c r="AP116" i="4"/>
  <c r="AS25" i="4"/>
  <c r="AR25" i="4"/>
  <c r="AO25" i="4"/>
  <c r="AN29" i="4"/>
  <c r="AO30" i="4" s="1"/>
  <c r="AO99" i="5"/>
  <c r="AS126" i="5"/>
  <c r="AR126" i="5"/>
  <c r="AP126" i="5"/>
  <c r="AN82" i="5"/>
  <c r="AS68" i="5"/>
  <c r="AR68" i="5"/>
  <c r="AO68" i="5"/>
  <c r="AQ68" i="5"/>
  <c r="AN107" i="5"/>
  <c r="AN101" i="5"/>
  <c r="AQ101" i="5" s="1"/>
  <c r="AS131" i="5"/>
  <c r="AS110" i="5"/>
  <c r="AR110" i="5"/>
  <c r="AN106" i="5"/>
  <c r="AP106" i="5" s="1"/>
  <c r="AN92" i="5"/>
  <c r="AS93" i="5" s="1"/>
  <c r="AO92" i="5"/>
  <c r="AO93" i="5"/>
  <c r="AN112" i="5"/>
  <c r="AP113" i="5" s="1"/>
  <c r="AS76" i="5"/>
  <c r="AR76" i="5"/>
  <c r="AN66" i="5"/>
  <c r="AO67" i="5"/>
  <c r="AR132" i="5"/>
  <c r="AP80" i="5"/>
  <c r="AO121" i="5"/>
  <c r="AQ103" i="5"/>
  <c r="AN48" i="5"/>
  <c r="AO49" i="5" s="1"/>
  <c r="AP100" i="5"/>
  <c r="AS86" i="5"/>
  <c r="AQ87" i="5"/>
  <c r="AN26" i="5"/>
  <c r="AQ27" i="5"/>
  <c r="AQ28" i="5"/>
  <c r="AN115" i="4"/>
  <c r="AO116" i="4" s="1"/>
  <c r="AQ5" i="5"/>
  <c r="AN4" i="5"/>
  <c r="AQ4" i="5" s="1"/>
  <c r="AM114" i="4"/>
  <c r="AI114" i="4"/>
  <c r="AS6" i="5"/>
  <c r="AO6" i="5"/>
  <c r="AR6" i="5"/>
  <c r="AP6" i="5"/>
  <c r="AQ6" i="5"/>
  <c r="AM107" i="4"/>
  <c r="AI107" i="4"/>
  <c r="AM80" i="4"/>
  <c r="AI80" i="4"/>
  <c r="AN89" i="4"/>
  <c r="AP78" i="4"/>
  <c r="AN77" i="4"/>
  <c r="AP77" i="4" s="1"/>
  <c r="AP59" i="4"/>
  <c r="AP60" i="4"/>
  <c r="AN59" i="4"/>
  <c r="AI59" i="4"/>
  <c r="AN70" i="4"/>
  <c r="AQ104" i="4"/>
  <c r="AN104" i="4"/>
  <c r="AO47" i="4"/>
  <c r="AQ25" i="4"/>
  <c r="AN30" i="4"/>
  <c r="AO31" i="4"/>
  <c r="AN127" i="5"/>
  <c r="AO53" i="5"/>
  <c r="AR53" i="5"/>
  <c r="AS117" i="5"/>
  <c r="AQ117" i="5"/>
  <c r="AO122" i="5"/>
  <c r="AN122" i="5"/>
  <c r="AP91" i="5"/>
  <c r="AP103" i="5"/>
  <c r="AO123" i="5"/>
  <c r="AP120" i="5"/>
  <c r="AN120" i="5"/>
  <c r="AP110" i="5"/>
  <c r="AP131" i="5"/>
  <c r="AQ75" i="5"/>
  <c r="AN65" i="5"/>
  <c r="AP65" i="5" s="1"/>
  <c r="AO65" i="5"/>
  <c r="AP132" i="5"/>
  <c r="AN118" i="5"/>
  <c r="AO119" i="5" s="1"/>
  <c r="AN58" i="5"/>
  <c r="AO58" i="5" s="1"/>
  <c r="AP85" i="5"/>
  <c r="AN85" i="5"/>
  <c r="AP86" i="5" s="1"/>
  <c r="AP68" i="5"/>
  <c r="AP88" i="5"/>
  <c r="AS63" i="5"/>
  <c r="AP63" i="5"/>
  <c r="AP53" i="5"/>
  <c r="AP111" i="5"/>
  <c r="AS78" i="5"/>
  <c r="AQ78" i="5"/>
  <c r="AR78" i="5"/>
  <c r="AO78" i="5"/>
  <c r="AQ63" i="5"/>
  <c r="AN70" i="5"/>
  <c r="AP70" i="5" s="1"/>
  <c r="AO16" i="5"/>
  <c r="AO108" i="5"/>
  <c r="AR132" i="4"/>
  <c r="AN85" i="4"/>
  <c r="AI132" i="4"/>
  <c r="AM94" i="4"/>
  <c r="AI94" i="4"/>
  <c r="AO75" i="4"/>
  <c r="AS24" i="4"/>
  <c r="AO24" i="4"/>
  <c r="AR24" i="4"/>
  <c r="AN33" i="4"/>
  <c r="AO34" i="4" s="1"/>
  <c r="AO47" i="5"/>
  <c r="AS38" i="5"/>
  <c r="AQ38" i="5"/>
  <c r="AO38" i="5"/>
  <c r="AP115" i="5"/>
  <c r="AN97" i="5"/>
  <c r="AP97" i="5" s="1"/>
  <c r="AS121" i="5"/>
  <c r="AS109" i="5"/>
  <c r="AQ109" i="5"/>
  <c r="AR109" i="5"/>
  <c r="AS99" i="5"/>
  <c r="AQ99" i="5"/>
  <c r="AQ121" i="5"/>
  <c r="AN83" i="5"/>
  <c r="AQ83" i="5" s="1"/>
  <c r="AO83" i="5"/>
  <c r="AO84" i="5"/>
  <c r="AR131" i="5"/>
  <c r="AR100" i="5"/>
  <c r="AQ73" i="5"/>
  <c r="AO63" i="5"/>
  <c r="AQ81" i="5"/>
  <c r="AS95" i="5"/>
  <c r="AR95" i="5"/>
  <c r="AP95" i="5"/>
  <c r="AO95" i="5"/>
  <c r="AQ95" i="5"/>
  <c r="AS17" i="5"/>
  <c r="AO17" i="5"/>
  <c r="AP18" i="5"/>
  <c r="AQ17" i="5"/>
  <c r="AQ18" i="5"/>
  <c r="AP17" i="5"/>
  <c r="AR17" i="5"/>
  <c r="AS118" i="4"/>
  <c r="AO118" i="4"/>
  <c r="AM88" i="4"/>
  <c r="AI88" i="4"/>
  <c r="AN90" i="4"/>
  <c r="AM98" i="4"/>
  <c r="AI98" i="4"/>
  <c r="AM68" i="4"/>
  <c r="AI68" i="4"/>
  <c r="AN64" i="4"/>
  <c r="AS62" i="4"/>
  <c r="AO62" i="4"/>
  <c r="AP62" i="4"/>
  <c r="AQ62" i="4"/>
  <c r="AN18" i="4"/>
  <c r="AQ18" i="4" s="1"/>
  <c r="AN72" i="4"/>
  <c r="AS6" i="4"/>
  <c r="AR6" i="4"/>
  <c r="AO6" i="4"/>
  <c r="AS35" i="4"/>
  <c r="AO35" i="4"/>
  <c r="AR35" i="4"/>
  <c r="AP17" i="4"/>
  <c r="AN17" i="4"/>
  <c r="AS3" i="4"/>
  <c r="AP3" i="4"/>
  <c r="AR4" i="4"/>
  <c r="AR3" i="4"/>
  <c r="AO3" i="4"/>
  <c r="AP4" i="4"/>
  <c r="AO4" i="4"/>
  <c r="AQ44" i="4"/>
  <c r="AN44" i="4"/>
  <c r="AS73" i="5"/>
  <c r="AS81" i="5"/>
  <c r="AS41" i="5"/>
  <c r="AO23" i="5"/>
  <c r="AS23" i="5"/>
  <c r="AQ122" i="5"/>
  <c r="AN19" i="5"/>
  <c r="AR20" i="5" s="1"/>
  <c r="AO50" i="5"/>
  <c r="AQ86" i="5"/>
  <c r="AS9" i="5"/>
  <c r="AO9" i="5"/>
  <c r="AN131" i="4"/>
  <c r="AN110" i="4"/>
  <c r="AP50" i="5"/>
  <c r="AP23" i="5"/>
  <c r="AN32" i="5"/>
  <c r="AS20" i="5"/>
  <c r="AO10" i="5"/>
  <c r="AN10" i="5"/>
  <c r="AN125" i="4"/>
  <c r="AP125" i="4" s="1"/>
  <c r="AS36" i="5"/>
  <c r="AP20" i="5"/>
  <c r="AN114" i="4"/>
  <c r="AR16" i="5"/>
  <c r="AR9" i="5"/>
  <c r="AI126" i="4"/>
  <c r="AI105" i="4"/>
  <c r="AN132" i="4"/>
  <c r="AO132" i="4" s="1"/>
  <c r="AI86" i="4"/>
  <c r="AQ35" i="5"/>
  <c r="AR75" i="4"/>
  <c r="AQ3" i="5"/>
  <c r="AP115" i="4"/>
  <c r="AQ53" i="4"/>
  <c r="AI64" i="4"/>
  <c r="AR38" i="4"/>
  <c r="AS31" i="5"/>
  <c r="AQ78" i="4"/>
  <c r="AI66" i="4"/>
  <c r="AQ58" i="4"/>
  <c r="AR62" i="4"/>
  <c r="AI51" i="4"/>
  <c r="AS39" i="4"/>
  <c r="AO61" i="4"/>
  <c r="AP16" i="4"/>
  <c r="AP6" i="4"/>
  <c r="AR39" i="4"/>
  <c r="AS4" i="4"/>
  <c r="AQ17" i="4"/>
  <c r="AO5" i="4"/>
  <c r="AS96" i="5"/>
  <c r="AQ80" i="5"/>
  <c r="AS33" i="5"/>
  <c r="AN21" i="5"/>
  <c r="AO21" i="5"/>
  <c r="AS47" i="5"/>
  <c r="AP37" i="5"/>
  <c r="AS7" i="5"/>
  <c r="AQ33" i="5"/>
  <c r="AP39" i="5"/>
  <c r="AQ124" i="4"/>
  <c r="AQ119" i="4"/>
  <c r="AS34" i="5"/>
  <c r="AN11" i="5"/>
  <c r="AS111" i="4"/>
  <c r="AP87" i="5"/>
  <c r="AS14" i="5"/>
  <c r="AO14" i="5"/>
  <c r="AS8" i="5"/>
  <c r="AO8" i="5"/>
  <c r="AQ123" i="4"/>
  <c r="AR7" i="5"/>
  <c r="AN123" i="4"/>
  <c r="AR124" i="4" s="1"/>
  <c r="AR72" i="4"/>
  <c r="AR34" i="5"/>
  <c r="AR8" i="5"/>
  <c r="AI117" i="4"/>
  <c r="AS93" i="4"/>
  <c r="AP79" i="4"/>
  <c r="AS13" i="5"/>
  <c r="AN87" i="4"/>
  <c r="AR116" i="4"/>
  <c r="AN82" i="4"/>
  <c r="AQ34" i="5"/>
  <c r="AP3" i="5"/>
  <c r="AN76" i="4"/>
  <c r="AR77" i="4" s="1"/>
  <c r="AN129" i="4"/>
  <c r="AI84" i="4"/>
  <c r="AS63" i="4"/>
  <c r="AO52" i="4"/>
  <c r="AN52" i="4"/>
  <c r="AQ52" i="4" s="1"/>
  <c r="AI113" i="4"/>
  <c r="AO31" i="5"/>
  <c r="AP58" i="4"/>
  <c r="AN86" i="4"/>
  <c r="AR61" i="4"/>
  <c r="AS31" i="4"/>
  <c r="AP57" i="4"/>
  <c r="AP31" i="4"/>
  <c r="AN54" i="4"/>
  <c r="AO54" i="4" s="1"/>
  <c r="AP11" i="4"/>
  <c r="AN12" i="4"/>
  <c r="AS13" i="4" s="1"/>
  <c r="AQ11" i="4"/>
  <c r="AS61" i="5"/>
  <c r="AP89" i="5"/>
  <c r="AQ48" i="5"/>
  <c r="AP96" i="5"/>
  <c r="AS62" i="5"/>
  <c r="AR62" i="5"/>
  <c r="AQ62" i="5"/>
  <c r="AP45" i="5"/>
  <c r="AO22" i="5"/>
  <c r="AQ79" i="5"/>
  <c r="AP81" i="5"/>
  <c r="AP35" i="5"/>
  <c r="AS49" i="5"/>
  <c r="AS43" i="5"/>
  <c r="AS84" i="5"/>
  <c r="AP61" i="5"/>
  <c r="AS53" i="5"/>
  <c r="AQ12" i="5"/>
  <c r="AR49" i="5"/>
  <c r="AQ24" i="5"/>
  <c r="AP7" i="5"/>
  <c r="AO121" i="4"/>
  <c r="AN121" i="4"/>
  <c r="AO122" i="4"/>
  <c r="AO106" i="4"/>
  <c r="AN106" i="4"/>
  <c r="AR106" i="4" s="1"/>
  <c r="AI131" i="4"/>
  <c r="AI124" i="4"/>
  <c r="AI119" i="4"/>
  <c r="AQ31" i="5"/>
  <c r="AP9" i="5"/>
  <c r="AP111" i="4"/>
  <c r="AS18" i="5"/>
  <c r="AR18" i="5"/>
  <c r="AO18" i="5"/>
  <c r="AN128" i="4"/>
  <c r="AS128" i="4" s="1"/>
  <c r="AI123" i="4"/>
  <c r="AP8" i="5"/>
  <c r="AR120" i="4"/>
  <c r="AI108" i="4"/>
  <c r="AI76" i="4"/>
  <c r="AP13" i="5"/>
  <c r="AP128" i="4"/>
  <c r="AN109" i="4"/>
  <c r="AP109" i="4" s="1"/>
  <c r="AO93" i="4"/>
  <c r="AQ125" i="4"/>
  <c r="AQ29" i="5"/>
  <c r="AI89" i="4"/>
  <c r="AR70" i="4"/>
  <c r="AQ111" i="4"/>
  <c r="AN95" i="4"/>
  <c r="AS75" i="4"/>
  <c r="AP75" i="4"/>
  <c r="AN65" i="4"/>
  <c r="AQ65" i="4" s="1"/>
  <c r="AN53" i="4"/>
  <c r="AR51" i="4"/>
  <c r="AO63" i="4"/>
  <c r="AO58" i="4"/>
  <c r="AO33" i="5"/>
  <c r="AR56" i="4"/>
  <c r="AI99" i="4"/>
  <c r="AN83" i="4"/>
  <c r="AP83" i="4" s="1"/>
  <c r="AI46" i="4"/>
  <c r="AS57" i="4"/>
  <c r="AQ57" i="4"/>
  <c r="AS43" i="4"/>
  <c r="AS9" i="4"/>
  <c r="AQ5" i="4"/>
  <c r="AN38" i="4"/>
  <c r="AP24" i="4"/>
  <c r="AP13" i="4"/>
  <c r="AP20" i="4"/>
  <c r="AQ16" i="4"/>
  <c r="AP61" i="4"/>
  <c r="AO28" i="4"/>
  <c r="AP25" i="4"/>
  <c r="AN20" i="4"/>
  <c r="AQ20" i="4" s="1"/>
  <c r="AN8" i="4"/>
  <c r="AP9" i="4" s="1"/>
  <c r="AP32" i="5"/>
  <c r="AQ124" i="5"/>
  <c r="AP38" i="5"/>
  <c r="AR45" i="5"/>
  <c r="AO7" i="5"/>
  <c r="AN119" i="4"/>
  <c r="AS119" i="4" s="1"/>
  <c r="AP102" i="4"/>
  <c r="AS39" i="5"/>
  <c r="AR123" i="4"/>
  <c r="AR117" i="4"/>
  <c r="AP108" i="4"/>
  <c r="AS87" i="5"/>
  <c r="AS44" i="5"/>
  <c r="AP12" i="5"/>
  <c r="AR126" i="4"/>
  <c r="AN113" i="4"/>
  <c r="AP113" i="4" s="1"/>
  <c r="AS30" i="5"/>
  <c r="AR30" i="5"/>
  <c r="AN108" i="4"/>
  <c r="AQ109" i="4" s="1"/>
  <c r="AI101" i="4"/>
  <c r="AN79" i="4"/>
  <c r="AI72" i="4"/>
  <c r="AO24" i="5"/>
  <c r="AQ108" i="4"/>
  <c r="AN101" i="4"/>
  <c r="AR76" i="4"/>
  <c r="AQ9" i="5"/>
  <c r="AQ112" i="4"/>
  <c r="AQ93" i="4"/>
  <c r="AI125" i="4"/>
  <c r="AN81" i="4"/>
  <c r="AS113" i="5"/>
  <c r="AR118" i="4"/>
  <c r="AN102" i="4"/>
  <c r="AP86" i="4"/>
  <c r="AS78" i="4"/>
  <c r="AR87" i="4"/>
  <c r="AS97" i="4"/>
  <c r="AQ10" i="5"/>
  <c r="AR33" i="5"/>
  <c r="AN46" i="4"/>
  <c r="AO83" i="4"/>
  <c r="AR58" i="4"/>
  <c r="AR44" i="4"/>
  <c r="AQ6" i="4"/>
  <c r="AO57" i="4"/>
  <c r="AN48" i="4"/>
  <c r="AQ23" i="4"/>
  <c r="AN55" i="4"/>
  <c r="AS56" i="4" s="1"/>
  <c r="AP12" i="4"/>
  <c r="AN36" i="4"/>
  <c r="AR37" i="4" s="1"/>
  <c r="AN27" i="4"/>
  <c r="AQ27" i="4" s="1"/>
  <c r="AR109" i="4"/>
  <c r="AQ35" i="4"/>
  <c r="AQ38" i="4"/>
  <c r="AR59" i="4"/>
  <c r="AN14" i="4"/>
  <c r="AP15" i="4" s="1"/>
  <c r="AQ10" i="4"/>
  <c r="AI56" i="4"/>
  <c r="AQ31" i="4"/>
  <c r="AO71" i="5"/>
  <c r="AN71" i="5"/>
  <c r="AP72" i="5" s="1"/>
  <c r="AN59" i="5"/>
  <c r="AQ59" i="5" s="1"/>
  <c r="AS128" i="5"/>
  <c r="AR128" i="5"/>
  <c r="AO72" i="5"/>
  <c r="AN54" i="5"/>
  <c r="AP55" i="5" s="1"/>
  <c r="AO54" i="5"/>
  <c r="AN57" i="5"/>
  <c r="AP73" i="5"/>
  <c r="AS123" i="5"/>
  <c r="AN46" i="5"/>
  <c r="AS105" i="5"/>
  <c r="AO45" i="5"/>
  <c r="AO37" i="5"/>
  <c r="AO29" i="5"/>
  <c r="AS29" i="5"/>
  <c r="AQ50" i="5"/>
  <c r="AQ77" i="5"/>
  <c r="AQ76" i="5"/>
  <c r="AQ45" i="5"/>
  <c r="AP40" i="5"/>
  <c r="AN40" i="5"/>
  <c r="AQ41" i="5" s="1"/>
  <c r="AP41" i="5"/>
  <c r="AQ96" i="5"/>
  <c r="AP78" i="5"/>
  <c r="AR37" i="5"/>
  <c r="AQ30" i="5"/>
  <c r="AO39" i="5"/>
  <c r="AI129" i="4"/>
  <c r="AS122" i="4"/>
  <c r="AI106" i="4"/>
  <c r="AS28" i="5"/>
  <c r="AS16" i="5"/>
  <c r="AS108" i="5"/>
  <c r="AO3" i="5"/>
  <c r="AR111" i="4"/>
  <c r="AQ127" i="4"/>
  <c r="AN127" i="4"/>
  <c r="AR127" i="4" s="1"/>
  <c r="AR115" i="4"/>
  <c r="AQ77" i="4"/>
  <c r="AP47" i="5"/>
  <c r="AS24" i="5"/>
  <c r="AR24" i="5"/>
  <c r="AQ120" i="4"/>
  <c r="AI82" i="4"/>
  <c r="AO126" i="4"/>
  <c r="AN107" i="4"/>
  <c r="AQ107" i="4" s="1"/>
  <c r="AO107" i="4"/>
  <c r="AN91" i="4"/>
  <c r="AQ37" i="5"/>
  <c r="AS25" i="5"/>
  <c r="AQ7" i="5"/>
  <c r="AQ8" i="5"/>
  <c r="AR125" i="4"/>
  <c r="AN112" i="4"/>
  <c r="AI102" i="4"/>
  <c r="AO113" i="5"/>
  <c r="AQ14" i="5"/>
  <c r="AQ118" i="4"/>
  <c r="AN84" i="4"/>
  <c r="AQ85" i="4" s="1"/>
  <c r="AO78" i="4"/>
  <c r="AS5" i="5"/>
  <c r="AP5" i="5"/>
  <c r="AR122" i="4"/>
  <c r="AQ61" i="4"/>
  <c r="AR45" i="4"/>
  <c r="AR97" i="4"/>
  <c r="AI111" i="4"/>
  <c r="AP97" i="4"/>
  <c r="AR85" i="4"/>
  <c r="AI74" i="4"/>
  <c r="AQ59" i="4"/>
  <c r="AI70" i="4"/>
  <c r="AQ24" i="4"/>
  <c r="AI45" i="4"/>
  <c r="AP96" i="4"/>
  <c r="AR119" i="4"/>
  <c r="AQ56" i="4"/>
  <c r="AP35" i="4"/>
  <c r="AQ28" i="4"/>
  <c r="AS16" i="4"/>
  <c r="AN7" i="4"/>
  <c r="AN66" i="4"/>
  <c r="AR67" i="4" s="1"/>
  <c r="AO45" i="4"/>
  <c r="AN45" i="4"/>
  <c r="AP10" i="4"/>
  <c r="AR63" i="4"/>
  <c r="AR16" i="4"/>
  <c r="AO21" i="4"/>
  <c r="AN21" i="4"/>
  <c r="AQ22" i="4" s="1"/>
  <c r="AQ4" i="4"/>
  <c r="AR46" i="4"/>
  <c r="AN50" i="4"/>
  <c r="AP39" i="4"/>
  <c r="AP30" i="4"/>
  <c r="AQ3" i="4"/>
  <c r="AQ13" i="4"/>
  <c r="AI38" i="4"/>
  <c r="AS60" i="4"/>
  <c r="AN32" i="4"/>
  <c r="AP32" i="4" s="1"/>
  <c r="AP56" i="4"/>
  <c r="AN19" i="4"/>
  <c r="AO20" i="4" s="1"/>
  <c r="AR9" i="4"/>
  <c r="AI44" i="4"/>
  <c r="AR65" i="6" l="1"/>
  <c r="AO65" i="6"/>
  <c r="AS65" i="6"/>
  <c r="AR70" i="6"/>
  <c r="AO66" i="6"/>
  <c r="AP36" i="6"/>
  <c r="AQ14" i="6"/>
  <c r="AO120" i="6"/>
  <c r="AR66" i="6"/>
  <c r="AS121" i="6"/>
  <c r="AQ80" i="6"/>
  <c r="AP10" i="6"/>
  <c r="AQ49" i="6"/>
  <c r="AO63" i="6"/>
  <c r="AP121" i="6"/>
  <c r="AS67" i="6"/>
  <c r="AQ66" i="6"/>
  <c r="AR121" i="6"/>
  <c r="AR14" i="6"/>
  <c r="AR59" i="6"/>
  <c r="AR50" i="6"/>
  <c r="AQ34" i="6"/>
  <c r="AR16" i="6"/>
  <c r="AS14" i="6"/>
  <c r="AP98" i="6"/>
  <c r="AO22" i="6"/>
  <c r="AQ69" i="6"/>
  <c r="AQ28" i="6"/>
  <c r="AP66" i="6"/>
  <c r="AS50" i="6"/>
  <c r="AP78" i="6"/>
  <c r="AR55" i="6"/>
  <c r="AO82" i="6"/>
  <c r="AP17" i="6"/>
  <c r="AP127" i="6"/>
  <c r="AQ129" i="6"/>
  <c r="AR131" i="6"/>
  <c r="AO28" i="6"/>
  <c r="AQ130" i="6"/>
  <c r="AR118" i="6"/>
  <c r="AO36" i="6"/>
  <c r="AP118" i="6"/>
  <c r="AR13" i="6"/>
  <c r="AQ74" i="6"/>
  <c r="AO56" i="6"/>
  <c r="AQ75" i="6"/>
  <c r="AR116" i="6"/>
  <c r="AR88" i="6"/>
  <c r="AR10" i="6"/>
  <c r="AQ12" i="6"/>
  <c r="AQ10" i="6"/>
  <c r="AP35" i="6"/>
  <c r="AQ30" i="6"/>
  <c r="AR130" i="6"/>
  <c r="AP128" i="6"/>
  <c r="AR31" i="6"/>
  <c r="AP65" i="6"/>
  <c r="AS57" i="6"/>
  <c r="AO13" i="6"/>
  <c r="AO12" i="6"/>
  <c r="AP76" i="6"/>
  <c r="AS10" i="6"/>
  <c r="AQ128" i="6"/>
  <c r="AP30" i="6"/>
  <c r="AO29" i="6"/>
  <c r="AO10" i="6"/>
  <c r="AR68" i="6"/>
  <c r="AS59" i="6"/>
  <c r="AP56" i="6"/>
  <c r="AR58" i="6"/>
  <c r="AS31" i="6"/>
  <c r="AO37" i="6"/>
  <c r="AO129" i="6"/>
  <c r="AP23" i="6"/>
  <c r="AR96" i="6"/>
  <c r="AO85" i="6"/>
  <c r="AQ13" i="6"/>
  <c r="AP59" i="6"/>
  <c r="AO57" i="6"/>
  <c r="AO43" i="6"/>
  <c r="AR57" i="6"/>
  <c r="AQ46" i="6"/>
  <c r="AR77" i="6"/>
  <c r="AP53" i="6"/>
  <c r="AQ42" i="6"/>
  <c r="AP80" i="6"/>
  <c r="AP107" i="6"/>
  <c r="AR127" i="6"/>
  <c r="AO68" i="6"/>
  <c r="AP37" i="6"/>
  <c r="AP131" i="6"/>
  <c r="AS104" i="6"/>
  <c r="AO104" i="6"/>
  <c r="AP104" i="6"/>
  <c r="AS18" i="6"/>
  <c r="AR18" i="6"/>
  <c r="AQ18" i="6"/>
  <c r="AR19" i="6"/>
  <c r="AQ19" i="6"/>
  <c r="AS95" i="6"/>
  <c r="AP95" i="6"/>
  <c r="AO95" i="6"/>
  <c r="AS6" i="6"/>
  <c r="AR6" i="6"/>
  <c r="AS122" i="6"/>
  <c r="AP122" i="6"/>
  <c r="AO122" i="6"/>
  <c r="AP18" i="6"/>
  <c r="AS116" i="6"/>
  <c r="AQ116" i="6"/>
  <c r="AO116" i="6"/>
  <c r="AO124" i="6"/>
  <c r="AS119" i="6"/>
  <c r="AQ119" i="6"/>
  <c r="AO119" i="6"/>
  <c r="AS47" i="6"/>
  <c r="AP47" i="6"/>
  <c r="AQ47" i="6"/>
  <c r="AS100" i="6"/>
  <c r="AP100" i="6"/>
  <c r="AO100" i="6"/>
  <c r="AR100" i="6"/>
  <c r="AQ22" i="6"/>
  <c r="AS101" i="6"/>
  <c r="AS39" i="6"/>
  <c r="AO39" i="6"/>
  <c r="AQ73" i="6"/>
  <c r="AS74" i="6"/>
  <c r="AO74" i="6"/>
  <c r="AQ16" i="6"/>
  <c r="AS38" i="6"/>
  <c r="AR38" i="6"/>
  <c r="AS73" i="6"/>
  <c r="AQ104" i="6"/>
  <c r="AS69" i="6"/>
  <c r="AO69" i="6"/>
  <c r="AR53" i="6"/>
  <c r="AQ43" i="6"/>
  <c r="AO79" i="6"/>
  <c r="AR102" i="6"/>
  <c r="AS54" i="6"/>
  <c r="AO54" i="6"/>
  <c r="AP69" i="6"/>
  <c r="AQ120" i="6"/>
  <c r="AN83" i="6"/>
  <c r="AO84" i="6" s="1"/>
  <c r="AP119" i="6"/>
  <c r="AQ68" i="6"/>
  <c r="AR117" i="6"/>
  <c r="AO67" i="6"/>
  <c r="AO47" i="6"/>
  <c r="AS15" i="6"/>
  <c r="AQ15" i="6"/>
  <c r="AP15" i="6"/>
  <c r="AO15" i="6"/>
  <c r="AR80" i="6"/>
  <c r="AS99" i="6"/>
  <c r="AO99" i="6"/>
  <c r="AP117" i="6"/>
  <c r="AS8" i="6"/>
  <c r="AR8" i="6"/>
  <c r="AO8" i="6"/>
  <c r="AR113" i="6"/>
  <c r="AR47" i="6"/>
  <c r="AQ100" i="6"/>
  <c r="AP88" i="6"/>
  <c r="AS81" i="6"/>
  <c r="AP81" i="6"/>
  <c r="AO81" i="6"/>
  <c r="AR81" i="6"/>
  <c r="AQ76" i="6"/>
  <c r="AS132" i="6"/>
  <c r="AR132" i="6"/>
  <c r="AO132" i="6"/>
  <c r="AQ132" i="6"/>
  <c r="AP132" i="6"/>
  <c r="AR64" i="6"/>
  <c r="AN92" i="6"/>
  <c r="AR92" i="6" s="1"/>
  <c r="AO77" i="6"/>
  <c r="AS48" i="6"/>
  <c r="AO48" i="6"/>
  <c r="AP48" i="6"/>
  <c r="AN26" i="6"/>
  <c r="AS108" i="6"/>
  <c r="AR108" i="6"/>
  <c r="AO108" i="6"/>
  <c r="AP108" i="6"/>
  <c r="AS130" i="6"/>
  <c r="AP130" i="6"/>
  <c r="AO5" i="6"/>
  <c r="AR125" i="6"/>
  <c r="AQ31" i="6"/>
  <c r="AS25" i="6"/>
  <c r="AR25" i="6"/>
  <c r="AO25" i="6"/>
  <c r="AQ25" i="6"/>
  <c r="AS45" i="6"/>
  <c r="AR45" i="6"/>
  <c r="AN32" i="6"/>
  <c r="AS33" i="6" s="1"/>
  <c r="AS24" i="6"/>
  <c r="AR24" i="6"/>
  <c r="AS22" i="6"/>
  <c r="AP22" i="6"/>
  <c r="AS89" i="6"/>
  <c r="AP89" i="6"/>
  <c r="AQ95" i="6"/>
  <c r="AO117" i="6"/>
  <c r="AO80" i="6"/>
  <c r="AP90" i="6"/>
  <c r="AP67" i="6"/>
  <c r="AS76" i="6"/>
  <c r="AO76" i="6"/>
  <c r="AP77" i="6"/>
  <c r="AO6" i="6"/>
  <c r="AO73" i="6"/>
  <c r="AS52" i="6"/>
  <c r="AR52" i="6"/>
  <c r="AQ52" i="6"/>
  <c r="AO53" i="6"/>
  <c r="AO52" i="6"/>
  <c r="AP39" i="6"/>
  <c r="AP74" i="6"/>
  <c r="AS42" i="6"/>
  <c r="AP42" i="6"/>
  <c r="AO42" i="6"/>
  <c r="AP46" i="6"/>
  <c r="AP96" i="6"/>
  <c r="AO38" i="6"/>
  <c r="AP75" i="6"/>
  <c r="AS35" i="6"/>
  <c r="AR35" i="6"/>
  <c r="AR39" i="6"/>
  <c r="AS28" i="6"/>
  <c r="AP28" i="6"/>
  <c r="AS78" i="6"/>
  <c r="AO78" i="6"/>
  <c r="AQ78" i="6"/>
  <c r="AR84" i="6"/>
  <c r="AP40" i="6"/>
  <c r="AS12" i="6"/>
  <c r="AR12" i="6"/>
  <c r="AP12" i="6"/>
  <c r="AQ102" i="6"/>
  <c r="AQ59" i="6"/>
  <c r="AP24" i="6"/>
  <c r="AQ17" i="6"/>
  <c r="AS56" i="6"/>
  <c r="AQ56" i="6"/>
  <c r="AQ54" i="6"/>
  <c r="AQ35" i="6"/>
  <c r="AR86" i="6"/>
  <c r="AO40" i="6"/>
  <c r="AP54" i="6"/>
  <c r="AP68" i="6"/>
  <c r="AS103" i="6"/>
  <c r="AP103" i="6"/>
  <c r="AO103" i="6"/>
  <c r="AR103" i="6"/>
  <c r="AS68" i="6"/>
  <c r="AS117" i="6"/>
  <c r="AS97" i="6"/>
  <c r="AQ6" i="6"/>
  <c r="AR15" i="6"/>
  <c r="AS55" i="6"/>
  <c r="AO55" i="6"/>
  <c r="AS80" i="6"/>
  <c r="AS126" i="6"/>
  <c r="AO126" i="6"/>
  <c r="AQ99" i="6"/>
  <c r="AS106" i="6"/>
  <c r="AS127" i="6"/>
  <c r="AO127" i="6"/>
  <c r="AP8" i="6"/>
  <c r="AP123" i="6"/>
  <c r="AS128" i="6"/>
  <c r="AO128" i="6"/>
  <c r="AQ124" i="6"/>
  <c r="AS58" i="6"/>
  <c r="AO58" i="6"/>
  <c r="AR97" i="6"/>
  <c r="AS129" i="6"/>
  <c r="AP129" i="6"/>
  <c r="AP60" i="6"/>
  <c r="AS87" i="6"/>
  <c r="AQ87" i="6"/>
  <c r="AO60" i="6"/>
  <c r="AP82" i="6"/>
  <c r="AR87" i="6"/>
  <c r="AQ117" i="6"/>
  <c r="AS120" i="6"/>
  <c r="AN20" i="6"/>
  <c r="AR20" i="6" s="1"/>
  <c r="AQ126" i="6"/>
  <c r="AS77" i="6"/>
  <c r="AQ48" i="6"/>
  <c r="AS131" i="6"/>
  <c r="AQ131" i="6"/>
  <c r="AO130" i="6"/>
  <c r="AQ125" i="6"/>
  <c r="AR29" i="6"/>
  <c r="AO89" i="6"/>
  <c r="AQ86" i="6"/>
  <c r="AN105" i="6"/>
  <c r="AR105" i="6" s="1"/>
  <c r="AO106" i="6"/>
  <c r="AR123" i="6"/>
  <c r="AO86" i="6"/>
  <c r="AP25" i="6"/>
  <c r="AP79" i="6"/>
  <c r="AP102" i="6"/>
  <c r="AP6" i="6"/>
  <c r="AQ85" i="6"/>
  <c r="AO90" i="6"/>
  <c r="AR22" i="6"/>
  <c r="AR40" i="6"/>
  <c r="AR48" i="6"/>
  <c r="AP86" i="6"/>
  <c r="AQ24" i="6"/>
  <c r="AS44" i="6"/>
  <c r="AR44" i="6"/>
  <c r="AP44" i="6"/>
  <c r="AS49" i="6"/>
  <c r="AP49" i="6"/>
  <c r="AQ50" i="6"/>
  <c r="AR75" i="6"/>
  <c r="AS34" i="6"/>
  <c r="AR34" i="6"/>
  <c r="AP34" i="6"/>
  <c r="AP45" i="6"/>
  <c r="AS64" i="6"/>
  <c r="AQ64" i="6"/>
  <c r="AP64" i="6"/>
  <c r="AQ65" i="6"/>
  <c r="AQ101" i="6"/>
  <c r="AQ23" i="6"/>
  <c r="AR67" i="6"/>
  <c r="AS4" i="6"/>
  <c r="AP4" i="6"/>
  <c r="AO4" i="6"/>
  <c r="AR4" i="6"/>
  <c r="AO75" i="6"/>
  <c r="AQ40" i="6"/>
  <c r="AN114" i="6"/>
  <c r="AS115" i="6" s="1"/>
  <c r="AP120" i="6"/>
  <c r="AQ97" i="6"/>
  <c r="AQ5" i="6"/>
  <c r="AP55" i="6"/>
  <c r="AR119" i="6"/>
  <c r="AR7" i="6"/>
  <c r="AQ67" i="6"/>
  <c r="AP38" i="6"/>
  <c r="AS30" i="6"/>
  <c r="AR30" i="6"/>
  <c r="AP87" i="6"/>
  <c r="AQ60" i="6"/>
  <c r="AO87" i="6"/>
  <c r="AS98" i="6"/>
  <c r="AO98" i="6"/>
  <c r="AR28" i="6"/>
  <c r="AR99" i="6"/>
  <c r="AS113" i="6"/>
  <c r="AO113" i="6"/>
  <c r="AQ113" i="6"/>
  <c r="AS9" i="6"/>
  <c r="AR9" i="6"/>
  <c r="AO9" i="6"/>
  <c r="AO123" i="6"/>
  <c r="AS5" i="6"/>
  <c r="AS90" i="6"/>
  <c r="AO7" i="6"/>
  <c r="AS102" i="6"/>
  <c r="AO102" i="6"/>
  <c r="AS88" i="6"/>
  <c r="AQ88" i="6"/>
  <c r="AS63" i="6"/>
  <c r="AQ63" i="6"/>
  <c r="AR63" i="6"/>
  <c r="AS124" i="6"/>
  <c r="AR124" i="6"/>
  <c r="AP124" i="6"/>
  <c r="AS16" i="6"/>
  <c r="AP16" i="6"/>
  <c r="AS96" i="6"/>
  <c r="AQ96" i="6"/>
  <c r="AQ123" i="6"/>
  <c r="AO88" i="6"/>
  <c r="AP97" i="6"/>
  <c r="AS61" i="6"/>
  <c r="AQ61" i="6"/>
  <c r="AP61" i="6"/>
  <c r="AR89" i="6"/>
  <c r="AO18" i="6"/>
  <c r="AR122" i="6"/>
  <c r="AO16" i="6"/>
  <c r="AO96" i="6"/>
  <c r="AQ122" i="6"/>
  <c r="AQ39" i="6"/>
  <c r="AR90" i="6"/>
  <c r="AR73" i="6"/>
  <c r="AS62" i="6"/>
  <c r="AQ62" i="6"/>
  <c r="AP62" i="6"/>
  <c r="AR62" i="6"/>
  <c r="AR120" i="6"/>
  <c r="AS46" i="6"/>
  <c r="AR46" i="6"/>
  <c r="AQ89" i="6"/>
  <c r="AR61" i="6"/>
  <c r="AO50" i="6"/>
  <c r="AQ79" i="6"/>
  <c r="AO44" i="6"/>
  <c r="AO49" i="6"/>
  <c r="AP43" i="6"/>
  <c r="AO45" i="6"/>
  <c r="AO34" i="6"/>
  <c r="AO64" i="6"/>
  <c r="AP5" i="6"/>
  <c r="AR74" i="6"/>
  <c r="AQ29" i="6"/>
  <c r="AP63" i="6"/>
  <c r="AR69" i="6"/>
  <c r="AO19" i="6"/>
  <c r="AQ4" i="6"/>
  <c r="AQ45" i="6"/>
  <c r="AS118" i="6"/>
  <c r="AO118" i="6"/>
  <c r="AS107" i="6"/>
  <c r="AO107" i="6"/>
  <c r="AQ107" i="6"/>
  <c r="AP85" i="6"/>
  <c r="AR104" i="6"/>
  <c r="AS125" i="6"/>
  <c r="AS29" i="6"/>
  <c r="AS17" i="6"/>
  <c r="AR17" i="6"/>
  <c r="AR42" i="6"/>
  <c r="AR43" i="6"/>
  <c r="AN71" i="6"/>
  <c r="AO72" i="6" s="1"/>
  <c r="AR79" i="6"/>
  <c r="AS7" i="6"/>
  <c r="AS40" i="6"/>
  <c r="AS37" i="6"/>
  <c r="AQ37" i="6"/>
  <c r="AR37" i="6"/>
  <c r="AS70" i="6"/>
  <c r="AO70" i="6"/>
  <c r="AP70" i="6"/>
  <c r="AR112" i="6"/>
  <c r="AS27" i="6"/>
  <c r="AP27" i="6"/>
  <c r="AO27" i="6"/>
  <c r="AS19" i="6"/>
  <c r="AO17" i="6"/>
  <c r="AS23" i="6"/>
  <c r="AR23" i="6"/>
  <c r="AO23" i="6"/>
  <c r="AS60" i="6"/>
  <c r="AR126" i="6"/>
  <c r="AO97" i="6"/>
  <c r="AO111" i="6"/>
  <c r="AN111" i="6"/>
  <c r="AP112" i="6" s="1"/>
  <c r="AO112" i="6"/>
  <c r="AP101" i="6"/>
  <c r="AS36" i="6"/>
  <c r="AR36" i="6"/>
  <c r="AQ36" i="6"/>
  <c r="AR98" i="6"/>
  <c r="AQ90" i="6"/>
  <c r="AR85" i="6"/>
  <c r="AN109" i="6"/>
  <c r="AQ110" i="6" s="1"/>
  <c r="AP113" i="6"/>
  <c r="AP9" i="6"/>
  <c r="AR95" i="6"/>
  <c r="AS123" i="6"/>
  <c r="AO125" i="6"/>
  <c r="AO101" i="6"/>
  <c r="AP13" i="6"/>
  <c r="AR107" i="6"/>
  <c r="AQ33" i="4"/>
  <c r="AS82" i="4"/>
  <c r="AQ82" i="4"/>
  <c r="AR128" i="4"/>
  <c r="AS71" i="4"/>
  <c r="AO71" i="4"/>
  <c r="AS7" i="4"/>
  <c r="AR7" i="4"/>
  <c r="AO7" i="4"/>
  <c r="AQ32" i="4"/>
  <c r="AQ54" i="4"/>
  <c r="AS112" i="4"/>
  <c r="AO112" i="4"/>
  <c r="AS91" i="4"/>
  <c r="AR91" i="4"/>
  <c r="AO91" i="4"/>
  <c r="AS57" i="5"/>
  <c r="AP57" i="5"/>
  <c r="AQ57" i="5"/>
  <c r="AR57" i="5"/>
  <c r="AQ19" i="4"/>
  <c r="AO36" i="4"/>
  <c r="AS48" i="4"/>
  <c r="AO48" i="4"/>
  <c r="AR48" i="4"/>
  <c r="AQ49" i="4"/>
  <c r="AQ48" i="4"/>
  <c r="AR49" i="4"/>
  <c r="AO67" i="4"/>
  <c r="AS102" i="4"/>
  <c r="AR103" i="4"/>
  <c r="AO103" i="4"/>
  <c r="AR102" i="4"/>
  <c r="AO108" i="4"/>
  <c r="AO113" i="4"/>
  <c r="AQ15" i="4"/>
  <c r="AP36" i="4"/>
  <c r="AQ8" i="4"/>
  <c r="AS53" i="4"/>
  <c r="AP53" i="4"/>
  <c r="AP81" i="4"/>
  <c r="AS28" i="4"/>
  <c r="AR92" i="4"/>
  <c r="AR129" i="4"/>
  <c r="AR110" i="4"/>
  <c r="AS32" i="5"/>
  <c r="AR32" i="5"/>
  <c r="AQ32" i="5"/>
  <c r="AO32" i="5"/>
  <c r="AS110" i="4"/>
  <c r="AP110" i="4"/>
  <c r="AO111" i="4"/>
  <c r="AQ110" i="4"/>
  <c r="AO19" i="5"/>
  <c r="AS37" i="4"/>
  <c r="AQ91" i="4"/>
  <c r="AO102" i="4"/>
  <c r="AQ52" i="5"/>
  <c r="AP120" i="4"/>
  <c r="AR102" i="5"/>
  <c r="AP118" i="5"/>
  <c r="AS122" i="5"/>
  <c r="AR122" i="5"/>
  <c r="AP123" i="5"/>
  <c r="AP122" i="5"/>
  <c r="AQ123" i="5"/>
  <c r="AR123" i="5"/>
  <c r="AR52" i="5"/>
  <c r="AS30" i="4"/>
  <c r="AR30" i="4"/>
  <c r="AS104" i="4"/>
  <c r="AO104" i="4"/>
  <c r="AR104" i="4"/>
  <c r="AP104" i="4"/>
  <c r="AS59" i="4"/>
  <c r="AR60" i="4"/>
  <c r="AR80" i="4"/>
  <c r="AN80" i="4"/>
  <c r="AS26" i="5"/>
  <c r="AR26" i="5"/>
  <c r="AO26" i="5"/>
  <c r="AQ26" i="5"/>
  <c r="AO101" i="5"/>
  <c r="AQ29" i="4"/>
  <c r="AS116" i="4"/>
  <c r="AO40" i="4"/>
  <c r="AN40" i="4"/>
  <c r="AO41" i="4"/>
  <c r="AP105" i="4"/>
  <c r="AQ60" i="5"/>
  <c r="AO13" i="4"/>
  <c r="AO120" i="4"/>
  <c r="AS74" i="5"/>
  <c r="AR74" i="5"/>
  <c r="AQ74" i="5"/>
  <c r="AP74" i="5"/>
  <c r="AS34" i="4"/>
  <c r="AR34" i="4"/>
  <c r="AQ34" i="4"/>
  <c r="AP71" i="4"/>
  <c r="AR112" i="4"/>
  <c r="AP83" i="5"/>
  <c r="AQ72" i="5"/>
  <c r="AQ102" i="5"/>
  <c r="AS18" i="4"/>
  <c r="AO18" i="4"/>
  <c r="AR18" i="4"/>
  <c r="AS64" i="4"/>
  <c r="AP64" i="4"/>
  <c r="AO64" i="4"/>
  <c r="AS51" i="5"/>
  <c r="AR51" i="5"/>
  <c r="AP51" i="5"/>
  <c r="AS26" i="4"/>
  <c r="AR26" i="4"/>
  <c r="AO26" i="4"/>
  <c r="AP26" i="4"/>
  <c r="AS50" i="4"/>
  <c r="AP50" i="4"/>
  <c r="AO50" i="4"/>
  <c r="AQ50" i="4"/>
  <c r="AR50" i="4"/>
  <c r="AR105" i="4"/>
  <c r="AO57" i="5"/>
  <c r="AO59" i="5"/>
  <c r="AQ20" i="5"/>
  <c r="AP48" i="4"/>
  <c r="AS108" i="4"/>
  <c r="AO119" i="4"/>
  <c r="AQ30" i="4"/>
  <c r="AO53" i="4"/>
  <c r="AP92" i="4"/>
  <c r="AQ72" i="4"/>
  <c r="AS121" i="4"/>
  <c r="AQ122" i="4"/>
  <c r="AQ121" i="4"/>
  <c r="AS49" i="4"/>
  <c r="AQ7" i="4"/>
  <c r="AS86" i="4"/>
  <c r="AQ86" i="4"/>
  <c r="AS87" i="4"/>
  <c r="AQ87" i="4"/>
  <c r="AO87" i="4"/>
  <c r="AS11" i="5"/>
  <c r="AQ11" i="5"/>
  <c r="AO11" i="5"/>
  <c r="AR11" i="5"/>
  <c r="AR12" i="5"/>
  <c r="AO12" i="5"/>
  <c r="AS21" i="5"/>
  <c r="AQ21" i="5"/>
  <c r="AP21" i="5"/>
  <c r="AR22" i="5"/>
  <c r="AP22" i="5"/>
  <c r="AR21" i="5"/>
  <c r="AQ22" i="5"/>
  <c r="AP49" i="4"/>
  <c r="AS125" i="4"/>
  <c r="AP126" i="4"/>
  <c r="AP114" i="4"/>
  <c r="AO110" i="4"/>
  <c r="AQ106" i="4"/>
  <c r="AP18" i="4"/>
  <c r="AR28" i="4"/>
  <c r="AQ64" i="4"/>
  <c r="AS90" i="4"/>
  <c r="AO90" i="4"/>
  <c r="AR90" i="4"/>
  <c r="AQ51" i="5"/>
  <c r="AS33" i="4"/>
  <c r="AR33" i="4"/>
  <c r="AP33" i="4"/>
  <c r="AS120" i="4"/>
  <c r="AS102" i="5"/>
  <c r="AS120" i="5"/>
  <c r="AQ120" i="5"/>
  <c r="AR120" i="5"/>
  <c r="AP52" i="5"/>
  <c r="AO59" i="4"/>
  <c r="AP26" i="5"/>
  <c r="AR112" i="5"/>
  <c r="AS112" i="5"/>
  <c r="AR113" i="5"/>
  <c r="AO112" i="5"/>
  <c r="AQ112" i="5"/>
  <c r="AQ113" i="5"/>
  <c r="AS107" i="5"/>
  <c r="AQ108" i="5"/>
  <c r="AQ107" i="5"/>
  <c r="AP107" i="5"/>
  <c r="AP108" i="5"/>
  <c r="AR107" i="5"/>
  <c r="AR108" i="5"/>
  <c r="AS15" i="5"/>
  <c r="AR15" i="5"/>
  <c r="AO15" i="5"/>
  <c r="AP16" i="5"/>
  <c r="AP15" i="5"/>
  <c r="AS27" i="5"/>
  <c r="AQ92" i="5"/>
  <c r="AS56" i="5"/>
  <c r="AQ56" i="5"/>
  <c r="AP56" i="5"/>
  <c r="AR56" i="5"/>
  <c r="AS125" i="5"/>
  <c r="AQ125" i="5"/>
  <c r="AQ126" i="5"/>
  <c r="AR125" i="5"/>
  <c r="AP125" i="5"/>
  <c r="AP71" i="5"/>
  <c r="AQ126" i="4"/>
  <c r="AO100" i="4"/>
  <c r="AN100" i="4"/>
  <c r="AQ101" i="4" s="1"/>
  <c r="AS77" i="5"/>
  <c r="AR77" i="5"/>
  <c r="AO77" i="5"/>
  <c r="AS79" i="5"/>
  <c r="AP79" i="5"/>
  <c r="AR79" i="5"/>
  <c r="AO120" i="5"/>
  <c r="AP112" i="5"/>
  <c r="AP34" i="4"/>
  <c r="AS72" i="5"/>
  <c r="AO60" i="4"/>
  <c r="AP121" i="5"/>
  <c r="AS32" i="4"/>
  <c r="AR32" i="4"/>
  <c r="AO32" i="4"/>
  <c r="AS66" i="4"/>
  <c r="AO66" i="4"/>
  <c r="AQ66" i="4"/>
  <c r="AP67" i="4"/>
  <c r="AS84" i="4"/>
  <c r="AO84" i="4"/>
  <c r="AP84" i="4"/>
  <c r="AS36" i="4"/>
  <c r="AR36" i="4"/>
  <c r="AS54" i="4"/>
  <c r="AR54" i="4"/>
  <c r="AS97" i="5"/>
  <c r="AO97" i="5"/>
  <c r="AR97" i="5"/>
  <c r="AQ97" i="5"/>
  <c r="AS107" i="4"/>
  <c r="AP107" i="4"/>
  <c r="AS46" i="5"/>
  <c r="AR46" i="5"/>
  <c r="AQ46" i="5"/>
  <c r="AO46" i="5"/>
  <c r="AQ47" i="5"/>
  <c r="AS59" i="5"/>
  <c r="AR59" i="5"/>
  <c r="AS14" i="4"/>
  <c r="AO14" i="4"/>
  <c r="AO15" i="4"/>
  <c r="AP14" i="4"/>
  <c r="AR14" i="4"/>
  <c r="AS46" i="4"/>
  <c r="AP46" i="4"/>
  <c r="AQ46" i="4"/>
  <c r="AQ67" i="4"/>
  <c r="AR64" i="4"/>
  <c r="AR82" i="4"/>
  <c r="AR84" i="4"/>
  <c r="AS79" i="4"/>
  <c r="AR79" i="4"/>
  <c r="AQ79" i="4"/>
  <c r="AP119" i="4"/>
  <c r="AN130" i="4"/>
  <c r="AR55" i="5"/>
  <c r="AS20" i="4"/>
  <c r="AR20" i="4"/>
  <c r="AQ37" i="4"/>
  <c r="AS83" i="4"/>
  <c r="AS65" i="4"/>
  <c r="AR65" i="4"/>
  <c r="AO65" i="4"/>
  <c r="AP85" i="4"/>
  <c r="AS12" i="4"/>
  <c r="AO12" i="4"/>
  <c r="AR12" i="4"/>
  <c r="AQ47" i="4"/>
  <c r="AN98" i="4"/>
  <c r="AS103" i="4"/>
  <c r="AP87" i="4"/>
  <c r="AP122" i="4"/>
  <c r="AP112" i="4"/>
  <c r="AP11" i="5"/>
  <c r="AQ9" i="4"/>
  <c r="AR66" i="4"/>
  <c r="AR71" i="4"/>
  <c r="AS132" i="4"/>
  <c r="AP132" i="4"/>
  <c r="AO125" i="4"/>
  <c r="AS12" i="5"/>
  <c r="AP98" i="5"/>
  <c r="AS17" i="4"/>
  <c r="AO17" i="4"/>
  <c r="AR17" i="4"/>
  <c r="AS72" i="4"/>
  <c r="AO72" i="4"/>
  <c r="AQ90" i="4"/>
  <c r="AO33" i="4"/>
  <c r="AO86" i="4"/>
  <c r="AP59" i="5"/>
  <c r="AS52" i="5"/>
  <c r="AQ71" i="4"/>
  <c r="AP90" i="4"/>
  <c r="AR107" i="4"/>
  <c r="AS115" i="4"/>
  <c r="AQ115" i="4"/>
  <c r="AO86" i="5"/>
  <c r="AS48" i="5"/>
  <c r="AQ49" i="5"/>
  <c r="AR48" i="5"/>
  <c r="AO107" i="5"/>
  <c r="AS82" i="5"/>
  <c r="AP82" i="5"/>
  <c r="AO82" i="5"/>
  <c r="AR82" i="5"/>
  <c r="AO49" i="4"/>
  <c r="AS42" i="4"/>
  <c r="AR42" i="4"/>
  <c r="AO43" i="4"/>
  <c r="AQ42" i="4"/>
  <c r="AO42" i="4"/>
  <c r="AQ43" i="4"/>
  <c r="AN73" i="4"/>
  <c r="AO74" i="4" s="1"/>
  <c r="AR121" i="4"/>
  <c r="AQ16" i="5"/>
  <c r="AS64" i="5"/>
  <c r="AR64" i="5"/>
  <c r="AQ64" i="5"/>
  <c r="AO64" i="5"/>
  <c r="AS116" i="5"/>
  <c r="AO116" i="5"/>
  <c r="AQ116" i="5"/>
  <c r="AR116" i="5"/>
  <c r="AR117" i="5"/>
  <c r="AS104" i="5"/>
  <c r="AP104" i="5"/>
  <c r="AR104" i="5"/>
  <c r="AQ105" i="5"/>
  <c r="AR105" i="5"/>
  <c r="AP105" i="5"/>
  <c r="AO125" i="5"/>
  <c r="AR52" i="4"/>
  <c r="AR53" i="4"/>
  <c r="AS126" i="4"/>
  <c r="AP33" i="5"/>
  <c r="AP77" i="5"/>
  <c r="AS91" i="5"/>
  <c r="AO91" i="5"/>
  <c r="AR91" i="5"/>
  <c r="AP51" i="4"/>
  <c r="AS75" i="5"/>
  <c r="AS60" i="5"/>
  <c r="AR60" i="5"/>
  <c r="AP60" i="5"/>
  <c r="AR61" i="5"/>
  <c r="AQ61" i="5"/>
  <c r="AO117" i="5"/>
  <c r="AP66" i="4"/>
  <c r="AN88" i="4"/>
  <c r="AS118" i="5"/>
  <c r="AO118" i="5"/>
  <c r="AR118" i="5"/>
  <c r="AQ118" i="5"/>
  <c r="AS106" i="5"/>
  <c r="AR106" i="5"/>
  <c r="AO106" i="5"/>
  <c r="AQ106" i="5"/>
  <c r="AQ119" i="5"/>
  <c r="AS19" i="4"/>
  <c r="AR19" i="4"/>
  <c r="AO19" i="4"/>
  <c r="AS45" i="4"/>
  <c r="AP45" i="4"/>
  <c r="AP54" i="4"/>
  <c r="AS127" i="4"/>
  <c r="AO127" i="4"/>
  <c r="AP127" i="4"/>
  <c r="AP129" i="4"/>
  <c r="AS40" i="5"/>
  <c r="AR40" i="5"/>
  <c r="AO40" i="5"/>
  <c r="AQ40" i="5"/>
  <c r="AR41" i="5"/>
  <c r="AP46" i="5"/>
  <c r="AS54" i="5"/>
  <c r="AQ54" i="5"/>
  <c r="AR54" i="5"/>
  <c r="AQ55" i="5"/>
  <c r="AS71" i="5"/>
  <c r="AR71" i="5"/>
  <c r="AQ71" i="5"/>
  <c r="AP22" i="4"/>
  <c r="AS27" i="4"/>
  <c r="AO27" i="4"/>
  <c r="AP27" i="4"/>
  <c r="AP28" i="4"/>
  <c r="AR27" i="4"/>
  <c r="AS55" i="4"/>
  <c r="AQ55" i="4"/>
  <c r="AO56" i="4"/>
  <c r="AR55" i="4"/>
  <c r="AO46" i="4"/>
  <c r="AS67" i="4"/>
  <c r="AS101" i="4"/>
  <c r="AP101" i="4"/>
  <c r="AO79" i="4"/>
  <c r="AS55" i="5"/>
  <c r="AS38" i="4"/>
  <c r="AP38" i="4"/>
  <c r="AO38" i="4"/>
  <c r="AO39" i="4"/>
  <c r="AP65" i="4"/>
  <c r="AQ103" i="4"/>
  <c r="AQ39" i="4"/>
  <c r="AQ36" i="4"/>
  <c r="AS129" i="4"/>
  <c r="AQ129" i="4"/>
  <c r="AS123" i="4"/>
  <c r="AP123" i="4"/>
  <c r="AO123" i="4"/>
  <c r="AS22" i="5"/>
  <c r="AR108" i="4"/>
  <c r="AS15" i="4"/>
  <c r="AQ12" i="4"/>
  <c r="AQ84" i="4"/>
  <c r="AR86" i="4"/>
  <c r="AQ83" i="4"/>
  <c r="AS10" i="5"/>
  <c r="AP10" i="5"/>
  <c r="AR10" i="5"/>
  <c r="AS131" i="4"/>
  <c r="AS44" i="4"/>
  <c r="AO44" i="4"/>
  <c r="AP44" i="4"/>
  <c r="AP72" i="4"/>
  <c r="AR68" i="4"/>
  <c r="AN68" i="4"/>
  <c r="AQ102" i="4"/>
  <c r="AO55" i="5"/>
  <c r="AS83" i="5"/>
  <c r="AR84" i="5"/>
  <c r="AQ84" i="5"/>
  <c r="AR83" i="5"/>
  <c r="AS85" i="4"/>
  <c r="AS70" i="5"/>
  <c r="AO70" i="5"/>
  <c r="AR70" i="5"/>
  <c r="AQ70" i="5"/>
  <c r="AS58" i="5"/>
  <c r="AR58" i="5"/>
  <c r="AQ58" i="5"/>
  <c r="AS65" i="5"/>
  <c r="AR65" i="5"/>
  <c r="AQ65" i="5"/>
  <c r="AS127" i="5"/>
  <c r="AO127" i="5"/>
  <c r="AQ127" i="5"/>
  <c r="AR127" i="5"/>
  <c r="AO128" i="5"/>
  <c r="AQ128" i="5"/>
  <c r="AO37" i="4"/>
  <c r="AS70" i="4"/>
  <c r="AP70" i="4"/>
  <c r="AO70" i="4"/>
  <c r="AP89" i="4"/>
  <c r="AR114" i="4"/>
  <c r="AO115" i="4"/>
  <c r="AO48" i="5"/>
  <c r="AS66" i="5"/>
  <c r="AQ66" i="5"/>
  <c r="AP66" i="5"/>
  <c r="AR66" i="5"/>
  <c r="AR67" i="5"/>
  <c r="AP103" i="4"/>
  <c r="AQ82" i="5"/>
  <c r="AP42" i="4"/>
  <c r="AO92" i="4"/>
  <c r="AO124" i="4"/>
  <c r="AQ15" i="5"/>
  <c r="AO27" i="5"/>
  <c r="AP54" i="5"/>
  <c r="AP64" i="5"/>
  <c r="AO104" i="5"/>
  <c r="AS47" i="4"/>
  <c r="AQ67" i="5"/>
  <c r="AP117" i="5"/>
  <c r="AS119" i="5"/>
  <c r="AR119" i="5"/>
  <c r="AO51" i="4"/>
  <c r="AP49" i="5"/>
  <c r="AO61" i="5"/>
  <c r="AS80" i="5"/>
  <c r="AP27" i="5"/>
  <c r="AS113" i="4"/>
  <c r="AR113" i="4"/>
  <c r="AS19" i="5"/>
  <c r="AQ19" i="5"/>
  <c r="AP19" i="5"/>
  <c r="AR19" i="5"/>
  <c r="AO20" i="5"/>
  <c r="AS101" i="5"/>
  <c r="AP101" i="5"/>
  <c r="AR101" i="5"/>
  <c r="AP102" i="5"/>
  <c r="AS29" i="4"/>
  <c r="AO29" i="4"/>
  <c r="AR29" i="4"/>
  <c r="AP29" i="4"/>
  <c r="AS105" i="4"/>
  <c r="AO105" i="4"/>
  <c r="AP7" i="4"/>
  <c r="AS21" i="4"/>
  <c r="AP21" i="4"/>
  <c r="AO22" i="4"/>
  <c r="AR21" i="4"/>
  <c r="AR22" i="4"/>
  <c r="AQ128" i="4"/>
  <c r="AR15" i="4"/>
  <c r="AO55" i="4"/>
  <c r="AP82" i="4"/>
  <c r="AS81" i="4"/>
  <c r="AQ81" i="4"/>
  <c r="AO109" i="4"/>
  <c r="AP91" i="4"/>
  <c r="AS8" i="4"/>
  <c r="AR8" i="4"/>
  <c r="AO8" i="4"/>
  <c r="AP8" i="4"/>
  <c r="AO9" i="4"/>
  <c r="AQ21" i="4"/>
  <c r="AS22" i="4"/>
  <c r="AP47" i="4"/>
  <c r="AO129" i="4"/>
  <c r="AS109" i="4"/>
  <c r="AO128" i="4"/>
  <c r="AS106" i="4"/>
  <c r="AQ14" i="4"/>
  <c r="AS52" i="4"/>
  <c r="AP52" i="4"/>
  <c r="AS76" i="4"/>
  <c r="AQ76" i="4"/>
  <c r="AP76" i="4"/>
  <c r="AO76" i="4"/>
  <c r="AO82" i="4"/>
  <c r="AP121" i="4"/>
  <c r="AR47" i="5"/>
  <c r="AP19" i="4"/>
  <c r="AQ51" i="4"/>
  <c r="AQ113" i="4"/>
  <c r="AR96" i="4"/>
  <c r="AS114" i="4"/>
  <c r="AQ114" i="4"/>
  <c r="AO114" i="4"/>
  <c r="AO41" i="5"/>
  <c r="AQ45" i="4"/>
  <c r="AP37" i="4"/>
  <c r="AP55" i="4"/>
  <c r="AQ132" i="4"/>
  <c r="AR94" i="4"/>
  <c r="AN94" i="4"/>
  <c r="AO85" i="4"/>
  <c r="AS85" i="5"/>
  <c r="AO85" i="5"/>
  <c r="AQ85" i="5"/>
  <c r="AR85" i="5"/>
  <c r="AP58" i="5"/>
  <c r="AP127" i="5"/>
  <c r="AR47" i="4"/>
  <c r="AQ70" i="4"/>
  <c r="AS77" i="4"/>
  <c r="AR78" i="4"/>
  <c r="AO77" i="4"/>
  <c r="AR83" i="4"/>
  <c r="AS4" i="5"/>
  <c r="AO4" i="5"/>
  <c r="AR5" i="5"/>
  <c r="AP4" i="5"/>
  <c r="AR4" i="5"/>
  <c r="AO5" i="5"/>
  <c r="AR86" i="5"/>
  <c r="AO66" i="5"/>
  <c r="AS92" i="5"/>
  <c r="AR92" i="5"/>
  <c r="AP93" i="5"/>
  <c r="AQ93" i="5"/>
  <c r="AR93" i="5"/>
  <c r="AO102" i="5"/>
  <c r="AQ116" i="4"/>
  <c r="AQ60" i="4"/>
  <c r="AQ92" i="4"/>
  <c r="AP124" i="4"/>
  <c r="AP106" i="4"/>
  <c r="AR27" i="5"/>
  <c r="AS130" i="5"/>
  <c r="AR130" i="5"/>
  <c r="AQ130" i="5"/>
  <c r="AQ131" i="5"/>
  <c r="AO131" i="5"/>
  <c r="AO130" i="5"/>
  <c r="AO52" i="5"/>
  <c r="AS98" i="5"/>
  <c r="AQ98" i="5"/>
  <c r="AR98" i="5"/>
  <c r="AP99" i="5"/>
  <c r="AR99" i="5"/>
  <c r="AS42" i="5"/>
  <c r="AQ42" i="5"/>
  <c r="AR42" i="5"/>
  <c r="AP43" i="5"/>
  <c r="AQ43" i="5"/>
  <c r="AR43" i="5"/>
  <c r="AP42" i="5"/>
  <c r="AR80" i="5"/>
  <c r="AS67" i="5"/>
  <c r="AS51" i="4"/>
  <c r="AS96" i="4"/>
  <c r="AO97" i="4"/>
  <c r="AO96" i="4"/>
  <c r="AP48" i="5"/>
  <c r="AO60" i="5"/>
  <c r="AP128" i="5"/>
  <c r="AR121" i="5"/>
  <c r="AO105" i="5"/>
  <c r="AO126" i="5"/>
  <c r="AO105" i="6" l="1"/>
  <c r="AO115" i="6"/>
  <c r="AR33" i="6"/>
  <c r="AR109" i="6"/>
  <c r="AS110" i="6"/>
  <c r="AQ72" i="6"/>
  <c r="AR114" i="6"/>
  <c r="AQ115" i="6"/>
  <c r="AS111" i="6"/>
  <c r="AQ111" i="6"/>
  <c r="AP111" i="6"/>
  <c r="AR111" i="6"/>
  <c r="AQ112" i="6"/>
  <c r="AR72" i="6"/>
  <c r="AQ84" i="6"/>
  <c r="AR32" i="6"/>
  <c r="AS26" i="6"/>
  <c r="AQ26" i="6"/>
  <c r="AO26" i="6"/>
  <c r="AR27" i="6"/>
  <c r="AP26" i="6"/>
  <c r="AQ27" i="6"/>
  <c r="AO33" i="6"/>
  <c r="AR83" i="6"/>
  <c r="AR71" i="6"/>
  <c r="AS84" i="6"/>
  <c r="AS72" i="6"/>
  <c r="AR26" i="6"/>
  <c r="AS32" i="6"/>
  <c r="AO32" i="6"/>
  <c r="AQ32" i="6"/>
  <c r="AP32" i="6"/>
  <c r="AP33" i="6"/>
  <c r="AQ33" i="6"/>
  <c r="AS109" i="6"/>
  <c r="AO109" i="6"/>
  <c r="AQ109" i="6"/>
  <c r="AR110" i="6"/>
  <c r="AO110" i="6"/>
  <c r="AP109" i="6"/>
  <c r="AP110" i="6"/>
  <c r="AS105" i="6"/>
  <c r="AR106" i="6"/>
  <c r="AQ106" i="6"/>
  <c r="AP106" i="6"/>
  <c r="AP105" i="6"/>
  <c r="AQ105" i="6"/>
  <c r="AS20" i="6"/>
  <c r="AQ20" i="6"/>
  <c r="AO20" i="6"/>
  <c r="AQ21" i="6"/>
  <c r="AP21" i="6"/>
  <c r="AS21" i="6"/>
  <c r="AR21" i="6"/>
  <c r="AO21" i="6"/>
  <c r="AP20" i="6"/>
  <c r="AS92" i="6"/>
  <c r="AO92" i="6"/>
  <c r="AQ93" i="6"/>
  <c r="AP93" i="6"/>
  <c r="AS93" i="6"/>
  <c r="AP92" i="6"/>
  <c r="AR93" i="6"/>
  <c r="AO93" i="6"/>
  <c r="AQ92" i="6"/>
  <c r="AS112" i="6"/>
  <c r="AS71" i="6"/>
  <c r="AO71" i="6"/>
  <c r="AQ71" i="6"/>
  <c r="AP71" i="6"/>
  <c r="AS83" i="6"/>
  <c r="AO83" i="6"/>
  <c r="AP83" i="6"/>
  <c r="AQ83" i="6"/>
  <c r="AP84" i="6"/>
  <c r="AS114" i="6"/>
  <c r="AQ114" i="6"/>
  <c r="AO114" i="6"/>
  <c r="AP115" i="6"/>
  <c r="AR115" i="6"/>
  <c r="AP114" i="6"/>
  <c r="AP72" i="6"/>
  <c r="AS88" i="4"/>
  <c r="AO88" i="4"/>
  <c r="AQ88" i="4"/>
  <c r="AP88" i="4"/>
  <c r="AR89" i="4"/>
  <c r="AQ89" i="4"/>
  <c r="AS98" i="4"/>
  <c r="AO98" i="4"/>
  <c r="AP98" i="4"/>
  <c r="AR99" i="4"/>
  <c r="AS99" i="4"/>
  <c r="AO99" i="4"/>
  <c r="AQ99" i="4"/>
  <c r="AP99" i="4"/>
  <c r="AQ98" i="4"/>
  <c r="AS94" i="4"/>
  <c r="AQ94" i="4"/>
  <c r="AO94" i="4"/>
  <c r="AP94" i="4"/>
  <c r="AP95" i="4"/>
  <c r="AR95" i="4"/>
  <c r="AR88" i="4"/>
  <c r="AS80" i="4"/>
  <c r="AQ80" i="4"/>
  <c r="AO80" i="4"/>
  <c r="AP80" i="4"/>
  <c r="AO81" i="4"/>
  <c r="AS73" i="4"/>
  <c r="AR73" i="4"/>
  <c r="AP73" i="4"/>
  <c r="AR74" i="4"/>
  <c r="AS74" i="4"/>
  <c r="AQ73" i="4"/>
  <c r="AP74" i="4"/>
  <c r="AQ74" i="4"/>
  <c r="AS130" i="4"/>
  <c r="AO131" i="4"/>
  <c r="AQ130" i="4"/>
  <c r="AO130" i="4"/>
  <c r="AP130" i="4"/>
  <c r="AQ131" i="4"/>
  <c r="AR98" i="4"/>
  <c r="AR131" i="4"/>
  <c r="AO73" i="4"/>
  <c r="AO89" i="4"/>
  <c r="AR130" i="4"/>
  <c r="AQ95" i="4"/>
  <c r="AS68" i="4"/>
  <c r="AO68" i="4"/>
  <c r="AP68" i="4"/>
  <c r="AO69" i="4"/>
  <c r="AQ68" i="4"/>
  <c r="AP69" i="4"/>
  <c r="AQ69" i="4"/>
  <c r="AS69" i="4"/>
  <c r="AS89" i="4"/>
  <c r="AS40" i="4"/>
  <c r="AR40" i="4"/>
  <c r="AP40" i="4"/>
  <c r="AS41" i="4"/>
  <c r="AQ41" i="4"/>
  <c r="AR41" i="4"/>
  <c r="AP41" i="4"/>
  <c r="AQ40" i="4"/>
  <c r="AO95" i="4"/>
  <c r="AR69" i="4"/>
  <c r="AP131" i="4"/>
  <c r="AS100" i="4"/>
  <c r="AP100" i="4"/>
  <c r="AR100" i="4"/>
  <c r="AO101" i="4"/>
  <c r="AQ100" i="4"/>
  <c r="AR101" i="4"/>
  <c r="AS95" i="4"/>
  <c r="AR81" i="4"/>
</calcChain>
</file>

<file path=xl/sharedStrings.xml><?xml version="1.0" encoding="utf-8"?>
<sst xmlns="http://schemas.openxmlformats.org/spreadsheetml/2006/main" count="198" uniqueCount="74">
  <si>
    <t>date</t>
  </si>
  <si>
    <t>g_sh</t>
  </si>
  <si>
    <t>b_liqtil_sh</t>
  </si>
  <si>
    <t>b_liqp_sh</t>
  </si>
  <si>
    <t>b_safetil_sh</t>
  </si>
  <si>
    <t>b_safep_sh</t>
  </si>
  <si>
    <t>mu_sh</t>
  </si>
  <si>
    <t>z_sh</t>
  </si>
  <si>
    <t>lambda_f_sh</t>
  </si>
  <si>
    <t>lambda_w_sh</t>
  </si>
  <si>
    <t>rm_sh</t>
  </si>
  <si>
    <t>sigma_omega_sh</t>
  </si>
  <si>
    <t>mu_e_sh</t>
  </si>
  <si>
    <t>gamma_sh</t>
  </si>
  <si>
    <t>pi_star_sh</t>
  </si>
  <si>
    <t>lr_sh</t>
  </si>
  <si>
    <t>zp_sh</t>
  </si>
  <si>
    <t>tfp_sh</t>
  </si>
  <si>
    <t>gdpdef_sh</t>
  </si>
  <si>
    <t>corepce_sh</t>
  </si>
  <si>
    <t>gdp_sh</t>
  </si>
  <si>
    <t>gdi_sh</t>
  </si>
  <si>
    <t>BBB_sh</t>
  </si>
  <si>
    <t>AAA_sh</t>
  </si>
  <si>
    <t>rm_shl1</t>
  </si>
  <si>
    <t>rm_shl2</t>
  </si>
  <si>
    <t>rm_shl3</t>
  </si>
  <si>
    <t>rm_shl4</t>
  </si>
  <si>
    <t>rm_shl5</t>
  </si>
  <si>
    <t>rm_shl6</t>
  </si>
  <si>
    <t>dettrend</t>
  </si>
  <si>
    <t>detrendedMean</t>
  </si>
  <si>
    <t>Chart</t>
  </si>
  <si>
    <t>Date</t>
  </si>
  <si>
    <t>Others</t>
  </si>
  <si>
    <t>Government</t>
  </si>
  <si>
    <t>Permanent Liquidity</t>
  </si>
  <si>
    <t>Transitory Liquidity</t>
  </si>
  <si>
    <t>Permanent Safety</t>
  </si>
  <si>
    <t>Transitory Safety</t>
  </si>
  <si>
    <t>Investment specific technology</t>
  </si>
  <si>
    <t>TFP</t>
  </si>
  <si>
    <t>Permanent TFP</t>
  </si>
  <si>
    <t>DSGE r*</t>
  </si>
  <si>
    <t>Liquidity</t>
  </si>
  <si>
    <t>Safety</t>
  </si>
  <si>
    <t>Technology</t>
  </si>
  <si>
    <t>Financial Frictions</t>
  </si>
  <si>
    <t>Investment Specific Technology</t>
  </si>
  <si>
    <t>Price Markups</t>
  </si>
  <si>
    <t>Wage Markups</t>
  </si>
  <si>
    <t>DSGE r* (with FG)</t>
  </si>
  <si>
    <t>Growth</t>
  </si>
  <si>
    <t>Safety+Liquidity</t>
  </si>
  <si>
    <t>Total</t>
  </si>
  <si>
    <t>g</t>
  </si>
  <si>
    <t>b_liq</t>
  </si>
  <si>
    <t>b_safe</t>
  </si>
  <si>
    <t>FF</t>
  </si>
  <si>
    <t>z</t>
  </si>
  <si>
    <t>p-mkp</t>
  </si>
  <si>
    <t>w-mkp</t>
  </si>
  <si>
    <t>pol</t>
  </si>
  <si>
    <t>fg1</t>
  </si>
  <si>
    <t>fg2</t>
  </si>
  <si>
    <t>fg3</t>
  </si>
  <si>
    <t>fg4</t>
  </si>
  <si>
    <t>fg5</t>
  </si>
  <si>
    <t>fg6</t>
  </si>
  <si>
    <t>pi-LR</t>
  </si>
  <si>
    <t>mu</t>
  </si>
  <si>
    <t>me</t>
  </si>
  <si>
    <t>zp</t>
  </si>
  <si>
    <t>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</si>
</sst>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  <xf numFmtId="164" fontId="0" fillId="0" borderId="0" xfId="0" applyNumberFormat="1"/>
    <xf numFmtId="164" fontId="0" fillId="3" borderId="0" xfId="0" applyNumberFormat="1" applyFill="1"/>
    <xf numFmtId="164" fontId="0" fillId="4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Delta!$AL$1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Delta!$AK$2:$AK$132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Delta!$AL$2:$AL$132</c:f>
              <c:numCache>
                <c:formatCode>General</c:formatCode>
                <c:ptCount val="131"/>
                <c:pt idx="0">
                  <c:v>-4.0182309103539982E-3</c:v>
                </c:pt>
                <c:pt idx="1">
                  <c:v>-4.0255062183366941E-3</c:v>
                </c:pt>
                <c:pt idx="2">
                  <c:v>-4.0315023699870056E-3</c:v>
                </c:pt>
                <c:pt idx="3">
                  <c:v>-4.0360770630329945E-3</c:v>
                </c:pt>
                <c:pt idx="4">
                  <c:v>-4.0391822042060016E-3</c:v>
                </c:pt>
                <c:pt idx="5">
                  <c:v>-4.0410778266909975E-3</c:v>
                </c:pt>
                <c:pt idx="6">
                  <c:v>-4.0426349869191053E-3</c:v>
                </c:pt>
                <c:pt idx="7">
                  <c:v>-4.0461193879038973E-3</c:v>
                </c:pt>
                <c:pt idx="8">
                  <c:v>-4.0301047169714055E-3</c:v>
                </c:pt>
                <c:pt idx="9">
                  <c:v>-4.0190832868298026E-3</c:v>
                </c:pt>
                <c:pt idx="10">
                  <c:v>-4.0108679348649021E-3</c:v>
                </c:pt>
                <c:pt idx="11">
                  <c:v>-4.0042993839609006E-3</c:v>
                </c:pt>
                <c:pt idx="12">
                  <c:v>-3.9988901252843989E-3</c:v>
                </c:pt>
                <c:pt idx="13">
                  <c:v>-3.9944657756756999E-3</c:v>
                </c:pt>
                <c:pt idx="14">
                  <c:v>-3.9910022832682981E-3</c:v>
                </c:pt>
                <c:pt idx="15">
                  <c:v>-3.9885542438754043E-3</c:v>
                </c:pt>
                <c:pt idx="16">
                  <c:v>-3.9872243734968976E-3</c:v>
                </c:pt>
                <c:pt idx="17">
                  <c:v>-3.9871521241882091E-3</c:v>
                </c:pt>
                <c:pt idx="18">
                  <c:v>-3.9885118510381012E-3</c:v>
                </c:pt>
                <c:pt idx="19">
                  <c:v>-3.9915165531951985E-3</c:v>
                </c:pt>
                <c:pt idx="20">
                  <c:v>-3.9964259641851047E-3</c:v>
                </c:pt>
                <c:pt idx="21">
                  <c:v>-4.0035595414611991E-3</c:v>
                </c:pt>
                <c:pt idx="22">
                  <c:v>-4.0133169069949959E-3</c:v>
                </c:pt>
                <c:pt idx="23">
                  <c:v>-4.0262119567319038E-3</c:v>
                </c:pt>
                <c:pt idx="24">
                  <c:v>-4.0429350614390042E-3</c:v>
                </c:pt>
                <c:pt idx="25">
                  <c:v>-4.0644774073270024E-3</c:v>
                </c:pt>
                <c:pt idx="26">
                  <c:v>-4.0923925305750009E-3</c:v>
                </c:pt>
                <c:pt idx="27">
                  <c:v>-4.1289603394780022E-3</c:v>
                </c:pt>
                <c:pt idx="28">
                  <c:v>-4.1587482716610169E-3</c:v>
                </c:pt>
                <c:pt idx="29">
                  <c:v>-4.2066709833460114E-3</c:v>
                </c:pt>
                <c:pt idx="30">
                  <c:v>-4.2733175954640101E-3</c:v>
                </c:pt>
                <c:pt idx="31">
                  <c:v>-4.358539211821999E-3</c:v>
                </c:pt>
                <c:pt idx="32">
                  <c:v>-4.4617472402310177E-3</c:v>
                </c:pt>
                <c:pt idx="33">
                  <c:v>-4.5819205180920031E-3</c:v>
                </c:pt>
                <c:pt idx="34">
                  <c:v>-4.7454091027659961E-3</c:v>
                </c:pt>
                <c:pt idx="35">
                  <c:v>-4.9210602525759928E-3</c:v>
                </c:pt>
                <c:pt idx="36">
                  <c:v>-5.114941784901017E-3</c:v>
                </c:pt>
                <c:pt idx="37">
                  <c:v>-5.330432963699977E-3</c:v>
                </c:pt>
                <c:pt idx="38">
                  <c:v>-5.5695212054450161E-3</c:v>
                </c:pt>
                <c:pt idx="39">
                  <c:v>-5.8338502425719918E-3</c:v>
                </c:pt>
                <c:pt idx="40">
                  <c:v>-6.1250319668840203E-3</c:v>
                </c:pt>
                <c:pt idx="41">
                  <c:v>-6.4447473823950052E-3</c:v>
                </c:pt>
                <c:pt idx="42">
                  <c:v>-6.795076181916021E-3</c:v>
                </c:pt>
                <c:pt idx="43">
                  <c:v>-7.1783858176849846E-3</c:v>
                </c:pt>
                <c:pt idx="44">
                  <c:v>-7.5973433986280259E-3</c:v>
                </c:pt>
                <c:pt idx="45">
                  <c:v>-8.054876015748974E-3</c:v>
                </c:pt>
                <c:pt idx="46">
                  <c:v>-8.5539238737930012E-3</c:v>
                </c:pt>
                <c:pt idx="47">
                  <c:v>-9.0862754219889763E-3</c:v>
                </c:pt>
                <c:pt idx="48">
                  <c:v>-9.6701107744129877E-3</c:v>
                </c:pt>
                <c:pt idx="49">
                  <c:v>-1.0296695172835019E-2</c:v>
                </c:pt>
                <c:pt idx="50">
                  <c:v>-1.0940137809202999E-2</c:v>
                </c:pt>
                <c:pt idx="51">
                  <c:v>-1.1516552503256006E-2</c:v>
                </c:pt>
                <c:pt idx="52">
                  <c:v>-1.1993503708238998E-2</c:v>
                </c:pt>
                <c:pt idx="53">
                  <c:v>-1.5370391030853997E-2</c:v>
                </c:pt>
                <c:pt idx="54">
                  <c:v>-1.3790892026220997E-2</c:v>
                </c:pt>
                <c:pt idx="55">
                  <c:v>-1.5054565190454006E-2</c:v>
                </c:pt>
                <c:pt idx="56">
                  <c:v>-1.5848669302472002E-2</c:v>
                </c:pt>
                <c:pt idx="57">
                  <c:v>-1.6594601816110999E-2</c:v>
                </c:pt>
                <c:pt idx="58">
                  <c:v>-1.8418201699789999E-2</c:v>
                </c:pt>
                <c:pt idx="59">
                  <c:v>-1.8330192634160997E-2</c:v>
                </c:pt>
                <c:pt idx="60">
                  <c:v>-1.8943272416898999E-2</c:v>
                </c:pt>
                <c:pt idx="61">
                  <c:v>-2.0147438946856999E-2</c:v>
                </c:pt>
                <c:pt idx="62">
                  <c:v>-1.9722317777835979E-2</c:v>
                </c:pt>
                <c:pt idx="63">
                  <c:v>-2.0328821360077992E-2</c:v>
                </c:pt>
                <c:pt idx="64">
                  <c:v>-1.9589540448305992E-2</c:v>
                </c:pt>
                <c:pt idx="65">
                  <c:v>-1.9314359913873008E-2</c:v>
                </c:pt>
                <c:pt idx="66">
                  <c:v>-1.9101565224942996E-2</c:v>
                </c:pt>
                <c:pt idx="67">
                  <c:v>-1.8581060495803992E-2</c:v>
                </c:pt>
                <c:pt idx="68">
                  <c:v>-1.8278798267472002E-2</c:v>
                </c:pt>
                <c:pt idx="69">
                  <c:v>-1.7578900897952998E-2</c:v>
                </c:pt>
                <c:pt idx="70">
                  <c:v>-1.7527116183349012E-2</c:v>
                </c:pt>
                <c:pt idx="71">
                  <c:v>-1.7312796943901004E-2</c:v>
                </c:pt>
                <c:pt idx="72">
                  <c:v>-1.7100914128509004E-2</c:v>
                </c:pt>
                <c:pt idx="73">
                  <c:v>-1.6891504446770012E-2</c:v>
                </c:pt>
                <c:pt idx="74">
                  <c:v>-1.6684592289959999E-2</c:v>
                </c:pt>
                <c:pt idx="75">
                  <c:v>-1.648019191917699E-2</c:v>
                </c:pt>
                <c:pt idx="76">
                  <c:v>-1.6278309262460988E-2</c:v>
                </c:pt>
                <c:pt idx="77">
                  <c:v>-1.6078943393539991E-2</c:v>
                </c:pt>
                <c:pt idx="78">
                  <c:v>-1.5882087750918011E-2</c:v>
                </c:pt>
                <c:pt idx="79">
                  <c:v>-1.5687731144833017E-2</c:v>
                </c:pt>
                <c:pt idx="80">
                  <c:v>-1.5495858590632988E-2</c:v>
                </c:pt>
                <c:pt idx="81">
                  <c:v>-1.5306451999798021E-2</c:v>
                </c:pt>
                <c:pt idx="82">
                  <c:v>-1.5119490754042009E-2</c:v>
                </c:pt>
                <c:pt idx="83">
                  <c:v>-1.4934952183141004E-2</c:v>
                </c:pt>
                <c:pt idx="84">
                  <c:v>-1.4752811963373996E-2</c:v>
                </c:pt>
                <c:pt idx="85">
                  <c:v>-1.4573044450301997E-2</c:v>
                </c:pt>
                <c:pt idx="86">
                  <c:v>-1.4395622957169008E-2</c:v>
                </c:pt>
                <c:pt idx="87">
                  <c:v>-1.4220519988137004E-2</c:v>
                </c:pt>
                <c:pt idx="88">
                  <c:v>-1.4047707433930995E-2</c:v>
                </c:pt>
                <c:pt idx="89">
                  <c:v>-1.3877156736128021E-2</c:v>
                </c:pt>
                <c:pt idx="90">
                  <c:v>-1.3708839025230984E-2</c:v>
                </c:pt>
                <c:pt idx="91">
                  <c:v>-1.3542725236769998E-2</c:v>
                </c:pt>
                <c:pt idx="92">
                  <c:v>-1.3378786208952997E-2</c:v>
                </c:pt>
                <c:pt idx="93">
                  <c:v>-1.3216992764779001E-2</c:v>
                </c:pt>
                <c:pt idx="94">
                  <c:v>-1.3057315781064005E-2</c:v>
                </c:pt>
                <c:pt idx="95">
                  <c:v>-1.2899726246368981E-2</c:v>
                </c:pt>
                <c:pt idx="96">
                  <c:v>-1.2744195309567996E-2</c:v>
                </c:pt>
                <c:pt idx="97">
                  <c:v>-1.2590694320448015E-2</c:v>
                </c:pt>
                <c:pt idx="98">
                  <c:v>-1.2439194863544001E-2</c:v>
                </c:pt>
                <c:pt idx="99">
                  <c:v>-1.2289668786213015E-2</c:v>
                </c:pt>
                <c:pt idx="100">
                  <c:v>-1.2142088221803016E-2</c:v>
                </c:pt>
                <c:pt idx="101">
                  <c:v>-1.1996425608623018E-2</c:v>
                </c:pt>
                <c:pt idx="102">
                  <c:v>-1.1852653705332006E-2</c:v>
                </c:pt>
                <c:pt idx="103">
                  <c:v>-1.1710745603266015E-2</c:v>
                </c:pt>
                <c:pt idx="104">
                  <c:v>-1.1570674736135989E-2</c:v>
                </c:pt>
                <c:pt idx="105">
                  <c:v>-1.1432414887482006E-2</c:v>
                </c:pt>
                <c:pt idx="106">
                  <c:v>-1.1295940196206E-2</c:v>
                </c:pt>
                <c:pt idx="107">
                  <c:v>-1.116122516044199E-2</c:v>
                </c:pt>
                <c:pt idx="108">
                  <c:v>-1.102824464003499E-2</c:v>
                </c:pt>
                <c:pt idx="109">
                  <c:v>-1.0896973857793008E-2</c:v>
                </c:pt>
                <c:pt idx="110">
                  <c:v>-1.0767388399714986E-2</c:v>
                </c:pt>
                <c:pt idx="111">
                  <c:v>-1.0639464214338992E-2</c:v>
                </c:pt>
                <c:pt idx="112">
                  <c:v>-1.0513177611331012E-2</c:v>
                </c:pt>
                <c:pt idx="113">
                  <c:v>-1.0388505259444999E-2</c:v>
                </c:pt>
                <c:pt idx="114">
                  <c:v>-1.0265424183932004E-2</c:v>
                </c:pt>
                <c:pt idx="115">
                  <c:v>-1.014391176350099E-2</c:v>
                </c:pt>
                <c:pt idx="116">
                  <c:v>-1.0023945726895994E-2</c:v>
                </c:pt>
                <c:pt idx="117">
                  <c:v>-9.9055041491410006E-3</c:v>
                </c:pt>
                <c:pt idx="118">
                  <c:v>-9.7885654475399902E-3</c:v>
                </c:pt>
                <c:pt idx="119">
                  <c:v>-9.6731083774410087E-3</c:v>
                </c:pt>
                <c:pt idx="120">
                  <c:v>-9.5591120278339936E-3</c:v>
                </c:pt>
                <c:pt idx="121">
                  <c:v>-9.4465558168080055E-3</c:v>
                </c:pt>
                <c:pt idx="122">
                  <c:v>-9.3354194868929957E-3</c:v>
                </c:pt>
                <c:pt idx="123">
                  <c:v>-9.2256831003239975E-3</c:v>
                </c:pt>
                <c:pt idx="124">
                  <c:v>-9.1173270342466972E-3</c:v>
                </c:pt>
                <c:pt idx="125">
                  <c:v>-9.0103319758792072E-3</c:v>
                </c:pt>
                <c:pt idx="126">
                  <c:v>-8.9046789176590035E-3</c:v>
                </c:pt>
                <c:pt idx="127">
                  <c:v>-8.8003491523721972E-3</c:v>
                </c:pt>
                <c:pt idx="128">
                  <c:v>-8.6973242683019009E-3</c:v>
                </c:pt>
                <c:pt idx="129">
                  <c:v>-8.5955861443818005E-3</c:v>
                </c:pt>
                <c:pt idx="130">
                  <c:v>-8.4951169453860997E-3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F7-4E0C-B774-8F8B7716CF17}"/>
            </c:ext>
          </c:extLst>
        </c:ser>
        <c:ser>
          <c:idx val="1"/>
          <c:order val="1"/>
          <c:tx>
            <c:strRef>
              <c:f>Delta!$AM$1</c:f>
              <c:strCache>
                <c:ptCount val="1"/>
                <c:pt idx="0">
                  <c:v>Transitory 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Delta!$AK$2:$AK$132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Delta!$AM$2:$AM$132</c:f>
              <c:numCache>
                <c:formatCode>General</c:formatCode>
                <c:ptCount val="131"/>
                <c:pt idx="0">
                  <c:v>-3.4387814876300996E-9</c:v>
                </c:pt>
                <c:pt idx="1">
                  <c:v>-7.1807698048228858E-9</c:v>
                </c:pt>
                <c:pt idx="2">
                  <c:v>-1.2346094467629943E-8</c:v>
                </c:pt>
                <c:pt idx="3">
                  <c:v>-1.9785729411035985E-8</c:v>
                </c:pt>
                <c:pt idx="4">
                  <c:v>-3.0965542194566056E-8</c:v>
                </c:pt>
                <c:pt idx="5">
                  <c:v>-4.8436926117405908E-8</c:v>
                </c:pt>
                <c:pt idx="6">
                  <c:v>-7.6672541770989999E-8</c:v>
                </c:pt>
                <c:pt idx="7">
                  <c:v>-8.5162634624069552E-8</c:v>
                </c:pt>
                <c:pt idx="8">
                  <c:v>-6.0602450266640142E-8</c:v>
                </c:pt>
                <c:pt idx="9">
                  <c:v>-4.6865574046019916E-8</c:v>
                </c:pt>
                <c:pt idx="10">
                  <c:v>-3.9373790179043917E-8</c:v>
                </c:pt>
                <c:pt idx="11">
                  <c:v>-3.5554502196429955E-8</c:v>
                </c:pt>
                <c:pt idx="12">
                  <c:v>-3.3951570365699051E-8</c:v>
                </c:pt>
                <c:pt idx="13">
                  <c:v>-3.374058474958989E-8</c:v>
                </c:pt>
                <c:pt idx="14">
                  <c:v>-3.4459698484940095E-8</c:v>
                </c:pt>
                <c:pt idx="15">
                  <c:v>-3.5859169087879041E-8</c:v>
                </c:pt>
                <c:pt idx="16">
                  <c:v>-3.7817155781179981E-8</c:v>
                </c:pt>
                <c:pt idx="17">
                  <c:v>-4.029278715984999E-8</c:v>
                </c:pt>
                <c:pt idx="18">
                  <c:v>-4.3300225747749826E-8</c:v>
                </c:pt>
                <c:pt idx="19">
                  <c:v>-4.6894322863370015E-8</c:v>
                </c:pt>
                <c:pt idx="20">
                  <c:v>-5.1161974509590006E-8</c:v>
                </c:pt>
                <c:pt idx="21">
                  <c:v>-5.62146800881696E-8</c:v>
                </c:pt>
                <c:pt idx="22">
                  <c:v>-6.2177515527884012E-8</c:v>
                </c:pt>
                <c:pt idx="23">
                  <c:v>-6.916760408059997E-8</c:v>
                </c:pt>
                <c:pt idx="24">
                  <c:v>-7.7250433579070014E-8</c:v>
                </c:pt>
                <c:pt idx="25">
                  <c:v>-8.6353602796123983E-8</c:v>
                </c:pt>
                <c:pt idx="26">
                  <c:v>-9.6103300831752076E-8</c:v>
                </c:pt>
                <c:pt idx="27">
                  <c:v>-1.0553613075696303E-7</c:v>
                </c:pt>
                <c:pt idx="28">
                  <c:v>-7.1153599583585032E-8</c:v>
                </c:pt>
                <c:pt idx="29">
                  <c:v>-4.3996206536803026E-8</c:v>
                </c:pt>
                <c:pt idx="30">
                  <c:v>-2.2955067856402072E-8</c:v>
                </c:pt>
                <c:pt idx="31">
                  <c:v>-5.7770911932229576E-9</c:v>
                </c:pt>
                <c:pt idx="32">
                  <c:v>9.6273481035230194E-9</c:v>
                </c:pt>
                <c:pt idx="33">
                  <c:v>2.2085546734401108E-8</c:v>
                </c:pt>
                <c:pt idx="34">
                  <c:v>7.1397746248138957E-8</c:v>
                </c:pt>
                <c:pt idx="35">
                  <c:v>1.0517946303183198E-7</c:v>
                </c:pt>
                <c:pt idx="36">
                  <c:v>1.318161353337938E-7</c:v>
                </c:pt>
                <c:pt idx="37">
                  <c:v>1.5596385926327621E-7</c:v>
                </c:pt>
                <c:pt idx="38">
                  <c:v>1.8020425152508629E-7</c:v>
                </c:pt>
                <c:pt idx="39">
                  <c:v>2.06281682166351E-7</c:v>
                </c:pt>
                <c:pt idx="40">
                  <c:v>2.3558801955250151E-7</c:v>
                </c:pt>
                <c:pt idx="41">
                  <c:v>2.6912497889911607E-7</c:v>
                </c:pt>
                <c:pt idx="42">
                  <c:v>3.0867045799230004E-7</c:v>
                </c:pt>
                <c:pt idx="43">
                  <c:v>3.5701356545999602E-7</c:v>
                </c:pt>
                <c:pt idx="44">
                  <c:v>4.1866613590373512E-7</c:v>
                </c:pt>
                <c:pt idx="45">
                  <c:v>5.0225577121845902E-7</c:v>
                </c:pt>
                <c:pt idx="46">
                  <c:v>6.2310290994671197E-7</c:v>
                </c:pt>
                <c:pt idx="47">
                  <c:v>6.5673177660723301E-7</c:v>
                </c:pt>
                <c:pt idx="48">
                  <c:v>7.4363296281862091E-7</c:v>
                </c:pt>
                <c:pt idx="49">
                  <c:v>8.8629973514354994E-7</c:v>
                </c:pt>
                <c:pt idx="50">
                  <c:v>1.08490147032504E-6</c:v>
                </c:pt>
                <c:pt idx="51">
                  <c:v>1.4728990899458998E-6</c:v>
                </c:pt>
                <c:pt idx="52">
                  <c:v>2.107736587066872E-6</c:v>
                </c:pt>
                <c:pt idx="53">
                  <c:v>2.2830033563547009E-6</c:v>
                </c:pt>
                <c:pt idx="54">
                  <c:v>1.3653436009416999E-6</c:v>
                </c:pt>
                <c:pt idx="55">
                  <c:v>2.3024891417216499E-6</c:v>
                </c:pt>
                <c:pt idx="56">
                  <c:v>2.5427636870004402E-6</c:v>
                </c:pt>
                <c:pt idx="57">
                  <c:v>2.7884017715496871E-6</c:v>
                </c:pt>
                <c:pt idx="58">
                  <c:v>5.4868302136606018E-7</c:v>
                </c:pt>
                <c:pt idx="59">
                  <c:v>1.9756289035176719E-6</c:v>
                </c:pt>
                <c:pt idx="60">
                  <c:v>1.1198987475651549E-6</c:v>
                </c:pt>
                <c:pt idx="61">
                  <c:v>-1.8785889095364899E-6</c:v>
                </c:pt>
                <c:pt idx="62">
                  <c:v>4.0649200003288069E-7</c:v>
                </c:pt>
                <c:pt idx="63">
                  <c:v>-1.163898780471765E-6</c:v>
                </c:pt>
                <c:pt idx="64">
                  <c:v>-1.5957155479817569E-6</c:v>
                </c:pt>
                <c:pt idx="65">
                  <c:v>-1.2051874950322241E-6</c:v>
                </c:pt>
                <c:pt idx="66">
                  <c:v>-2.1915559104458653E-6</c:v>
                </c:pt>
                <c:pt idx="67">
                  <c:v>-1.3277925270605221E-6</c:v>
                </c:pt>
                <c:pt idx="68">
                  <c:v>-1.3108270028966561E-6</c:v>
                </c:pt>
                <c:pt idx="69">
                  <c:v>4.3872777629887202E-7</c:v>
                </c:pt>
                <c:pt idx="70">
                  <c:v>6.7998532808960993E-7</c:v>
                </c:pt>
                <c:pt idx="71">
                  <c:v>3.5298192778385597E-7</c:v>
                </c:pt>
                <c:pt idx="72">
                  <c:v>1.8323371993616397E-7</c:v>
                </c:pt>
                <c:pt idx="73">
                  <c:v>9.5117039678574796E-8</c:v>
                </c:pt>
                <c:pt idx="74">
                  <c:v>4.9375470808948693E-8</c:v>
                </c:pt>
                <c:pt idx="75">
                  <c:v>2.5630918510698405E-8</c:v>
                </c:pt>
                <c:pt idx="76">
                  <c:v>1.330506747820653E-8</c:v>
                </c:pt>
                <c:pt idx="77">
                  <c:v>6.9066902091118692E-9</c:v>
                </c:pt>
                <c:pt idx="78">
                  <c:v>3.5852780343015302E-9</c:v>
                </c:pt>
                <c:pt idx="79">
                  <c:v>1.8611254290649599E-9</c:v>
                </c:pt>
                <c:pt idx="80">
                  <c:v>9.6611389456073004E-10</c:v>
                </c:pt>
                <c:pt idx="81">
                  <c:v>5.0151137335304109E-10</c:v>
                </c:pt>
                <c:pt idx="82">
                  <c:v>2.6033514875348902E-10</c:v>
                </c:pt>
                <c:pt idx="83">
                  <c:v>1.3514002238787971E-10</c:v>
                </c:pt>
                <c:pt idx="84">
                  <c:v>7.0150947725892497E-11</c:v>
                </c:pt>
                <c:pt idx="85">
                  <c:v>3.6414971421660798E-11</c:v>
                </c:pt>
                <c:pt idx="86">
                  <c:v>1.8902549623398496E-11</c:v>
                </c:pt>
                <c:pt idx="87">
                  <c:v>9.811811973213039E-12</c:v>
                </c:pt>
                <c:pt idx="88">
                  <c:v>5.0927898405287594E-12</c:v>
                </c:pt>
                <c:pt idx="89">
                  <c:v>2.6431353034779606E-12</c:v>
                </c:pt>
                <c:pt idx="90">
                  <c:v>1.371514773942179E-12</c:v>
                </c:pt>
                <c:pt idx="91">
                  <c:v>7.11414501023131E-13</c:v>
                </c:pt>
                <c:pt idx="92">
                  <c:v>3.6875590357461406E-13</c:v>
                </c:pt>
                <c:pt idx="93">
                  <c:v>1.9088211608653702E-13</c:v>
                </c:pt>
                <c:pt idx="94">
                  <c:v>9.85486070930715E-14</c:v>
                </c:pt>
                <c:pt idx="95">
                  <c:v>5.0619354716058699E-14</c:v>
                </c:pt>
                <c:pt idx="96">
                  <c:v>2.5740551211096201E-14</c:v>
                </c:pt>
                <c:pt idx="97">
                  <c:v>1.282738136934218E-14</c:v>
                </c:pt>
                <c:pt idx="98">
                  <c:v>6.1256875755576E-15</c:v>
                </c:pt>
                <c:pt idx="99">
                  <c:v>2.6484689176906701E-15</c:v>
                </c:pt>
                <c:pt idx="100">
                  <c:v>8.4516204485162999E-16</c:v>
                </c:pt>
                <c:pt idx="101">
                  <c:v>-8.9138170244290934E-17</c:v>
                </c:pt>
                <c:pt idx="102">
                  <c:v>-5.7226376372051501E-16</c:v>
                </c:pt>
                <c:pt idx="103">
                  <c:v>-8.21116047164186E-16</c:v>
                </c:pt>
                <c:pt idx="104">
                  <c:v>-9.4829254313799403E-16</c:v>
                </c:pt>
                <c:pt idx="105">
                  <c:v>-1.0122462571715011E-15</c:v>
                </c:pt>
                <c:pt idx="106">
                  <c:v>-1.0433234800115481E-15</c:v>
                </c:pt>
                <c:pt idx="107">
                  <c:v>-1.0572800799396599E-15</c:v>
                </c:pt>
                <c:pt idx="108">
                  <c:v>-1.0622978505454489E-15</c:v>
                </c:pt>
                <c:pt idx="109">
                  <c:v>-1.0626267221547677E-15</c:v>
                </c:pt>
                <c:pt idx="110">
                  <c:v>-1.0604754509980736E-15</c:v>
                </c:pt>
                <c:pt idx="111">
                  <c:v>-1.0569930887428228E-15</c:v>
                </c:pt>
                <c:pt idx="112">
                  <c:v>-1.0527784735771777E-15</c:v>
                </c:pt>
                <c:pt idx="113">
                  <c:v>-1.0481447157304916E-15</c:v>
                </c:pt>
                <c:pt idx="114">
                  <c:v>-1.0432564995727101E-15</c:v>
                </c:pt>
                <c:pt idx="115">
                  <c:v>-1.0382013640425553E-15</c:v>
                </c:pt>
                <c:pt idx="116">
                  <c:v>-1.0330267106214186E-15</c:v>
                </c:pt>
                <c:pt idx="117">
                  <c:v>-1.0277590199610075E-15</c:v>
                </c:pt>
                <c:pt idx="118">
                  <c:v>-1.0224138325655734E-15</c:v>
                </c:pt>
                <c:pt idx="119">
                  <c:v>-1.0170009346786865E-15</c:v>
                </c:pt>
                <c:pt idx="120">
                  <c:v>-1.0115270548086285E-15</c:v>
                </c:pt>
                <c:pt idx="121">
                  <c:v>-1.0059972676719536E-15</c:v>
                </c:pt>
                <c:pt idx="122">
                  <c:v>-1.0004157268297039E-15</c:v>
                </c:pt>
                <c:pt idx="123">
                  <c:v>-9.9478604854436059E-16</c:v>
                </c:pt>
                <c:pt idx="124">
                  <c:v>-9.8911151430508467E-16</c:v>
                </c:pt>
                <c:pt idx="125">
                  <c:v>-9.8339517896521096E-16</c:v>
                </c:pt>
                <c:pt idx="126">
                  <c:v>-9.7763992964546388E-16</c:v>
                </c:pt>
                <c:pt idx="127">
                  <c:v>-9.7184851886162389E-16</c:v>
                </c:pt>
                <c:pt idx="128">
                  <c:v>-9.6602358407250055E-16</c:v>
                </c:pt>
                <c:pt idx="129">
                  <c:v>-9.6016765999626633E-16</c:v>
                </c:pt>
                <c:pt idx="130">
                  <c:v>-9.5428318700643203E-16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F7-4E0C-B774-8F8B7716CF17}"/>
            </c:ext>
          </c:extLst>
        </c:ser>
        <c:ser>
          <c:idx val="2"/>
          <c:order val="2"/>
          <c:tx>
            <c:strRef>
              <c:f>Delta!$AN$1</c:f>
              <c:strCache>
                <c:ptCount val="1"/>
                <c:pt idx="0">
                  <c:v>Permanent Liquidity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Delta!$AK$2:$AK$132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Delta!$AN$2:$AN$132</c:f>
              <c:numCache>
                <c:formatCode>General</c:formatCode>
                <c:ptCount val="131"/>
                <c:pt idx="0">
                  <c:v>1.5769102047200056E-4</c:v>
                </c:pt>
                <c:pt idx="1">
                  <c:v>2.9989416136699809E-4</c:v>
                </c:pt>
                <c:pt idx="2">
                  <c:v>5.0874442803294784E-4</c:v>
                </c:pt>
                <c:pt idx="3">
                  <c:v>8.1319510356997471E-4</c:v>
                </c:pt>
                <c:pt idx="4">
                  <c:v>1.2548505149160283E-3</c:v>
                </c:pt>
                <c:pt idx="5">
                  <c:v>1.8938809685909996E-3</c:v>
                </c:pt>
                <c:pt idx="6">
                  <c:v>2.8181785423819772E-3</c:v>
                </c:pt>
                <c:pt idx="7">
                  <c:v>3.6739114265700312E-3</c:v>
                </c:pt>
                <c:pt idx="8">
                  <c:v>2.8889888238299299E-3</c:v>
                </c:pt>
                <c:pt idx="9">
                  <c:v>2.3742000111089956E-3</c:v>
                </c:pt>
                <c:pt idx="10">
                  <c:v>2.047310658486956E-3</c:v>
                </c:pt>
                <c:pt idx="11">
                  <c:v>1.8542439042970038E-3</c:v>
                </c:pt>
                <c:pt idx="12">
                  <c:v>1.7593906013249616E-3</c:v>
                </c:pt>
                <c:pt idx="13">
                  <c:v>1.7397079059460197E-3</c:v>
                </c:pt>
                <c:pt idx="14">
                  <c:v>1.7809399516239832E-3</c:v>
                </c:pt>
                <c:pt idx="15">
                  <c:v>1.8751674098970161E-3</c:v>
                </c:pt>
                <c:pt idx="16">
                  <c:v>2.0192113229650088E-3</c:v>
                </c:pt>
                <c:pt idx="17">
                  <c:v>2.2135891305280486E-3</c:v>
                </c:pt>
                <c:pt idx="18">
                  <c:v>2.4618187505460742E-3</c:v>
                </c:pt>
                <c:pt idx="19">
                  <c:v>2.7699196877699617E-3</c:v>
                </c:pt>
                <c:pt idx="20">
                  <c:v>3.1459826359090393E-3</c:v>
                </c:pt>
                <c:pt idx="21">
                  <c:v>3.5996769274520002E-3</c:v>
                </c:pt>
                <c:pt idx="22">
                  <c:v>4.1415391590320372E-3</c:v>
                </c:pt>
                <c:pt idx="23">
                  <c:v>4.7818332559009802E-3</c:v>
                </c:pt>
                <c:pt idx="24">
                  <c:v>5.5286882954670435E-3</c:v>
                </c:pt>
                <c:pt idx="25">
                  <c:v>6.3851151539530138E-3</c:v>
                </c:pt>
                <c:pt idx="26">
                  <c:v>7.3444682824829188E-3</c:v>
                </c:pt>
                <c:pt idx="27">
                  <c:v>8.3846645903069561E-3</c:v>
                </c:pt>
                <c:pt idx="28">
                  <c:v>7.1717523167230679E-3</c:v>
                </c:pt>
                <c:pt idx="29">
                  <c:v>6.1280483146939346E-3</c:v>
                </c:pt>
                <c:pt idx="30">
                  <c:v>5.3004250863499802E-3</c:v>
                </c:pt>
                <c:pt idx="31">
                  <c:v>4.6483851965929412E-3</c:v>
                </c:pt>
                <c:pt idx="32">
                  <c:v>4.1167445755759813E-3</c:v>
                </c:pt>
                <c:pt idx="33">
                  <c:v>3.7171388760239843E-3</c:v>
                </c:pt>
                <c:pt idx="34">
                  <c:v>3.0153855840200361E-3</c:v>
                </c:pt>
                <c:pt idx="35">
                  <c:v>2.6318275628300913E-3</c:v>
                </c:pt>
                <c:pt idx="36">
                  <c:v>2.4288608281399782E-3</c:v>
                </c:pt>
                <c:pt idx="37">
                  <c:v>2.3143714405700067E-3</c:v>
                </c:pt>
                <c:pt idx="38">
                  <c:v>2.2206236327901863E-3</c:v>
                </c:pt>
                <c:pt idx="39">
                  <c:v>2.0866408124839975E-3</c:v>
                </c:pt>
                <c:pt idx="40">
                  <c:v>1.8487127425609318E-3</c:v>
                </c:pt>
                <c:pt idx="41">
                  <c:v>1.4365337495070296E-3</c:v>
                </c:pt>
                <c:pt idx="42">
                  <c:v>7.5383740249002074E-4</c:v>
                </c:pt>
                <c:pt idx="43">
                  <c:v>-3.3167522836796692E-4</c:v>
                </c:pt>
                <c:pt idx="44">
                  <c:v>-2.0047536661039755E-3</c:v>
                </c:pt>
                <c:pt idx="45">
                  <c:v>-4.5407713606779865E-3</c:v>
                </c:pt>
                <c:pt idx="46">
                  <c:v>-8.3452772263580277E-3</c:v>
                </c:pt>
                <c:pt idx="47">
                  <c:v>-1.208569409250404E-2</c:v>
                </c:pt>
                <c:pt idx="48">
                  <c:v>-1.7711078343321973E-2</c:v>
                </c:pt>
                <c:pt idx="49">
                  <c:v>-2.598983470983407E-2</c:v>
                </c:pt>
                <c:pt idx="50">
                  <c:v>-3.7636799233633056E-2</c:v>
                </c:pt>
                <c:pt idx="51">
                  <c:v>-5.5282847856515049E-2</c:v>
                </c:pt>
                <c:pt idx="52">
                  <c:v>-8.0736233228812959E-2</c:v>
                </c:pt>
                <c:pt idx="53">
                  <c:v>-5.3960889968572068E-2</c:v>
                </c:pt>
                <c:pt idx="54">
                  <c:v>-5.2833254665679008E-2</c:v>
                </c:pt>
                <c:pt idx="55">
                  <c:v>-9.4733743443476071E-2</c:v>
                </c:pt>
                <c:pt idx="56">
                  <c:v>-0.11363933530070502</c:v>
                </c:pt>
                <c:pt idx="57">
                  <c:v>-0.13060011908632996</c:v>
                </c:pt>
                <c:pt idx="58">
                  <c:v>-3.1457466966772984E-2</c:v>
                </c:pt>
                <c:pt idx="59">
                  <c:v>-8.8615571712802987E-2</c:v>
                </c:pt>
                <c:pt idx="60">
                  <c:v>-6.4735717535003956E-2</c:v>
                </c:pt>
                <c:pt idx="61">
                  <c:v>7.3491330721140002E-2</c:v>
                </c:pt>
                <c:pt idx="62">
                  <c:v>9.3851510372600089E-4</c:v>
                </c:pt>
                <c:pt idx="63">
                  <c:v>6.873089194562601E-2</c:v>
                </c:pt>
                <c:pt idx="64">
                  <c:v>8.0288287368782019E-2</c:v>
                </c:pt>
                <c:pt idx="65">
                  <c:v>6.7551905586417021E-2</c:v>
                </c:pt>
                <c:pt idx="66">
                  <c:v>0.1076426617757528</c:v>
                </c:pt>
                <c:pt idx="67">
                  <c:v>7.4089853624587601E-2</c:v>
                </c:pt>
                <c:pt idx="68">
                  <c:v>7.4198906772397696E-2</c:v>
                </c:pt>
                <c:pt idx="69">
                  <c:v>-4.332192141177707E-3</c:v>
                </c:pt>
                <c:pt idx="70">
                  <c:v>-2.6823637854276994E-2</c:v>
                </c:pt>
                <c:pt idx="71">
                  <c:v>-2.6555401475734985E-2</c:v>
                </c:pt>
                <c:pt idx="72">
                  <c:v>-2.6289847460978011E-2</c:v>
                </c:pt>
                <c:pt idx="73">
                  <c:v>-2.6026948986367995E-2</c:v>
                </c:pt>
                <c:pt idx="74">
                  <c:v>-2.5766679496503006E-2</c:v>
                </c:pt>
                <c:pt idx="75">
                  <c:v>-2.5509012701538006E-2</c:v>
                </c:pt>
                <c:pt idx="76">
                  <c:v>-2.5253922574522997E-2</c:v>
                </c:pt>
                <c:pt idx="77">
                  <c:v>-2.5001383348777995E-2</c:v>
                </c:pt>
                <c:pt idx="78">
                  <c:v>-2.475136951529E-2</c:v>
                </c:pt>
                <c:pt idx="79">
                  <c:v>-2.4503855820137005E-2</c:v>
                </c:pt>
                <c:pt idx="80">
                  <c:v>-2.4258817261936003E-2</c:v>
                </c:pt>
                <c:pt idx="81">
                  <c:v>-2.4016229089317012E-2</c:v>
                </c:pt>
                <c:pt idx="82">
                  <c:v>-2.3776066798422993E-2</c:v>
                </c:pt>
                <c:pt idx="83">
                  <c:v>-2.3538306130440015E-2</c:v>
                </c:pt>
                <c:pt idx="84">
                  <c:v>-2.3302923069134993E-2</c:v>
                </c:pt>
                <c:pt idx="85">
                  <c:v>-2.3069893838443989E-2</c:v>
                </c:pt>
                <c:pt idx="86">
                  <c:v>-2.2839194900058993E-2</c:v>
                </c:pt>
                <c:pt idx="87">
                  <c:v>-2.2610802951058995E-2</c:v>
                </c:pt>
                <c:pt idx="88">
                  <c:v>-2.2384694921547987E-2</c:v>
                </c:pt>
                <c:pt idx="89">
                  <c:v>-2.2160847972332989E-2</c:v>
                </c:pt>
                <c:pt idx="90">
                  <c:v>-2.1939239492610008E-2</c:v>
                </c:pt>
                <c:pt idx="91">
                  <c:v>-2.1719847097683001E-2</c:v>
                </c:pt>
                <c:pt idx="92">
                  <c:v>-2.1502648626706991E-2</c:v>
                </c:pt>
                <c:pt idx="93">
                  <c:v>-2.1287622140439999E-2</c:v>
                </c:pt>
                <c:pt idx="94">
                  <c:v>-2.1074745919034993E-2</c:v>
                </c:pt>
                <c:pt idx="95">
                  <c:v>-2.0863998459844296E-2</c:v>
                </c:pt>
                <c:pt idx="96">
                  <c:v>-2.0655358475245605E-2</c:v>
                </c:pt>
                <c:pt idx="97">
                  <c:v>-2.0448804890493305E-2</c:v>
                </c:pt>
                <c:pt idx="98">
                  <c:v>-2.0244316841587812E-2</c:v>
                </c:pt>
                <c:pt idx="99">
                  <c:v>-2.0041873673172894E-2</c:v>
                </c:pt>
                <c:pt idx="100">
                  <c:v>-1.98414549364406E-2</c:v>
                </c:pt>
                <c:pt idx="101">
                  <c:v>-1.9643040387076399E-2</c:v>
                </c:pt>
                <c:pt idx="102">
                  <c:v>-1.944660998320559E-2</c:v>
                </c:pt>
                <c:pt idx="103">
                  <c:v>-1.9252143883373096E-2</c:v>
                </c:pt>
                <c:pt idx="104">
                  <c:v>-1.9059622444539806E-2</c:v>
                </c:pt>
                <c:pt idx="105">
                  <c:v>-1.8869026220094703E-2</c:v>
                </c:pt>
                <c:pt idx="106">
                  <c:v>-1.8680335957893202E-2</c:v>
                </c:pt>
                <c:pt idx="107">
                  <c:v>-1.8493532598314905E-2</c:v>
                </c:pt>
                <c:pt idx="108">
                  <c:v>-1.8308597272331611E-2</c:v>
                </c:pt>
                <c:pt idx="109">
                  <c:v>-1.8125511299607711E-2</c:v>
                </c:pt>
                <c:pt idx="110">
                  <c:v>-1.7944256186612204E-2</c:v>
                </c:pt>
                <c:pt idx="111">
                  <c:v>-1.7764813624745801E-2</c:v>
                </c:pt>
                <c:pt idx="112">
                  <c:v>-1.7587165488498299E-2</c:v>
                </c:pt>
                <c:pt idx="113">
                  <c:v>-1.7411293833613908E-2</c:v>
                </c:pt>
                <c:pt idx="114">
                  <c:v>-1.7237180895277801E-2</c:v>
                </c:pt>
                <c:pt idx="115">
                  <c:v>-1.7064809086325003E-2</c:v>
                </c:pt>
                <c:pt idx="116">
                  <c:v>-1.6894160995461802E-2</c:v>
                </c:pt>
                <c:pt idx="117">
                  <c:v>-1.6725219385507098E-2</c:v>
                </c:pt>
                <c:pt idx="118">
                  <c:v>-1.6557967191651993E-2</c:v>
                </c:pt>
                <c:pt idx="119">
                  <c:v>-1.6392387519735499E-2</c:v>
                </c:pt>
                <c:pt idx="120">
                  <c:v>-1.6228463644538102E-2</c:v>
                </c:pt>
                <c:pt idx="121">
                  <c:v>-1.6066179008092693E-2</c:v>
                </c:pt>
                <c:pt idx="122">
                  <c:v>-1.5905517218011811E-2</c:v>
                </c:pt>
                <c:pt idx="123">
                  <c:v>-1.5746462045831702E-2</c:v>
                </c:pt>
                <c:pt idx="124">
                  <c:v>-1.558899742537341E-2</c:v>
                </c:pt>
                <c:pt idx="125">
                  <c:v>-1.5433107451119699E-2</c:v>
                </c:pt>
                <c:pt idx="126">
                  <c:v>-1.5278776376608502E-2</c:v>
                </c:pt>
                <c:pt idx="127">
                  <c:v>-1.5125988612842492E-2</c:v>
                </c:pt>
                <c:pt idx="128">
                  <c:v>-1.4974728726714001E-2</c:v>
                </c:pt>
                <c:pt idx="129">
                  <c:v>-1.4824981439446897E-2</c:v>
                </c:pt>
                <c:pt idx="130">
                  <c:v>-1.4676731625052397E-2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F7-4E0C-B774-8F8B7716CF17}"/>
            </c:ext>
          </c:extLst>
        </c:ser>
        <c:ser>
          <c:idx val="3"/>
          <c:order val="3"/>
          <c:tx>
            <c:strRef>
              <c:f>Delta!$AO$1</c:f>
              <c:strCache>
                <c:ptCount val="1"/>
                <c:pt idx="0">
                  <c:v>Transitory Safety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Delta!$AK$2:$AK$132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Delta!$AO$2:$AO$132</c:f>
              <c:numCache>
                <c:formatCode>General</c:formatCode>
                <c:ptCount val="131"/>
                <c:pt idx="0">
                  <c:v>-1.4191222041619886E-5</c:v>
                </c:pt>
                <c:pt idx="1">
                  <c:v>-2.0146497042320029E-5</c:v>
                </c:pt>
                <c:pt idx="2">
                  <c:v>-2.6772113373179978E-5</c:v>
                </c:pt>
                <c:pt idx="3">
                  <c:v>-3.4024381937239985E-5</c:v>
                </c:pt>
                <c:pt idx="4">
                  <c:v>-4.1743388615554392E-5</c:v>
                </c:pt>
                <c:pt idx="5">
                  <c:v>-4.9545743446028929E-5</c:v>
                </c:pt>
                <c:pt idx="6">
                  <c:v>-5.6622372996369998E-5</c:v>
                </c:pt>
                <c:pt idx="7">
                  <c:v>-3.5714306579520076E-5</c:v>
                </c:pt>
                <c:pt idx="8">
                  <c:v>-3.3891705150359847E-5</c:v>
                </c:pt>
                <c:pt idx="9">
                  <c:v>-3.2144490073229837E-5</c:v>
                </c:pt>
                <c:pt idx="10">
                  <c:v>-3.0611930668570254E-5</c:v>
                </c:pt>
                <c:pt idx="11">
                  <c:v>-2.9284452892909887E-5</c:v>
                </c:pt>
                <c:pt idx="12">
                  <c:v>-2.8089642592329846E-5</c:v>
                </c:pt>
                <c:pt idx="13">
                  <c:v>-2.6928086576380027E-5</c:v>
                </c:pt>
                <c:pt idx="14">
                  <c:v>-2.5686700453878084E-5</c:v>
                </c:pt>
                <c:pt idx="15">
                  <c:v>-2.4240862822075965E-5</c:v>
                </c:pt>
                <c:pt idx="16">
                  <c:v>-2.2450573778809869E-5</c:v>
                </c:pt>
                <c:pt idx="17">
                  <c:v>-2.015296234306207E-5</c:v>
                </c:pt>
                <c:pt idx="18">
                  <c:v>-1.7151974505298992E-5</c:v>
                </c:pt>
                <c:pt idx="19">
                  <c:v>-1.3205252373566022E-5</c:v>
                </c:pt>
                <c:pt idx="20">
                  <c:v>-8.0077311848210028E-6</c:v>
                </c:pt>
                <c:pt idx="21">
                  <c:v>-1.1711819965790006E-6</c:v>
                </c:pt>
                <c:pt idx="22">
                  <c:v>7.8012345378499588E-6</c:v>
                </c:pt>
                <c:pt idx="23">
                  <c:v>1.9546332383746996E-5</c:v>
                </c:pt>
                <c:pt idx="24">
                  <c:v>3.4878841862273009E-5</c:v>
                </c:pt>
                <c:pt idx="25">
                  <c:v>5.48359915094152E-5</c:v>
                </c:pt>
                <c:pt idx="26">
                  <c:v>8.0728429462176992E-5</c:v>
                </c:pt>
                <c:pt idx="27">
                  <c:v>1.1420234420533496E-4</c:v>
                </c:pt>
                <c:pt idx="28">
                  <c:v>1.3611955548341597E-4</c:v>
                </c:pt>
                <c:pt idx="29">
                  <c:v>1.5430434726453721E-4</c:v>
                </c:pt>
                <c:pt idx="30">
                  <c:v>1.6960838843026538E-4</c:v>
                </c:pt>
                <c:pt idx="31">
                  <c:v>1.8219423858453098E-4</c:v>
                </c:pt>
                <c:pt idx="32">
                  <c:v>1.9276290099231423E-4</c:v>
                </c:pt>
                <c:pt idx="33">
                  <c:v>2.034190986041439E-4</c:v>
                </c:pt>
                <c:pt idx="34">
                  <c:v>2.57105685580006E-4</c:v>
                </c:pt>
                <c:pt idx="35">
                  <c:v>3.0902132558597537E-4</c:v>
                </c:pt>
                <c:pt idx="36">
                  <c:v>3.6135790960459301E-4</c:v>
                </c:pt>
                <c:pt idx="37">
                  <c:v>4.1576688167707242E-4</c:v>
                </c:pt>
                <c:pt idx="38">
                  <c:v>4.7336879864292799E-4</c:v>
                </c:pt>
                <c:pt idx="39">
                  <c:v>5.3501948008843198E-4</c:v>
                </c:pt>
                <c:pt idx="40">
                  <c:v>6.0126770284936828E-4</c:v>
                </c:pt>
                <c:pt idx="41">
                  <c:v>6.7207370907822119E-4</c:v>
                </c:pt>
                <c:pt idx="42">
                  <c:v>7.4727980482960498E-4</c:v>
                </c:pt>
                <c:pt idx="43">
                  <c:v>8.2628946007340593E-4</c:v>
                </c:pt>
                <c:pt idx="44">
                  <c:v>9.0774635351031192E-4</c:v>
                </c:pt>
                <c:pt idx="45">
                  <c:v>9.8971917934874551E-4</c:v>
                </c:pt>
                <c:pt idx="46">
                  <c:v>1.068933293137565E-3</c:v>
                </c:pt>
                <c:pt idx="47">
                  <c:v>1.050162683257853E-3</c:v>
                </c:pt>
                <c:pt idx="48">
                  <c:v>9.9368195855936486E-4</c:v>
                </c:pt>
                <c:pt idx="49">
                  <c:v>8.7563010100517402E-4</c:v>
                </c:pt>
                <c:pt idx="50">
                  <c:v>6.475799177489399E-4</c:v>
                </c:pt>
                <c:pt idx="51">
                  <c:v>3.2302711099447992E-4</c:v>
                </c:pt>
                <c:pt idx="52">
                  <c:v>-1.9292694813385588E-4</c:v>
                </c:pt>
                <c:pt idx="53">
                  <c:v>4.6244652253840998E-3</c:v>
                </c:pt>
                <c:pt idx="54">
                  <c:v>6.3832217510173019E-4</c:v>
                </c:pt>
                <c:pt idx="55">
                  <c:v>1.3770735678677501E-3</c:v>
                </c:pt>
                <c:pt idx="56">
                  <c:v>1.04395004614242E-3</c:v>
                </c:pt>
                <c:pt idx="57">
                  <c:v>5.9912408391736018E-4</c:v>
                </c:pt>
                <c:pt idx="58">
                  <c:v>1.63206887323343E-3</c:v>
                </c:pt>
                <c:pt idx="59">
                  <c:v>8.6394543943879988E-4</c:v>
                </c:pt>
                <c:pt idx="60">
                  <c:v>8.2832344564999808E-4</c:v>
                </c:pt>
                <c:pt idx="61">
                  <c:v>1.4220123991199401E-3</c:v>
                </c:pt>
                <c:pt idx="62">
                  <c:v>1.2550746462381191E-3</c:v>
                </c:pt>
                <c:pt idx="63">
                  <c:v>1.9863177056524406E-3</c:v>
                </c:pt>
                <c:pt idx="64">
                  <c:v>1.0141184920544602E-3</c:v>
                </c:pt>
                <c:pt idx="65">
                  <c:v>8.7575973858683995E-4</c:v>
                </c:pt>
                <c:pt idx="66">
                  <c:v>5.2865712079649008E-4</c:v>
                </c:pt>
                <c:pt idx="67">
                  <c:v>2.7727580513154E-4</c:v>
                </c:pt>
                <c:pt idx="68">
                  <c:v>-1.1192213064700578E-6</c:v>
                </c:pt>
                <c:pt idx="69">
                  <c:v>-4.7108580419075099E-4</c:v>
                </c:pt>
                <c:pt idx="70">
                  <c:v>-4.1591413632969696E-4</c:v>
                </c:pt>
                <c:pt idx="71">
                  <c:v>-2.8972198559188409E-4</c:v>
                </c:pt>
                <c:pt idx="72">
                  <c:v>-2.0181768688217296E-4</c:v>
                </c:pt>
                <c:pt idx="73">
                  <c:v>-1.4058435591453999E-4</c:v>
                </c:pt>
                <c:pt idx="74">
                  <c:v>-9.7929777282677991E-5</c:v>
                </c:pt>
                <c:pt idx="75">
                  <c:v>-6.8216987703690997E-5</c:v>
                </c:pt>
                <c:pt idx="76">
                  <c:v>-4.7519330080931504E-5</c:v>
                </c:pt>
                <c:pt idx="77">
                  <c:v>-3.3101530973573209E-5</c:v>
                </c:pt>
                <c:pt idx="78">
                  <c:v>-2.3058223905258695E-5</c:v>
                </c:pt>
                <c:pt idx="79">
                  <c:v>-1.6062148005087403E-5</c:v>
                </c:pt>
                <c:pt idx="80">
                  <c:v>-1.1188745482584997E-5</c:v>
                </c:pt>
                <c:pt idx="81">
                  <c:v>-7.7939778320830993E-6</c:v>
                </c:pt>
                <c:pt idx="82">
                  <c:v>-5.4292137175453801E-6</c:v>
                </c:pt>
                <c:pt idx="83">
                  <c:v>-3.7819406511277803E-6</c:v>
                </c:pt>
                <c:pt idx="84">
                  <c:v>-2.63446529040503E-6</c:v>
                </c:pt>
                <c:pt idx="85">
                  <c:v>-1.8351444429296298E-6</c:v>
                </c:pt>
                <c:pt idx="86">
                  <c:v>-1.27834484697945E-6</c:v>
                </c:pt>
                <c:pt idx="87">
                  <c:v>-8.9048333800879972E-7</c:v>
                </c:pt>
                <c:pt idx="88">
                  <c:v>-6.2030255620248002E-7</c:v>
                </c:pt>
                <c:pt idx="89">
                  <c:v>-4.3209709324528793E-7</c:v>
                </c:pt>
                <c:pt idx="90">
                  <c:v>-3.0099488808005197E-7</c:v>
                </c:pt>
                <c:pt idx="91">
                  <c:v>-2.0967029032427004E-7</c:v>
                </c:pt>
                <c:pt idx="92">
                  <c:v>-1.4605441029143701E-7</c:v>
                </c:pt>
                <c:pt idx="93">
                  <c:v>-1.0174016974496001E-7</c:v>
                </c:pt>
                <c:pt idx="94">
                  <c:v>-7.0871274832472015E-8</c:v>
                </c:pt>
                <c:pt idx="95">
                  <c:v>-4.9368284787501493E-8</c:v>
                </c:pt>
                <c:pt idx="96">
                  <c:v>-3.4389498461394991E-8</c:v>
                </c:pt>
                <c:pt idx="97">
                  <c:v>-2.3955412809371193E-8</c:v>
                </c:pt>
                <c:pt idx="98">
                  <c:v>-1.6687124104645401E-8</c:v>
                </c:pt>
                <c:pt idx="99">
                  <c:v>-1.1624100615404602E-8</c:v>
                </c:pt>
                <c:pt idx="100">
                  <c:v>-8.0972447172873005E-9</c:v>
                </c:pt>
                <c:pt idx="101">
                  <c:v>-5.6404691212486902E-9</c:v>
                </c:pt>
                <c:pt idx="102">
                  <c:v>-3.9291016821527802E-9</c:v>
                </c:pt>
                <c:pt idx="103">
                  <c:v>-2.7369787514658995E-9</c:v>
                </c:pt>
                <c:pt idx="104">
                  <c:v>-1.9065567989422402E-9</c:v>
                </c:pt>
                <c:pt idx="105">
                  <c:v>-1.3280924414942999E-9</c:v>
                </c:pt>
                <c:pt idx="106">
                  <c:v>-9.251394416136E-10</c:v>
                </c:pt>
                <c:pt idx="107">
                  <c:v>-6.4444604903988998E-10</c:v>
                </c:pt>
                <c:pt idx="108">
                  <c:v>-4.4891758131373705E-10</c:v>
                </c:pt>
                <c:pt idx="109">
                  <c:v>-3.1271422171717104E-10</c:v>
                </c:pt>
                <c:pt idx="110">
                  <c:v>-2.1783619012891696E-10</c:v>
                </c:pt>
                <c:pt idx="111">
                  <c:v>-1.5174500425651197E-10</c:v>
                </c:pt>
                <c:pt idx="112">
                  <c:v>-1.0570647195402403E-10</c:v>
                </c:pt>
                <c:pt idx="113">
                  <c:v>-7.3636434816989011E-11</c:v>
                </c:pt>
                <c:pt idx="114">
                  <c:v>-5.1296723721445199E-11</c:v>
                </c:pt>
                <c:pt idx="115">
                  <c:v>-3.5735068802047693E-11</c:v>
                </c:pt>
                <c:pt idx="116">
                  <c:v>-2.4894945862496296E-11</c:v>
                </c:pt>
                <c:pt idx="117">
                  <c:v>-1.7343798951371801E-11</c:v>
                </c:pt>
                <c:pt idx="118">
                  <c:v>-1.2083722692739999E-11</c:v>
                </c:pt>
                <c:pt idx="119">
                  <c:v>-8.4195853281811983E-12</c:v>
                </c:pt>
                <c:pt idx="120">
                  <c:v>-5.867164433346802E-12</c:v>
                </c:pt>
                <c:pt idx="121">
                  <c:v>-4.0891550978419592E-12</c:v>
                </c:pt>
                <c:pt idx="122">
                  <c:v>-2.8505938082844308E-12</c:v>
                </c:pt>
                <c:pt idx="123">
                  <c:v>-1.9878071327216003E-12</c:v>
                </c:pt>
                <c:pt idx="124">
                  <c:v>-1.3867816580443997E-12</c:v>
                </c:pt>
                <c:pt idx="125">
                  <c:v>-9.6809668612064017E-13</c:v>
                </c:pt>
                <c:pt idx="126">
                  <c:v>-6.7642848766283009E-13</c:v>
                </c:pt>
                <c:pt idx="127">
                  <c:v>-4.7323906142520903E-13</c:v>
                </c:pt>
                <c:pt idx="128">
                  <c:v>-3.3168319070329901E-13</c:v>
                </c:pt>
                <c:pt idx="129">
                  <c:v>-2.3306074545674996E-13</c:v>
                </c:pt>
                <c:pt idx="130">
                  <c:v>-1.6434538840773299E-13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F7-4E0C-B774-8F8B7716CF17}"/>
            </c:ext>
          </c:extLst>
        </c:ser>
        <c:ser>
          <c:idx val="4"/>
          <c:order val="4"/>
          <c:tx>
            <c:strRef>
              <c:f>Delta!$AP$1</c:f>
              <c:strCache>
                <c:ptCount val="1"/>
                <c:pt idx="0">
                  <c:v>Permanent Safety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Delta!$AK$2:$AK$132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Delta!$AP$2:$AP$132</c:f>
              <c:numCache>
                <c:formatCode>General</c:formatCode>
                <c:ptCount val="131"/>
                <c:pt idx="0">
                  <c:v>-6.976224816167198E-2</c:v>
                </c:pt>
                <c:pt idx="1">
                  <c:v>-7.0613878753428061E-2</c:v>
                </c:pt>
                <c:pt idx="2">
                  <c:v>-7.1420982328955995E-2</c:v>
                </c:pt>
                <c:pt idx="3">
                  <c:v>-7.2174085617082939E-2</c:v>
                </c:pt>
                <c:pt idx="4">
                  <c:v>-7.2863325779027044E-2</c:v>
                </c:pt>
                <c:pt idx="5">
                  <c:v>-7.3478816265112989E-2</c:v>
                </c:pt>
                <c:pt idx="6">
                  <c:v>-7.4010944032862958E-2</c:v>
                </c:pt>
                <c:pt idx="7">
                  <c:v>-7.4718524692216987E-2</c:v>
                </c:pt>
                <c:pt idx="8">
                  <c:v>-7.8000084518210999E-2</c:v>
                </c:pt>
                <c:pt idx="9">
                  <c:v>-8.1375452106764973E-2</c:v>
                </c:pt>
                <c:pt idx="10">
                  <c:v>-8.485731679505798E-2</c:v>
                </c:pt>
                <c:pt idx="11">
                  <c:v>-8.8457387632254997E-2</c:v>
                </c:pt>
                <c:pt idx="12">
                  <c:v>-9.2187463234814498E-2</c:v>
                </c:pt>
                <c:pt idx="13">
                  <c:v>-9.6059970939330691E-2</c:v>
                </c:pt>
                <c:pt idx="14">
                  <c:v>-0.100088471941829</c:v>
                </c:pt>
                <c:pt idx="15">
                  <c:v>-0.10428820986859631</c:v>
                </c:pt>
                <c:pt idx="16">
                  <c:v>-0.10867675171491299</c:v>
                </c:pt>
                <c:pt idx="17">
                  <c:v>-0.11327476712348697</c:v>
                </c:pt>
                <c:pt idx="18">
                  <c:v>-0.11810699636503097</c:v>
                </c:pt>
                <c:pt idx="19">
                  <c:v>-0.12320346633590701</c:v>
                </c:pt>
                <c:pt idx="20">
                  <c:v>-0.12860102690054903</c:v>
                </c:pt>
                <c:pt idx="21">
                  <c:v>-0.13434529708781001</c:v>
                </c:pt>
                <c:pt idx="22">
                  <c:v>-0.14049313209590797</c:v>
                </c:pt>
                <c:pt idx="23">
                  <c:v>-0.14711574656894499</c:v>
                </c:pt>
                <c:pt idx="24">
                  <c:v>-0.15430264964610302</c:v>
                </c:pt>
                <c:pt idx="25">
                  <c:v>-0.162166528075884</c:v>
                </c:pt>
                <c:pt idx="26">
                  <c:v>-0.17084900032627798</c:v>
                </c:pt>
                <c:pt idx="27">
                  <c:v>-0.18052578385242102</c:v>
                </c:pt>
                <c:pt idx="28">
                  <c:v>-0.19442806413867397</c:v>
                </c:pt>
                <c:pt idx="29">
                  <c:v>-0.20932384535786003</c:v>
                </c:pt>
                <c:pt idx="30">
                  <c:v>-0.225009796084466</c:v>
                </c:pt>
                <c:pt idx="31">
                  <c:v>-0.24142644700233706</c:v>
                </c:pt>
                <c:pt idx="32">
                  <c:v>-0.258561106031301</c:v>
                </c:pt>
                <c:pt idx="33">
                  <c:v>-0.276356266947544</c:v>
                </c:pt>
                <c:pt idx="34">
                  <c:v>-0.29494808670817696</c:v>
                </c:pt>
                <c:pt idx="35">
                  <c:v>-0.31404358372512198</c:v>
                </c:pt>
                <c:pt idx="36">
                  <c:v>-0.33377732056360199</c:v>
                </c:pt>
                <c:pt idx="37">
                  <c:v>-0.35427371484459902</c:v>
                </c:pt>
                <c:pt idx="38">
                  <c:v>-0.37565502197928002</c:v>
                </c:pt>
                <c:pt idx="39">
                  <c:v>-0.39804776989990398</c:v>
                </c:pt>
                <c:pt idx="40">
                  <c:v>-0.42158490393449738</c:v>
                </c:pt>
                <c:pt idx="41">
                  <c:v>-0.44640422778771538</c:v>
                </c:pt>
                <c:pt idx="42">
                  <c:v>-0.47265339936363376</c:v>
                </c:pt>
                <c:pt idx="43">
                  <c:v>-0.50048953523212381</c:v>
                </c:pt>
                <c:pt idx="44">
                  <c:v>-0.53007878627373695</c:v>
                </c:pt>
                <c:pt idx="45">
                  <c:v>-0.56160359299702833</c:v>
                </c:pt>
                <c:pt idx="46">
                  <c:v>-0.59526452152074416</c:v>
                </c:pt>
                <c:pt idx="47">
                  <c:v>-0.63019070232576013</c:v>
                </c:pt>
                <c:pt idx="48">
                  <c:v>-0.66703428515696406</c:v>
                </c:pt>
                <c:pt idx="49">
                  <c:v>-0.70614421219368495</c:v>
                </c:pt>
                <c:pt idx="50">
                  <c:v>-0.74747619300929502</c:v>
                </c:pt>
                <c:pt idx="51">
                  <c:v>-0.79180780092237357</c:v>
                </c:pt>
                <c:pt idx="52">
                  <c:v>-0.83900885539367398</c:v>
                </c:pt>
                <c:pt idx="53">
                  <c:v>-0.802219225194714</c:v>
                </c:pt>
                <c:pt idx="54">
                  <c:v>-0.81514187268224791</c:v>
                </c:pt>
                <c:pt idx="55">
                  <c:v>-0.86541295529110795</c:v>
                </c:pt>
                <c:pt idx="56">
                  <c:v>-0.877721770707515</c:v>
                </c:pt>
                <c:pt idx="57">
                  <c:v>-0.87294092224747888</c:v>
                </c:pt>
                <c:pt idx="58">
                  <c:v>-0.70337568817081397</c:v>
                </c:pt>
                <c:pt idx="59">
                  <c:v>-0.72513611484543405</c:v>
                </c:pt>
                <c:pt idx="60">
                  <c:v>-0.63929165368309804</c:v>
                </c:pt>
                <c:pt idx="61">
                  <c:v>-0.3946933152492858</c:v>
                </c:pt>
                <c:pt idx="62">
                  <c:v>-0.4181417134688431</c:v>
                </c:pt>
                <c:pt idx="63">
                  <c:v>-0.27436288299313333</c:v>
                </c:pt>
                <c:pt idx="64">
                  <c:v>-0.21284750047731971</c:v>
                </c:pt>
                <c:pt idx="65">
                  <c:v>-0.18914910569756882</c:v>
                </c:pt>
                <c:pt idx="66">
                  <c:v>-0.11033936960428301</c:v>
                </c:pt>
                <c:pt idx="67">
                  <c:v>-0.1361597045089622</c:v>
                </c:pt>
                <c:pt idx="68">
                  <c:v>-0.1307234529686063</c:v>
                </c:pt>
                <c:pt idx="69">
                  <c:v>-0.23533033302232947</c:v>
                </c:pt>
                <c:pt idx="70">
                  <c:v>-0.27268775836915748</c:v>
                </c:pt>
                <c:pt idx="71">
                  <c:v>-0.26996088078546659</c:v>
                </c:pt>
                <c:pt idx="72">
                  <c:v>-0.26726127197761151</c:v>
                </c:pt>
                <c:pt idx="73">
                  <c:v>-0.26458865925783531</c:v>
                </c:pt>
                <c:pt idx="74">
                  <c:v>-0.26194277266525751</c:v>
                </c:pt>
                <c:pt idx="75">
                  <c:v>-0.25932334493860459</c:v>
                </c:pt>
                <c:pt idx="76">
                  <c:v>-0.2567301114892192</c:v>
                </c:pt>
                <c:pt idx="77">
                  <c:v>-0.25416281037432659</c:v>
                </c:pt>
                <c:pt idx="78">
                  <c:v>-0.25162118227058367</c:v>
                </c:pt>
                <c:pt idx="79">
                  <c:v>-0.24910497044787822</c:v>
                </c:pt>
                <c:pt idx="80">
                  <c:v>-0.24661392074339888</c:v>
                </c:pt>
                <c:pt idx="81">
                  <c:v>-0.2441477815359657</c:v>
                </c:pt>
                <c:pt idx="82">
                  <c:v>-0.24170630372060609</c:v>
                </c:pt>
                <c:pt idx="83">
                  <c:v>-0.2392892406833993</c:v>
                </c:pt>
                <c:pt idx="84">
                  <c:v>-0.23689634827656561</c:v>
                </c:pt>
                <c:pt idx="85">
                  <c:v>-0.23452738479380061</c:v>
                </c:pt>
                <c:pt idx="86">
                  <c:v>-0.23218211094586189</c:v>
                </c:pt>
                <c:pt idx="87">
                  <c:v>-0.22986028983640328</c:v>
                </c:pt>
                <c:pt idx="88">
                  <c:v>-0.22756168693803999</c:v>
                </c:pt>
                <c:pt idx="89">
                  <c:v>-0.2252860700686595</c:v>
                </c:pt>
                <c:pt idx="90">
                  <c:v>-0.22303320936797311</c:v>
                </c:pt>
                <c:pt idx="91">
                  <c:v>-0.22080287727429349</c:v>
                </c:pt>
                <c:pt idx="92">
                  <c:v>-0.21859484850154992</c:v>
                </c:pt>
                <c:pt idx="93">
                  <c:v>-0.2164089000165344</c:v>
                </c:pt>
                <c:pt idx="94">
                  <c:v>-0.21424481101636969</c:v>
                </c:pt>
                <c:pt idx="95">
                  <c:v>-0.2121023629062056</c:v>
                </c:pt>
                <c:pt idx="96">
                  <c:v>-0.20998133927714399</c:v>
                </c:pt>
                <c:pt idx="97">
                  <c:v>-0.20788152588437242</c:v>
                </c:pt>
                <c:pt idx="98">
                  <c:v>-0.20580271062552902</c:v>
                </c:pt>
                <c:pt idx="99">
                  <c:v>-0.2037446835192735</c:v>
                </c:pt>
                <c:pt idx="100">
                  <c:v>-0.20170723668408092</c:v>
                </c:pt>
                <c:pt idx="101">
                  <c:v>-0.19969016431724051</c:v>
                </c:pt>
                <c:pt idx="102">
                  <c:v>-0.197693262674068</c:v>
                </c:pt>
                <c:pt idx="103">
                  <c:v>-0.19571633004732719</c:v>
                </c:pt>
                <c:pt idx="104">
                  <c:v>-0.19375916674685428</c:v>
                </c:pt>
                <c:pt idx="105">
                  <c:v>-0.19182157507938538</c:v>
                </c:pt>
                <c:pt idx="106">
                  <c:v>-0.18990335932859131</c:v>
                </c:pt>
                <c:pt idx="107">
                  <c:v>-0.1880043257353059</c:v>
                </c:pt>
                <c:pt idx="108">
                  <c:v>-0.1861242824779529</c:v>
                </c:pt>
                <c:pt idx="109">
                  <c:v>-0.18426303965317298</c:v>
                </c:pt>
                <c:pt idx="110">
                  <c:v>-0.18242040925664171</c:v>
                </c:pt>
                <c:pt idx="111">
                  <c:v>-0.18059620516407501</c:v>
                </c:pt>
                <c:pt idx="112">
                  <c:v>-0.1787902431124348</c:v>
                </c:pt>
                <c:pt idx="113">
                  <c:v>-0.17700234068130988</c:v>
                </c:pt>
                <c:pt idx="114">
                  <c:v>-0.17523231727449731</c:v>
                </c:pt>
                <c:pt idx="115">
                  <c:v>-0.1734799941017518</c:v>
                </c:pt>
                <c:pt idx="116">
                  <c:v>-0.171745194160735</c:v>
                </c:pt>
                <c:pt idx="117">
                  <c:v>-0.17002774221912689</c:v>
                </c:pt>
                <c:pt idx="118">
                  <c:v>-0.16832746479693628</c:v>
                </c:pt>
                <c:pt idx="119">
                  <c:v>-0.16664419014896631</c:v>
                </c:pt>
                <c:pt idx="120">
                  <c:v>-0.16497774824747721</c:v>
                </c:pt>
                <c:pt idx="121">
                  <c:v>-0.16332797076500188</c:v>
                </c:pt>
                <c:pt idx="122">
                  <c:v>-0.16169469105735221</c:v>
                </c:pt>
                <c:pt idx="123">
                  <c:v>-0.16007774414677942</c:v>
                </c:pt>
                <c:pt idx="124">
                  <c:v>-0.15847696670531169</c:v>
                </c:pt>
                <c:pt idx="125">
                  <c:v>-0.15689219703825769</c:v>
                </c:pt>
                <c:pt idx="126">
                  <c:v>-0.15532327506787508</c:v>
                </c:pt>
                <c:pt idx="127">
                  <c:v>-0.1537700423171966</c:v>
                </c:pt>
                <c:pt idx="128">
                  <c:v>-0.1522323418940246</c:v>
                </c:pt>
                <c:pt idx="129">
                  <c:v>-0.15071001847508461</c:v>
                </c:pt>
                <c:pt idx="130">
                  <c:v>-0.14920291829033372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F7-4E0C-B774-8F8B7716CF17}"/>
            </c:ext>
          </c:extLst>
        </c:ser>
        <c:ser>
          <c:idx val="5"/>
          <c:order val="5"/>
          <c:tx>
            <c:strRef>
              <c:f>Delta!$AQ$1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rgbClr val="4CAF5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Delta!$AK$2:$AK$132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Delta!$AQ$2:$AQ$132</c:f>
              <c:numCache>
                <c:formatCode>General</c:formatCode>
                <c:ptCount val="131"/>
                <c:pt idx="0">
                  <c:v>-1.0250825397767005E-2</c:v>
                </c:pt>
                <c:pt idx="1">
                  <c:v>-1.0212771595500398E-2</c:v>
                </c:pt>
                <c:pt idx="2">
                  <c:v>-1.0163341467724699E-2</c:v>
                </c:pt>
                <c:pt idx="3">
                  <c:v>-1.0100534906748102E-2</c:v>
                </c:pt>
                <c:pt idx="4">
                  <c:v>-1.0021747851891097E-2</c:v>
                </c:pt>
                <c:pt idx="5">
                  <c:v>-9.9234895739064091E-3</c:v>
                </c:pt>
                <c:pt idx="6">
                  <c:v>-9.8010655457028001E-3</c:v>
                </c:pt>
                <c:pt idx="7">
                  <c:v>-9.45435415865346E-3</c:v>
                </c:pt>
                <c:pt idx="8">
                  <c:v>-9.8535346156661957E-3</c:v>
                </c:pt>
                <c:pt idx="9">
                  <c:v>-1.0237583595139599E-2</c:v>
                </c:pt>
                <c:pt idx="10">
                  <c:v>-1.061127898129402E-2</c:v>
                </c:pt>
                <c:pt idx="11">
                  <c:v>-1.097767947563999E-2</c:v>
                </c:pt>
                <c:pt idx="12">
                  <c:v>-1.1339264090515E-2</c:v>
                </c:pt>
                <c:pt idx="13">
                  <c:v>-1.1698342489166985E-2</c:v>
                </c:pt>
                <c:pt idx="14">
                  <c:v>-1.2057250454682006E-2</c:v>
                </c:pt>
                <c:pt idx="15">
                  <c:v>-1.2418480436144991E-2</c:v>
                </c:pt>
                <c:pt idx="16">
                  <c:v>-1.2784793279242979E-2</c:v>
                </c:pt>
                <c:pt idx="17">
                  <c:v>-1.3159329955577004E-2</c:v>
                </c:pt>
                <c:pt idx="18">
                  <c:v>-1.3545734922176006E-2</c:v>
                </c:pt>
                <c:pt idx="19">
                  <c:v>-1.394830122381302E-2</c:v>
                </c:pt>
                <c:pt idx="20">
                  <c:v>-1.4372147917837003E-2</c:v>
                </c:pt>
                <c:pt idx="21">
                  <c:v>-1.4823441912586999E-2</c:v>
                </c:pt>
                <c:pt idx="22">
                  <c:v>-1.5309678586897024E-2</c:v>
                </c:pt>
                <c:pt idx="23">
                  <c:v>-1.5840038329049011E-2</c:v>
                </c:pt>
                <c:pt idx="24">
                  <c:v>-1.6425838560216982E-2</c:v>
                </c:pt>
                <c:pt idx="25">
                  <c:v>-1.7081099916497006E-2</c:v>
                </c:pt>
                <c:pt idx="26">
                  <c:v>-1.7823229988622014E-2</c:v>
                </c:pt>
                <c:pt idx="27">
                  <c:v>-1.8673741578968006E-2</c:v>
                </c:pt>
                <c:pt idx="28">
                  <c:v>-2.0424740212387799E-2</c:v>
                </c:pt>
                <c:pt idx="29">
                  <c:v>-2.2336694363762594E-2</c:v>
                </c:pt>
                <c:pt idx="30">
                  <c:v>-2.4337640542364897E-2</c:v>
                </c:pt>
                <c:pt idx="31">
                  <c:v>-2.6375582512391096E-2</c:v>
                </c:pt>
                <c:pt idx="32">
                  <c:v>-2.8388124332883301E-2</c:v>
                </c:pt>
                <c:pt idx="33">
                  <c:v>-3.0281943389241797E-2</c:v>
                </c:pt>
                <c:pt idx="34">
                  <c:v>-3.1734242417672788E-2</c:v>
                </c:pt>
                <c:pt idx="35">
                  <c:v>-3.3163796481293001E-2</c:v>
                </c:pt>
                <c:pt idx="36">
                  <c:v>-3.4569475301314004E-2</c:v>
                </c:pt>
                <c:pt idx="37">
                  <c:v>-3.5958639283076313E-2</c:v>
                </c:pt>
                <c:pt idx="38">
                  <c:v>-3.7344564920069233E-2</c:v>
                </c:pt>
                <c:pt idx="39">
                  <c:v>-3.8743300297814101E-2</c:v>
                </c:pt>
                <c:pt idx="40">
                  <c:v>-4.0173305844440774E-2</c:v>
                </c:pt>
                <c:pt idx="41">
                  <c:v>-4.1651549744801702E-2</c:v>
                </c:pt>
                <c:pt idx="42">
                  <c:v>-4.3201685103082796E-2</c:v>
                </c:pt>
                <c:pt idx="43">
                  <c:v>-4.4851481186091502E-2</c:v>
                </c:pt>
                <c:pt idx="44">
                  <c:v>-4.6630690261164801E-2</c:v>
                </c:pt>
                <c:pt idx="45">
                  <c:v>-4.857069680079331E-2</c:v>
                </c:pt>
                <c:pt idx="46">
                  <c:v>-5.0685784430845829E-2</c:v>
                </c:pt>
                <c:pt idx="47">
                  <c:v>-5.2088786125923929E-2</c:v>
                </c:pt>
                <c:pt idx="48">
                  <c:v>-5.6231405148296415E-2</c:v>
                </c:pt>
                <c:pt idx="49">
                  <c:v>-6.1507442462662307E-2</c:v>
                </c:pt>
                <c:pt idx="50">
                  <c:v>-6.7052372323203907E-2</c:v>
                </c:pt>
                <c:pt idx="51">
                  <c:v>-7.1232758030681506E-2</c:v>
                </c:pt>
                <c:pt idx="52">
                  <c:v>-7.2245897432084302E-2</c:v>
                </c:pt>
                <c:pt idx="53">
                  <c:v>-1.1691786812588006E-2</c:v>
                </c:pt>
                <c:pt idx="54">
                  <c:v>-4.8707878635056399E-2</c:v>
                </c:pt>
                <c:pt idx="55">
                  <c:v>-4.4268721527707999E-2</c:v>
                </c:pt>
                <c:pt idx="56">
                  <c:v>-4.2499211216622798E-2</c:v>
                </c:pt>
                <c:pt idx="57">
                  <c:v>-3.7352022095459902E-2</c:v>
                </c:pt>
                <c:pt idx="58">
                  <c:v>1.5948476975662648E-2</c:v>
                </c:pt>
                <c:pt idx="59">
                  <c:v>7.3146193318211795E-3</c:v>
                </c:pt>
                <c:pt idx="60">
                  <c:v>2.9586159456393105E-2</c:v>
                </c:pt>
                <c:pt idx="61">
                  <c:v>9.1533652173065416E-2</c:v>
                </c:pt>
                <c:pt idx="62">
                  <c:v>8.2871683715905309E-2</c:v>
                </c:pt>
                <c:pt idx="63">
                  <c:v>0.11727767589187071</c:v>
                </c:pt>
                <c:pt idx="64">
                  <c:v>0.1147428749832123</c:v>
                </c:pt>
                <c:pt idx="65">
                  <c:v>0.11100482772543399</c:v>
                </c:pt>
                <c:pt idx="66">
                  <c:v>0.11672989594225809</c:v>
                </c:pt>
                <c:pt idx="67">
                  <c:v>0.1004957813695484</c:v>
                </c:pt>
                <c:pt idx="68">
                  <c:v>9.1512307214385913E-2</c:v>
                </c:pt>
                <c:pt idx="69">
                  <c:v>5.7674371959451298E-2</c:v>
                </c:pt>
                <c:pt idx="70">
                  <c:v>4.5716769754634901E-2</c:v>
                </c:pt>
                <c:pt idx="71">
                  <c:v>4.4639231682472288E-2</c:v>
                </c:pt>
                <c:pt idx="72">
                  <c:v>4.3677964946416001E-2</c:v>
                </c:pt>
                <c:pt idx="73">
                  <c:v>4.2810620992966203E-2</c:v>
                </c:pt>
                <c:pt idx="74">
                  <c:v>4.2019251513549294E-2</c:v>
                </c:pt>
                <c:pt idx="75">
                  <c:v>4.1289438838370794E-2</c:v>
                </c:pt>
                <c:pt idx="76">
                  <c:v>4.0609599330661696E-2</c:v>
                </c:pt>
                <c:pt idx="77">
                  <c:v>3.9970425185233902E-2</c:v>
                </c:pt>
                <c:pt idx="78">
                  <c:v>3.9364436976594502E-2</c:v>
                </c:pt>
                <c:pt idx="79">
                  <c:v>3.8785624847772704E-2</c:v>
                </c:pt>
                <c:pt idx="80">
                  <c:v>3.8229160662262403E-2</c:v>
                </c:pt>
                <c:pt idx="81">
                  <c:v>3.7691166982452305E-2</c:v>
                </c:pt>
                <c:pt idx="82">
                  <c:v>3.7168531567696096E-2</c:v>
                </c:pt>
                <c:pt idx="83">
                  <c:v>3.6658758346853199E-2</c:v>
                </c:pt>
                <c:pt idx="84">
                  <c:v>3.6159847627939806E-2</c:v>
                </c:pt>
                <c:pt idx="85">
                  <c:v>3.5670199752732105E-2</c:v>
                </c:pt>
                <c:pt idx="86">
                  <c:v>3.5188537559653094E-2</c:v>
                </c:pt>
                <c:pt idx="87">
                  <c:v>3.4713843942241598E-2</c:v>
                </c:pt>
                <c:pt idx="88">
                  <c:v>3.4245311529486004E-2</c:v>
                </c:pt>
                <c:pt idx="89">
                  <c:v>3.3782302105416204E-2</c:v>
                </c:pt>
                <c:pt idx="90">
                  <c:v>3.3324313858292799E-2</c:v>
                </c:pt>
                <c:pt idx="91">
                  <c:v>3.2870954928199601E-2</c:v>
                </c:pt>
                <c:pt idx="92">
                  <c:v>3.2421922024783001E-2</c:v>
                </c:pt>
                <c:pt idx="93">
                  <c:v>3.19769831294381E-2</c:v>
                </c:pt>
                <c:pt idx="94">
                  <c:v>3.1535963490484098E-2</c:v>
                </c:pt>
                <c:pt idx="95">
                  <c:v>3.1098734275501302E-2</c:v>
                </c:pt>
                <c:pt idx="96">
                  <c:v>3.0665203369708603E-2</c:v>
                </c:pt>
                <c:pt idx="97">
                  <c:v>3.02353079092515E-2</c:v>
                </c:pt>
                <c:pt idx="98">
                  <c:v>2.9809008218461198E-2</c:v>
                </c:pt>
                <c:pt idx="99">
                  <c:v>2.9386282884490501E-2</c:v>
                </c:pt>
                <c:pt idx="100">
                  <c:v>2.8967124754392403E-2</c:v>
                </c:pt>
                <c:pt idx="101">
                  <c:v>2.8551537681200303E-2</c:v>
                </c:pt>
                <c:pt idx="102">
                  <c:v>2.81395338789154E-2</c:v>
                </c:pt>
                <c:pt idx="103">
                  <c:v>2.7731131773130399E-2</c:v>
                </c:pt>
                <c:pt idx="104">
                  <c:v>2.7326354255600701E-2</c:v>
                </c:pt>
                <c:pt idx="105">
                  <c:v>2.69252272684606E-2</c:v>
                </c:pt>
                <c:pt idx="106">
                  <c:v>2.6527778657793898E-2</c:v>
                </c:pt>
                <c:pt idx="107">
                  <c:v>2.6134037247573797E-2</c:v>
                </c:pt>
                <c:pt idx="108">
                  <c:v>2.57440320941189E-2</c:v>
                </c:pt>
                <c:pt idx="109">
                  <c:v>2.5357791888590199E-2</c:v>
                </c:pt>
                <c:pt idx="110">
                  <c:v>2.4975344481029102E-2</c:v>
                </c:pt>
                <c:pt idx="111">
                  <c:v>2.4596716504276302E-2</c:v>
                </c:pt>
                <c:pt idx="112">
                  <c:v>2.4221933080037696E-2</c:v>
                </c:pt>
                <c:pt idx="113">
                  <c:v>2.3851017592553196E-2</c:v>
                </c:pt>
                <c:pt idx="114">
                  <c:v>2.3483991517922104E-2</c:v>
                </c:pt>
                <c:pt idx="115">
                  <c:v>2.3120874299251096E-2</c:v>
                </c:pt>
                <c:pt idx="116">
                  <c:v>2.2761683259517797E-2</c:v>
                </c:pt>
                <c:pt idx="117">
                  <c:v>2.2406433545454997E-2</c:v>
                </c:pt>
                <c:pt idx="118">
                  <c:v>2.2055138096916997E-2</c:v>
                </c:pt>
                <c:pt idx="119">
                  <c:v>2.1707807637134605E-2</c:v>
                </c:pt>
                <c:pt idx="120">
                  <c:v>2.1364450680049798E-2</c:v>
                </c:pt>
                <c:pt idx="121">
                  <c:v>2.1025073551559397E-2</c:v>
                </c:pt>
                <c:pt idx="122">
                  <c:v>2.0689680422029903E-2</c:v>
                </c:pt>
                <c:pt idx="123">
                  <c:v>2.0358273347882198E-2</c:v>
                </c:pt>
                <c:pt idx="124">
                  <c:v>2.0030852320410901E-2</c:v>
                </c:pt>
                <c:pt idx="125">
                  <c:v>1.9707415320302596E-2</c:v>
                </c:pt>
                <c:pt idx="126">
                  <c:v>1.9387958376568898E-2</c:v>
                </c:pt>
                <c:pt idx="127">
                  <c:v>1.9072475628823596E-2</c:v>
                </c:pt>
                <c:pt idx="128">
                  <c:v>1.8760959392002299E-2</c:v>
                </c:pt>
                <c:pt idx="129">
                  <c:v>1.84534002227765E-2</c:v>
                </c:pt>
                <c:pt idx="130">
                  <c:v>1.8149786987030604E-2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F7-4E0C-B774-8F8B7716CF17}"/>
            </c:ext>
          </c:extLst>
        </c:ser>
        <c:ser>
          <c:idx val="6"/>
          <c:order val="6"/>
          <c:tx>
            <c:strRef>
              <c:f>Delta!$AR$1</c:f>
              <c:strCache>
                <c:ptCount val="1"/>
                <c:pt idx="0">
                  <c:v>TFP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Delta!$AK$2:$AK$132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Delta!$AR$2:$AR$132</c:f>
              <c:numCache>
                <c:formatCode>General</c:formatCode>
                <c:ptCount val="131"/>
                <c:pt idx="0">
                  <c:v>9.1536633808680101E-3</c:v>
                </c:pt>
                <c:pt idx="1">
                  <c:v>9.421977888381991E-3</c:v>
                </c:pt>
                <c:pt idx="2">
                  <c:v>9.7164833307360199E-3</c:v>
                </c:pt>
                <c:pt idx="3">
                  <c:v>1.0040547527412985E-2</c:v>
                </c:pt>
                <c:pt idx="4">
                  <c:v>1.0398312194890014E-2</c:v>
                </c:pt>
                <c:pt idx="5">
                  <c:v>1.0795258573867011E-2</c:v>
                </c:pt>
                <c:pt idx="6">
                  <c:v>1.1239000468860005E-2</c:v>
                </c:pt>
                <c:pt idx="7">
                  <c:v>1.173840887960198E-2</c:v>
                </c:pt>
                <c:pt idx="8">
                  <c:v>1.2224860586109998E-2</c:v>
                </c:pt>
                <c:pt idx="9">
                  <c:v>1.2733707180095005E-2</c:v>
                </c:pt>
                <c:pt idx="10">
                  <c:v>1.3262773641164002E-2</c:v>
                </c:pt>
                <c:pt idx="11">
                  <c:v>1.3810976736230801E-2</c:v>
                </c:pt>
                <c:pt idx="12">
                  <c:v>1.4377997522645597E-2</c:v>
                </c:pt>
                <c:pt idx="13">
                  <c:v>1.4963801556590196E-2</c:v>
                </c:pt>
                <c:pt idx="14">
                  <c:v>1.556842353139393E-2</c:v>
                </c:pt>
                <c:pt idx="15">
                  <c:v>1.619186664097336E-2</c:v>
                </c:pt>
                <c:pt idx="16">
                  <c:v>1.6834044365130543E-2</c:v>
                </c:pt>
                <c:pt idx="17">
                  <c:v>1.7494732758910319E-2</c:v>
                </c:pt>
                <c:pt idx="18">
                  <c:v>1.8173518529343909E-2</c:v>
                </c:pt>
                <c:pt idx="19">
                  <c:v>1.88697351342219E-2</c:v>
                </c:pt>
                <c:pt idx="20">
                  <c:v>1.9582381752784803E-2</c:v>
                </c:pt>
                <c:pt idx="21">
                  <c:v>2.0310021089681704E-2</c:v>
                </c:pt>
                <c:pt idx="22">
                  <c:v>2.1050653464789602E-2</c:v>
                </c:pt>
                <c:pt idx="23">
                  <c:v>2.18015689682391E-2</c:v>
                </c:pt>
                <c:pt idx="24">
                  <c:v>2.2559191769692497E-2</c:v>
                </c:pt>
                <c:pt idx="25">
                  <c:v>2.3318963249928687E-2</c:v>
                </c:pt>
                <c:pt idx="26">
                  <c:v>2.407537964494709E-2</c:v>
                </c:pt>
                <c:pt idx="27">
                  <c:v>2.4821702006450994E-2</c:v>
                </c:pt>
                <c:pt idx="28">
                  <c:v>2.5468378179939993E-2</c:v>
                </c:pt>
                <c:pt idx="29">
                  <c:v>2.6033155306922989E-2</c:v>
                </c:pt>
                <c:pt idx="30">
                  <c:v>2.6502694343432998E-2</c:v>
                </c:pt>
                <c:pt idx="31">
                  <c:v>2.6862841275073018E-2</c:v>
                </c:pt>
                <c:pt idx="32">
                  <c:v>2.7098143695936022E-2</c:v>
                </c:pt>
                <c:pt idx="33">
                  <c:v>2.7192571440918994E-2</c:v>
                </c:pt>
                <c:pt idx="34">
                  <c:v>2.7183070537091986E-2</c:v>
                </c:pt>
                <c:pt idx="35">
                  <c:v>2.7012313889815981E-2</c:v>
                </c:pt>
                <c:pt idx="36">
                  <c:v>2.6680463777107005E-2</c:v>
                </c:pt>
                <c:pt idx="37">
                  <c:v>2.6181203360135991E-2</c:v>
                </c:pt>
                <c:pt idx="38">
                  <c:v>2.5503660452908E-2</c:v>
                </c:pt>
                <c:pt idx="39">
                  <c:v>2.463396105969301E-2</c:v>
                </c:pt>
                <c:pt idx="40">
                  <c:v>2.3555505176112018E-2</c:v>
                </c:pt>
                <c:pt idx="41">
                  <c:v>2.2248777044145018E-2</c:v>
                </c:pt>
                <c:pt idx="42">
                  <c:v>2.0691695961878004E-2</c:v>
                </c:pt>
                <c:pt idx="43">
                  <c:v>1.8858968245146018E-2</c:v>
                </c:pt>
                <c:pt idx="44">
                  <c:v>1.6721531001340995E-2</c:v>
                </c:pt>
                <c:pt idx="45">
                  <c:v>1.4245699054308975E-2</c:v>
                </c:pt>
                <c:pt idx="46">
                  <c:v>1.1391391558899983E-2</c:v>
                </c:pt>
                <c:pt idx="47">
                  <c:v>8.0843736626630136E-3</c:v>
                </c:pt>
                <c:pt idx="48">
                  <c:v>4.350208013122997E-3</c:v>
                </c:pt>
                <c:pt idx="49">
                  <c:v>8.8589694305002409E-5</c:v>
                </c:pt>
                <c:pt idx="50">
                  <c:v>-4.8426519833399961E-3</c:v>
                </c:pt>
                <c:pt idx="51">
                  <c:v>-1.0737290745006983E-2</c:v>
                </c:pt>
                <c:pt idx="52">
                  <c:v>-1.7840579113615002E-2</c:v>
                </c:pt>
                <c:pt idx="53">
                  <c:v>-1.9041621131865E-2</c:v>
                </c:pt>
                <c:pt idx="54">
                  <c:v>-2.8541346583475957E-2</c:v>
                </c:pt>
                <c:pt idx="55">
                  <c:v>-3.441808437654903E-2</c:v>
                </c:pt>
                <c:pt idx="56">
                  <c:v>-4.1443396871374993E-2</c:v>
                </c:pt>
                <c:pt idx="57">
                  <c:v>-4.8765441044239966E-2</c:v>
                </c:pt>
                <c:pt idx="58">
                  <c:v>-5.1797041859548976E-2</c:v>
                </c:pt>
                <c:pt idx="59">
                  <c:v>-5.8034727245424023E-2</c:v>
                </c:pt>
                <c:pt idx="60">
                  <c:v>-6.2118583614010986E-2</c:v>
                </c:pt>
                <c:pt idx="61">
                  <c:v>-6.1333229035853004E-2</c:v>
                </c:pt>
                <c:pt idx="62">
                  <c:v>-6.2928795717996033E-2</c:v>
                </c:pt>
                <c:pt idx="63">
                  <c:v>-6.0536862349951009E-2</c:v>
                </c:pt>
                <c:pt idx="64">
                  <c:v>-5.900670597524299E-2</c:v>
                </c:pt>
                <c:pt idx="65">
                  <c:v>-5.6135127434746024E-2</c:v>
                </c:pt>
                <c:pt idx="66">
                  <c:v>-5.1803249641070026E-2</c:v>
                </c:pt>
                <c:pt idx="67">
                  <c:v>-4.8069206521355989E-2</c:v>
                </c:pt>
                <c:pt idx="68">
                  <c:v>-4.3859300109911015E-2</c:v>
                </c:pt>
                <c:pt idx="69">
                  <c:v>-4.1870582983293991E-2</c:v>
                </c:pt>
                <c:pt idx="70">
                  <c:v>-3.9662626995116967E-2</c:v>
                </c:pt>
                <c:pt idx="71">
                  <c:v>-3.7973861649995999E-2</c:v>
                </c:pt>
                <c:pt idx="72">
                  <c:v>-3.6320166226701978E-2</c:v>
                </c:pt>
                <c:pt idx="73">
                  <c:v>-3.4707288323207963E-2</c:v>
                </c:pt>
                <c:pt idx="74">
                  <c:v>-3.3139543369512969E-2</c:v>
                </c:pt>
                <c:pt idx="75">
                  <c:v>-3.1620068738647034E-2</c:v>
                </c:pt>
                <c:pt idx="76">
                  <c:v>-3.0151034336972027E-2</c:v>
                </c:pt>
                <c:pt idx="77">
                  <c:v>-2.8733817342709023E-2</c:v>
                </c:pt>
                <c:pt idx="78">
                  <c:v>-2.736914735617002E-2</c:v>
                </c:pt>
                <c:pt idx="79">
                  <c:v>-2.6057227086151991E-2</c:v>
                </c:pt>
                <c:pt idx="80">
                  <c:v>-2.4797832772297995E-2</c:v>
                </c:pt>
                <c:pt idx="81">
                  <c:v>-2.3590397791801998E-2</c:v>
                </c:pt>
                <c:pt idx="82">
                  <c:v>-2.2434082287195983E-2</c:v>
                </c:pt>
                <c:pt idx="83">
                  <c:v>-2.1327831153284987E-2</c:v>
                </c:pt>
                <c:pt idx="84">
                  <c:v>-2.0270422314162012E-2</c:v>
                </c:pt>
                <c:pt idx="85">
                  <c:v>-1.9260506888156004E-2</c:v>
                </c:pt>
                <c:pt idx="86">
                  <c:v>-1.8296642565666016E-2</c:v>
                </c:pt>
                <c:pt idx="87">
                  <c:v>-1.7377321300791004E-2</c:v>
                </c:pt>
                <c:pt idx="88">
                  <c:v>-1.6500992233303008E-2</c:v>
                </c:pt>
                <c:pt idx="89">
                  <c:v>-1.5666080605672983E-2</c:v>
                </c:pt>
                <c:pt idx="90">
                  <c:v>-1.4871003314326003E-2</c:v>
                </c:pt>
                <c:pt idx="91">
                  <c:v>-1.4114181630483003E-2</c:v>
                </c:pt>
                <c:pt idx="92">
                  <c:v>-1.3394051539801999E-2</c:v>
                </c:pt>
                <c:pt idx="93">
                  <c:v>-1.2709072078411987E-2</c:v>
                </c:pt>
                <c:pt idx="94">
                  <c:v>-1.2057731983305009E-2</c:v>
                </c:pt>
                <c:pt idx="95">
                  <c:v>-1.1438554925197991E-2</c:v>
                </c:pt>
                <c:pt idx="96">
                  <c:v>-1.0850103550370402E-2</c:v>
                </c:pt>
                <c:pt idx="97">
                  <c:v>-1.0290982522970907E-2</c:v>
                </c:pt>
                <c:pt idx="98">
                  <c:v>-9.759840729960001E-3</c:v>
                </c:pt>
                <c:pt idx="99">
                  <c:v>-9.2553727861307E-3</c:v>
                </c:pt>
                <c:pt idx="100">
                  <c:v>-8.7763199557779892E-3</c:v>
                </c:pt>
                <c:pt idx="101">
                  <c:v>-8.3214705899554986E-3</c:v>
                </c:pt>
                <c:pt idx="102">
                  <c:v>-7.8896601633393904E-3</c:v>
                </c:pt>
                <c:pt idx="103">
                  <c:v>-7.4797709820449004E-3</c:v>
                </c:pt>
                <c:pt idx="104">
                  <c:v>-7.0907316229797124E-3</c:v>
                </c:pt>
                <c:pt idx="105">
                  <c:v>-6.7215161561725023E-3</c:v>
                </c:pt>
                <c:pt idx="106">
                  <c:v>-6.3711431937049992E-3</c:v>
                </c:pt>
                <c:pt idx="107">
                  <c:v>-6.0386748022314002E-3</c:v>
                </c:pt>
                <c:pt idx="108">
                  <c:v>-5.7232153103838057E-3</c:v>
                </c:pt>
                <c:pt idx="109">
                  <c:v>-5.4239100375115049E-3</c:v>
                </c:pt>
                <c:pt idx="110">
                  <c:v>-5.1399439660504004E-3</c:v>
                </c:pt>
                <c:pt idx="111">
                  <c:v>-4.870540376263402E-3</c:v>
                </c:pt>
                <c:pt idx="112">
                  <c:v>-4.6149594590626994E-3</c:v>
                </c:pt>
                <c:pt idx="113">
                  <c:v>-4.3724969200108973E-3</c:v>
                </c:pt>
                <c:pt idx="114">
                  <c:v>-4.1424825853822039E-3</c:v>
                </c:pt>
                <c:pt idx="115">
                  <c:v>-3.924279019252401E-3</c:v>
                </c:pt>
                <c:pt idx="116">
                  <c:v>-3.7172801589599042E-3</c:v>
                </c:pt>
                <c:pt idx="117">
                  <c:v>-3.5209099748879022E-3</c:v>
                </c:pt>
                <c:pt idx="118">
                  <c:v>-3.3346211593285012E-3</c:v>
                </c:pt>
                <c:pt idx="119">
                  <c:v>-3.1578938481786022E-3</c:v>
                </c:pt>
                <c:pt idx="120">
                  <c:v>-2.9902343783516014E-3</c:v>
                </c:pt>
                <c:pt idx="121">
                  <c:v>-2.8311740830622989E-3</c:v>
                </c:pt>
                <c:pt idx="122">
                  <c:v>-2.6802681265208003E-3</c:v>
                </c:pt>
                <c:pt idx="123">
                  <c:v>-2.5370943790451982E-3</c:v>
                </c:pt>
                <c:pt idx="124">
                  <c:v>-2.4012523331679997E-3</c:v>
                </c:pt>
                <c:pt idx="125">
                  <c:v>-2.2723620609393994E-3</c:v>
                </c:pt>
                <c:pt idx="126">
                  <c:v>-2.1500632123265979E-3</c:v>
                </c:pt>
                <c:pt idx="127">
                  <c:v>-2.0340140543502021E-3</c:v>
                </c:pt>
                <c:pt idx="128">
                  <c:v>-1.9238905503989011E-3</c:v>
                </c:pt>
                <c:pt idx="129">
                  <c:v>-1.8193854789825981E-3</c:v>
                </c:pt>
                <c:pt idx="130">
                  <c:v>-1.7202075910639006E-3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F7-4E0C-B774-8F8B7716CF17}"/>
            </c:ext>
          </c:extLst>
        </c:ser>
        <c:ser>
          <c:idx val="7"/>
          <c:order val="7"/>
          <c:tx>
            <c:strRef>
              <c:f>Delta!$AS$1</c:f>
              <c:strCache>
                <c:ptCount val="1"/>
                <c:pt idx="0">
                  <c:v>Permanent TFP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Delta!$AK$2:$AK$132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Delta!$AS$2:$AS$132</c:f>
              <c:numCache>
                <c:formatCode>General</c:formatCode>
                <c:ptCount val="131"/>
                <c:pt idx="0">
                  <c:v>1.5634466635584151E-2</c:v>
                </c:pt>
                <c:pt idx="1">
                  <c:v>1.6937438598665006E-2</c:v>
                </c:pt>
                <c:pt idx="2">
                  <c:v>1.8388223378999008E-2</c:v>
                </c:pt>
                <c:pt idx="3">
                  <c:v>2.0009100450324002E-2</c:v>
                </c:pt>
                <c:pt idx="4">
                  <c:v>2.1827772133220014E-2</c:v>
                </c:pt>
                <c:pt idx="5">
                  <c:v>2.3879296206701983E-2</c:v>
                </c:pt>
                <c:pt idx="6">
                  <c:v>2.6207543688752999E-2</c:v>
                </c:pt>
                <c:pt idx="7">
                  <c:v>2.8710685023519034E-2</c:v>
                </c:pt>
                <c:pt idx="8">
                  <c:v>2.9216069424241042E-2</c:v>
                </c:pt>
                <c:pt idx="9">
                  <c:v>2.9915032177185052E-2</c:v>
                </c:pt>
                <c:pt idx="10">
                  <c:v>3.0747312596418996E-2</c:v>
                </c:pt>
                <c:pt idx="11">
                  <c:v>3.1677673396581008E-2</c:v>
                </c:pt>
                <c:pt idx="12">
                  <c:v>3.2683371483750001E-2</c:v>
                </c:pt>
                <c:pt idx="13">
                  <c:v>3.37486139929839E-2</c:v>
                </c:pt>
                <c:pt idx="14">
                  <c:v>3.4861487252533019E-2</c:v>
                </c:pt>
                <c:pt idx="15">
                  <c:v>3.6011977879890966E-2</c:v>
                </c:pt>
                <c:pt idx="16">
                  <c:v>3.7190540895242985E-2</c:v>
                </c:pt>
                <c:pt idx="17">
                  <c:v>3.8386939632759964E-2</c:v>
                </c:pt>
                <c:pt idx="18">
                  <c:v>3.9589186857700076E-2</c:v>
                </c:pt>
                <c:pt idx="19">
                  <c:v>4.0782462551379961E-2</c:v>
                </c:pt>
                <c:pt idx="20">
                  <c:v>4.1947903012717114E-2</c:v>
                </c:pt>
                <c:pt idx="21">
                  <c:v>4.3061159086779988E-2</c:v>
                </c:pt>
                <c:pt idx="22">
                  <c:v>4.4090612217059899E-2</c:v>
                </c:pt>
                <c:pt idx="23">
                  <c:v>4.4995114889650023E-2</c:v>
                </c:pt>
                <c:pt idx="24">
                  <c:v>4.5721077437669955E-2</c:v>
                </c:pt>
                <c:pt idx="25">
                  <c:v>4.6198616039784923E-2</c:v>
                </c:pt>
                <c:pt idx="26">
                  <c:v>4.6336148678480127E-2</c:v>
                </c:pt>
                <c:pt idx="27">
                  <c:v>4.6011776722810094E-2</c:v>
                </c:pt>
                <c:pt idx="28">
                  <c:v>4.2318195610345999E-2</c:v>
                </c:pt>
                <c:pt idx="29">
                  <c:v>3.8161027765065025E-2</c:v>
                </c:pt>
                <c:pt idx="30">
                  <c:v>3.3662027993962007E-2</c:v>
                </c:pt>
                <c:pt idx="31">
                  <c:v>2.8815463916785022E-2</c:v>
                </c:pt>
                <c:pt idx="32">
                  <c:v>2.3567906644957004E-2</c:v>
                </c:pt>
                <c:pt idx="33">
                  <c:v>1.7896943798097031E-2</c:v>
                </c:pt>
                <c:pt idx="34">
                  <c:v>1.1849696408133936E-2</c:v>
                </c:pt>
                <c:pt idx="35">
                  <c:v>5.6940042985260675E-3</c:v>
                </c:pt>
                <c:pt idx="36">
                  <c:v>-7.2075100149393556E-4</c:v>
                </c:pt>
                <c:pt idx="37">
                  <c:v>-7.5327382811399834E-3</c:v>
                </c:pt>
                <c:pt idx="38">
                  <c:v>-1.487121156106197E-2</c:v>
                </c:pt>
                <c:pt idx="39">
                  <c:v>-2.2864248850882007E-2</c:v>
                </c:pt>
                <c:pt idx="40">
                  <c:v>-3.1644332439862977E-2</c:v>
                </c:pt>
                <c:pt idx="41">
                  <c:v>-4.1355404624514036E-2</c:v>
                </c:pt>
                <c:pt idx="42">
                  <c:v>-5.2149975916348956E-2</c:v>
                </c:pt>
                <c:pt idx="43">
                  <c:v>-6.4195105221848958E-2</c:v>
                </c:pt>
                <c:pt idx="44">
                  <c:v>-7.7680644302247026E-2</c:v>
                </c:pt>
                <c:pt idx="45">
                  <c:v>-9.2831784480115975E-2</c:v>
                </c:pt>
                <c:pt idx="46">
                  <c:v>-0.10993905139650795</c:v>
                </c:pt>
                <c:pt idx="47">
                  <c:v>-0.129703389828774</c:v>
                </c:pt>
                <c:pt idx="48">
                  <c:v>-0.14972990927334701</c:v>
                </c:pt>
                <c:pt idx="49">
                  <c:v>-0.17167830080700897</c:v>
                </c:pt>
                <c:pt idx="50">
                  <c:v>-0.19704984401646602</c:v>
                </c:pt>
                <c:pt idx="51">
                  <c:v>-0.228694558691695</c:v>
                </c:pt>
                <c:pt idx="52">
                  <c:v>-0.26994107218530905</c:v>
                </c:pt>
                <c:pt idx="53">
                  <c:v>-0.22116099190182598</c:v>
                </c:pt>
                <c:pt idx="54">
                  <c:v>-0.22587827307167213</c:v>
                </c:pt>
                <c:pt idx="55">
                  <c:v>-0.268126270929746</c:v>
                </c:pt>
                <c:pt idx="56">
                  <c:v>-0.27992655702700242</c:v>
                </c:pt>
                <c:pt idx="57">
                  <c:v>-0.28203010790798899</c:v>
                </c:pt>
                <c:pt idx="58">
                  <c:v>-0.1401143299709143</c:v>
                </c:pt>
                <c:pt idx="59">
                  <c:v>-0.17131193507049811</c:v>
                </c:pt>
                <c:pt idx="60">
                  <c:v>-0.10886896962610999</c:v>
                </c:pt>
                <c:pt idx="61">
                  <c:v>9.1184834780802027E-2</c:v>
                </c:pt>
                <c:pt idx="62">
                  <c:v>5.4561000051478015E-2</c:v>
                </c:pt>
                <c:pt idx="63">
                  <c:v>0.17125911364422103</c:v>
                </c:pt>
                <c:pt idx="64">
                  <c:v>0.21279128270649481</c:v>
                </c:pt>
                <c:pt idx="65">
                  <c:v>0.2227474129326078</c:v>
                </c:pt>
                <c:pt idx="66">
                  <c:v>0.28229289942202729</c:v>
                </c:pt>
                <c:pt idx="67">
                  <c:v>0.25057406772093316</c:v>
                </c:pt>
                <c:pt idx="68">
                  <c:v>0.24837081474953432</c:v>
                </c:pt>
                <c:pt idx="69">
                  <c:v>0.14970211448724191</c:v>
                </c:pt>
                <c:pt idx="70">
                  <c:v>0.11240319480067801</c:v>
                </c:pt>
                <c:pt idx="71">
                  <c:v>0.11227324292190199</c:v>
                </c:pt>
                <c:pt idx="72">
                  <c:v>0.112022720393647</c:v>
                </c:pt>
                <c:pt idx="73">
                  <c:v>0.111672191477225</c:v>
                </c:pt>
                <c:pt idx="74">
                  <c:v>0.11123862889033199</c:v>
                </c:pt>
                <c:pt idx="75">
                  <c:v>0.110736073882844</c:v>
                </c:pt>
                <c:pt idx="76">
                  <c:v>0.110176170690419</c:v>
                </c:pt>
                <c:pt idx="77">
                  <c:v>0.10956859981851699</c:v>
                </c:pt>
                <c:pt idx="78">
                  <c:v>0.10892142978228402</c:v>
                </c:pt>
                <c:pt idx="79">
                  <c:v>0.1082414030615907</c:v>
                </c:pt>
                <c:pt idx="80">
                  <c:v>0.10753416893326839</c:v>
                </c:pt>
                <c:pt idx="81">
                  <c:v>0.1068044733603376</c:v>
                </c:pt>
                <c:pt idx="82">
                  <c:v>0.10605631412793361</c:v>
                </c:pt>
                <c:pt idx="83">
                  <c:v>0.10529306781945762</c:v>
                </c:pt>
                <c:pt idx="84">
                  <c:v>0.10451759394565741</c:v>
                </c:pt>
                <c:pt idx="85">
                  <c:v>0.10373232051102051</c:v>
                </c:pt>
                <c:pt idx="86">
                  <c:v>0.1029393144758831</c:v>
                </c:pt>
                <c:pt idx="87">
                  <c:v>0.1021403399087167</c:v>
                </c:pt>
                <c:pt idx="88">
                  <c:v>0.10133690608908121</c:v>
                </c:pt>
                <c:pt idx="89">
                  <c:v>0.10053030739196611</c:v>
                </c:pt>
                <c:pt idx="90">
                  <c:v>9.9721656438045897E-2</c:v>
                </c:pt>
                <c:pt idx="91">
                  <c:v>9.891191171531459E-2</c:v>
                </c:pt>
                <c:pt idx="92">
                  <c:v>9.8101900652351484E-2</c:v>
                </c:pt>
                <c:pt idx="93">
                  <c:v>9.7292338941623618E-2</c:v>
                </c:pt>
                <c:pt idx="94">
                  <c:v>9.6483846764140305E-2</c:v>
                </c:pt>
                <c:pt idx="95">
                  <c:v>9.5676962447730093E-2</c:v>
                </c:pt>
                <c:pt idx="96">
                  <c:v>9.4872153994741401E-2</c:v>
                </c:pt>
                <c:pt idx="97">
                  <c:v>9.4069828836661609E-2</c:v>
                </c:pt>
                <c:pt idx="98">
                  <c:v>9.3270342109485205E-2</c:v>
                </c:pt>
                <c:pt idx="99">
                  <c:v>9.2474003691898884E-2</c:v>
                </c:pt>
                <c:pt idx="100">
                  <c:v>9.1681084206102784E-2</c:v>
                </c:pt>
                <c:pt idx="101">
                  <c:v>9.0891820146587199E-2</c:v>
                </c:pt>
                <c:pt idx="102">
                  <c:v>9.0106418274016692E-2</c:v>
                </c:pt>
                <c:pt idx="103">
                  <c:v>8.9325059388180583E-2</c:v>
                </c:pt>
                <c:pt idx="104">
                  <c:v>8.8547901575030299E-2</c:v>
                </c:pt>
                <c:pt idx="105">
                  <c:v>8.7775083007174889E-2</c:v>
                </c:pt>
                <c:pt idx="106">
                  <c:v>8.7006724364285387E-2</c:v>
                </c:pt>
                <c:pt idx="107">
                  <c:v>8.6242930929248299E-2</c:v>
                </c:pt>
                <c:pt idx="108">
                  <c:v>8.5483794407034699E-2</c:v>
                </c:pt>
                <c:pt idx="109">
                  <c:v>8.4729394505939609E-2</c:v>
                </c:pt>
                <c:pt idx="110">
                  <c:v>8.3979800314736008E-2</c:v>
                </c:pt>
                <c:pt idx="111">
                  <c:v>8.3235071504180386E-2</c:v>
                </c:pt>
                <c:pt idx="112">
                  <c:v>8.2495259377065297E-2</c:v>
                </c:pt>
                <c:pt idx="113">
                  <c:v>8.1760407787402289E-2</c:v>
                </c:pt>
                <c:pt idx="114">
                  <c:v>8.1030553946363895E-2</c:v>
                </c:pt>
                <c:pt idx="115">
                  <c:v>8.0305729130009204E-2</c:v>
                </c:pt>
                <c:pt idx="116">
                  <c:v>7.9585959301743808E-2</c:v>
                </c:pt>
                <c:pt idx="117">
                  <c:v>7.8871265660599585E-2</c:v>
                </c:pt>
                <c:pt idx="118">
                  <c:v>7.8161665124904994E-2</c:v>
                </c:pt>
                <c:pt idx="119">
                  <c:v>7.7457170759588509E-2</c:v>
                </c:pt>
                <c:pt idx="120">
                  <c:v>7.6757792154260096E-2</c:v>
                </c:pt>
                <c:pt idx="121">
                  <c:v>7.6063535758224707E-2</c:v>
                </c:pt>
                <c:pt idx="122">
                  <c:v>7.5374405177797116E-2</c:v>
                </c:pt>
                <c:pt idx="123">
                  <c:v>7.4690401440561716E-2</c:v>
                </c:pt>
                <c:pt idx="124">
                  <c:v>7.4011523230617812E-2</c:v>
                </c:pt>
                <c:pt idx="125">
                  <c:v>7.3337767098330009E-2</c:v>
                </c:pt>
                <c:pt idx="126">
                  <c:v>7.2669127647665005E-2</c:v>
                </c:pt>
                <c:pt idx="127">
                  <c:v>7.2005597703776292E-2</c:v>
                </c:pt>
                <c:pt idx="128">
                  <c:v>7.1347168463197413E-2</c:v>
                </c:pt>
                <c:pt idx="129">
                  <c:v>7.0693829628667687E-2</c:v>
                </c:pt>
                <c:pt idx="130">
                  <c:v>7.0045569530419197E-2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7F7-4E0C-B774-8F8B7716CF17}"/>
            </c:ext>
          </c:extLst>
        </c:ser>
        <c:ser>
          <c:idx val="8"/>
          <c:order val="8"/>
          <c:tx>
            <c:strRef>
              <c:f>Delta!$AT$1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Delta!$AK$2:$AK$132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Delta!$AT$2:$AT$132</c:f>
              <c:numCache>
                <c:formatCode>General</c:formatCode>
                <c:ptCount val="131"/>
                <c:pt idx="0">
                  <c:v>-6.911478227143053E-3</c:v>
                </c:pt>
                <c:pt idx="1">
                  <c:v>-6.6878636206047365E-3</c:v>
                </c:pt>
                <c:pt idx="2">
                  <c:v>-6.451305010616637E-3</c:v>
                </c:pt>
                <c:pt idx="3">
                  <c:v>-6.2001403166829644E-3</c:v>
                </c:pt>
                <c:pt idx="4">
                  <c:v>-5.9325077890071687E-3</c:v>
                </c:pt>
                <c:pt idx="5">
                  <c:v>-5.6463564662914689E-3</c:v>
                </c:pt>
                <c:pt idx="6">
                  <c:v>-5.3396226730259982E-3</c:v>
                </c:pt>
                <c:pt idx="7">
                  <c:v>-5.0691687885325853E-3</c:v>
                </c:pt>
                <c:pt idx="8">
                  <c:v>-4.813190935391648E-3</c:v>
                </c:pt>
                <c:pt idx="9">
                  <c:v>-4.5365745782072614E-3</c:v>
                </c:pt>
                <c:pt idx="10">
                  <c:v>-4.2431351554343133E-3</c:v>
                </c:pt>
                <c:pt idx="11">
                  <c:v>-3.9352821051818337E-3</c:v>
                </c:pt>
                <c:pt idx="12">
                  <c:v>-3.6146518414739565E-3</c:v>
                </c:pt>
                <c:pt idx="13">
                  <c:v>-3.2823792102356641E-3</c:v>
                </c:pt>
                <c:pt idx="14">
                  <c:v>-2.9392345811794091E-3</c:v>
                </c:pt>
                <c:pt idx="15">
                  <c:v>-2.5857173359234153E-3</c:v>
                </c:pt>
                <c:pt idx="16">
                  <c:v>-2.2221332337811484E-3</c:v>
                </c:pt>
                <c:pt idx="17">
                  <c:v>-1.8486658091660807E-3</c:v>
                </c:pt>
                <c:pt idx="18">
                  <c:v>-1.4654474330740574E-3</c:v>
                </c:pt>
                <c:pt idx="19">
                  <c:v>-1.0726347056898983E-3</c:v>
                </c:pt>
                <c:pt idx="20">
                  <c:v>-6.7049294409028681E-4</c:v>
                </c:pt>
                <c:pt idx="21">
                  <c:v>-2.5949497816885048E-4</c:v>
                </c:pt>
                <c:pt idx="22">
                  <c:v>1.5956001269626374E-4</c:v>
                </c:pt>
                <c:pt idx="23">
                  <c:v>5.85401549846154E-4</c:v>
                </c:pt>
                <c:pt idx="24">
                  <c:v>1.0161108092609505E-3</c:v>
                </c:pt>
                <c:pt idx="25">
                  <c:v>1.4489055389751426E-3</c:v>
                </c:pt>
                <c:pt idx="26">
                  <c:v>1.8798728936235132E-3</c:v>
                </c:pt>
                <c:pt idx="27">
                  <c:v>2.3034407394444401E-3</c:v>
                </c:pt>
                <c:pt idx="28">
                  <c:v>2.8176350980294862E-3</c:v>
                </c:pt>
                <c:pt idx="29">
                  <c:v>3.2651716994583913E-3</c:v>
                </c:pt>
                <c:pt idx="30">
                  <c:v>3.6314593869276879E-3</c:v>
                </c:pt>
                <c:pt idx="31">
                  <c:v>3.9328795452359955E-3</c:v>
                </c:pt>
                <c:pt idx="32">
                  <c:v>4.2095084680958683E-3</c:v>
                </c:pt>
                <c:pt idx="33">
                  <c:v>4.5245618449167857E-3</c:v>
                </c:pt>
                <c:pt idx="34">
                  <c:v>4.8487326349233584E-3</c:v>
                </c:pt>
                <c:pt idx="35">
                  <c:v>5.1281068194900525E-3</c:v>
                </c:pt>
                <c:pt idx="36">
                  <c:v>5.362879635614215E-3</c:v>
                </c:pt>
                <c:pt idx="37">
                  <c:v>5.5492539140726826E-3</c:v>
                </c:pt>
                <c:pt idx="38">
                  <c:v>5.6810683320337452E-3</c:v>
                </c:pt>
                <c:pt idx="39">
                  <c:v>5.7503247395443435E-3</c:v>
                </c:pt>
                <c:pt idx="40">
                  <c:v>5.7474992921534573E-3</c:v>
                </c:pt>
                <c:pt idx="41">
                  <c:v>5.6727360812871552E-3</c:v>
                </c:pt>
                <c:pt idx="42">
                  <c:v>5.5126537285656863E-3</c:v>
                </c:pt>
                <c:pt idx="43">
                  <c:v>5.2469914525725692E-3</c:v>
                </c:pt>
                <c:pt idx="44">
                  <c:v>4.8534045822137273E-3</c:v>
                </c:pt>
                <c:pt idx="45">
                  <c:v>4.2964191672556495E-3</c:v>
                </c:pt>
                <c:pt idx="46">
                  <c:v>3.5618134440515981E-3</c:v>
                </c:pt>
                <c:pt idx="47">
                  <c:v>5.9175846574335278E-3</c:v>
                </c:pt>
                <c:pt idx="48">
                  <c:v>3.8204041660874211E-3</c:v>
                </c:pt>
                <c:pt idx="49">
                  <c:v>-8.178323012986155E-5</c:v>
                </c:pt>
                <c:pt idx="50">
                  <c:v>-4.1677428528681393E-3</c:v>
                </c:pt>
                <c:pt idx="51">
                  <c:v>-6.9770888310360935E-3</c:v>
                </c:pt>
                <c:pt idx="52">
                  <c:v>-5.2928577038189317E-3</c:v>
                </c:pt>
                <c:pt idx="53">
                  <c:v>1.5787883637088385E-3</c:v>
                </c:pt>
                <c:pt idx="54">
                  <c:v>-9.4880143044704379E-3</c:v>
                </c:pt>
                <c:pt idx="55">
                  <c:v>-9.1439514447686498E-3</c:v>
                </c:pt>
                <c:pt idx="56">
                  <c:v>-1.1883054159096407E-2</c:v>
                </c:pt>
                <c:pt idx="57">
                  <c:v>-1.4633319857440208E-2</c:v>
                </c:pt>
                <c:pt idx="58">
                  <c:v>-1.4123857559929953E-2</c:v>
                </c:pt>
                <c:pt idx="59">
                  <c:v>-1.8734393976357344E-2</c:v>
                </c:pt>
                <c:pt idx="60">
                  <c:v>-2.0101607551733625E-2</c:v>
                </c:pt>
                <c:pt idx="61">
                  <c:v>-1.693432923410193E-2</c:v>
                </c:pt>
                <c:pt idx="62">
                  <c:v>-1.8211812332432353E-2</c:v>
                </c:pt>
                <c:pt idx="63">
                  <c:v>-1.6033911093297354E-2</c:v>
                </c:pt>
                <c:pt idx="64">
                  <c:v>-1.7158381059590014E-2</c:v>
                </c:pt>
                <c:pt idx="65">
                  <c:v>-1.7564628606363736E-2</c:v>
                </c:pt>
                <c:pt idx="66">
                  <c:v>-1.7924495795258177E-2</c:v>
                </c:pt>
                <c:pt idx="67">
                  <c:v>-1.8063433630143455E-2</c:v>
                </c:pt>
                <c:pt idx="68">
                  <c:v>-1.8391227726802267E-2</c:v>
                </c:pt>
                <c:pt idx="69">
                  <c:v>-2.0186209533853527E-2</c:v>
                </c:pt>
                <c:pt idx="70">
                  <c:v>-2.0723620222883821E-2</c:v>
                </c:pt>
                <c:pt idx="71">
                  <c:v>-2.1155626214707624E-2</c:v>
                </c:pt>
                <c:pt idx="72">
                  <c:v>-2.1483714722294239E-2</c:v>
                </c:pt>
                <c:pt idx="73">
                  <c:v>-2.1719866872051075E-2</c:v>
                </c:pt>
                <c:pt idx="74">
                  <c:v>-2.187494977884491E-2</c:v>
                </c:pt>
                <c:pt idx="75">
                  <c:v>-2.1958782492466911E-2</c:v>
                </c:pt>
                <c:pt idx="76">
                  <c:v>-2.1980207419238174E-2</c:v>
                </c:pt>
                <c:pt idx="77">
                  <c:v>-2.1947163906849948E-2</c:v>
                </c:pt>
                <c:pt idx="78">
                  <c:v>-2.1866761607909624E-2</c:v>
                </c:pt>
                <c:pt idx="79">
                  <c:v>-2.1745351947156544E-2</c:v>
                </c:pt>
                <c:pt idx="80">
                  <c:v>-2.1588596557132245E-2</c:v>
                </c:pt>
                <c:pt idx="81">
                  <c:v>-2.1401531954301445E-2</c:v>
                </c:pt>
                <c:pt idx="82">
                  <c:v>-2.1188630031703237E-2</c:v>
                </c:pt>
                <c:pt idx="83">
                  <c:v>-2.0953854168582364E-2</c:v>
                </c:pt>
                <c:pt idx="84">
                  <c:v>-2.0700710920279142E-2</c:v>
                </c:pt>
                <c:pt idx="85">
                  <c:v>-2.0432297367188046E-2</c:v>
                </c:pt>
                <c:pt idx="86">
                  <c:v>-2.0151344281220895E-2</c:v>
                </c:pt>
                <c:pt idx="87">
                  <c:v>-1.9860255320428788E-2</c:v>
                </c:pt>
                <c:pt idx="88">
                  <c:v>-1.9561142494477879E-2</c:v>
                </c:pt>
                <c:pt idx="89">
                  <c:v>-1.9255858160166783E-2</c:v>
                </c:pt>
                <c:pt idx="90">
                  <c:v>-1.8946023811996004E-2</c:v>
                </c:pt>
                <c:pt idx="91">
                  <c:v>-1.8633055930397824E-2</c:v>
                </c:pt>
                <c:pt idx="92">
                  <c:v>-1.8318189142369989E-2</c:v>
                </c:pt>
                <c:pt idx="93">
                  <c:v>-1.8002496937805396E-2</c:v>
                </c:pt>
                <c:pt idx="94">
                  <c:v>-1.7686910170744474E-2</c:v>
                </c:pt>
                <c:pt idx="95">
                  <c:v>-1.7372233559711403E-2</c:v>
                </c:pt>
                <c:pt idx="96">
                  <c:v>-1.7059160385333283E-2</c:v>
                </c:pt>
                <c:pt idx="97">
                  <c:v>-1.6748285567752486E-2</c:v>
                </c:pt>
                <c:pt idx="98">
                  <c:v>-1.6440117290765582E-2</c:v>
                </c:pt>
                <c:pt idx="99">
                  <c:v>-1.6135087324811351E-2</c:v>
                </c:pt>
                <c:pt idx="100">
                  <c:v>-1.5833560186822734E-2</c:v>
                </c:pt>
                <c:pt idx="101">
                  <c:v>-1.5535841261813871E-2</c:v>
                </c:pt>
                <c:pt idx="102">
                  <c:v>-1.5242183998818853E-2</c:v>
                </c:pt>
                <c:pt idx="103">
                  <c:v>-1.4952796282419245E-2</c:v>
                </c:pt>
                <c:pt idx="104">
                  <c:v>-1.4667846070861482E-2</c:v>
                </c:pt>
                <c:pt idx="105">
                  <c:v>-1.4387466382255479E-2</c:v>
                </c:pt>
                <c:pt idx="106">
                  <c:v>-1.411175970166928E-2</c:v>
                </c:pt>
                <c:pt idx="107">
                  <c:v>-1.3840801874341793E-2</c:v>
                </c:pt>
                <c:pt idx="108">
                  <c:v>-1.3574645543014643E-2</c:v>
                </c:pt>
                <c:pt idx="109">
                  <c:v>-1.3313323181175313E-2</c:v>
                </c:pt>
                <c:pt idx="110">
                  <c:v>-1.305684976828958E-2</c:v>
                </c:pt>
                <c:pt idx="111">
                  <c:v>-1.2805225148005445E-2</c:v>
                </c:pt>
                <c:pt idx="112">
                  <c:v>-1.2558436105710655E-2</c:v>
                </c:pt>
                <c:pt idx="113">
                  <c:v>-1.2316458197816349E-2</c:v>
                </c:pt>
                <c:pt idx="114">
                  <c:v>-1.2079257361455917E-2</c:v>
                </c:pt>
                <c:pt idx="115">
                  <c:v>-1.1846791330037978E-2</c:v>
                </c:pt>
                <c:pt idx="116">
                  <c:v>-1.1619010877207903E-2</c:v>
                </c:pt>
                <c:pt idx="117">
                  <c:v>-1.1395860909258829E-2</c:v>
                </c:pt>
                <c:pt idx="118">
                  <c:v>-1.1177281423615515E-2</c:v>
                </c:pt>
                <c:pt idx="119">
                  <c:v>-1.0963208349139095E-2</c:v>
                </c:pt>
                <c:pt idx="120">
                  <c:v>-1.075357428207982E-2</c:v>
                </c:pt>
                <c:pt idx="121">
                  <c:v>-1.0548309129968056E-2</c:v>
                </c:pt>
                <c:pt idx="122">
                  <c:v>-1.0347340674278616E-2</c:v>
                </c:pt>
                <c:pt idx="123">
                  <c:v>-1.015059506149979E-2</c:v>
                </c:pt>
                <c:pt idx="124">
                  <c:v>-9.9579972310461645E-3</c:v>
                </c:pt>
                <c:pt idx="125">
                  <c:v>-9.7694712875475431E-3</c:v>
                </c:pt>
                <c:pt idx="126">
                  <c:v>-9.5849408241132639E-3</c:v>
                </c:pt>
                <c:pt idx="127">
                  <c:v>-9.4043292024522385E-3</c:v>
                </c:pt>
                <c:pt idx="128">
                  <c:v>-9.2275597949876553E-3</c:v>
                </c:pt>
                <c:pt idx="129">
                  <c:v>-9.0545561935332364E-3</c:v>
                </c:pt>
                <c:pt idx="130">
                  <c:v>-8.8852423886003756E-3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7F7-4E0C-B774-8F8B7716C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dateAx>
        <c:axId val="1190122384"/>
        <c:scaling>
          <c:orientation val="minMax"/>
          <c:max val="45536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wFG!$B$2:$B$71</c:f>
              <c:numCache>
                <c:formatCode>General</c:formatCode>
                <c:ptCount val="70"/>
                <c:pt idx="0">
                  <c:v>-0.113660801895032</c:v>
                </c:pt>
                <c:pt idx="1">
                  <c:v>-0.103934527704782</c:v>
                </c:pt>
                <c:pt idx="2">
                  <c:v>-0.108349136269102</c:v>
                </c:pt>
                <c:pt idx="3">
                  <c:v>-0.105420783601633</c:v>
                </c:pt>
                <c:pt idx="4">
                  <c:v>-0.107088511735925</c:v>
                </c:pt>
                <c:pt idx="5">
                  <c:v>-0.11005887401075599</c:v>
                </c:pt>
                <c:pt idx="6">
                  <c:v>-9.5576150765832604E-2</c:v>
                </c:pt>
                <c:pt idx="7">
                  <c:v>-6.27960588740403E-2</c:v>
                </c:pt>
                <c:pt idx="8">
                  <c:v>-4.8434583804719003E-2</c:v>
                </c:pt>
                <c:pt idx="9">
                  <c:v>-3.6765570810340403E-2</c:v>
                </c:pt>
                <c:pt idx="10">
                  <c:v>-5.2618199485541403E-2</c:v>
                </c:pt>
                <c:pt idx="11">
                  <c:v>-3.9747872155617203E-2</c:v>
                </c:pt>
                <c:pt idx="12">
                  <c:v>-4.1220779154173999E-2</c:v>
                </c:pt>
                <c:pt idx="13">
                  <c:v>-4.1036485401263999E-2</c:v>
                </c:pt>
                <c:pt idx="14">
                  <c:v>-3.2043149940031497E-2</c:v>
                </c:pt>
                <c:pt idx="15">
                  <c:v>-5.4083678149935102E-2</c:v>
                </c:pt>
                <c:pt idx="16">
                  <c:v>-7.1565573629814694E-2</c:v>
                </c:pt>
                <c:pt idx="17">
                  <c:v>-7.7022561533050204E-2</c:v>
                </c:pt>
                <c:pt idx="18">
                  <c:v>-9.9739620571139498E-2</c:v>
                </c:pt>
                <c:pt idx="19">
                  <c:v>-9.6063363709761998E-2</c:v>
                </c:pt>
                <c:pt idx="20">
                  <c:v>-9.4019545308480904E-2</c:v>
                </c:pt>
                <c:pt idx="21">
                  <c:v>-9.9447698915443097E-2</c:v>
                </c:pt>
                <c:pt idx="22">
                  <c:v>-0.10635781740856</c:v>
                </c:pt>
                <c:pt idx="23">
                  <c:v>-0.10087912046931501</c:v>
                </c:pt>
                <c:pt idx="24">
                  <c:v>-0.11346570297931401</c:v>
                </c:pt>
                <c:pt idx="25">
                  <c:v>-0.108005592251539</c:v>
                </c:pt>
                <c:pt idx="26">
                  <c:v>-0.11249530584633401</c:v>
                </c:pt>
                <c:pt idx="27">
                  <c:v>-0.123528240203694</c:v>
                </c:pt>
                <c:pt idx="28">
                  <c:v>-0.13717723491679801</c:v>
                </c:pt>
                <c:pt idx="29">
                  <c:v>-0.13078910436014801</c:v>
                </c:pt>
                <c:pt idx="30">
                  <c:v>-0.135389612689431</c:v>
                </c:pt>
                <c:pt idx="31">
                  <c:v>-0.14008568762997201</c:v>
                </c:pt>
                <c:pt idx="32">
                  <c:v>-0.13649425671549001</c:v>
                </c:pt>
                <c:pt idx="33">
                  <c:v>-0.140044499205177</c:v>
                </c:pt>
                <c:pt idx="34">
                  <c:v>-0.148214070717334</c:v>
                </c:pt>
                <c:pt idx="35">
                  <c:v>-0.146534133593611</c:v>
                </c:pt>
                <c:pt idx="36">
                  <c:v>-0.145567470188736</c:v>
                </c:pt>
                <c:pt idx="37">
                  <c:v>-0.15869833219034299</c:v>
                </c:pt>
                <c:pt idx="38">
                  <c:v>-0.16021930268913701</c:v>
                </c:pt>
                <c:pt idx="39">
                  <c:v>-0.162731903640666</c:v>
                </c:pt>
                <c:pt idx="40">
                  <c:v>-0.16966702615577001</c:v>
                </c:pt>
                <c:pt idx="41">
                  <c:v>-0.16591848722624</c:v>
                </c:pt>
                <c:pt idx="42">
                  <c:v>-0.16666650023093901</c:v>
                </c:pt>
                <c:pt idx="43">
                  <c:v>-0.17255337317906699</c:v>
                </c:pt>
                <c:pt idx="44">
                  <c:v>-0.17351852784841101</c:v>
                </c:pt>
                <c:pt idx="45">
                  <c:v>-0.16922624539501999</c:v>
                </c:pt>
                <c:pt idx="46">
                  <c:v>-0.16111760829042501</c:v>
                </c:pt>
                <c:pt idx="47">
                  <c:v>-0.15674932927409799</c:v>
                </c:pt>
                <c:pt idx="48">
                  <c:v>-0.14227011137928799</c:v>
                </c:pt>
                <c:pt idx="49">
                  <c:v>-0.15868456326904901</c:v>
                </c:pt>
                <c:pt idx="50">
                  <c:v>-0.15851231133256799</c:v>
                </c:pt>
                <c:pt idx="51">
                  <c:v>-0.14957284094753201</c:v>
                </c:pt>
                <c:pt idx="52">
                  <c:v>-0.128341136521191</c:v>
                </c:pt>
                <c:pt idx="53">
                  <c:v>-0.20417815046526899</c:v>
                </c:pt>
                <c:pt idx="54">
                  <c:v>-0.20254179690902099</c:v>
                </c:pt>
                <c:pt idx="55">
                  <c:v>-0.172138262745304</c:v>
                </c:pt>
                <c:pt idx="56">
                  <c:v>-0.20090354693551299</c:v>
                </c:pt>
                <c:pt idx="57">
                  <c:v>-0.24067476015522801</c:v>
                </c:pt>
                <c:pt idx="58">
                  <c:v>-0.22626268681386499</c:v>
                </c:pt>
                <c:pt idx="59">
                  <c:v>-0.20653920072240101</c:v>
                </c:pt>
                <c:pt idx="60">
                  <c:v>-0.20369096021847699</c:v>
                </c:pt>
                <c:pt idx="61">
                  <c:v>-0.20748829275973099</c:v>
                </c:pt>
                <c:pt idx="62">
                  <c:v>-0.19712999834528899</c:v>
                </c:pt>
                <c:pt idx="63">
                  <c:v>-0.19708282939111799</c:v>
                </c:pt>
                <c:pt idx="64">
                  <c:v>-0.19663047872585099</c:v>
                </c:pt>
                <c:pt idx="65">
                  <c:v>-0.201652929985709</c:v>
                </c:pt>
                <c:pt idx="66">
                  <c:v>-0.19146209783352899</c:v>
                </c:pt>
                <c:pt idx="67">
                  <c:v>-0.190662129830658</c:v>
                </c:pt>
                <c:pt idx="68">
                  <c:v>-0.1993677521977</c:v>
                </c:pt>
                <c:pt idx="69">
                  <c:v>-0.20035744845105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AE-443A-BF8C-5EF95D8164E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wFG!$C$2:$C$71</c:f>
              <c:numCache>
                <c:formatCode>0.00E+00</c:formatCode>
                <c:ptCount val="70"/>
                <c:pt idx="0">
                  <c:v>1.3149136267803799E-6</c:v>
                </c:pt>
                <c:pt idx="1">
                  <c:v>9.9853957602127709E-7</c:v>
                </c:pt>
                <c:pt idx="2">
                  <c:v>7.4870962440389104E-7</c:v>
                </c:pt>
                <c:pt idx="3">
                  <c:v>9.2705621571938897E-7</c:v>
                </c:pt>
                <c:pt idx="4">
                  <c:v>-6.9510789696031002E-7</c:v>
                </c:pt>
                <c:pt idx="5">
                  <c:v>-8.3140169137532696E-7</c:v>
                </c:pt>
                <c:pt idx="6">
                  <c:v>-2.7227547727334601E-6</c:v>
                </c:pt>
                <c:pt idx="7">
                  <c:v>-6.4937485315544696E-6</c:v>
                </c:pt>
                <c:pt idx="8">
                  <c:v>-5.0814270225590698E-6</c:v>
                </c:pt>
                <c:pt idx="9">
                  <c:v>-3.4644480912826899E-6</c:v>
                </c:pt>
                <c:pt idx="10">
                  <c:v>7.7119382180851905E-7</c:v>
                </c:pt>
                <c:pt idx="11">
                  <c:v>-6.44643652720412E-7</c:v>
                </c:pt>
                <c:pt idx="12">
                  <c:v>4.2653500933031797E-7</c:v>
                </c:pt>
                <c:pt idx="13">
                  <c:v>2.8992863018909E-6</c:v>
                </c:pt>
                <c:pt idx="14">
                  <c:v>1.29232601472686E-6</c:v>
                </c:pt>
                <c:pt idx="15">
                  <c:v>2.9346039439203298E-7</c:v>
                </c:pt>
                <c:pt idx="16">
                  <c:v>1.8658316033086001E-7</c:v>
                </c:pt>
                <c:pt idx="17">
                  <c:v>1.1553467917964699E-6</c:v>
                </c:pt>
                <c:pt idx="18">
                  <c:v>1.4985025131804801E-6</c:v>
                </c:pt>
                <c:pt idx="19">
                  <c:v>4.2021126768967701E-7</c:v>
                </c:pt>
                <c:pt idx="20">
                  <c:v>1.40154065617396E-6</c:v>
                </c:pt>
                <c:pt idx="21">
                  <c:v>-3.0775305221905801E-8</c:v>
                </c:pt>
                <c:pt idx="22">
                  <c:v>1.2040006228574599E-7</c:v>
                </c:pt>
                <c:pt idx="23">
                  <c:v>1.4281768351384E-6</c:v>
                </c:pt>
                <c:pt idx="24">
                  <c:v>1.0645626718156899E-6</c:v>
                </c:pt>
                <c:pt idx="25">
                  <c:v>-3.11601288542805E-7</c:v>
                </c:pt>
                <c:pt idx="26">
                  <c:v>6.6913572735912596E-7</c:v>
                </c:pt>
                <c:pt idx="27">
                  <c:v>4.4458999391134198E-7</c:v>
                </c:pt>
                <c:pt idx="28">
                  <c:v>2.8557071977979499E-7</c:v>
                </c:pt>
                <c:pt idx="29">
                  <c:v>8.4234208585708803E-7</c:v>
                </c:pt>
                <c:pt idx="30">
                  <c:v>5.6136062213927797E-7</c:v>
                </c:pt>
                <c:pt idx="31">
                  <c:v>9.1141763976235104E-7</c:v>
                </c:pt>
                <c:pt idx="32">
                  <c:v>2.71344292063437E-7</c:v>
                </c:pt>
                <c:pt idx="33">
                  <c:v>-7.7063042317798596E-8</c:v>
                </c:pt>
                <c:pt idx="34">
                  <c:v>-3.9426315809775402E-9</c:v>
                </c:pt>
                <c:pt idx="35">
                  <c:v>-2.22237279616011E-7</c:v>
                </c:pt>
                <c:pt idx="36">
                  <c:v>1.48843511866528E-7</c:v>
                </c:pt>
                <c:pt idx="37">
                  <c:v>-7.4075423908058805E-8</c:v>
                </c:pt>
                <c:pt idx="38">
                  <c:v>1.56905230963349E-7</c:v>
                </c:pt>
                <c:pt idx="39">
                  <c:v>-4.0130271539078498E-7</c:v>
                </c:pt>
                <c:pt idx="40">
                  <c:v>1.9557500122118501E-7</c:v>
                </c:pt>
                <c:pt idx="41">
                  <c:v>7.0859619830105095E-8</c:v>
                </c:pt>
                <c:pt idx="42">
                  <c:v>-3.6660736748076002E-8</c:v>
                </c:pt>
                <c:pt idx="43">
                  <c:v>8.23112926958683E-7</c:v>
                </c:pt>
                <c:pt idx="44">
                  <c:v>1.0521348855106301E-6</c:v>
                </c:pt>
                <c:pt idx="45">
                  <c:v>4.7074138057116E-7</c:v>
                </c:pt>
                <c:pt idx="46">
                  <c:v>6.0026523410524404E-7</c:v>
                </c:pt>
                <c:pt idx="47">
                  <c:v>8.8127138054169798E-7</c:v>
                </c:pt>
                <c:pt idx="48">
                  <c:v>9.9600676198452793E-7</c:v>
                </c:pt>
                <c:pt idx="49">
                  <c:v>1.89258800930839E-6</c:v>
                </c:pt>
                <c:pt idx="50">
                  <c:v>2.84913992505697E-6</c:v>
                </c:pt>
                <c:pt idx="51">
                  <c:v>4.1517684003026698E-6</c:v>
                </c:pt>
                <c:pt idx="52">
                  <c:v>3.02142926486868E-6</c:v>
                </c:pt>
                <c:pt idx="53">
                  <c:v>-1.4768815302170801E-5</c:v>
                </c:pt>
                <c:pt idx="54">
                  <c:v>6.3798231518993102E-6</c:v>
                </c:pt>
                <c:pt idx="55">
                  <c:v>1.2792228347526E-6</c:v>
                </c:pt>
                <c:pt idx="56">
                  <c:v>1.2199271688239001E-6</c:v>
                </c:pt>
                <c:pt idx="57">
                  <c:v>3.2126724545666502E-6</c:v>
                </c:pt>
                <c:pt idx="58">
                  <c:v>-1.2341739695190299E-6</c:v>
                </c:pt>
                <c:pt idx="59">
                  <c:v>1.41502312525357E-6</c:v>
                </c:pt>
                <c:pt idx="60">
                  <c:v>-1.86819691931855E-7</c:v>
                </c:pt>
                <c:pt idx="61">
                  <c:v>-2.9880177791215499E-6</c:v>
                </c:pt>
                <c:pt idx="62">
                  <c:v>-4.0100457224432303E-8</c:v>
                </c:pt>
                <c:pt idx="63">
                  <c:v>-1.5689221558043001E-6</c:v>
                </c:pt>
                <c:pt idx="64">
                  <c:v>4.0209559891328299E-7</c:v>
                </c:pt>
                <c:pt idx="65">
                  <c:v>-3.7035011057207801E-7</c:v>
                </c:pt>
                <c:pt idx="66">
                  <c:v>-1.3396642938572101E-6</c:v>
                </c:pt>
                <c:pt idx="67">
                  <c:v>2.4131256805952803E-7</c:v>
                </c:pt>
                <c:pt idx="68">
                  <c:v>-7.4701507628500896E-7</c:v>
                </c:pt>
                <c:pt idx="69">
                  <c:v>7.41020466043336E-7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AE-443A-BF8C-5EF95D8164EC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wFG!$D$2:$D$71</c:f>
              <c:numCache>
                <c:formatCode>General</c:formatCode>
                <c:ptCount val="70"/>
                <c:pt idx="0">
                  <c:v>-0.148056468987111</c:v>
                </c:pt>
                <c:pt idx="1">
                  <c:v>-0.16808400283353001</c:v>
                </c:pt>
                <c:pt idx="2">
                  <c:v>-0.33960205079135503</c:v>
                </c:pt>
                <c:pt idx="3">
                  <c:v>-0.476883371177103</c:v>
                </c:pt>
                <c:pt idx="4">
                  <c:v>-0.63739719906801795</c:v>
                </c:pt>
                <c:pt idx="5">
                  <c:v>-0.60089367467504196</c:v>
                </c:pt>
                <c:pt idx="6">
                  <c:v>-0.708834757721447</c:v>
                </c:pt>
                <c:pt idx="7">
                  <c:v>-1.3052323393987599</c:v>
                </c:pt>
                <c:pt idx="8">
                  <c:v>-1.0841320777110901</c:v>
                </c:pt>
                <c:pt idx="9">
                  <c:v>-0.87506873396343499</c:v>
                </c:pt>
                <c:pt idx="10">
                  <c:v>-0.66704285197135504</c:v>
                </c:pt>
                <c:pt idx="11">
                  <c:v>-0.58072914083451199</c:v>
                </c:pt>
                <c:pt idx="12">
                  <c:v>-0.48517374573893002</c:v>
                </c:pt>
                <c:pt idx="13">
                  <c:v>-0.63934151705290998</c:v>
                </c:pt>
                <c:pt idx="14">
                  <c:v>-0.701078917046285</c:v>
                </c:pt>
                <c:pt idx="15">
                  <c:v>-0.67727075373777601</c:v>
                </c:pt>
                <c:pt idx="16">
                  <c:v>-0.51200534631618799</c:v>
                </c:pt>
                <c:pt idx="17">
                  <c:v>-0.66247062572913196</c:v>
                </c:pt>
                <c:pt idx="18">
                  <c:v>-0.84956787105640497</c:v>
                </c:pt>
                <c:pt idx="19">
                  <c:v>-0.85213334138774</c:v>
                </c:pt>
                <c:pt idx="20">
                  <c:v>-0.82995494807520698</c:v>
                </c:pt>
                <c:pt idx="21">
                  <c:v>-0.910353131897229</c:v>
                </c:pt>
                <c:pt idx="22">
                  <c:v>-0.82557130105587195</c:v>
                </c:pt>
                <c:pt idx="23">
                  <c:v>-0.83304420766910703</c:v>
                </c:pt>
                <c:pt idx="24">
                  <c:v>-0.83154556805272795</c:v>
                </c:pt>
                <c:pt idx="25">
                  <c:v>-0.81262311228769102</c:v>
                </c:pt>
                <c:pt idx="26">
                  <c:v>-0.77390179274084003</c:v>
                </c:pt>
                <c:pt idx="27">
                  <c:v>-0.759804803960617</c:v>
                </c:pt>
                <c:pt idx="28">
                  <c:v>-0.72656699743374398</c:v>
                </c:pt>
                <c:pt idx="29">
                  <c:v>-0.74238981826283201</c:v>
                </c:pt>
                <c:pt idx="30">
                  <c:v>-0.79056927940076605</c:v>
                </c:pt>
                <c:pt idx="31">
                  <c:v>-0.88504007563492704</c:v>
                </c:pt>
                <c:pt idx="32">
                  <c:v>-0.95106995044715803</c:v>
                </c:pt>
                <c:pt idx="33">
                  <c:v>-0.97074996803663605</c:v>
                </c:pt>
                <c:pt idx="34">
                  <c:v>-1.11530315357944</c:v>
                </c:pt>
                <c:pt idx="35">
                  <c:v>-1.10251041718446</c:v>
                </c:pt>
                <c:pt idx="36">
                  <c:v>-1.25923720493228</c:v>
                </c:pt>
                <c:pt idx="37">
                  <c:v>-1.1237381328799401</c:v>
                </c:pt>
                <c:pt idx="38">
                  <c:v>-1.0826455855019099</c:v>
                </c:pt>
                <c:pt idx="39">
                  <c:v>-0.93352726284693599</c:v>
                </c:pt>
                <c:pt idx="40">
                  <c:v>-0.83162132646312403</c:v>
                </c:pt>
                <c:pt idx="41">
                  <c:v>-0.79796890641108797</c:v>
                </c:pt>
                <c:pt idx="42">
                  <c:v>-0.716159595894443</c:v>
                </c:pt>
                <c:pt idx="43">
                  <c:v>-0.62340906373495197</c:v>
                </c:pt>
                <c:pt idx="44">
                  <c:v>-0.53546130770713096</c:v>
                </c:pt>
                <c:pt idx="45">
                  <c:v>-0.58696642651709496</c:v>
                </c:pt>
                <c:pt idx="46">
                  <c:v>-0.56165660235345904</c:v>
                </c:pt>
                <c:pt idx="47">
                  <c:v>-0.61239173763247401</c:v>
                </c:pt>
                <c:pt idx="48">
                  <c:v>-0.65823278684488096</c:v>
                </c:pt>
                <c:pt idx="49">
                  <c:v>-0.67887350949998804</c:v>
                </c:pt>
                <c:pt idx="50">
                  <c:v>-0.68405480379728101</c:v>
                </c:pt>
                <c:pt idx="51">
                  <c:v>-0.63287944109041006</c:v>
                </c:pt>
                <c:pt idx="52">
                  <c:v>-0.888119806513189</c:v>
                </c:pt>
                <c:pt idx="53">
                  <c:v>-0.89674288947871805</c:v>
                </c:pt>
                <c:pt idx="54">
                  <c:v>-0.80966224069085502</c:v>
                </c:pt>
                <c:pt idx="55">
                  <c:v>-0.68285734715621005</c:v>
                </c:pt>
                <c:pt idx="56">
                  <c:v>-0.55466426295615101</c:v>
                </c:pt>
                <c:pt idx="57">
                  <c:v>-0.49835000810254798</c:v>
                </c:pt>
                <c:pt idx="58">
                  <c:v>-0.35964642249440598</c:v>
                </c:pt>
                <c:pt idx="59">
                  <c:v>-0.410923435468737</c:v>
                </c:pt>
                <c:pt idx="60">
                  <c:v>-0.50941921468176998</c:v>
                </c:pt>
                <c:pt idx="61">
                  <c:v>-0.281207955828019</c:v>
                </c:pt>
                <c:pt idx="62">
                  <c:v>-0.28984665512909902</c:v>
                </c:pt>
                <c:pt idx="63">
                  <c:v>-0.17098193966799499</c:v>
                </c:pt>
                <c:pt idx="64">
                  <c:v>-0.15340699641914299</c:v>
                </c:pt>
                <c:pt idx="65">
                  <c:v>-0.17221607611627199</c:v>
                </c:pt>
                <c:pt idx="66">
                  <c:v>2.8717574084433699E-2</c:v>
                </c:pt>
                <c:pt idx="67">
                  <c:v>1.3915017205952901E-2</c:v>
                </c:pt>
                <c:pt idx="68">
                  <c:v>-2.1418304876840599E-2</c:v>
                </c:pt>
                <c:pt idx="69">
                  <c:v>-9.3540646762693205E-2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AE-443A-BF8C-5EF95D8164EC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wFG!$E$2:$E$71</c:f>
              <c:numCache>
                <c:formatCode>General</c:formatCode>
                <c:ptCount val="70"/>
                <c:pt idx="0">
                  <c:v>1.03202174481558E-3</c:v>
                </c:pt>
                <c:pt idx="1">
                  <c:v>1.1083013698974099E-3</c:v>
                </c:pt>
                <c:pt idx="2">
                  <c:v>1.3447260365434901E-3</c:v>
                </c:pt>
                <c:pt idx="3">
                  <c:v>1.3066356511569201E-3</c:v>
                </c:pt>
                <c:pt idx="4" formatCode="0.00E+00">
                  <c:v>-6.9906395665178197E-5</c:v>
                </c:pt>
                <c:pt idx="5">
                  <c:v>-5.5720817392754295E-4</c:v>
                </c:pt>
                <c:pt idx="6">
                  <c:v>-1.71577308688112E-3</c:v>
                </c:pt>
                <c:pt idx="7">
                  <c:v>-3.34464264390729E-3</c:v>
                </c:pt>
                <c:pt idx="8">
                  <c:v>-3.3354405162071498E-3</c:v>
                </c:pt>
                <c:pt idx="9">
                  <c:v>-3.0217147525348998E-3</c:v>
                </c:pt>
                <c:pt idx="10">
                  <c:v>-2.4179338590541201E-3</c:v>
                </c:pt>
                <c:pt idx="11">
                  <c:v>-2.5576396996007198E-3</c:v>
                </c:pt>
                <c:pt idx="12">
                  <c:v>-2.2883303391452899E-3</c:v>
                </c:pt>
                <c:pt idx="13">
                  <c:v>-1.4935123181934601E-3</c:v>
                </c:pt>
                <c:pt idx="14">
                  <c:v>-1.01086541317011E-3</c:v>
                </c:pt>
                <c:pt idx="15">
                  <c:v>-6.6718192726367696E-4</c:v>
                </c:pt>
                <c:pt idx="16">
                  <c:v>-1.1120934041994499E-3</c:v>
                </c:pt>
                <c:pt idx="17">
                  <c:v>-6.8434920352204004E-4</c:v>
                </c:pt>
                <c:pt idx="18">
                  <c:v>-2.5087942265700301E-4</c:v>
                </c:pt>
                <c:pt idx="19">
                  <c:v>3.8509197611494398E-4</c:v>
                </c:pt>
                <c:pt idx="20">
                  <c:v>4.2746057105490102E-4</c:v>
                </c:pt>
                <c:pt idx="21">
                  <c:v>3.6504088278819298E-4</c:v>
                </c:pt>
                <c:pt idx="22">
                  <c:v>-3.5232939436240002E-4</c:v>
                </c:pt>
                <c:pt idx="23">
                  <c:v>-1.3190177039636801E-4</c:v>
                </c:pt>
                <c:pt idx="24">
                  <c:v>1.4873422278065601E-4</c:v>
                </c:pt>
                <c:pt idx="25" formatCode="0.00E+00">
                  <c:v>-4.8657447458023798E-5</c:v>
                </c:pt>
                <c:pt idx="26">
                  <c:v>-4.5861752536922098E-4</c:v>
                </c:pt>
                <c:pt idx="27">
                  <c:v>-4.5833855568253203E-4</c:v>
                </c:pt>
                <c:pt idx="28">
                  <c:v>-7.3563470741440904E-4</c:v>
                </c:pt>
                <c:pt idx="29" formatCode="0.00E+00">
                  <c:v>-8.9627655020081795E-5</c:v>
                </c:pt>
                <c:pt idx="30">
                  <c:v>1.63542623909983E-4</c:v>
                </c:pt>
                <c:pt idx="31">
                  <c:v>5.6103050022816099E-4</c:v>
                </c:pt>
                <c:pt idx="32">
                  <c:v>2.4837863468342902E-4</c:v>
                </c:pt>
                <c:pt idx="33">
                  <c:v>1.36589481363826E-4</c:v>
                </c:pt>
                <c:pt idx="34">
                  <c:v>4.4319886735691899E-4</c:v>
                </c:pt>
                <c:pt idx="35" formatCode="0.00E+00">
                  <c:v>-3.9694229760650599E-5</c:v>
                </c:pt>
                <c:pt idx="36">
                  <c:v>8.78088620101959E-4</c:v>
                </c:pt>
                <c:pt idx="37">
                  <c:v>3.2838833699681602E-4</c:v>
                </c:pt>
                <c:pt idx="38">
                  <c:v>7.5687858549612999E-4</c:v>
                </c:pt>
                <c:pt idx="39">
                  <c:v>3.58037575989611E-4</c:v>
                </c:pt>
                <c:pt idx="40">
                  <c:v>6.6980765116019902E-4</c:v>
                </c:pt>
                <c:pt idx="41">
                  <c:v>7.0274242497685602E-4</c:v>
                </c:pt>
                <c:pt idx="42">
                  <c:v>5.1887962895446195E-4</c:v>
                </c:pt>
                <c:pt idx="43">
                  <c:v>9.6541009872979896E-4</c:v>
                </c:pt>
                <c:pt idx="44">
                  <c:v>1.0833722803395599E-3</c:v>
                </c:pt>
                <c:pt idx="45">
                  <c:v>1.0860961209080899E-3</c:v>
                </c:pt>
                <c:pt idx="46">
                  <c:v>1.1467392648759601E-3</c:v>
                </c:pt>
                <c:pt idx="47">
                  <c:v>1.3615056046790499E-3</c:v>
                </c:pt>
                <c:pt idx="48">
                  <c:v>1.2012334568359999E-3</c:v>
                </c:pt>
                <c:pt idx="49">
                  <c:v>1.84448561558156E-3</c:v>
                </c:pt>
                <c:pt idx="50">
                  <c:v>2.0454799420345999E-3</c:v>
                </c:pt>
                <c:pt idx="51">
                  <c:v>1.5081204440681899E-3</c:v>
                </c:pt>
                <c:pt idx="52">
                  <c:v>-1.0118910693076499E-3</c:v>
                </c:pt>
                <c:pt idx="53">
                  <c:v>-1.00729758924344E-2</c:v>
                </c:pt>
                <c:pt idx="54">
                  <c:v>2.0744720628813802E-3</c:v>
                </c:pt>
                <c:pt idx="55">
                  <c:v>-1.6092962717497699E-3</c:v>
                </c:pt>
                <c:pt idx="56">
                  <c:v>-1.7282417864162901E-3</c:v>
                </c:pt>
                <c:pt idx="57">
                  <c:v>-1.1620939751886799E-3</c:v>
                </c:pt>
                <c:pt idx="58">
                  <c:v>-1.6769761174678E-3</c:v>
                </c:pt>
                <c:pt idx="59">
                  <c:v>-1.41670861580951E-3</c:v>
                </c:pt>
                <c:pt idx="60">
                  <c:v>-8.4606282449106198E-4</c:v>
                </c:pt>
                <c:pt idx="61">
                  <c:v>1.3757546747408E-4</c:v>
                </c:pt>
                <c:pt idx="62">
                  <c:v>7.7969477040284703E-4</c:v>
                </c:pt>
                <c:pt idx="63">
                  <c:v>1.93642969303518E-3</c:v>
                </c:pt>
                <c:pt idx="64">
                  <c:v>2.7624052225008501E-3</c:v>
                </c:pt>
                <c:pt idx="65">
                  <c:v>2.4088621533867099E-3</c:v>
                </c:pt>
                <c:pt idx="66">
                  <c:v>1.849857176041E-3</c:v>
                </c:pt>
                <c:pt idx="67">
                  <c:v>1.91558457410877E-3</c:v>
                </c:pt>
                <c:pt idx="68">
                  <c:v>1.1909392430088899E-3</c:v>
                </c:pt>
                <c:pt idx="69">
                  <c:v>6.7669073603759901E-4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AE-443A-BF8C-5EF95D8164EC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wFG!$F$2:$F$71</c:f>
              <c:numCache>
                <c:formatCode>General</c:formatCode>
                <c:ptCount val="70"/>
                <c:pt idx="0">
                  <c:v>0.49989433643112702</c:v>
                </c:pt>
                <c:pt idx="1">
                  <c:v>0.55099943188654099</c:v>
                </c:pt>
                <c:pt idx="2">
                  <c:v>0.55825445338645496</c:v>
                </c:pt>
                <c:pt idx="3">
                  <c:v>0.53311641177040603</c:v>
                </c:pt>
                <c:pt idx="4">
                  <c:v>0.47917861114667798</c:v>
                </c:pt>
                <c:pt idx="5">
                  <c:v>0.51071481983091305</c:v>
                </c:pt>
                <c:pt idx="6">
                  <c:v>0.481401531735479</c:v>
                </c:pt>
                <c:pt idx="7">
                  <c:v>0.18028868373019999</c:v>
                </c:pt>
                <c:pt idx="8">
                  <c:v>0.22792314189836499</c:v>
                </c:pt>
                <c:pt idx="9">
                  <c:v>0.23573740964795301</c:v>
                </c:pt>
                <c:pt idx="10">
                  <c:v>0.18732409801708699</c:v>
                </c:pt>
                <c:pt idx="11">
                  <c:v>0.14490357439646501</c:v>
                </c:pt>
                <c:pt idx="12">
                  <c:v>8.4004713428496497E-2</c:v>
                </c:pt>
                <c:pt idx="13">
                  <c:v>-0.16828579307114599</c:v>
                </c:pt>
                <c:pt idx="14">
                  <c:v>-0.206801457945579</c:v>
                </c:pt>
                <c:pt idx="15">
                  <c:v>-0.19242421851765301</c:v>
                </c:pt>
                <c:pt idx="16">
                  <c:v>-0.191119497712265</c:v>
                </c:pt>
                <c:pt idx="17">
                  <c:v>-0.28973317435587997</c:v>
                </c:pt>
                <c:pt idx="18">
                  <c:v>-0.45682787062253499</c:v>
                </c:pt>
                <c:pt idx="19">
                  <c:v>-0.43750371812918099</c:v>
                </c:pt>
                <c:pt idx="20">
                  <c:v>-0.49327720808299003</c:v>
                </c:pt>
                <c:pt idx="21">
                  <c:v>-0.50714989514414799</c:v>
                </c:pt>
                <c:pt idx="22">
                  <c:v>-0.55320723657118998</c:v>
                </c:pt>
                <c:pt idx="23">
                  <c:v>-0.56923737222715698</c:v>
                </c:pt>
                <c:pt idx="24">
                  <c:v>-0.52150464238781502</c:v>
                </c:pt>
                <c:pt idx="25">
                  <c:v>-0.45722271840741202</c:v>
                </c:pt>
                <c:pt idx="26">
                  <c:v>-0.496443085445327</c:v>
                </c:pt>
                <c:pt idx="27">
                  <c:v>-0.456736170431919</c:v>
                </c:pt>
                <c:pt idx="28">
                  <c:v>-0.47427688381042499</c:v>
                </c:pt>
                <c:pt idx="29">
                  <c:v>-0.46199865693870301</c:v>
                </c:pt>
                <c:pt idx="30">
                  <c:v>-0.45529200072650899</c:v>
                </c:pt>
                <c:pt idx="31">
                  <c:v>-0.50179895855940604</c:v>
                </c:pt>
                <c:pt idx="32">
                  <c:v>-0.53643537125287999</c:v>
                </c:pt>
                <c:pt idx="33">
                  <c:v>-0.52431337922805998</c:v>
                </c:pt>
                <c:pt idx="34">
                  <c:v>-0.57511491042403995</c:v>
                </c:pt>
                <c:pt idx="35">
                  <c:v>-0.600035085285614</c:v>
                </c:pt>
                <c:pt idx="36">
                  <c:v>-0.61829308330392296</c:v>
                </c:pt>
                <c:pt idx="37">
                  <c:v>-0.59176045079341999</c:v>
                </c:pt>
                <c:pt idx="38">
                  <c:v>-0.558365995582913</c:v>
                </c:pt>
                <c:pt idx="39">
                  <c:v>-0.508179048813439</c:v>
                </c:pt>
                <c:pt idx="40">
                  <c:v>-0.49683804508441098</c:v>
                </c:pt>
                <c:pt idx="41">
                  <c:v>-0.51845252152108101</c:v>
                </c:pt>
                <c:pt idx="42">
                  <c:v>-0.54057690826897298</c:v>
                </c:pt>
                <c:pt idx="43">
                  <c:v>-0.57475213822201698</c:v>
                </c:pt>
                <c:pt idx="44">
                  <c:v>-0.58831592763196405</c:v>
                </c:pt>
                <c:pt idx="45">
                  <c:v>-0.62159267163361598</c:v>
                </c:pt>
                <c:pt idx="46">
                  <c:v>-0.65231997441493395</c:v>
                </c:pt>
                <c:pt idx="47">
                  <c:v>-0.71844822533297803</c:v>
                </c:pt>
                <c:pt idx="48">
                  <c:v>-0.80792469130413003</c:v>
                </c:pt>
                <c:pt idx="49">
                  <c:v>-0.83493278797270198</c:v>
                </c:pt>
                <c:pt idx="50">
                  <c:v>-0.85794118698826605</c:v>
                </c:pt>
                <c:pt idx="51">
                  <c:v>-0.89172132888321798</c:v>
                </c:pt>
                <c:pt idx="52">
                  <c:v>-1.07866992969474</c:v>
                </c:pt>
                <c:pt idx="53">
                  <c:v>-1.25508523884197</c:v>
                </c:pt>
                <c:pt idx="54">
                  <c:v>-1.10649277252419</c:v>
                </c:pt>
                <c:pt idx="55">
                  <c:v>-1.1806109262136</c:v>
                </c:pt>
                <c:pt idx="56">
                  <c:v>-1.07651583097702</c:v>
                </c:pt>
                <c:pt idx="57">
                  <c:v>-1.0454141271344399</c:v>
                </c:pt>
                <c:pt idx="58">
                  <c:v>-0.86182618825042001</c:v>
                </c:pt>
                <c:pt idx="59">
                  <c:v>-0.85413389307866505</c:v>
                </c:pt>
                <c:pt idx="60">
                  <c:v>-0.74535463299492499</c:v>
                </c:pt>
                <c:pt idx="61">
                  <c:v>-0.41623137158423501</c:v>
                </c:pt>
                <c:pt idx="62">
                  <c:v>-0.38633182343776101</c:v>
                </c:pt>
                <c:pt idx="63">
                  <c:v>-0.19243439728641201</c:v>
                </c:pt>
                <c:pt idx="64">
                  <c:v>-0.15548634128657601</c:v>
                </c:pt>
                <c:pt idx="65">
                  <c:v>-0.101137291173004</c:v>
                </c:pt>
                <c:pt idx="66">
                  <c:v>5.3381266394315001E-2</c:v>
                </c:pt>
                <c:pt idx="67">
                  <c:v>3.3541262167373798E-2</c:v>
                </c:pt>
                <c:pt idx="68">
                  <c:v>5.5020181288554702E-2</c:v>
                </c:pt>
                <c:pt idx="69">
                  <c:v>4.2272875141765196E-3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AE-443A-BF8C-5EF95D8164EC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wFG!$G$2:$G$71</c:f>
              <c:numCache>
                <c:formatCode>General</c:formatCode>
                <c:ptCount val="70"/>
                <c:pt idx="0">
                  <c:v>-4.6535517226704202E-2</c:v>
                </c:pt>
                <c:pt idx="1">
                  <c:v>-3.9492100070202797E-2</c:v>
                </c:pt>
                <c:pt idx="2">
                  <c:v>-5.6755706444890898E-2</c:v>
                </c:pt>
                <c:pt idx="3">
                  <c:v>-6.9494743970194103E-2</c:v>
                </c:pt>
                <c:pt idx="4">
                  <c:v>-6.3279753526090596E-2</c:v>
                </c:pt>
                <c:pt idx="5">
                  <c:v>-6.4217593082941907E-2</c:v>
                </c:pt>
                <c:pt idx="6">
                  <c:v>-5.61464349929955E-2</c:v>
                </c:pt>
                <c:pt idx="7">
                  <c:v>5.1103001425709402E-3</c:v>
                </c:pt>
                <c:pt idx="8">
                  <c:v>-7.9065710647330895E-2</c:v>
                </c:pt>
                <c:pt idx="9">
                  <c:v>-0.105216617451278</c:v>
                </c:pt>
                <c:pt idx="10">
                  <c:v>-0.19104247657923501</c:v>
                </c:pt>
                <c:pt idx="11">
                  <c:v>-0.183086827400118</c:v>
                </c:pt>
                <c:pt idx="12">
                  <c:v>-0.24470983128659399</c:v>
                </c:pt>
                <c:pt idx="13">
                  <c:v>-0.227937447586853</c:v>
                </c:pt>
                <c:pt idx="14">
                  <c:v>-0.25471588089098002</c:v>
                </c:pt>
                <c:pt idx="15">
                  <c:v>-0.222979051542053</c:v>
                </c:pt>
                <c:pt idx="16">
                  <c:v>-0.25727389518223698</c:v>
                </c:pt>
                <c:pt idx="17">
                  <c:v>-0.240142820045778</c:v>
                </c:pt>
                <c:pt idx="18">
                  <c:v>-0.202648784009438</c:v>
                </c:pt>
                <c:pt idx="19">
                  <c:v>-0.18318744531697001</c:v>
                </c:pt>
                <c:pt idx="20">
                  <c:v>-0.170526262755266</c:v>
                </c:pt>
                <c:pt idx="21">
                  <c:v>-0.16440557312219001</c:v>
                </c:pt>
                <c:pt idx="22">
                  <c:v>-0.17060274964192401</c:v>
                </c:pt>
                <c:pt idx="23">
                  <c:v>-0.17985926787679801</c:v>
                </c:pt>
                <c:pt idx="24">
                  <c:v>-0.16389708649280699</c:v>
                </c:pt>
                <c:pt idx="25">
                  <c:v>-0.139856854005072</c:v>
                </c:pt>
                <c:pt idx="26">
                  <c:v>-0.12731573355759401</c:v>
                </c:pt>
                <c:pt idx="27">
                  <c:v>-0.12694081521999401</c:v>
                </c:pt>
                <c:pt idx="28">
                  <c:v>-0.120270599078673</c:v>
                </c:pt>
                <c:pt idx="29">
                  <c:v>-0.10153026750227</c:v>
                </c:pt>
                <c:pt idx="30">
                  <c:v>-8.5587944955465595E-2</c:v>
                </c:pt>
                <c:pt idx="31">
                  <c:v>-7.3729596558575194E-2</c:v>
                </c:pt>
                <c:pt idx="32">
                  <c:v>-5.75176919434102E-2</c:v>
                </c:pt>
                <c:pt idx="33">
                  <c:v>-4.9687277167159198E-2</c:v>
                </c:pt>
                <c:pt idx="34">
                  <c:v>-2.95307663537463E-2</c:v>
                </c:pt>
                <c:pt idx="35">
                  <c:v>-2.2246638953570302E-2</c:v>
                </c:pt>
                <c:pt idx="36">
                  <c:v>-2.1212301810374101E-2</c:v>
                </c:pt>
                <c:pt idx="37">
                  <c:v>-3.0120402600663801E-2</c:v>
                </c:pt>
                <c:pt idx="38">
                  <c:v>-2.97466192127285E-2</c:v>
                </c:pt>
                <c:pt idx="39">
                  <c:v>-2.39616267677745E-2</c:v>
                </c:pt>
                <c:pt idx="40">
                  <c:v>-3.4347510119241503E-2</c:v>
                </c:pt>
                <c:pt idx="41">
                  <c:v>-2.5377707350740599E-2</c:v>
                </c:pt>
                <c:pt idx="42">
                  <c:v>-2.98549466373981E-2</c:v>
                </c:pt>
                <c:pt idx="43">
                  <c:v>-1.61608563058326E-2</c:v>
                </c:pt>
                <c:pt idx="44">
                  <c:v>-1.11401938568641E-2</c:v>
                </c:pt>
                <c:pt idx="45">
                  <c:v>-4.28330411586201E-3</c:v>
                </c:pt>
                <c:pt idx="46">
                  <c:v>-5.4630835278322298E-3</c:v>
                </c:pt>
                <c:pt idx="47">
                  <c:v>-2.5107726328668302E-3</c:v>
                </c:pt>
                <c:pt idx="48">
                  <c:v>6.2026001460943796E-3</c:v>
                </c:pt>
                <c:pt idx="49">
                  <c:v>4.2542922009169998E-3</c:v>
                </c:pt>
                <c:pt idx="50">
                  <c:v>-2.1104420532303301E-2</c:v>
                </c:pt>
                <c:pt idx="51">
                  <c:v>-4.7423843822835002E-2</c:v>
                </c:pt>
                <c:pt idx="52">
                  <c:v>-7.4035730522333002E-3</c:v>
                </c:pt>
                <c:pt idx="53">
                  <c:v>0.15620616798070699</c:v>
                </c:pt>
                <c:pt idx="54">
                  <c:v>-2.3580511264548999E-2</c:v>
                </c:pt>
                <c:pt idx="55">
                  <c:v>1.5582482101387501E-2</c:v>
                </c:pt>
                <c:pt idx="56">
                  <c:v>-2.80722936339068E-2</c:v>
                </c:pt>
                <c:pt idx="57">
                  <c:v>-6.8358253725552806E-2</c:v>
                </c:pt>
                <c:pt idx="58">
                  <c:v>-2.5549513583365499E-3</c:v>
                </c:pt>
                <c:pt idx="59">
                  <c:v>-2.97388396591192E-3</c:v>
                </c:pt>
                <c:pt idx="60">
                  <c:v>8.8667255546647103E-2</c:v>
                </c:pt>
                <c:pt idx="61">
                  <c:v>0.14763933084529901</c:v>
                </c:pt>
                <c:pt idx="62">
                  <c:v>0.150310302625692</c:v>
                </c:pt>
                <c:pt idx="63">
                  <c:v>0.18229766644454301</c:v>
                </c:pt>
                <c:pt idx="64">
                  <c:v>0.203721601365359</c:v>
                </c:pt>
                <c:pt idx="65">
                  <c:v>0.229430283075827</c:v>
                </c:pt>
                <c:pt idx="66">
                  <c:v>0.21536457175225299</c:v>
                </c:pt>
                <c:pt idx="67">
                  <c:v>0.189732667530254</c:v>
                </c:pt>
                <c:pt idx="68">
                  <c:v>0.18993130039572401</c:v>
                </c:pt>
                <c:pt idx="69">
                  <c:v>0.138670357411351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AE-443A-BF8C-5EF95D8164EC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wFG!$H$2:$H$71</c:f>
              <c:numCache>
                <c:formatCode>General</c:formatCode>
                <c:ptCount val="70"/>
                <c:pt idx="0">
                  <c:v>0.13489570255630701</c:v>
                </c:pt>
                <c:pt idx="1">
                  <c:v>0.118158199866612</c:v>
                </c:pt>
                <c:pt idx="2">
                  <c:v>0.13713848203114901</c:v>
                </c:pt>
                <c:pt idx="3">
                  <c:v>0.140077433345942</c:v>
                </c:pt>
                <c:pt idx="4">
                  <c:v>0.15166680742571501</c:v>
                </c:pt>
                <c:pt idx="5">
                  <c:v>0.14725971118704001</c:v>
                </c:pt>
                <c:pt idx="6">
                  <c:v>0.14669397088522201</c:v>
                </c:pt>
                <c:pt idx="7">
                  <c:v>0.20604348676672599</c:v>
                </c:pt>
                <c:pt idx="8">
                  <c:v>0.19404586912015401</c:v>
                </c:pt>
                <c:pt idx="9">
                  <c:v>0.15345819202808</c:v>
                </c:pt>
                <c:pt idx="10">
                  <c:v>0.125980029077152</c:v>
                </c:pt>
                <c:pt idx="11">
                  <c:v>6.8534478816869498E-2</c:v>
                </c:pt>
                <c:pt idx="12">
                  <c:v>5.6359130709460997E-2</c:v>
                </c:pt>
                <c:pt idx="13">
                  <c:v>5.0718498270295398E-2</c:v>
                </c:pt>
                <c:pt idx="14">
                  <c:v>2.11467514290377E-2</c:v>
                </c:pt>
                <c:pt idx="15">
                  <c:v>3.89100667548696E-3</c:v>
                </c:pt>
                <c:pt idx="16">
                  <c:v>1.6499528677458401E-2</c:v>
                </c:pt>
                <c:pt idx="17">
                  <c:v>-7.5886632681407902E-4</c:v>
                </c:pt>
                <c:pt idx="18">
                  <c:v>9.1484099602521E-4</c:v>
                </c:pt>
                <c:pt idx="19">
                  <c:v>-1.1554139204061901E-2</c:v>
                </c:pt>
                <c:pt idx="20">
                  <c:v>-4.17100366144059E-2</c:v>
                </c:pt>
                <c:pt idx="21">
                  <c:v>-4.52327998707827E-2</c:v>
                </c:pt>
                <c:pt idx="22">
                  <c:v>-2.10677567232079E-2</c:v>
                </c:pt>
                <c:pt idx="23">
                  <c:v>-3.5132085767519902E-2</c:v>
                </c:pt>
                <c:pt idx="24">
                  <c:v>-5.7767770125893403E-2</c:v>
                </c:pt>
                <c:pt idx="25">
                  <c:v>-6.8107832333129406E-2</c:v>
                </c:pt>
                <c:pt idx="26">
                  <c:v>-9.0336761706617905E-2</c:v>
                </c:pt>
                <c:pt idx="27">
                  <c:v>-0.12336162340055</c:v>
                </c:pt>
                <c:pt idx="28">
                  <c:v>-0.112420981052026</c:v>
                </c:pt>
                <c:pt idx="29">
                  <c:v>-0.13309843900403101</c:v>
                </c:pt>
                <c:pt idx="30">
                  <c:v>-0.15901665491396499</c:v>
                </c:pt>
                <c:pt idx="31">
                  <c:v>-0.15526505094426299</c:v>
                </c:pt>
                <c:pt idx="32">
                  <c:v>-0.17469837572382599</c:v>
                </c:pt>
                <c:pt idx="33">
                  <c:v>-0.18834118628274801</c:v>
                </c:pt>
                <c:pt idx="34">
                  <c:v>-0.183615117246714</c:v>
                </c:pt>
                <c:pt idx="35">
                  <c:v>-0.16893030927317901</c:v>
                </c:pt>
                <c:pt idx="36">
                  <c:v>-0.174584700599097</c:v>
                </c:pt>
                <c:pt idx="37">
                  <c:v>-0.158146766900744</c:v>
                </c:pt>
                <c:pt idx="38">
                  <c:v>-0.16987191883383501</c:v>
                </c:pt>
                <c:pt idx="39">
                  <c:v>-0.17655851835254599</c:v>
                </c:pt>
                <c:pt idx="40">
                  <c:v>-0.18005563331983199</c:v>
                </c:pt>
                <c:pt idx="41">
                  <c:v>-0.16963868389629999</c:v>
                </c:pt>
                <c:pt idx="42">
                  <c:v>-0.17947045368188999</c:v>
                </c:pt>
                <c:pt idx="43">
                  <c:v>-0.20408347722344999</c:v>
                </c:pt>
                <c:pt idx="44">
                  <c:v>-0.19906938125441601</c:v>
                </c:pt>
                <c:pt idx="45">
                  <c:v>-0.19604516676352601</c:v>
                </c:pt>
                <c:pt idx="46">
                  <c:v>-0.20409921152862101</c:v>
                </c:pt>
                <c:pt idx="47">
                  <c:v>-0.18460005563586299</c:v>
                </c:pt>
                <c:pt idx="48">
                  <c:v>-0.20203404621660401</c:v>
                </c:pt>
                <c:pt idx="49">
                  <c:v>-0.22281660511870199</c:v>
                </c:pt>
                <c:pt idx="50">
                  <c:v>-0.23246947652927899</c:v>
                </c:pt>
                <c:pt idx="51">
                  <c:v>-0.23624753850572699</c:v>
                </c:pt>
                <c:pt idx="52">
                  <c:v>-0.21478383562595399</c:v>
                </c:pt>
                <c:pt idx="53">
                  <c:v>-0.268204927877713</c:v>
                </c:pt>
                <c:pt idx="54">
                  <c:v>-0.32794926985891498</c:v>
                </c:pt>
                <c:pt idx="55">
                  <c:v>-0.31238195358225801</c:v>
                </c:pt>
                <c:pt idx="56">
                  <c:v>-0.32721712142357201</c:v>
                </c:pt>
                <c:pt idx="57">
                  <c:v>-0.34579331180904399</c:v>
                </c:pt>
                <c:pt idx="58">
                  <c:v>-0.33533430196351599</c:v>
                </c:pt>
                <c:pt idx="59">
                  <c:v>-0.339055203789003</c:v>
                </c:pt>
                <c:pt idx="60">
                  <c:v>-0.29647459556662198</c:v>
                </c:pt>
                <c:pt idx="61">
                  <c:v>-0.270499402376708</c:v>
                </c:pt>
                <c:pt idx="62">
                  <c:v>-0.28855063417516102</c:v>
                </c:pt>
                <c:pt idx="63">
                  <c:v>-0.29055325776624902</c:v>
                </c:pt>
                <c:pt idx="64">
                  <c:v>-0.25837652455554799</c:v>
                </c:pt>
                <c:pt idx="65">
                  <c:v>-0.27796238553104302</c:v>
                </c:pt>
                <c:pt idx="66">
                  <c:v>-0.27889964113266302</c:v>
                </c:pt>
                <c:pt idx="67">
                  <c:v>-0.30217468535148301</c:v>
                </c:pt>
                <c:pt idx="68">
                  <c:v>-0.31707276790504402</c:v>
                </c:pt>
                <c:pt idx="69">
                  <c:v>-0.32598410423489099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AE-443A-BF8C-5EF95D8164EC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wFG!$I$2:$I$71</c:f>
              <c:numCache>
                <c:formatCode>0.00E+00</c:formatCode>
                <c:ptCount val="70"/>
                <c:pt idx="0">
                  <c:v>3.2757224183061398E-17</c:v>
                </c:pt>
                <c:pt idx="1">
                  <c:v>1.9791939252185599E-16</c:v>
                </c:pt>
                <c:pt idx="2">
                  <c:v>-1.00562736617197E-16</c:v>
                </c:pt>
                <c:pt idx="3">
                  <c:v>-6.1410961094798904E-16</c:v>
                </c:pt>
                <c:pt idx="4">
                  <c:v>-3.3654739332929401E-16</c:v>
                </c:pt>
                <c:pt idx="5">
                  <c:v>-2.23067202428126E-16</c:v>
                </c:pt>
                <c:pt idx="6">
                  <c:v>-7.90829994782449E-16</c:v>
                </c:pt>
                <c:pt idx="7">
                  <c:v>1.3384411813936899E-15</c:v>
                </c:pt>
                <c:pt idx="8">
                  <c:v>1.5745905109737899E-15</c:v>
                </c:pt>
                <c:pt idx="9">
                  <c:v>1.35346481214252E-15</c:v>
                </c:pt>
                <c:pt idx="10">
                  <c:v>1.24160986479293E-15</c:v>
                </c:pt>
                <c:pt idx="11">
                  <c:v>-2.9983289445509499E-17</c:v>
                </c:pt>
                <c:pt idx="12">
                  <c:v>7.5811217613415305E-17</c:v>
                </c:pt>
                <c:pt idx="13">
                  <c:v>2.2766642036099701E-16</c:v>
                </c:pt>
                <c:pt idx="14">
                  <c:v>5.8652205377945601E-16</c:v>
                </c:pt>
                <c:pt idx="15">
                  <c:v>-3.2409724507675102E-16</c:v>
                </c:pt>
                <c:pt idx="16">
                  <c:v>-6.19743773835096E-16</c:v>
                </c:pt>
                <c:pt idx="17">
                  <c:v>-1.6894680063342799E-15</c:v>
                </c:pt>
                <c:pt idx="18">
                  <c:v>-1.8655613631941302E-15</c:v>
                </c:pt>
                <c:pt idx="19">
                  <c:v>-1.6967616642228999E-15</c:v>
                </c:pt>
                <c:pt idx="20">
                  <c:v>-2.8405557907599201E-15</c:v>
                </c:pt>
                <c:pt idx="21">
                  <c:v>-2.58682715117911E-15</c:v>
                </c:pt>
                <c:pt idx="22">
                  <c:v>-2.5718682723710899E-15</c:v>
                </c:pt>
                <c:pt idx="23">
                  <c:v>-2.5721548775373901E-15</c:v>
                </c:pt>
                <c:pt idx="24">
                  <c:v>-2.9599670314248201E-15</c:v>
                </c:pt>
                <c:pt idx="25">
                  <c:v>-2.6690550186545099E-15</c:v>
                </c:pt>
                <c:pt idx="26">
                  <c:v>-3.4853097890196E-15</c:v>
                </c:pt>
                <c:pt idx="27">
                  <c:v>-4.0552852547035797E-15</c:v>
                </c:pt>
                <c:pt idx="28">
                  <c:v>-3.6125668044493396E-15</c:v>
                </c:pt>
                <c:pt idx="29">
                  <c:v>-4.4665509475349696E-15</c:v>
                </c:pt>
                <c:pt idx="30">
                  <c:v>-4.6878118749189402E-15</c:v>
                </c:pt>
                <c:pt idx="31">
                  <c:v>-4.1660034828948501E-15</c:v>
                </c:pt>
                <c:pt idx="32">
                  <c:v>-3.5265349076921598E-15</c:v>
                </c:pt>
                <c:pt idx="33">
                  <c:v>-4.83756718385114E-15</c:v>
                </c:pt>
                <c:pt idx="34">
                  <c:v>-4.5597037527712096E-15</c:v>
                </c:pt>
                <c:pt idx="35">
                  <c:v>-4.1790550426297402E-15</c:v>
                </c:pt>
                <c:pt idx="36">
                  <c:v>-4.4559115657332399E-15</c:v>
                </c:pt>
                <c:pt idx="37">
                  <c:v>-5.9617766662281399E-15</c:v>
                </c:pt>
                <c:pt idx="38">
                  <c:v>-5.7219437323053302E-15</c:v>
                </c:pt>
                <c:pt idx="39">
                  <c:v>-5.8406349260847598E-15</c:v>
                </c:pt>
                <c:pt idx="40">
                  <c:v>-6.1922868464728302E-15</c:v>
                </c:pt>
                <c:pt idx="41">
                  <c:v>-5.6797959582842303E-15</c:v>
                </c:pt>
                <c:pt idx="42">
                  <c:v>-5.8020180589572197E-15</c:v>
                </c:pt>
                <c:pt idx="43">
                  <c:v>-6.3766461149318597E-15</c:v>
                </c:pt>
                <c:pt idx="44">
                  <c:v>-7.2442038653007601E-15</c:v>
                </c:pt>
                <c:pt idx="45">
                  <c:v>-7.6578066660393103E-15</c:v>
                </c:pt>
                <c:pt idx="46">
                  <c:v>-7.0995678836405401E-15</c:v>
                </c:pt>
                <c:pt idx="47">
                  <c:v>-7.5105695730076704E-15</c:v>
                </c:pt>
                <c:pt idx="48">
                  <c:v>-7.0844833532985001E-15</c:v>
                </c:pt>
                <c:pt idx="49">
                  <c:v>-7.5646715154296299E-15</c:v>
                </c:pt>
                <c:pt idx="50">
                  <c:v>-7.5100088211306895E-15</c:v>
                </c:pt>
                <c:pt idx="51">
                  <c:v>-7.35108173062783E-15</c:v>
                </c:pt>
                <c:pt idx="52">
                  <c:v>-7.5191461973589692E-15</c:v>
                </c:pt>
                <c:pt idx="53">
                  <c:v>-4.5710579825560097E-15</c:v>
                </c:pt>
                <c:pt idx="54">
                  <c:v>-7.4243950133389901E-15</c:v>
                </c:pt>
                <c:pt idx="55">
                  <c:v>-7.1110475332236295E-15</c:v>
                </c:pt>
                <c:pt idx="56">
                  <c:v>-9.4174503232733507E-15</c:v>
                </c:pt>
                <c:pt idx="57">
                  <c:v>-1.25157059488181E-14</c:v>
                </c:pt>
                <c:pt idx="58">
                  <c:v>-1.3835177318469199E-14</c:v>
                </c:pt>
                <c:pt idx="59">
                  <c:v>-1.535410186519E-14</c:v>
                </c:pt>
                <c:pt idx="60">
                  <c:v>-1.7666643871351901E-14</c:v>
                </c:pt>
                <c:pt idx="61">
                  <c:v>-1.93934581589497E-14</c:v>
                </c:pt>
                <c:pt idx="62">
                  <c:v>-1.94076365483033E-14</c:v>
                </c:pt>
                <c:pt idx="63">
                  <c:v>-2.0097896090960501E-14</c:v>
                </c:pt>
                <c:pt idx="64">
                  <c:v>-2.0989698672503601E-14</c:v>
                </c:pt>
                <c:pt idx="65">
                  <c:v>-2.06542288236681E-14</c:v>
                </c:pt>
                <c:pt idx="66">
                  <c:v>-2.0421187559781199E-14</c:v>
                </c:pt>
                <c:pt idx="67">
                  <c:v>-1.9702854503348801E-14</c:v>
                </c:pt>
                <c:pt idx="68">
                  <c:v>-2.1043277669290201E-14</c:v>
                </c:pt>
                <c:pt idx="69">
                  <c:v>-2.0903047691559701E-14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9AE-443A-BF8C-5EF95D8164EC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wFG!$J$2:$J$71</c:f>
              <c:numCache>
                <c:formatCode>0.00E+00</c:formatCode>
                <c:ptCount val="70"/>
                <c:pt idx="0">
                  <c:v>4.6015927926861096E-16</c:v>
                </c:pt>
                <c:pt idx="1">
                  <c:v>1.6929746064614701E-15</c:v>
                </c:pt>
                <c:pt idx="2">
                  <c:v>2.7546436307016798E-15</c:v>
                </c:pt>
                <c:pt idx="3">
                  <c:v>3.3744854379635498E-15</c:v>
                </c:pt>
                <c:pt idx="4">
                  <c:v>4.0417278949893503E-15</c:v>
                </c:pt>
                <c:pt idx="5">
                  <c:v>5.1511512469119699E-15</c:v>
                </c:pt>
                <c:pt idx="6">
                  <c:v>5.9907225613854701E-15</c:v>
                </c:pt>
                <c:pt idx="7">
                  <c:v>6.5599874946423999E-15</c:v>
                </c:pt>
                <c:pt idx="8">
                  <c:v>8.8883074695750003E-15</c:v>
                </c:pt>
                <c:pt idx="9">
                  <c:v>8.7624816443261306E-15</c:v>
                </c:pt>
                <c:pt idx="10">
                  <c:v>9.2135726225354998E-15</c:v>
                </c:pt>
                <c:pt idx="11">
                  <c:v>9.8462438326470493E-15</c:v>
                </c:pt>
                <c:pt idx="12">
                  <c:v>1.13717706525307E-14</c:v>
                </c:pt>
                <c:pt idx="13">
                  <c:v>1.20680040485294E-14</c:v>
                </c:pt>
                <c:pt idx="14">
                  <c:v>1.2885159675519899E-14</c:v>
                </c:pt>
                <c:pt idx="15">
                  <c:v>1.38742548515368E-14</c:v>
                </c:pt>
                <c:pt idx="16">
                  <c:v>1.4080064545294499E-14</c:v>
                </c:pt>
                <c:pt idx="17">
                  <c:v>1.5546860840660899E-14</c:v>
                </c:pt>
                <c:pt idx="18">
                  <c:v>1.6450648973020299E-14</c:v>
                </c:pt>
                <c:pt idx="19">
                  <c:v>1.83091319475205E-14</c:v>
                </c:pt>
                <c:pt idx="20">
                  <c:v>1.8526171706647799E-14</c:v>
                </c:pt>
                <c:pt idx="21">
                  <c:v>1.9346668161905501E-14</c:v>
                </c:pt>
                <c:pt idx="22">
                  <c:v>2.05418824163358E-14</c:v>
                </c:pt>
                <c:pt idx="23">
                  <c:v>2.0440955224695799E-14</c:v>
                </c:pt>
                <c:pt idx="24">
                  <c:v>2.2104903189871899E-14</c:v>
                </c:pt>
                <c:pt idx="25">
                  <c:v>2.2964584340382798E-14</c:v>
                </c:pt>
                <c:pt idx="26">
                  <c:v>2.42805593332675E-14</c:v>
                </c:pt>
                <c:pt idx="27">
                  <c:v>2.5208358354952899E-14</c:v>
                </c:pt>
                <c:pt idx="28">
                  <c:v>2.5459843059468799E-14</c:v>
                </c:pt>
                <c:pt idx="29">
                  <c:v>2.6788990810136601E-14</c:v>
                </c:pt>
                <c:pt idx="30">
                  <c:v>2.7773868942170799E-14</c:v>
                </c:pt>
                <c:pt idx="31">
                  <c:v>2.8321429425268999E-14</c:v>
                </c:pt>
                <c:pt idx="32">
                  <c:v>2.8594428521915101E-14</c:v>
                </c:pt>
                <c:pt idx="33">
                  <c:v>2.9018099592444E-14</c:v>
                </c:pt>
                <c:pt idx="34">
                  <c:v>2.9560175973326299E-14</c:v>
                </c:pt>
                <c:pt idx="35">
                  <c:v>3.04047455132454E-14</c:v>
                </c:pt>
                <c:pt idx="36">
                  <c:v>3.11191261780792E-14</c:v>
                </c:pt>
                <c:pt idx="37">
                  <c:v>3.19623978571214E-14</c:v>
                </c:pt>
                <c:pt idx="38">
                  <c:v>3.2793822821175398E-14</c:v>
                </c:pt>
                <c:pt idx="39">
                  <c:v>3.3339401929904502E-14</c:v>
                </c:pt>
                <c:pt idx="40">
                  <c:v>3.38332608778098E-14</c:v>
                </c:pt>
                <c:pt idx="41">
                  <c:v>3.4428055078242299E-14</c:v>
                </c:pt>
                <c:pt idx="42">
                  <c:v>3.4736499152164602E-14</c:v>
                </c:pt>
                <c:pt idx="43">
                  <c:v>3.4954831496713798E-14</c:v>
                </c:pt>
                <c:pt idx="44">
                  <c:v>3.5484736140088598E-14</c:v>
                </c:pt>
                <c:pt idx="45">
                  <c:v>3.6200777382949502E-14</c:v>
                </c:pt>
                <c:pt idx="46">
                  <c:v>3.67015918014354E-14</c:v>
                </c:pt>
                <c:pt idx="47">
                  <c:v>3.7392901075500401E-14</c:v>
                </c:pt>
                <c:pt idx="48">
                  <c:v>3.7045396068783098E-14</c:v>
                </c:pt>
                <c:pt idx="49">
                  <c:v>3.7663235215199701E-14</c:v>
                </c:pt>
                <c:pt idx="50">
                  <c:v>3.8386896331768597E-14</c:v>
                </c:pt>
                <c:pt idx="51">
                  <c:v>3.8289184702608598E-14</c:v>
                </c:pt>
                <c:pt idx="52">
                  <c:v>3.7620026149541001E-14</c:v>
                </c:pt>
                <c:pt idx="53">
                  <c:v>3.4521905825314898E-14</c:v>
                </c:pt>
                <c:pt idx="54">
                  <c:v>3.4629206163135101E-14</c:v>
                </c:pt>
                <c:pt idx="55">
                  <c:v>3.3378139451322899E-14</c:v>
                </c:pt>
                <c:pt idx="56">
                  <c:v>3.3271883092286498E-14</c:v>
                </c:pt>
                <c:pt idx="57">
                  <c:v>3.2791695576683502E-14</c:v>
                </c:pt>
                <c:pt idx="58">
                  <c:v>3.25783720987609E-14</c:v>
                </c:pt>
                <c:pt idx="59">
                  <c:v>3.2477195757860998E-14</c:v>
                </c:pt>
                <c:pt idx="60">
                  <c:v>3.3123832774069498E-14</c:v>
                </c:pt>
                <c:pt idx="61">
                  <c:v>3.4439695994635197E-14</c:v>
                </c:pt>
                <c:pt idx="62">
                  <c:v>3.4751209205408601E-14</c:v>
                </c:pt>
                <c:pt idx="63">
                  <c:v>3.5629599772363102E-14</c:v>
                </c:pt>
                <c:pt idx="64">
                  <c:v>3.6310154050012598E-14</c:v>
                </c:pt>
                <c:pt idx="65">
                  <c:v>3.6475778176314302E-14</c:v>
                </c:pt>
                <c:pt idx="66">
                  <c:v>3.6729943321860099E-14</c:v>
                </c:pt>
                <c:pt idx="67">
                  <c:v>3.6910172959859303E-14</c:v>
                </c:pt>
                <c:pt idx="68">
                  <c:v>3.63877466566513E-14</c:v>
                </c:pt>
                <c:pt idx="69">
                  <c:v>3.6843732656625901E-14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9AE-443A-BF8C-5EF95D8164EC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wFG!$K$2:$K$71</c:f>
              <c:numCache>
                <c:formatCode>0.00E+00</c:formatCode>
                <c:ptCount val="70"/>
                <c:pt idx="0">
                  <c:v>1.4912699904016598E-14</c:v>
                </c:pt>
                <c:pt idx="1">
                  <c:v>1.3782584189267499E-14</c:v>
                </c:pt>
                <c:pt idx="2">
                  <c:v>1.43173064319787E-14</c:v>
                </c:pt>
                <c:pt idx="3">
                  <c:v>1.5913286443943001E-14</c:v>
                </c:pt>
                <c:pt idx="4">
                  <c:v>1.7171333157347099E-14</c:v>
                </c:pt>
                <c:pt idx="5">
                  <c:v>1.84572714677957E-14</c:v>
                </c:pt>
                <c:pt idx="6">
                  <c:v>1.6409196298038799E-14</c:v>
                </c:pt>
                <c:pt idx="7">
                  <c:v>1.4327031200357299E-14</c:v>
                </c:pt>
                <c:pt idx="8">
                  <c:v>1.1135896332816999E-14</c:v>
                </c:pt>
                <c:pt idx="9">
                  <c:v>9.7304029049647608E-15</c:v>
                </c:pt>
                <c:pt idx="10">
                  <c:v>9.8036629404601298E-15</c:v>
                </c:pt>
                <c:pt idx="11">
                  <c:v>7.03679363456216E-15</c:v>
                </c:pt>
                <c:pt idx="12">
                  <c:v>6.1727131945452898E-15</c:v>
                </c:pt>
                <c:pt idx="13">
                  <c:v>6.69191096353187E-15</c:v>
                </c:pt>
                <c:pt idx="14">
                  <c:v>5.3868649481787498E-15</c:v>
                </c:pt>
                <c:pt idx="15">
                  <c:v>4.3410338591045604E-15</c:v>
                </c:pt>
                <c:pt idx="16">
                  <c:v>4.3027756891698596E-15</c:v>
                </c:pt>
                <c:pt idx="17">
                  <c:v>3.7246071712643603E-15</c:v>
                </c:pt>
                <c:pt idx="18">
                  <c:v>3.1119868811224E-15</c:v>
                </c:pt>
                <c:pt idx="19">
                  <c:v>2.6450439442201599E-15</c:v>
                </c:pt>
                <c:pt idx="20">
                  <c:v>3.3611867301258402E-15</c:v>
                </c:pt>
                <c:pt idx="21">
                  <c:v>1.9839324639925602E-15</c:v>
                </c:pt>
                <c:pt idx="22">
                  <c:v>1.7830702189532801E-15</c:v>
                </c:pt>
                <c:pt idx="23">
                  <c:v>2.5414425881797201E-15</c:v>
                </c:pt>
                <c:pt idx="24">
                  <c:v>1.22994997923626E-15</c:v>
                </c:pt>
                <c:pt idx="25">
                  <c:v>1.21477396878685E-16</c:v>
                </c:pt>
                <c:pt idx="26">
                  <c:v>-6.8281054238057696E-16</c:v>
                </c:pt>
                <c:pt idx="27">
                  <c:v>-1.56137617989329E-15</c:v>
                </c:pt>
                <c:pt idx="28">
                  <c:v>-1.8380435848199199E-15</c:v>
                </c:pt>
                <c:pt idx="29">
                  <c:v>-1.4317216847125401E-15</c:v>
                </c:pt>
                <c:pt idx="30">
                  <c:v>-2.0969555427145099E-15</c:v>
                </c:pt>
                <c:pt idx="31">
                  <c:v>-1.5699637935373399E-15</c:v>
                </c:pt>
                <c:pt idx="32">
                  <c:v>-2.8125240153205701E-15</c:v>
                </c:pt>
                <c:pt idx="33">
                  <c:v>-2.7235089834402399E-15</c:v>
                </c:pt>
                <c:pt idx="34">
                  <c:v>-2.12842606700141E-15</c:v>
                </c:pt>
                <c:pt idx="35">
                  <c:v>-2.4129317973602699E-15</c:v>
                </c:pt>
                <c:pt idx="36">
                  <c:v>-1.89146700402633E-15</c:v>
                </c:pt>
                <c:pt idx="37">
                  <c:v>-2.2577524517241301E-15</c:v>
                </c:pt>
                <c:pt idx="38">
                  <c:v>-2.1867345731015399E-15</c:v>
                </c:pt>
                <c:pt idx="39">
                  <c:v>-2.7795150608741998E-15</c:v>
                </c:pt>
                <c:pt idx="40">
                  <c:v>-2.5210181633284199E-15</c:v>
                </c:pt>
                <c:pt idx="41">
                  <c:v>-2.3872263599293301E-15</c:v>
                </c:pt>
                <c:pt idx="42">
                  <c:v>-2.6863091009111799E-15</c:v>
                </c:pt>
                <c:pt idx="43">
                  <c:v>-2.2094841907980001E-15</c:v>
                </c:pt>
                <c:pt idx="44">
                  <c:v>-1.9345218619317399E-15</c:v>
                </c:pt>
                <c:pt idx="45">
                  <c:v>-2.0242762329008602E-15</c:v>
                </c:pt>
                <c:pt idx="46">
                  <c:v>-2.3788941291277201E-15</c:v>
                </c:pt>
                <c:pt idx="47">
                  <c:v>-2.2148933557457198E-15</c:v>
                </c:pt>
                <c:pt idx="48">
                  <c:v>-2.6590390856734601E-15</c:v>
                </c:pt>
                <c:pt idx="49">
                  <c:v>-2.6717951317963E-15</c:v>
                </c:pt>
                <c:pt idx="50">
                  <c:v>-2.4005886791104202E-15</c:v>
                </c:pt>
                <c:pt idx="51">
                  <c:v>-2.2530377684035002E-15</c:v>
                </c:pt>
                <c:pt idx="52">
                  <c:v>-3.7834499311293502E-15</c:v>
                </c:pt>
                <c:pt idx="53">
                  <c:v>-2.8026871943309199E-14</c:v>
                </c:pt>
                <c:pt idx="54">
                  <c:v>-5.52693298659127E-15</c:v>
                </c:pt>
                <c:pt idx="55">
                  <c:v>-9.2492467401027507E-15</c:v>
                </c:pt>
                <c:pt idx="56">
                  <c:v>-8.5526689405812197E-15</c:v>
                </c:pt>
                <c:pt idx="57">
                  <c:v>-6.2297981624450703E-15</c:v>
                </c:pt>
                <c:pt idx="58">
                  <c:v>-7.5094166052993406E-15</c:v>
                </c:pt>
                <c:pt idx="59">
                  <c:v>-4.9141891789161403E-15</c:v>
                </c:pt>
                <c:pt idx="60">
                  <c:v>-3.3873177615564801E-15</c:v>
                </c:pt>
                <c:pt idx="61">
                  <c:v>-2.8901490676165601E-15</c:v>
                </c:pt>
                <c:pt idx="62">
                  <c:v>-4.2223969492646798E-15</c:v>
                </c:pt>
                <c:pt idx="63">
                  <c:v>-5.7183669442232903E-15</c:v>
                </c:pt>
                <c:pt idx="64">
                  <c:v>-2.1458313223025199E-15</c:v>
                </c:pt>
                <c:pt idx="65">
                  <c:v>-3.1835672772808101E-15</c:v>
                </c:pt>
                <c:pt idx="66">
                  <c:v>-2.8711739616967599E-15</c:v>
                </c:pt>
                <c:pt idx="67">
                  <c:v>-2.9042002501349801E-15</c:v>
                </c:pt>
                <c:pt idx="68">
                  <c:v>-3.3817737843726401E-15</c:v>
                </c:pt>
                <c:pt idx="69">
                  <c:v>-3.94553283145816E-15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9AE-443A-BF8C-5EF95D8164EC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wFG!$L$2:$L$71</c:f>
              <c:numCache>
                <c:formatCode>General</c:formatCode>
                <c:ptCount val="70"/>
                <c:pt idx="0">
                  <c:v>-2.1460482418565598E-2</c:v>
                </c:pt>
                <c:pt idx="1">
                  <c:v>-1.51912421724571E-2</c:v>
                </c:pt>
                <c:pt idx="2">
                  <c:v>-4.8840945808636897E-2</c:v>
                </c:pt>
                <c:pt idx="3">
                  <c:v>-8.2827574054473094E-2</c:v>
                </c:pt>
                <c:pt idx="4">
                  <c:v>-9.6206958671159207E-2</c:v>
                </c:pt>
                <c:pt idx="5">
                  <c:v>-9.7981846848597801E-2</c:v>
                </c:pt>
                <c:pt idx="6">
                  <c:v>-9.7148869082909303E-2</c:v>
                </c:pt>
                <c:pt idx="7">
                  <c:v>-0.17718309514084901</c:v>
                </c:pt>
                <c:pt idx="8">
                  <c:v>-0.225485485440063</c:v>
                </c:pt>
                <c:pt idx="9">
                  <c:v>-0.15466516133986399</c:v>
                </c:pt>
                <c:pt idx="10">
                  <c:v>-5.8618210888906799E-2</c:v>
                </c:pt>
                <c:pt idx="11">
                  <c:v>3.5748259595808E-3</c:v>
                </c:pt>
                <c:pt idx="12">
                  <c:v>-1.89094999349332E-2</c:v>
                </c:pt>
                <c:pt idx="13">
                  <c:v>2.76535264463432E-2</c:v>
                </c:pt>
                <c:pt idx="14">
                  <c:v>-2.8796532337340801E-2</c:v>
                </c:pt>
                <c:pt idx="15">
                  <c:v>1.54767603298471E-2</c:v>
                </c:pt>
                <c:pt idx="16">
                  <c:v>-1.3495719687929401E-2</c:v>
                </c:pt>
                <c:pt idx="17">
                  <c:v>3.7818842278715702E-2</c:v>
                </c:pt>
                <c:pt idx="18">
                  <c:v>6.8522336963458302E-2</c:v>
                </c:pt>
                <c:pt idx="19">
                  <c:v>3.1036828127537299E-2</c:v>
                </c:pt>
                <c:pt idx="20">
                  <c:v>4.0223492765667897E-2</c:v>
                </c:pt>
                <c:pt idx="21">
                  <c:v>3.8421986938470397E-2</c:v>
                </c:pt>
                <c:pt idx="22">
                  <c:v>2.6789652868600598E-2</c:v>
                </c:pt>
                <c:pt idx="23">
                  <c:v>5.0641973015037901E-2</c:v>
                </c:pt>
                <c:pt idx="24">
                  <c:v>6.5744990276440193E-2</c:v>
                </c:pt>
                <c:pt idx="25">
                  <c:v>7.3782233306480594E-2</c:v>
                </c:pt>
                <c:pt idx="26">
                  <c:v>9.5407273070832299E-2</c:v>
                </c:pt>
                <c:pt idx="27">
                  <c:v>9.2768459170521705E-2</c:v>
                </c:pt>
                <c:pt idx="28">
                  <c:v>0.100267302586309</c:v>
                </c:pt>
                <c:pt idx="29">
                  <c:v>0.106526232283755</c:v>
                </c:pt>
                <c:pt idx="30">
                  <c:v>9.6045395837712697E-2</c:v>
                </c:pt>
                <c:pt idx="31">
                  <c:v>5.6587214067815E-2</c:v>
                </c:pt>
                <c:pt idx="32">
                  <c:v>5.1367458568643998E-2</c:v>
                </c:pt>
                <c:pt idx="33">
                  <c:v>4.0189942049330199E-2</c:v>
                </c:pt>
                <c:pt idx="34">
                  <c:v>2.2200162304314899E-2</c:v>
                </c:pt>
                <c:pt idx="35">
                  <c:v>-1.99735023730978E-4</c:v>
                </c:pt>
                <c:pt idx="36">
                  <c:v>-1.3009109297716299E-2</c:v>
                </c:pt>
                <c:pt idx="37">
                  <c:v>2.54987666308167E-2</c:v>
                </c:pt>
                <c:pt idx="38">
                  <c:v>3.5411637943842098E-2</c:v>
                </c:pt>
                <c:pt idx="39">
                  <c:v>5.1625336365611701E-2</c:v>
                </c:pt>
                <c:pt idx="40">
                  <c:v>4.9852200674733997E-2</c:v>
                </c:pt>
                <c:pt idx="41">
                  <c:v>5.5113019626045402E-2</c:v>
                </c:pt>
                <c:pt idx="42">
                  <c:v>4.7516559991683603E-2</c:v>
                </c:pt>
                <c:pt idx="43">
                  <c:v>5.4927452266599397E-2</c:v>
                </c:pt>
                <c:pt idx="44">
                  <c:v>5.43529916216541E-2</c:v>
                </c:pt>
                <c:pt idx="45">
                  <c:v>3.8298806445652402E-2</c:v>
                </c:pt>
                <c:pt idx="46">
                  <c:v>2.4148324078392101E-2</c:v>
                </c:pt>
                <c:pt idx="47">
                  <c:v>1.12732147394051E-2</c:v>
                </c:pt>
                <c:pt idx="48">
                  <c:v>8.6715375799783102E-3</c:v>
                </c:pt>
                <c:pt idx="49">
                  <c:v>2.0905989602534699E-2</c:v>
                </c:pt>
                <c:pt idx="50">
                  <c:v>5.4839522026501404E-4</c:v>
                </c:pt>
                <c:pt idx="51">
                  <c:v>-2.5404385624312801E-2</c:v>
                </c:pt>
                <c:pt idx="52">
                  <c:v>3.0242082297185498E-2</c:v>
                </c:pt>
                <c:pt idx="53">
                  <c:v>0.25899059017631898</c:v>
                </c:pt>
                <c:pt idx="54">
                  <c:v>-5.8910057193252E-2</c:v>
                </c:pt>
                <c:pt idx="55">
                  <c:v>4.6327185694055702E-2</c:v>
                </c:pt>
                <c:pt idx="56">
                  <c:v>1.2454058285889999E-3</c:v>
                </c:pt>
                <c:pt idx="57">
                  <c:v>-6.3400379145263294E-2</c:v>
                </c:pt>
                <c:pt idx="58">
                  <c:v>-4.1385057592996599E-2</c:v>
                </c:pt>
                <c:pt idx="59">
                  <c:v>-5.5998630402576403E-2</c:v>
                </c:pt>
                <c:pt idx="60">
                  <c:v>-1.5872039856689599E-2</c:v>
                </c:pt>
                <c:pt idx="61">
                  <c:v>-5.3607753103341399E-2</c:v>
                </c:pt>
                <c:pt idx="62">
                  <c:v>-7.3942708310763203E-2</c:v>
                </c:pt>
                <c:pt idx="63">
                  <c:v>-8.3398199286656802E-2</c:v>
                </c:pt>
                <c:pt idx="64">
                  <c:v>-6.95306919985689E-2</c:v>
                </c:pt>
                <c:pt idx="65">
                  <c:v>-3.27204055922381E-2</c:v>
                </c:pt>
                <c:pt idx="66">
                  <c:v>-5.1358510482141601E-2</c:v>
                </c:pt>
                <c:pt idx="67">
                  <c:v>-4.4777951832828497E-2</c:v>
                </c:pt>
                <c:pt idx="68">
                  <c:v>-1.27186427321132E-2</c:v>
                </c:pt>
                <c:pt idx="69">
                  <c:v>-2.7433558024119901E-2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9AE-443A-BF8C-5EF95D8164EC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wFG!$M$2:$M$71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9AE-443A-BF8C-5EF95D8164EC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wFG!$N$2:$N$71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9AE-443A-BF8C-5EF95D8164EC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wFG!$O$2:$O$71</c:f>
              <c:numCache>
                <c:formatCode>0.00E+00</c:formatCode>
                <c:ptCount val="70"/>
                <c:pt idx="0">
                  <c:v>1.67145883416796E-13</c:v>
                </c:pt>
                <c:pt idx="1">
                  <c:v>1.67945255525682E-13</c:v>
                </c:pt>
                <c:pt idx="2">
                  <c:v>1.68731501787606E-13</c:v>
                </c:pt>
                <c:pt idx="3">
                  <c:v>1.6848228956147501E-13</c:v>
                </c:pt>
                <c:pt idx="4">
                  <c:v>1.6836823978272199E-13</c:v>
                </c:pt>
                <c:pt idx="5">
                  <c:v>1.68411752125672E-13</c:v>
                </c:pt>
                <c:pt idx="6">
                  <c:v>1.66746852748416E-13</c:v>
                </c:pt>
                <c:pt idx="7">
                  <c:v>1.68781659192522E-13</c:v>
                </c:pt>
                <c:pt idx="8">
                  <c:v>1.71107553131381E-13</c:v>
                </c:pt>
                <c:pt idx="9">
                  <c:v>1.666786342047E-13</c:v>
                </c:pt>
                <c:pt idx="10">
                  <c:v>1.5761032252638399E-13</c:v>
                </c:pt>
                <c:pt idx="11">
                  <c:v>1.5039331566310001E-13</c:v>
                </c:pt>
                <c:pt idx="12">
                  <c:v>1.49357591095695E-13</c:v>
                </c:pt>
                <c:pt idx="13">
                  <c:v>1.42676950068925E-13</c:v>
                </c:pt>
                <c:pt idx="14">
                  <c:v>1.4175082706973299E-13</c:v>
                </c:pt>
                <c:pt idx="15">
                  <c:v>1.3860115074124601E-13</c:v>
                </c:pt>
                <c:pt idx="16">
                  <c:v>1.3629299658156099E-13</c:v>
                </c:pt>
                <c:pt idx="17">
                  <c:v>1.33468601206623E-13</c:v>
                </c:pt>
                <c:pt idx="18">
                  <c:v>1.29752560853074E-13</c:v>
                </c:pt>
                <c:pt idx="19">
                  <c:v>1.3416942679137399E-13</c:v>
                </c:pt>
                <c:pt idx="20">
                  <c:v>1.29080347252324E-13</c:v>
                </c:pt>
                <c:pt idx="21">
                  <c:v>1.29535778570505E-13</c:v>
                </c:pt>
                <c:pt idx="22">
                  <c:v>1.27007261576765E-13</c:v>
                </c:pt>
                <c:pt idx="23">
                  <c:v>1.2225260990634101E-13</c:v>
                </c:pt>
                <c:pt idx="24">
                  <c:v>1.2309781264836199E-13</c:v>
                </c:pt>
                <c:pt idx="25">
                  <c:v>1.2347159320476301E-13</c:v>
                </c:pt>
                <c:pt idx="26">
                  <c:v>1.2090274107843299E-13</c:v>
                </c:pt>
                <c:pt idx="27">
                  <c:v>1.2145200790049601E-13</c:v>
                </c:pt>
                <c:pt idx="28">
                  <c:v>1.18929121239073E-13</c:v>
                </c:pt>
                <c:pt idx="29">
                  <c:v>1.1908927271530999E-13</c:v>
                </c:pt>
                <c:pt idx="30">
                  <c:v>1.1951033804733099E-13</c:v>
                </c:pt>
                <c:pt idx="31">
                  <c:v>1.20431291130434E-13</c:v>
                </c:pt>
                <c:pt idx="32">
                  <c:v>1.18634462335362E-13</c:v>
                </c:pt>
                <c:pt idx="33">
                  <c:v>1.1832928851272901E-13</c:v>
                </c:pt>
                <c:pt idx="34">
                  <c:v>1.1917716200244201E-13</c:v>
                </c:pt>
                <c:pt idx="35">
                  <c:v>1.20057032318505E-13</c:v>
                </c:pt>
                <c:pt idx="36">
                  <c:v>1.2101604669881201E-13</c:v>
                </c:pt>
                <c:pt idx="37">
                  <c:v>1.19168880529452E-13</c:v>
                </c:pt>
                <c:pt idx="38">
                  <c:v>1.19504452037207E-13</c:v>
                </c:pt>
                <c:pt idx="39">
                  <c:v>1.1943851022704E-13</c:v>
                </c:pt>
                <c:pt idx="40">
                  <c:v>1.1941095883333E-13</c:v>
                </c:pt>
                <c:pt idx="41">
                  <c:v>1.19031294184655E-13</c:v>
                </c:pt>
                <c:pt idx="42">
                  <c:v>1.17491104482494E-13</c:v>
                </c:pt>
                <c:pt idx="43">
                  <c:v>1.1562341569664901E-13</c:v>
                </c:pt>
                <c:pt idx="44">
                  <c:v>1.1494279846393599E-13</c:v>
                </c:pt>
                <c:pt idx="45">
                  <c:v>1.1575271759129701E-13</c:v>
                </c:pt>
                <c:pt idx="46">
                  <c:v>1.1495358758844E-13</c:v>
                </c:pt>
                <c:pt idx="47">
                  <c:v>1.1462739885978701E-13</c:v>
                </c:pt>
                <c:pt idx="48">
                  <c:v>1.12070445613557E-13</c:v>
                </c:pt>
                <c:pt idx="49">
                  <c:v>1.11095434451466E-13</c:v>
                </c:pt>
                <c:pt idx="50">
                  <c:v>1.10853910449956E-13</c:v>
                </c:pt>
                <c:pt idx="51">
                  <c:v>1.0844615255239099E-13</c:v>
                </c:pt>
                <c:pt idx="52">
                  <c:v>1.00608947153631E-13</c:v>
                </c:pt>
                <c:pt idx="53">
                  <c:v>8.0612914292108695E-14</c:v>
                </c:pt>
                <c:pt idx="54">
                  <c:v>9.5245480326196298E-14</c:v>
                </c:pt>
                <c:pt idx="55">
                  <c:v>8.4340421517471603E-14</c:v>
                </c:pt>
                <c:pt idx="56">
                  <c:v>8.3482154587469694E-14</c:v>
                </c:pt>
                <c:pt idx="57">
                  <c:v>8.2673852761759498E-14</c:v>
                </c:pt>
                <c:pt idx="58">
                  <c:v>8.4412233872774904E-14</c:v>
                </c:pt>
                <c:pt idx="59">
                  <c:v>8.4141585685690994E-14</c:v>
                </c:pt>
                <c:pt idx="60">
                  <c:v>8.5637896991174295E-14</c:v>
                </c:pt>
                <c:pt idx="61">
                  <c:v>9.8189088064003197E-14</c:v>
                </c:pt>
                <c:pt idx="62">
                  <c:v>1.00683633076841E-13</c:v>
                </c:pt>
                <c:pt idx="63">
                  <c:v>1.08452757609129E-13</c:v>
                </c:pt>
                <c:pt idx="64">
                  <c:v>1.06848918028357E-13</c:v>
                </c:pt>
                <c:pt idx="65">
                  <c:v>1.07913887035964E-13</c:v>
                </c:pt>
                <c:pt idx="66">
                  <c:v>1.11663271236349E-13</c:v>
                </c:pt>
                <c:pt idx="67">
                  <c:v>1.11493191447631E-13</c:v>
                </c:pt>
                <c:pt idx="68">
                  <c:v>1.07629569956543E-13</c:v>
                </c:pt>
                <c:pt idx="69">
                  <c:v>1.07090048311239E-13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9AE-443A-BF8C-5EF95D8164EC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wFG!$P$2:$P$71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9AE-443A-BF8C-5EF95D8164EC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wFG!$Q$2:$Q$71</c:f>
              <c:numCache>
                <c:formatCode>General</c:formatCode>
                <c:ptCount val="70"/>
                <c:pt idx="0">
                  <c:v>1.61751419132709E-2</c:v>
                </c:pt>
                <c:pt idx="1">
                  <c:v>-0.12032188879936601</c:v>
                </c:pt>
                <c:pt idx="2">
                  <c:v>-0.154497102178278</c:v>
                </c:pt>
                <c:pt idx="3">
                  <c:v>-0.126845448422716</c:v>
                </c:pt>
                <c:pt idx="4">
                  <c:v>-0.24518844525605099</c:v>
                </c:pt>
                <c:pt idx="5">
                  <c:v>-0.28425778513600602</c:v>
                </c:pt>
                <c:pt idx="6">
                  <c:v>-0.33074135812522198</c:v>
                </c:pt>
                <c:pt idx="7">
                  <c:v>-0.53437858810063499</c:v>
                </c:pt>
                <c:pt idx="8">
                  <c:v>-0.54306393749675297</c:v>
                </c:pt>
                <c:pt idx="9">
                  <c:v>-0.44595367339972197</c:v>
                </c:pt>
                <c:pt idx="10">
                  <c:v>-0.497629781886268</c:v>
                </c:pt>
                <c:pt idx="11">
                  <c:v>-0.40725864949706198</c:v>
                </c:pt>
                <c:pt idx="12">
                  <c:v>-0.60441873783506905</c:v>
                </c:pt>
                <c:pt idx="13">
                  <c:v>-0.81629772561427305</c:v>
                </c:pt>
                <c:pt idx="14">
                  <c:v>-0.74071606339691498</c:v>
                </c:pt>
                <c:pt idx="15">
                  <c:v>-0.70975663625913399</c:v>
                </c:pt>
                <c:pt idx="16">
                  <c:v>-0.60047908777062098</c:v>
                </c:pt>
                <c:pt idx="17">
                  <c:v>-0.88282602634793705</c:v>
                </c:pt>
                <c:pt idx="18">
                  <c:v>-1.06096003400505</c:v>
                </c:pt>
                <c:pt idx="19">
                  <c:v>-1.19728846643204</c:v>
                </c:pt>
                <c:pt idx="20">
                  <c:v>-0.96816473687826299</c:v>
                </c:pt>
                <c:pt idx="21">
                  <c:v>-1.1067505490676099</c:v>
                </c:pt>
                <c:pt idx="22">
                  <c:v>-1.05426800771657</c:v>
                </c:pt>
                <c:pt idx="23">
                  <c:v>-0.91675648912178698</c:v>
                </c:pt>
                <c:pt idx="24">
                  <c:v>-1.0271977177575899</c:v>
                </c:pt>
                <c:pt idx="25">
                  <c:v>-0.99046122171703499</c:v>
                </c:pt>
                <c:pt idx="26">
                  <c:v>-1.0093646576742099</c:v>
                </c:pt>
                <c:pt idx="27">
                  <c:v>-1.0223719973204499</c:v>
                </c:pt>
                <c:pt idx="28">
                  <c:v>-0.94414484629184203</c:v>
                </c:pt>
                <c:pt idx="29">
                  <c:v>-0.94823073964370397</c:v>
                </c:pt>
                <c:pt idx="30">
                  <c:v>-0.921170783053465</c:v>
                </c:pt>
                <c:pt idx="31">
                  <c:v>-0.86612692421830895</c:v>
                </c:pt>
                <c:pt idx="32">
                  <c:v>-0.76795558406851805</c:v>
                </c:pt>
                <c:pt idx="33">
                  <c:v>-0.67670281543267796</c:v>
                </c:pt>
                <c:pt idx="34">
                  <c:v>-0.69467589444025102</c:v>
                </c:pt>
                <c:pt idx="35">
                  <c:v>-0.69358626480334795</c:v>
                </c:pt>
                <c:pt idx="36">
                  <c:v>-0.66854947146667898</c:v>
                </c:pt>
                <c:pt idx="37">
                  <c:v>-0.67904989603252797</c:v>
                </c:pt>
                <c:pt idx="38">
                  <c:v>-0.65563142593240797</c:v>
                </c:pt>
                <c:pt idx="39">
                  <c:v>-0.62337549120080504</c:v>
                </c:pt>
                <c:pt idx="40">
                  <c:v>-0.59523249189809502</c:v>
                </c:pt>
                <c:pt idx="41">
                  <c:v>-0.60000621698678602</c:v>
                </c:pt>
                <c:pt idx="42">
                  <c:v>-0.50360208181168797</c:v>
                </c:pt>
                <c:pt idx="43">
                  <c:v>-0.41790499156758898</c:v>
                </c:pt>
                <c:pt idx="44">
                  <c:v>-0.41305119433982401</c:v>
                </c:pt>
                <c:pt idx="45">
                  <c:v>-0.47391490698806399</c:v>
                </c:pt>
                <c:pt idx="46">
                  <c:v>-0.42869106516037397</c:v>
                </c:pt>
                <c:pt idx="47">
                  <c:v>-0.45873568447777802</c:v>
                </c:pt>
                <c:pt idx="48">
                  <c:v>-0.40697581294183899</c:v>
                </c:pt>
                <c:pt idx="49">
                  <c:v>-0.47028528663282398</c:v>
                </c:pt>
                <c:pt idx="50">
                  <c:v>-0.51742072781779802</c:v>
                </c:pt>
                <c:pt idx="51">
                  <c:v>-0.435541396918674</c:v>
                </c:pt>
                <c:pt idx="52">
                  <c:v>-0.53238815466997003</c:v>
                </c:pt>
                <c:pt idx="53">
                  <c:v>-0.70173477195084</c:v>
                </c:pt>
                <c:pt idx="54">
                  <c:v>-2.1261374602511399E-3</c:v>
                </c:pt>
                <c:pt idx="55">
                  <c:v>-0.148360420148203</c:v>
                </c:pt>
                <c:pt idx="56">
                  <c:v>-9.3346797231216402E-2</c:v>
                </c:pt>
                <c:pt idx="57">
                  <c:v>-1.2630075006367E-2</c:v>
                </c:pt>
                <c:pt idx="58">
                  <c:v>-3.7495524113994302E-2</c:v>
                </c:pt>
                <c:pt idx="59">
                  <c:v>-0.140890837023851</c:v>
                </c:pt>
                <c:pt idx="60">
                  <c:v>-0.21102191122410099</c:v>
                </c:pt>
                <c:pt idx="61">
                  <c:v>-0.285693531214191</c:v>
                </c:pt>
                <c:pt idx="62">
                  <c:v>-0.33353511119933799</c:v>
                </c:pt>
                <c:pt idx="63">
                  <c:v>-0.37170153155310498</c:v>
                </c:pt>
                <c:pt idx="64">
                  <c:v>-3.1532976658913199E-2</c:v>
                </c:pt>
                <c:pt idx="65">
                  <c:v>-6.8750096035076202E-2</c:v>
                </c:pt>
                <c:pt idx="66">
                  <c:v>4.6690181896575297E-2</c:v>
                </c:pt>
                <c:pt idx="67">
                  <c:v>-7.5367433355988198E-3</c:v>
                </c:pt>
                <c:pt idx="68">
                  <c:v>0.176594134276085</c:v>
                </c:pt>
                <c:pt idx="69">
                  <c:v>-4.4543795127160897E-3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9AE-443A-BF8C-5EF95D8164EC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wFG!$R$2:$R$71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9AE-443A-BF8C-5EF95D8164EC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wFG!$S$2:$S$71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9AE-443A-BF8C-5EF95D8164EC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wFG!$T$2:$T$71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9AE-443A-BF8C-5EF95D8164EC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wFG!$U$2:$U$71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9AE-443A-BF8C-5EF95D8164EC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wFG!$V$2:$V$71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9AE-443A-BF8C-5EF95D8164EC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wFG!$W$2:$W$71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9AE-443A-BF8C-5EF95D8164EC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wFG!$X$2:$X$71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9AE-443A-BF8C-5EF95D8164EC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wFG!$Y$2:$Y$71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E+00">
                  <c:v>-1.7409995029107699E-15</c:v>
                </c:pt>
                <c:pt idx="8" formatCode="0.00E+00">
                  <c:v>-2.55136346571107E-15</c:v>
                </c:pt>
                <c:pt idx="9" formatCode="0.00E+00">
                  <c:v>-2.5237790694045101E-15</c:v>
                </c:pt>
                <c:pt idx="10" formatCode="0.00E+00">
                  <c:v>-1.5046549937533899E-15</c:v>
                </c:pt>
                <c:pt idx="11" formatCode="0.00E+00">
                  <c:v>-1.71204348680278E-15</c:v>
                </c:pt>
                <c:pt idx="12" formatCode="0.00E+00">
                  <c:v>-1.4224778977523501E-15</c:v>
                </c:pt>
                <c:pt idx="13" formatCode="0.00E+00">
                  <c:v>-3.4928504763663998E-16</c:v>
                </c:pt>
                <c:pt idx="14" formatCode="0.00E+00">
                  <c:v>-6.9581196487895403E-16</c:v>
                </c:pt>
                <c:pt idx="15" formatCode="0.00E+00">
                  <c:v>-6.3187852121252703E-16</c:v>
                </c:pt>
                <c:pt idx="16" formatCode="0.00E+00">
                  <c:v>-7.9890128998935204E-16</c:v>
                </c:pt>
                <c:pt idx="17" formatCode="0.00E+00">
                  <c:v>-1.13044772713269E-16</c:v>
                </c:pt>
                <c:pt idx="18" formatCode="0.00E+00">
                  <c:v>2.9901036986449498E-16</c:v>
                </c:pt>
                <c:pt idx="19" formatCode="0.00E+00">
                  <c:v>1.7571583743525999E-16</c:v>
                </c:pt>
                <c:pt idx="20" formatCode="0.00E+00">
                  <c:v>5.0418823437585999E-16</c:v>
                </c:pt>
                <c:pt idx="21" formatCode="0.00E+00">
                  <c:v>5.3943384014094098E-17</c:v>
                </c:pt>
                <c:pt idx="22" formatCode="0.00E+00">
                  <c:v>-7.6687395564335396E-17</c:v>
                </c:pt>
                <c:pt idx="23" formatCode="0.00E+00">
                  <c:v>3.9983985792087098E-16</c:v>
                </c:pt>
                <c:pt idx="24" formatCode="0.00E+00">
                  <c:v>6.0171099446490903E-16</c:v>
                </c:pt>
                <c:pt idx="25" formatCode="0.00E+00">
                  <c:v>3.9291901563951801E-16</c:v>
                </c:pt>
                <c:pt idx="26" formatCode="0.00E+00">
                  <c:v>8.8926137613266594E-16</c:v>
                </c:pt>
                <c:pt idx="27" formatCode="0.00E+00">
                  <c:v>1.1418924776325301E-15</c:v>
                </c:pt>
                <c:pt idx="28" formatCode="0.00E+00">
                  <c:v>9.9749666821417505E-16</c:v>
                </c:pt>
                <c:pt idx="29" formatCode="0.00E+00">
                  <c:v>1.3594080574545299E-15</c:v>
                </c:pt>
                <c:pt idx="30" formatCode="0.00E+00">
                  <c:v>1.4265344196325801E-15</c:v>
                </c:pt>
                <c:pt idx="31" formatCode="0.00E+00">
                  <c:v>1.4741058412761E-15</c:v>
                </c:pt>
                <c:pt idx="32" formatCode="0.00E+00">
                  <c:v>1.37029608988878E-15</c:v>
                </c:pt>
                <c:pt idx="33" formatCode="0.00E+00">
                  <c:v>1.2841861487716201E-15</c:v>
                </c:pt>
                <c:pt idx="34" formatCode="0.00E+00">
                  <c:v>1.42384077985969E-15</c:v>
                </c:pt>
                <c:pt idx="35" formatCode="0.00E+00">
                  <c:v>1.3014489589026301E-15</c:v>
                </c:pt>
                <c:pt idx="36" formatCode="0.00E+00">
                  <c:v>1.5607723327214199E-15</c:v>
                </c:pt>
                <c:pt idx="37" formatCode="0.00E+00">
                  <c:v>1.4081947885675499E-15</c:v>
                </c:pt>
                <c:pt idx="38" formatCode="0.00E+00">
                  <c:v>1.4466801058568499E-15</c:v>
                </c:pt>
                <c:pt idx="39" formatCode="0.00E+00">
                  <c:v>1.2874749207602699E-15</c:v>
                </c:pt>
                <c:pt idx="40" formatCode="0.00E+00">
                  <c:v>1.2976449287927001E-15</c:v>
                </c:pt>
                <c:pt idx="41" formatCode="0.00E+00">
                  <c:v>1.2938475681885E-15</c:v>
                </c:pt>
                <c:pt idx="42" formatCode="0.00E+00">
                  <c:v>1.26707892356643E-15</c:v>
                </c:pt>
                <c:pt idx="43" formatCode="0.00E+00">
                  <c:v>1.4079614601736601E-15</c:v>
                </c:pt>
                <c:pt idx="44" formatCode="0.00E+00">
                  <c:v>1.33717328591076E-15</c:v>
                </c:pt>
                <c:pt idx="45" formatCode="0.00E+00">
                  <c:v>1.2866512602361499E-15</c:v>
                </c:pt>
                <c:pt idx="46" formatCode="0.00E+00">
                  <c:v>1.19871829136678E-15</c:v>
                </c:pt>
                <c:pt idx="47" formatCode="0.00E+00">
                  <c:v>1.1499948709786501E-15</c:v>
                </c:pt>
                <c:pt idx="48" formatCode="0.00E+00">
                  <c:v>1.0761190122228101E-15</c:v>
                </c:pt>
                <c:pt idx="49" formatCode="0.00E+00">
                  <c:v>1.2591244040566301E-15</c:v>
                </c:pt>
                <c:pt idx="50" formatCode="0.00E+00">
                  <c:v>1.49939384098164E-15</c:v>
                </c:pt>
                <c:pt idx="51" formatCode="0.00E+00">
                  <c:v>1.12310003134718E-15</c:v>
                </c:pt>
                <c:pt idx="52" formatCode="0.00E+00">
                  <c:v>1.19075596975998E-15</c:v>
                </c:pt>
                <c:pt idx="53" formatCode="0.00E+00">
                  <c:v>-3.8828544410606799E-15</c:v>
                </c:pt>
                <c:pt idx="54" formatCode="0.00E+00">
                  <c:v>3.1646962492221601E-15</c:v>
                </c:pt>
                <c:pt idx="55" formatCode="0.00E+00">
                  <c:v>2.2614872687086202E-15</c:v>
                </c:pt>
                <c:pt idx="56" formatCode="0.00E+00">
                  <c:v>3.2130828196428598E-15</c:v>
                </c:pt>
                <c:pt idx="57" formatCode="0.00E+00">
                  <c:v>4.49874506876625E-15</c:v>
                </c:pt>
                <c:pt idx="58" formatCode="0.00E+00">
                  <c:v>3.6113710292557902E-15</c:v>
                </c:pt>
                <c:pt idx="59" formatCode="0.00E+00">
                  <c:v>5.1368201229012297E-15</c:v>
                </c:pt>
                <c:pt idx="60" formatCode="0.00E+00">
                  <c:v>4.4263846661984098E-15</c:v>
                </c:pt>
                <c:pt idx="61" formatCode="0.00E+00">
                  <c:v>3.4322085214255498E-15</c:v>
                </c:pt>
                <c:pt idx="62" formatCode="0.00E+00">
                  <c:v>4.1708982289043901E-15</c:v>
                </c:pt>
                <c:pt idx="63" formatCode="0.00E+00">
                  <c:v>3.4607874635503802E-15</c:v>
                </c:pt>
                <c:pt idx="64" formatCode="0.00E+00">
                  <c:v>3.6694558652121399E-15</c:v>
                </c:pt>
                <c:pt idx="65" formatCode="0.00E+00">
                  <c:v>3.1373138605627302E-15</c:v>
                </c:pt>
                <c:pt idx="66" formatCode="0.00E+00">
                  <c:v>2.4986257439842001E-15</c:v>
                </c:pt>
                <c:pt idx="67" formatCode="0.00E+00">
                  <c:v>2.4795165343968302E-15</c:v>
                </c:pt>
                <c:pt idx="68" formatCode="0.00E+00">
                  <c:v>2.2381786819399102E-15</c:v>
                </c:pt>
                <c:pt idx="69" formatCode="0.00E+00">
                  <c:v>2.5020740893927298E-15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9AE-443A-BF8C-5EF95D8164EC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wFG!$Z$2:$Z$71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E+00">
                  <c:v>-1.3696935944511099E-15</c:v>
                </c:pt>
                <c:pt idx="8" formatCode="0.00E+00">
                  <c:v>-2.3014758066581999E-15</c:v>
                </c:pt>
                <c:pt idx="9" formatCode="0.00E+00">
                  <c:v>-2.3104953470080301E-15</c:v>
                </c:pt>
                <c:pt idx="10" formatCode="0.00E+00">
                  <c:v>-1.43340780777966E-15</c:v>
                </c:pt>
                <c:pt idx="11" formatCode="0.00E+00">
                  <c:v>-1.4335119387823401E-15</c:v>
                </c:pt>
                <c:pt idx="12" formatCode="0.00E+00">
                  <c:v>-7.9809202232693895E-16</c:v>
                </c:pt>
                <c:pt idx="13" formatCode="0.00E+00">
                  <c:v>1.8127513064191199E-16</c:v>
                </c:pt>
                <c:pt idx="14" formatCode="0.00E+00">
                  <c:v>-4.5646704480858701E-17</c:v>
                </c:pt>
                <c:pt idx="15" formatCode="0.00E+00">
                  <c:v>-5.8197765359929606E-17</c:v>
                </c:pt>
                <c:pt idx="16" formatCode="0.00E+00">
                  <c:v>-3.1674719615276898E-16</c:v>
                </c:pt>
                <c:pt idx="17" formatCode="0.00E+00">
                  <c:v>3.9515685093357899E-16</c:v>
                </c:pt>
                <c:pt idx="18" formatCode="0.00E+00">
                  <c:v>1.0001166962283801E-15</c:v>
                </c:pt>
                <c:pt idx="19" formatCode="0.00E+00">
                  <c:v>7.3053122963229698E-16</c:v>
                </c:pt>
                <c:pt idx="20" formatCode="0.00E+00">
                  <c:v>9.0704451032960997E-16</c:v>
                </c:pt>
                <c:pt idx="21" formatCode="0.00E+00">
                  <c:v>1.05380813293507E-15</c:v>
                </c:pt>
                <c:pt idx="22" formatCode="0.00E+00">
                  <c:v>9.3583083640222108E-16</c:v>
                </c:pt>
                <c:pt idx="23" formatCode="0.00E+00">
                  <c:v>1.1859758430521E-15</c:v>
                </c:pt>
                <c:pt idx="24" formatCode="0.00E+00">
                  <c:v>1.0282618473980401E-15</c:v>
                </c:pt>
                <c:pt idx="25" formatCode="0.00E+00">
                  <c:v>4.5658546714784699E-16</c:v>
                </c:pt>
                <c:pt idx="26" formatCode="0.00E+00">
                  <c:v>6.6126811238099002E-16</c:v>
                </c:pt>
                <c:pt idx="27" formatCode="0.00E+00">
                  <c:v>8.8574888800966503E-16</c:v>
                </c:pt>
                <c:pt idx="28" formatCode="0.00E+00">
                  <c:v>1.0315694518493499E-15</c:v>
                </c:pt>
                <c:pt idx="29" formatCode="0.00E+00">
                  <c:v>1.13738288051895E-15</c:v>
                </c:pt>
                <c:pt idx="30" formatCode="0.00E+00">
                  <c:v>1.4738211914471501E-15</c:v>
                </c:pt>
                <c:pt idx="31" formatCode="0.00E+00">
                  <c:v>1.4536769437704701E-15</c:v>
                </c:pt>
                <c:pt idx="32" formatCode="0.00E+00">
                  <c:v>1.4657066551788E-15</c:v>
                </c:pt>
                <c:pt idx="33" formatCode="0.00E+00">
                  <c:v>1.4035589966671501E-15</c:v>
                </c:pt>
                <c:pt idx="34" formatCode="0.00E+00">
                  <c:v>1.46311835184708E-15</c:v>
                </c:pt>
                <c:pt idx="35" formatCode="0.00E+00">
                  <c:v>1.5409169495584901E-15</c:v>
                </c:pt>
                <c:pt idx="36" formatCode="0.00E+00">
                  <c:v>1.7102458911835399E-15</c:v>
                </c:pt>
                <c:pt idx="37" formatCode="0.00E+00">
                  <c:v>1.60268158640268E-15</c:v>
                </c:pt>
                <c:pt idx="38" formatCode="0.00E+00">
                  <c:v>1.60467505404536E-15</c:v>
                </c:pt>
                <c:pt idx="39" formatCode="0.00E+00">
                  <c:v>1.4351692843565001E-15</c:v>
                </c:pt>
                <c:pt idx="40" formatCode="0.00E+00">
                  <c:v>1.4201883743218601E-15</c:v>
                </c:pt>
                <c:pt idx="41" formatCode="0.00E+00">
                  <c:v>1.4828834949333601E-15</c:v>
                </c:pt>
                <c:pt idx="42" formatCode="0.00E+00">
                  <c:v>1.52721633527012E-15</c:v>
                </c:pt>
                <c:pt idx="43" formatCode="0.00E+00">
                  <c:v>1.5340509120482899E-15</c:v>
                </c:pt>
                <c:pt idx="44" formatCode="0.00E+00">
                  <c:v>1.4512143059070601E-15</c:v>
                </c:pt>
                <c:pt idx="45" formatCode="0.00E+00">
                  <c:v>1.42085626617794E-15</c:v>
                </c:pt>
                <c:pt idx="46" formatCode="0.00E+00">
                  <c:v>1.27005748128398E-15</c:v>
                </c:pt>
                <c:pt idx="47" formatCode="0.00E+00">
                  <c:v>1.2753755547046401E-15</c:v>
                </c:pt>
                <c:pt idx="48" formatCode="0.00E+00">
                  <c:v>1.4563290713694901E-15</c:v>
                </c:pt>
                <c:pt idx="49" formatCode="0.00E+00">
                  <c:v>1.87481371587268E-15</c:v>
                </c:pt>
                <c:pt idx="50" formatCode="0.00E+00">
                  <c:v>1.65978685617696E-15</c:v>
                </c:pt>
                <c:pt idx="51" formatCode="0.00E+00">
                  <c:v>1.7691030009704799E-15</c:v>
                </c:pt>
                <c:pt idx="52" formatCode="0.00E+00">
                  <c:v>1.29622035198293E-15</c:v>
                </c:pt>
                <c:pt idx="53" formatCode="0.00E+00">
                  <c:v>1.0174807416490301E-15</c:v>
                </c:pt>
                <c:pt idx="54" formatCode="0.00E+00">
                  <c:v>3.7082685414125699E-15</c:v>
                </c:pt>
                <c:pt idx="55" formatCode="0.00E+00">
                  <c:v>4.0866883478754103E-15</c:v>
                </c:pt>
                <c:pt idx="56" formatCode="0.00E+00">
                  <c:v>4.7630835851696897E-15</c:v>
                </c:pt>
                <c:pt idx="57" formatCode="0.00E+00">
                  <c:v>5.5058684136551097E-15</c:v>
                </c:pt>
                <c:pt idx="58" formatCode="0.00E+00">
                  <c:v>4.0253346537329997E-15</c:v>
                </c:pt>
                <c:pt idx="59" formatCode="0.00E+00">
                  <c:v>4.4101533670139401E-15</c:v>
                </c:pt>
                <c:pt idx="60" formatCode="0.00E+00">
                  <c:v>4.5223860027292399E-15</c:v>
                </c:pt>
                <c:pt idx="61" formatCode="0.00E+00">
                  <c:v>1.9947003663504701E-15</c:v>
                </c:pt>
                <c:pt idx="62" formatCode="0.00E+00">
                  <c:v>1.4074779168675699E-15</c:v>
                </c:pt>
                <c:pt idx="63" formatCode="0.00E+00">
                  <c:v>-1.31928551561227E-16</c:v>
                </c:pt>
                <c:pt idx="64" formatCode="0.00E+00">
                  <c:v>-3.6131189159132799E-16</c:v>
                </c:pt>
                <c:pt idx="65" formatCode="0.00E+00">
                  <c:v>-6.5770639435669098E-16</c:v>
                </c:pt>
                <c:pt idx="66" formatCode="0.00E+00">
                  <c:v>-1.98345037144892E-15</c:v>
                </c:pt>
                <c:pt idx="67" formatCode="0.00E+00">
                  <c:v>-2.11226451963424E-15</c:v>
                </c:pt>
                <c:pt idx="68" formatCode="0.00E+00">
                  <c:v>-2.3431388780436402E-15</c:v>
                </c:pt>
                <c:pt idx="69" formatCode="0.00E+00">
                  <c:v>-1.2709440756738501E-15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9AE-443A-BF8C-5EF95D8164EC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wFG!$AA$2:$AA$71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E+00">
                  <c:v>-3.4921307000827998E-16</c:v>
                </c:pt>
                <c:pt idx="8" formatCode="0.00E+00">
                  <c:v>-1.18214384641359E-15</c:v>
                </c:pt>
                <c:pt idx="9" formatCode="0.00E+00">
                  <c:v>-1.9096676708366301E-15</c:v>
                </c:pt>
                <c:pt idx="10" formatCode="0.00E+00">
                  <c:v>-1.1360413852687199E-15</c:v>
                </c:pt>
                <c:pt idx="11" formatCode="0.00E+00">
                  <c:v>-1.7119932047870301E-15</c:v>
                </c:pt>
                <c:pt idx="12" formatCode="0.00E+00">
                  <c:v>-9.6943249560047008E-16</c:v>
                </c:pt>
                <c:pt idx="13" formatCode="0.00E+00">
                  <c:v>4.7530377092739204E-16</c:v>
                </c:pt>
                <c:pt idx="14" formatCode="0.00E+00">
                  <c:v>4.52811124563708E-16</c:v>
                </c:pt>
                <c:pt idx="15" formatCode="0.00E+00">
                  <c:v>3.58550581479208E-16</c:v>
                </c:pt>
                <c:pt idx="16" formatCode="0.00E+00">
                  <c:v>-2.4434767527493798E-16</c:v>
                </c:pt>
                <c:pt idx="17" formatCode="0.00E+00">
                  <c:v>8.4462900926246402E-16</c:v>
                </c:pt>
                <c:pt idx="18" formatCode="0.00E+00">
                  <c:v>1.48950074133666E-15</c:v>
                </c:pt>
                <c:pt idx="19" formatCode="0.00E+00">
                  <c:v>1.20335027677548E-15</c:v>
                </c:pt>
                <c:pt idx="20" formatCode="0.00E+00">
                  <c:v>8.5565411796658495E-16</c:v>
                </c:pt>
                <c:pt idx="21" formatCode="0.00E+00">
                  <c:v>6.7469601795449001E-16</c:v>
                </c:pt>
                <c:pt idx="22" formatCode="0.00E+00">
                  <c:v>7.1986392054000902E-16</c:v>
                </c:pt>
                <c:pt idx="23" formatCode="0.00E+00">
                  <c:v>9.0641732586173995E-16</c:v>
                </c:pt>
                <c:pt idx="24" formatCode="0.00E+00">
                  <c:v>7.6592484000351097E-16</c:v>
                </c:pt>
                <c:pt idx="25" formatCode="0.00E+00">
                  <c:v>6.7994230698173903E-16</c:v>
                </c:pt>
                <c:pt idx="26" formatCode="0.00E+00">
                  <c:v>1.31291271963967E-15</c:v>
                </c:pt>
                <c:pt idx="27" formatCode="0.00E+00">
                  <c:v>1.8284327341002599E-15</c:v>
                </c:pt>
                <c:pt idx="28" formatCode="0.00E+00">
                  <c:v>2.3367193537315199E-15</c:v>
                </c:pt>
                <c:pt idx="29" formatCode="0.00E+00">
                  <c:v>2.2962839676901802E-15</c:v>
                </c:pt>
                <c:pt idx="30" formatCode="0.00E+00">
                  <c:v>2.1636391292906101E-15</c:v>
                </c:pt>
                <c:pt idx="31" formatCode="0.00E+00">
                  <c:v>2.31049043849272E-15</c:v>
                </c:pt>
                <c:pt idx="32" formatCode="0.00E+00">
                  <c:v>2.33381084923899E-15</c:v>
                </c:pt>
                <c:pt idx="33" formatCode="0.00E+00">
                  <c:v>2.2047153352088901E-15</c:v>
                </c:pt>
                <c:pt idx="34" formatCode="0.00E+00">
                  <c:v>2.4543167999468799E-15</c:v>
                </c:pt>
                <c:pt idx="35" formatCode="0.00E+00">
                  <c:v>2.4564176318901898E-15</c:v>
                </c:pt>
                <c:pt idx="36" formatCode="0.00E+00">
                  <c:v>2.6497377374025401E-15</c:v>
                </c:pt>
                <c:pt idx="37" formatCode="0.00E+00">
                  <c:v>2.5091713005577502E-15</c:v>
                </c:pt>
                <c:pt idx="38" formatCode="0.00E+00">
                  <c:v>2.47666544002822E-15</c:v>
                </c:pt>
                <c:pt idx="39" formatCode="0.00E+00">
                  <c:v>2.30534865909296E-15</c:v>
                </c:pt>
                <c:pt idx="40" formatCode="0.00E+00">
                  <c:v>2.3587392135411799E-15</c:v>
                </c:pt>
                <c:pt idx="41" formatCode="0.00E+00">
                  <c:v>2.4798996548071799E-15</c:v>
                </c:pt>
                <c:pt idx="42" formatCode="0.00E+00">
                  <c:v>2.3839664354873399E-15</c:v>
                </c:pt>
                <c:pt idx="43" formatCode="0.00E+00">
                  <c:v>2.3583296413445802E-15</c:v>
                </c:pt>
                <c:pt idx="44" formatCode="0.00E+00">
                  <c:v>2.28912278183024E-15</c:v>
                </c:pt>
                <c:pt idx="45" formatCode="0.00E+00">
                  <c:v>2.1817618793173598E-15</c:v>
                </c:pt>
                <c:pt idx="46" formatCode="0.00E+00">
                  <c:v>2.0979902920448702E-15</c:v>
                </c:pt>
                <c:pt idx="47" formatCode="0.00E+00">
                  <c:v>2.3683659876995899E-15</c:v>
                </c:pt>
                <c:pt idx="48" formatCode="0.00E+00">
                  <c:v>2.7968851478946301E-15</c:v>
                </c:pt>
                <c:pt idx="49" formatCode="0.00E+00">
                  <c:v>2.6641716918530802E-15</c:v>
                </c:pt>
                <c:pt idx="50" formatCode="0.00E+00">
                  <c:v>2.9581192982299399E-15</c:v>
                </c:pt>
                <c:pt idx="51" formatCode="0.00E+00">
                  <c:v>2.4831057174523199E-15</c:v>
                </c:pt>
                <c:pt idx="52" formatCode="0.00E+00">
                  <c:v>2.2200478763905001E-15</c:v>
                </c:pt>
                <c:pt idx="53" formatCode="0.00E+00">
                  <c:v>4.1446596189132903E-15</c:v>
                </c:pt>
                <c:pt idx="54" formatCode="0.00E+00">
                  <c:v>4.1068525094616896E-15</c:v>
                </c:pt>
                <c:pt idx="55" formatCode="0.00E+00">
                  <c:v>5.0511963641372098E-15</c:v>
                </c:pt>
                <c:pt idx="56" formatCode="0.00E+00">
                  <c:v>5.5812501270837001E-15</c:v>
                </c:pt>
                <c:pt idx="57" formatCode="0.00E+00">
                  <c:v>5.9713686075739097E-15</c:v>
                </c:pt>
                <c:pt idx="58" formatCode="0.00E+00">
                  <c:v>5.2904858806273397E-15</c:v>
                </c:pt>
                <c:pt idx="59" formatCode="0.00E+00">
                  <c:v>6.0767387553035699E-15</c:v>
                </c:pt>
                <c:pt idx="60" formatCode="0.00E+00">
                  <c:v>5.5604267189731801E-15</c:v>
                </c:pt>
                <c:pt idx="61" formatCode="0.00E+00">
                  <c:v>3.4580664715930601E-15</c:v>
                </c:pt>
                <c:pt idx="62" formatCode="0.00E+00">
                  <c:v>5.3379554307552599E-15</c:v>
                </c:pt>
                <c:pt idx="63" formatCode="0.00E+00">
                  <c:v>3.7099940405182897E-15</c:v>
                </c:pt>
                <c:pt idx="64" formatCode="0.00E+00">
                  <c:v>2.4136022370154501E-15</c:v>
                </c:pt>
                <c:pt idx="65" formatCode="0.00E+00">
                  <c:v>2.3326362367806699E-15</c:v>
                </c:pt>
                <c:pt idx="66" formatCode="0.00E+00">
                  <c:v>1.2711287038241999E-15</c:v>
                </c:pt>
                <c:pt idx="67" formatCode="0.00E+00">
                  <c:v>1.2735798693253899E-15</c:v>
                </c:pt>
                <c:pt idx="68" formatCode="0.00E+00">
                  <c:v>6.6908779753355597E-16</c:v>
                </c:pt>
                <c:pt idx="69" formatCode="0.00E+00">
                  <c:v>1.7241772308622599E-15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9AE-443A-BF8C-5EF95D8164EC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wFG!$AB$2:$AB$71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E+00">
                  <c:v>-1.1441474238510101E-16</c:v>
                </c:pt>
                <c:pt idx="8" formatCode="0.00E+00">
                  <c:v>-2.3301425871716602E-16</c:v>
                </c:pt>
                <c:pt idx="9" formatCode="0.00E+00">
                  <c:v>-1.07553620606467E-15</c:v>
                </c:pt>
                <c:pt idx="10" formatCode="0.00E+00">
                  <c:v>-7.7620564199410502E-16</c:v>
                </c:pt>
                <c:pt idx="11" formatCode="0.00E+00">
                  <c:v>-8.3423365446273699E-16</c:v>
                </c:pt>
                <c:pt idx="12" formatCode="0.00E+00">
                  <c:v>-3.43058875183719E-16</c:v>
                </c:pt>
                <c:pt idx="13" formatCode="0.00E+00">
                  <c:v>1.30508595070243E-15</c:v>
                </c:pt>
                <c:pt idx="14" formatCode="0.00E+00">
                  <c:v>1.0061714871648499E-15</c:v>
                </c:pt>
                <c:pt idx="15" formatCode="0.00E+00">
                  <c:v>8.2576255814988103E-16</c:v>
                </c:pt>
                <c:pt idx="16" formatCode="0.00E+00">
                  <c:v>1.6483405149993499E-16</c:v>
                </c:pt>
                <c:pt idx="17" formatCode="0.00E+00">
                  <c:v>9.0195179728351001E-16</c:v>
                </c:pt>
                <c:pt idx="18" formatCode="0.00E+00">
                  <c:v>1.69283459118702E-15</c:v>
                </c:pt>
                <c:pt idx="19" formatCode="0.00E+00">
                  <c:v>1.88240419089725E-15</c:v>
                </c:pt>
                <c:pt idx="20" formatCode="0.00E+00">
                  <c:v>2.3809528013233099E-15</c:v>
                </c:pt>
                <c:pt idx="21" formatCode="0.00E+00">
                  <c:v>2.7749481812224802E-15</c:v>
                </c:pt>
                <c:pt idx="22" formatCode="0.00E+00">
                  <c:v>2.9145079643250601E-15</c:v>
                </c:pt>
                <c:pt idx="23" formatCode="0.00E+00">
                  <c:v>3.0470429923458899E-15</c:v>
                </c:pt>
                <c:pt idx="24" formatCode="0.00E+00">
                  <c:v>2.8854468442486701E-15</c:v>
                </c:pt>
                <c:pt idx="25" formatCode="0.00E+00">
                  <c:v>2.7282148339847101E-15</c:v>
                </c:pt>
                <c:pt idx="26" formatCode="0.00E+00">
                  <c:v>2.91233327382346E-15</c:v>
                </c:pt>
                <c:pt idx="27" formatCode="0.00E+00">
                  <c:v>2.4443409115269598E-15</c:v>
                </c:pt>
                <c:pt idx="28" formatCode="0.00E+00">
                  <c:v>2.4868202949249699E-15</c:v>
                </c:pt>
                <c:pt idx="29" formatCode="0.00E+00">
                  <c:v>2.8393101775774799E-15</c:v>
                </c:pt>
                <c:pt idx="30" formatCode="0.00E+00">
                  <c:v>2.71739444380606E-15</c:v>
                </c:pt>
                <c:pt idx="31" formatCode="0.00E+00">
                  <c:v>2.8801070911686102E-15</c:v>
                </c:pt>
                <c:pt idx="32" formatCode="0.00E+00">
                  <c:v>2.7994631221879098E-15</c:v>
                </c:pt>
                <c:pt idx="33" formatCode="0.00E+00">
                  <c:v>2.9134911274975401E-15</c:v>
                </c:pt>
                <c:pt idx="34" formatCode="0.00E+00">
                  <c:v>3.0490635420135001E-15</c:v>
                </c:pt>
                <c:pt idx="35" formatCode="0.00E+00">
                  <c:v>3.1167494464799501E-15</c:v>
                </c:pt>
                <c:pt idx="36" formatCode="0.00E+00">
                  <c:v>3.2539292692147798E-15</c:v>
                </c:pt>
                <c:pt idx="37" formatCode="0.00E+00">
                  <c:v>3.0723975083534501E-15</c:v>
                </c:pt>
                <c:pt idx="38" formatCode="0.00E+00">
                  <c:v>3.0059384961795001E-15</c:v>
                </c:pt>
                <c:pt idx="39" formatCode="0.00E+00">
                  <c:v>2.9262229378245499E-15</c:v>
                </c:pt>
                <c:pt idx="40" formatCode="0.00E+00">
                  <c:v>3.0560463657792698E-15</c:v>
                </c:pt>
                <c:pt idx="41" formatCode="0.00E+00">
                  <c:v>3.00142069033849E-15</c:v>
                </c:pt>
                <c:pt idx="42" formatCode="0.00E+00">
                  <c:v>2.8909623157351702E-15</c:v>
                </c:pt>
                <c:pt idx="43" formatCode="0.00E+00">
                  <c:v>2.8616408342918202E-15</c:v>
                </c:pt>
                <c:pt idx="44" formatCode="0.00E+00">
                  <c:v>2.69683659086125E-15</c:v>
                </c:pt>
                <c:pt idx="45" formatCode="0.00E+00">
                  <c:v>2.6545104995589101E-15</c:v>
                </c:pt>
                <c:pt idx="46" formatCode="0.00E+00">
                  <c:v>2.8901737258976499E-15</c:v>
                </c:pt>
                <c:pt idx="47" formatCode="0.00E+00">
                  <c:v>3.4592884233661801E-15</c:v>
                </c:pt>
                <c:pt idx="48" formatCode="0.00E+00">
                  <c:v>3.2941662900752001E-15</c:v>
                </c:pt>
                <c:pt idx="49" formatCode="0.00E+00">
                  <c:v>3.7031246479688702E-15</c:v>
                </c:pt>
                <c:pt idx="50" formatCode="0.00E+00">
                  <c:v>3.3057510034366599E-15</c:v>
                </c:pt>
                <c:pt idx="51" formatCode="0.00E+00">
                  <c:v>3.1014549100565801E-15</c:v>
                </c:pt>
                <c:pt idx="52" formatCode="0.00E+00">
                  <c:v>2.9074788196054602E-15</c:v>
                </c:pt>
                <c:pt idx="53" formatCode="0.00E+00">
                  <c:v>6.0991980482921703E-15</c:v>
                </c:pt>
                <c:pt idx="54" formatCode="0.00E+00">
                  <c:v>4.7487305818355697E-15</c:v>
                </c:pt>
                <c:pt idx="55" formatCode="0.00E+00">
                  <c:v>6.0137723075337402E-15</c:v>
                </c:pt>
                <c:pt idx="56" formatCode="0.00E+00">
                  <c:v>6.25825767226466E-15</c:v>
                </c:pt>
                <c:pt idx="57" formatCode="0.00E+00">
                  <c:v>6.3787343171415998E-15</c:v>
                </c:pt>
                <c:pt idx="58" formatCode="0.00E+00">
                  <c:v>5.23220234551254E-15</c:v>
                </c:pt>
                <c:pt idx="59" formatCode="0.00E+00">
                  <c:v>5.7260517622851302E-15</c:v>
                </c:pt>
                <c:pt idx="60" formatCode="0.00E+00">
                  <c:v>5.4358651753631598E-15</c:v>
                </c:pt>
                <c:pt idx="61" formatCode="0.00E+00">
                  <c:v>1.9049250614189999E-15</c:v>
                </c:pt>
                <c:pt idx="62" formatCode="0.00E+00">
                  <c:v>2.1734308551195098E-15</c:v>
                </c:pt>
                <c:pt idx="63" formatCode="0.00E+00">
                  <c:v>2.38946219972703E-15</c:v>
                </c:pt>
                <c:pt idx="64" formatCode="0.00E+00">
                  <c:v>1.41522207948659E-15</c:v>
                </c:pt>
                <c:pt idx="65" formatCode="0.00E+00">
                  <c:v>1.0163420684606901E-15</c:v>
                </c:pt>
                <c:pt idx="66" formatCode="0.00E+00">
                  <c:v>-1.1030612509985E-16</c:v>
                </c:pt>
                <c:pt idx="67" formatCode="0.00E+00">
                  <c:v>4.4656536733400604E-16</c:v>
                </c:pt>
                <c:pt idx="68" formatCode="0.00E+00">
                  <c:v>-3.3447780728674798E-16</c:v>
                </c:pt>
                <c:pt idx="69" formatCode="0.00E+00">
                  <c:v>6.8892922733105496E-16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9AE-443A-BF8C-5EF95D8164EC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wFG!$AC$2:$AC$71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E+00">
                  <c:v>-7.7682647267673897E-17</c:v>
                </c:pt>
                <c:pt idx="8" formatCode="0.00E+00">
                  <c:v>-5.5350642259387805E-16</c:v>
                </c:pt>
                <c:pt idx="9" formatCode="0.00E+00">
                  <c:v>-4.8725674647647896E-16</c:v>
                </c:pt>
                <c:pt idx="10" formatCode="0.00E+00">
                  <c:v>-2.4403192254184601E-16</c:v>
                </c:pt>
                <c:pt idx="11" formatCode="0.00E+00">
                  <c:v>-4.0814107338231698E-16</c:v>
                </c:pt>
                <c:pt idx="12" formatCode="0.00E+00">
                  <c:v>1.9523162513683199E-16</c:v>
                </c:pt>
                <c:pt idx="13" formatCode="0.00E+00">
                  <c:v>2.3800640668150501E-15</c:v>
                </c:pt>
                <c:pt idx="14" formatCode="0.00E+00">
                  <c:v>2.8204201618292901E-15</c:v>
                </c:pt>
                <c:pt idx="15" formatCode="0.00E+00">
                  <c:v>2.0544328485290202E-15</c:v>
                </c:pt>
                <c:pt idx="16" formatCode="0.00E+00">
                  <c:v>1.8879502593830699E-15</c:v>
                </c:pt>
                <c:pt idx="17" formatCode="0.00E+00">
                  <c:v>3.1925794876677599E-15</c:v>
                </c:pt>
                <c:pt idx="18" formatCode="0.00E+00">
                  <c:v>3.9911780670053001E-15</c:v>
                </c:pt>
                <c:pt idx="19" formatCode="0.00E+00">
                  <c:v>3.13677006000727E-15</c:v>
                </c:pt>
                <c:pt idx="20" formatCode="0.00E+00">
                  <c:v>2.4210471813811802E-15</c:v>
                </c:pt>
                <c:pt idx="21" formatCode="0.00E+00">
                  <c:v>2.2802454105080599E-15</c:v>
                </c:pt>
                <c:pt idx="22" formatCode="0.00E+00">
                  <c:v>3.0158701338809099E-15</c:v>
                </c:pt>
                <c:pt idx="23" formatCode="0.00E+00">
                  <c:v>3.10451183222537E-15</c:v>
                </c:pt>
                <c:pt idx="24" formatCode="0.00E+00">
                  <c:v>2.9742798272298099E-15</c:v>
                </c:pt>
                <c:pt idx="25" formatCode="0.00E+00">
                  <c:v>2.3028180375302001E-15</c:v>
                </c:pt>
                <c:pt idx="26" formatCode="0.00E+00">
                  <c:v>3.0578215181066701E-15</c:v>
                </c:pt>
                <c:pt idx="27" formatCode="0.00E+00">
                  <c:v>3.18400800141331E-15</c:v>
                </c:pt>
                <c:pt idx="28" formatCode="0.00E+00">
                  <c:v>2.7188068959305402E-15</c:v>
                </c:pt>
                <c:pt idx="29" formatCode="0.00E+00">
                  <c:v>2.3591530203709298E-15</c:v>
                </c:pt>
                <c:pt idx="30" formatCode="0.00E+00">
                  <c:v>2.26451102345634E-15</c:v>
                </c:pt>
                <c:pt idx="31" formatCode="0.00E+00">
                  <c:v>2.3278153907058401E-15</c:v>
                </c:pt>
                <c:pt idx="32" formatCode="0.00E+00">
                  <c:v>2.51220240849674E-15</c:v>
                </c:pt>
                <c:pt idx="33" formatCode="0.00E+00">
                  <c:v>2.5294767709100899E-15</c:v>
                </c:pt>
                <c:pt idx="34" formatCode="0.00E+00">
                  <c:v>2.7214854810350301E-15</c:v>
                </c:pt>
                <c:pt idx="35" formatCode="0.00E+00">
                  <c:v>2.7645356406422501E-15</c:v>
                </c:pt>
                <c:pt idx="36" formatCode="0.00E+00">
                  <c:v>2.8647215691454E-15</c:v>
                </c:pt>
                <c:pt idx="37" formatCode="0.00E+00">
                  <c:v>2.6504751808053699E-15</c:v>
                </c:pt>
                <c:pt idx="38" formatCode="0.00E+00">
                  <c:v>2.6840174079888499E-15</c:v>
                </c:pt>
                <c:pt idx="39" formatCode="0.00E+00">
                  <c:v>2.7127776137917802E-15</c:v>
                </c:pt>
                <c:pt idx="40" formatCode="0.00E+00">
                  <c:v>2.6612692497857001E-15</c:v>
                </c:pt>
                <c:pt idx="41" formatCode="0.00E+00">
                  <c:v>2.5786133866608599E-15</c:v>
                </c:pt>
                <c:pt idx="42" formatCode="0.00E+00">
                  <c:v>2.5009834322779799E-15</c:v>
                </c:pt>
                <c:pt idx="43" formatCode="0.00E+00">
                  <c:v>2.3533030334346499E-15</c:v>
                </c:pt>
                <c:pt idx="44" formatCode="0.00E+00">
                  <c:v>2.2652321797238398E-15</c:v>
                </c:pt>
                <c:pt idx="45" formatCode="0.00E+00">
                  <c:v>2.5982566928727801E-15</c:v>
                </c:pt>
                <c:pt idx="46" formatCode="0.00E+00">
                  <c:v>3.2069415334472099E-15</c:v>
                </c:pt>
                <c:pt idx="47" formatCode="0.00E+00">
                  <c:v>3.1019420578180199E-15</c:v>
                </c:pt>
                <c:pt idx="48" formatCode="0.00E+00">
                  <c:v>3.5889452022226702E-15</c:v>
                </c:pt>
                <c:pt idx="49" formatCode="0.00E+00">
                  <c:v>3.16098799311993E-15</c:v>
                </c:pt>
                <c:pt idx="50" formatCode="0.00E+00">
                  <c:v>3.0527455931958701E-15</c:v>
                </c:pt>
                <c:pt idx="51" formatCode="0.00E+00">
                  <c:v>3.0193012024237201E-15</c:v>
                </c:pt>
                <c:pt idx="52" formatCode="0.00E+00">
                  <c:v>2.91459853162909E-15</c:v>
                </c:pt>
                <c:pt idx="53" formatCode="0.00E+00">
                  <c:v>6.2250095621563101E-15</c:v>
                </c:pt>
                <c:pt idx="54" formatCode="0.00E+00">
                  <c:v>4.5085443653561499E-15</c:v>
                </c:pt>
                <c:pt idx="55" formatCode="0.00E+00">
                  <c:v>5.8700271129339498E-15</c:v>
                </c:pt>
                <c:pt idx="56" formatCode="0.00E+00">
                  <c:v>6.0360812934879901E-15</c:v>
                </c:pt>
                <c:pt idx="57" formatCode="0.00E+00">
                  <c:v>6.07102412834999E-15</c:v>
                </c:pt>
                <c:pt idx="58" formatCode="0.00E+00">
                  <c:v>5.0861986138431197E-15</c:v>
                </c:pt>
                <c:pt idx="59" formatCode="0.00E+00">
                  <c:v>5.3577477383883496E-15</c:v>
                </c:pt>
                <c:pt idx="60" formatCode="0.00E+00">
                  <c:v>5.4781808912578498E-15</c:v>
                </c:pt>
                <c:pt idx="61" formatCode="0.00E+00">
                  <c:v>4.7314368364693702E-15</c:v>
                </c:pt>
                <c:pt idx="62" formatCode="0.00E+00">
                  <c:v>5.1817340220787999E-15</c:v>
                </c:pt>
                <c:pt idx="63" formatCode="0.00E+00">
                  <c:v>5.2503340977778399E-15</c:v>
                </c:pt>
                <c:pt idx="64" formatCode="0.00E+00">
                  <c:v>4.8133817398828398E-15</c:v>
                </c:pt>
                <c:pt idx="65" formatCode="0.00E+00">
                  <c:v>4.93361672171649E-15</c:v>
                </c:pt>
                <c:pt idx="66" formatCode="0.00E+00">
                  <c:v>3.5676182355168401E-15</c:v>
                </c:pt>
                <c:pt idx="67" formatCode="0.00E+00">
                  <c:v>4.1878175967464898E-15</c:v>
                </c:pt>
                <c:pt idx="68" formatCode="0.00E+00">
                  <c:v>3.36425383437939E-15</c:v>
                </c:pt>
                <c:pt idx="69" formatCode="0.00E+00">
                  <c:v>3.8700926131365899E-15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79AE-443A-BF8C-5EF95D8164EC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wFG!$AD$2:$AD$71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E+00">
                  <c:v>-1.590058037343E-16</c:v>
                </c:pt>
                <c:pt idx="8" formatCode="0.00E+00">
                  <c:v>-1.21609891775737E-15</c:v>
                </c:pt>
                <c:pt idx="9" formatCode="0.00E+00">
                  <c:v>-2.84134259971888E-15</c:v>
                </c:pt>
                <c:pt idx="10" formatCode="0.00E+00">
                  <c:v>-4.18574391980305E-15</c:v>
                </c:pt>
                <c:pt idx="11" formatCode="0.00E+00">
                  <c:v>-5.7364052854013698E-15</c:v>
                </c:pt>
                <c:pt idx="12" formatCode="0.00E+00">
                  <c:v>-7.2335445657836098E-15</c:v>
                </c:pt>
                <c:pt idx="13" formatCode="0.00E+00">
                  <c:v>-7.1395112861579205E-15</c:v>
                </c:pt>
                <c:pt idx="14" formatCode="0.00E+00">
                  <c:v>-6.6363657679885303E-15</c:v>
                </c:pt>
                <c:pt idx="15" formatCode="0.00E+00">
                  <c:v>-6.9416149122309999E-15</c:v>
                </c:pt>
                <c:pt idx="16" formatCode="0.00E+00">
                  <c:v>-8.0792201503528199E-15</c:v>
                </c:pt>
                <c:pt idx="17" formatCode="0.00E+00">
                  <c:v>-8.4567088788280906E-15</c:v>
                </c:pt>
                <c:pt idx="18" formatCode="0.00E+00">
                  <c:v>-7.4412845305224595E-15</c:v>
                </c:pt>
                <c:pt idx="19" formatCode="0.00E+00">
                  <c:v>-6.7283230802412501E-15</c:v>
                </c:pt>
                <c:pt idx="20" formatCode="0.00E+00">
                  <c:v>-6.1627775152292903E-15</c:v>
                </c:pt>
                <c:pt idx="21" formatCode="0.00E+00">
                  <c:v>-6.3407280350449496E-15</c:v>
                </c:pt>
                <c:pt idx="22" formatCode="0.00E+00">
                  <c:v>-5.7251516842673999E-15</c:v>
                </c:pt>
                <c:pt idx="23" formatCode="0.00E+00">
                  <c:v>-5.6634263988377804E-15</c:v>
                </c:pt>
                <c:pt idx="24" formatCode="0.00E+00">
                  <c:v>-5.0808975385046398E-15</c:v>
                </c:pt>
                <c:pt idx="25" formatCode="0.00E+00">
                  <c:v>-5.2118329454302002E-15</c:v>
                </c:pt>
                <c:pt idx="26" formatCode="0.00E+00">
                  <c:v>-5.2512284497992604E-15</c:v>
                </c:pt>
                <c:pt idx="27" formatCode="0.00E+00">
                  <c:v>-5.22840762691445E-15</c:v>
                </c:pt>
                <c:pt idx="28" formatCode="0.00E+00">
                  <c:v>-5.7197909473965196E-15</c:v>
                </c:pt>
                <c:pt idx="29" formatCode="0.00E+00">
                  <c:v>-5.9678813415769803E-15</c:v>
                </c:pt>
                <c:pt idx="30" formatCode="0.00E+00">
                  <c:v>-6.0990772597955898E-15</c:v>
                </c:pt>
                <c:pt idx="31" formatCode="0.00E+00">
                  <c:v>-5.63552190435896E-15</c:v>
                </c:pt>
                <c:pt idx="32" formatCode="0.00E+00">
                  <c:v>-5.5143359926858098E-15</c:v>
                </c:pt>
                <c:pt idx="33" formatCode="0.00E+00">
                  <c:v>-5.3273255955407899E-15</c:v>
                </c:pt>
                <c:pt idx="34" formatCode="0.00E+00">
                  <c:v>-5.1140690139346E-15</c:v>
                </c:pt>
                <c:pt idx="35" formatCode="0.00E+00">
                  <c:v>-5.0044409432763898E-15</c:v>
                </c:pt>
                <c:pt idx="36" formatCode="0.00E+00">
                  <c:v>-4.8485907465340497E-15</c:v>
                </c:pt>
                <c:pt idx="37" formatCode="0.00E+00">
                  <c:v>-4.8658144935980002E-15</c:v>
                </c:pt>
                <c:pt idx="38" formatCode="0.00E+00">
                  <c:v>-4.63565276381102E-15</c:v>
                </c:pt>
                <c:pt idx="39" formatCode="0.00E+00">
                  <c:v>-4.7279769356831998E-15</c:v>
                </c:pt>
                <c:pt idx="40" formatCode="0.00E+00">
                  <c:v>-4.7109974588265701E-15</c:v>
                </c:pt>
                <c:pt idx="41" formatCode="0.00E+00">
                  <c:v>-4.6942619425155302E-15</c:v>
                </c:pt>
                <c:pt idx="42" formatCode="0.00E+00">
                  <c:v>-4.7931924605705804E-15</c:v>
                </c:pt>
                <c:pt idx="43" formatCode="0.00E+00">
                  <c:v>-4.78627957565713E-15</c:v>
                </c:pt>
                <c:pt idx="44" formatCode="0.00E+00">
                  <c:v>-4.3724543480408098E-15</c:v>
                </c:pt>
                <c:pt idx="45" formatCode="0.00E+00">
                  <c:v>-3.5478396895594399E-15</c:v>
                </c:pt>
                <c:pt idx="46" formatCode="0.00E+00">
                  <c:v>-3.6330024975339901E-15</c:v>
                </c:pt>
                <c:pt idx="47" formatCode="0.00E+00">
                  <c:v>-2.90951174825889E-15</c:v>
                </c:pt>
                <c:pt idx="48" formatCode="0.00E+00">
                  <c:v>-3.30167058647475E-15</c:v>
                </c:pt>
                <c:pt idx="49" formatCode="0.00E+00">
                  <c:v>-3.36866562288579E-15</c:v>
                </c:pt>
                <c:pt idx="50" formatCode="0.00E+00">
                  <c:v>-3.2371574980727599E-15</c:v>
                </c:pt>
                <c:pt idx="51" formatCode="0.00E+00">
                  <c:v>-2.9903133522513199E-15</c:v>
                </c:pt>
                <c:pt idx="52" formatCode="0.00E+00">
                  <c:v>-2.7068225367858001E-15</c:v>
                </c:pt>
                <c:pt idx="53" formatCode="0.00E+00">
                  <c:v>5.2154254211356202E-16</c:v>
                </c:pt>
                <c:pt idx="54" formatCode="0.00E+00">
                  <c:v>1.3726206617460299E-15</c:v>
                </c:pt>
                <c:pt idx="55" formatCode="0.00E+00">
                  <c:v>3.11458541926391E-15</c:v>
                </c:pt>
                <c:pt idx="56" formatCode="0.00E+00">
                  <c:v>4.3480985861387097E-15</c:v>
                </c:pt>
                <c:pt idx="57" formatCode="0.00E+00">
                  <c:v>5.0691215519719002E-15</c:v>
                </c:pt>
                <c:pt idx="58" formatCode="0.00E+00">
                  <c:v>4.61069343415262E-15</c:v>
                </c:pt>
                <c:pt idx="59" formatCode="0.00E+00">
                  <c:v>4.3205069997529503E-15</c:v>
                </c:pt>
                <c:pt idx="60" formatCode="0.00E+00">
                  <c:v>4.2075235194500499E-15</c:v>
                </c:pt>
                <c:pt idx="61" formatCode="0.00E+00">
                  <c:v>3.4245203293896798E-15</c:v>
                </c:pt>
                <c:pt idx="62" formatCode="0.00E+00">
                  <c:v>3.6794468593748002E-15</c:v>
                </c:pt>
                <c:pt idx="63" formatCode="0.00E+00">
                  <c:v>4.5169924101707998E-15</c:v>
                </c:pt>
                <c:pt idx="64" formatCode="0.00E+00">
                  <c:v>4.6468440747186603E-15</c:v>
                </c:pt>
                <c:pt idx="65" formatCode="0.00E+00">
                  <c:v>5.2524031037078902E-15</c:v>
                </c:pt>
                <c:pt idx="66" formatCode="0.00E+00">
                  <c:v>4.7382440665382799E-15</c:v>
                </c:pt>
                <c:pt idx="67" formatCode="0.00E+00">
                  <c:v>5.1336380690974696E-15</c:v>
                </c:pt>
                <c:pt idx="68" formatCode="0.00E+00">
                  <c:v>4.8796470944326197E-15</c:v>
                </c:pt>
                <c:pt idx="69" formatCode="0.00E+00">
                  <c:v>5.0719725634688003E-15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79AE-443A-BF8C-5EF95D8164EC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wFG!$AE$2:$AE$71</c:f>
              <c:numCache>
                <c:formatCode>General</c:formatCode>
                <c:ptCount val="70"/>
                <c:pt idx="0">
                  <c:v>3.2509986033183398E-2</c:v>
                </c:pt>
                <c:pt idx="1">
                  <c:v>3.2110116080205302E-2</c:v>
                </c:pt>
                <c:pt idx="2">
                  <c:v>3.1715429377039701E-2</c:v>
                </c:pt>
                <c:pt idx="3">
                  <c:v>3.1325856969527603E-2</c:v>
                </c:pt>
                <c:pt idx="4">
                  <c:v>3.09413307703361E-2</c:v>
                </c:pt>
                <c:pt idx="5">
                  <c:v>3.05617835508015E-2</c:v>
                </c:pt>
                <c:pt idx="6">
                  <c:v>3.01871489327626E-2</c:v>
                </c:pt>
                <c:pt idx="7">
                  <c:v>2.9817361380386199E-2</c:v>
                </c:pt>
                <c:pt idx="8">
                  <c:v>2.9452356191986401E-2</c:v>
                </c:pt>
                <c:pt idx="9">
                  <c:v>2.9092069491841399E-2</c:v>
                </c:pt>
                <c:pt idx="10">
                  <c:v>2.8736438222009501E-2</c:v>
                </c:pt>
                <c:pt idx="11">
                  <c:v>2.8385400134147101E-2</c:v>
                </c:pt>
                <c:pt idx="12">
                  <c:v>2.8038893781329899E-2</c:v>
                </c:pt>
                <c:pt idx="13">
                  <c:v>2.7696858509882499E-2</c:v>
                </c:pt>
                <c:pt idx="14">
                  <c:v>2.7359234451215301E-2</c:v>
                </c:pt>
                <c:pt idx="15">
                  <c:v>2.7025962513673601E-2</c:v>
                </c:pt>
                <c:pt idx="16">
                  <c:v>2.6696984374400198E-2</c:v>
                </c:pt>
                <c:pt idx="17">
                  <c:v>2.6372242471213499E-2</c:v>
                </c:pt>
                <c:pt idx="18">
                  <c:v>2.6051679994504001E-2</c:v>
                </c:pt>
                <c:pt idx="19">
                  <c:v>2.5735240879151799E-2</c:v>
                </c:pt>
                <c:pt idx="20">
                  <c:v>2.54228697964646E-2</c:v>
                </c:pt>
                <c:pt idx="21">
                  <c:v>2.5114512146142399E-2</c:v>
                </c:pt>
                <c:pt idx="22">
                  <c:v>2.48101140482671E-2</c:v>
                </c:pt>
                <c:pt idx="23">
                  <c:v>2.45096223353213E-2</c:v>
                </c:pt>
                <c:pt idx="24">
                  <c:v>2.4212984544237301E-2</c:v>
                </c:pt>
                <c:pt idx="25">
                  <c:v>2.3920148908478499E-2</c:v>
                </c:pt>
                <c:pt idx="26">
                  <c:v>2.36310643501546E-2</c:v>
                </c:pt>
                <c:pt idx="27">
                  <c:v>2.33456804721726E-2</c:v>
                </c:pt>
                <c:pt idx="28">
                  <c:v>2.3063947550425699E-2</c:v>
                </c:pt>
                <c:pt idx="29">
                  <c:v>2.2785816526020401E-2</c:v>
                </c:pt>
                <c:pt idx="30">
                  <c:v>2.2511238997545101E-2</c:v>
                </c:pt>
                <c:pt idx="31">
                  <c:v>2.2240167213380398E-2</c:v>
                </c:pt>
                <c:pt idx="32">
                  <c:v>2.1972554064053299E-2</c:v>
                </c:pt>
                <c:pt idx="33">
                  <c:v>2.1708353074635402E-2</c:v>
                </c:pt>
                <c:pt idx="34">
                  <c:v>2.14475183971891E-2</c:v>
                </c:pt>
                <c:pt idx="35">
                  <c:v>2.1190004803259398E-2</c:v>
                </c:pt>
                <c:pt idx="36">
                  <c:v>2.0935767676415799E-2</c:v>
                </c:pt>
                <c:pt idx="37">
                  <c:v>2.06847630048437E-2</c:v>
                </c:pt>
                <c:pt idx="38">
                  <c:v>2.0436947373986498E-2</c:v>
                </c:pt>
                <c:pt idx="39">
                  <c:v>2.0192277959240001E-2</c:v>
                </c:pt>
                <c:pt idx="40">
                  <c:v>1.9950712518699901E-2</c:v>
                </c:pt>
                <c:pt idx="41">
                  <c:v>1.9712209385962801E-2</c:v>
                </c:pt>
                <c:pt idx="42">
                  <c:v>1.9476727462982402E-2</c:v>
                </c:pt>
                <c:pt idx="43">
                  <c:v>1.9244226212981101E-2</c:v>
                </c:pt>
                <c:pt idx="44">
                  <c:v>1.9014665653417698E-2</c:v>
                </c:pt>
                <c:pt idx="45">
                  <c:v>1.87880063490133E-2</c:v>
                </c:pt>
                <c:pt idx="46">
                  <c:v>1.85642094048333E-2</c:v>
                </c:pt>
                <c:pt idx="47">
                  <c:v>1.83432364594294E-2</c:v>
                </c:pt>
                <c:pt idx="48">
                  <c:v>1.8125049678039198E-2</c:v>
                </c:pt>
                <c:pt idx="49">
                  <c:v>1.7909611745846599E-2</c:v>
                </c:pt>
                <c:pt idx="50">
                  <c:v>1.7696885861300801E-2</c:v>
                </c:pt>
                <c:pt idx="51">
                  <c:v>1.7486835729497E-2</c:v>
                </c:pt>
                <c:pt idx="52">
                  <c:v>1.72794255556174E-2</c:v>
                </c:pt>
                <c:pt idx="53">
                  <c:v>1.7074620038432901E-2</c:v>
                </c:pt>
                <c:pt idx="54">
                  <c:v>1.68723843638671E-2</c:v>
                </c:pt>
                <c:pt idx="55">
                  <c:v>1.6672684198621598E-2</c:v>
                </c:pt>
                <c:pt idx="56">
                  <c:v>1.6475485683864002E-2</c:v>
                </c:pt>
                <c:pt idx="57">
                  <c:v>1.6280755428976699E-2</c:v>
                </c:pt>
                <c:pt idx="58">
                  <c:v>1.60884605053698E-2</c:v>
                </c:pt>
                <c:pt idx="59">
                  <c:v>1.5898568440355799E-2</c:v>
                </c:pt>
                <c:pt idx="60">
                  <c:v>1.57110472110863E-2</c:v>
                </c:pt>
                <c:pt idx="61">
                  <c:v>1.5525865238553101E-2</c:v>
                </c:pt>
                <c:pt idx="62">
                  <c:v>1.5342991381650401E-2</c:v>
                </c:pt>
                <c:pt idx="63">
                  <c:v>1.5162394931300499E-2</c:v>
                </c:pt>
                <c:pt idx="64">
                  <c:v>1.4984045604642801E-2</c:v>
                </c:pt>
                <c:pt idx="65">
                  <c:v>1.48079135392846E-2</c:v>
                </c:pt>
                <c:pt idx="66">
                  <c:v>1.4633969287615E-2</c:v>
                </c:pt>
                <c:pt idx="67">
                  <c:v>1.4462183811181899E-2</c:v>
                </c:pt>
                <c:pt idx="68">
                  <c:v>1.42925284751302E-2</c:v>
                </c:pt>
                <c:pt idx="69">
                  <c:v>1.4124975042703901E-2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9AE-443A-BF8C-5EF95D816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5326064"/>
        <c:axId val="1065323664"/>
      </c:barChart>
      <c:catAx>
        <c:axId val="1065326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323664"/>
        <c:crosses val="autoZero"/>
        <c:auto val="1"/>
        <c:lblAlgn val="ctr"/>
        <c:lblOffset val="100"/>
        <c:noMultiLvlLbl val="0"/>
      </c:catAx>
      <c:valAx>
        <c:axId val="106532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32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'DSGE HVD difference'!$Z$1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difference'!$Z$2:$Z$132</c:f>
              <c:numCache>
                <c:formatCode>0.0000</c:formatCode>
                <c:ptCount val="131"/>
                <c:pt idx="0">
                  <c:v>-1.1864272693190986E-3</c:v>
                </c:pt>
                <c:pt idx="1">
                  <c:v>-9.2186697626449321E-4</c:v>
                </c:pt>
                <c:pt idx="2">
                  <c:v>-6.2993997186189254E-4</c:v>
                </c:pt>
                <c:pt idx="3">
                  <c:v>-3.0916175709580496E-4</c:v>
                </c:pt>
                <c:pt idx="4">
                  <c:v>3.8674394388094058E-5</c:v>
                </c:pt>
                <c:pt idx="5">
                  <c:v>4.0161449828289564E-4</c:v>
                </c:pt>
                <c:pt idx="6">
                  <c:v>7.450645101135106E-4</c:v>
                </c:pt>
                <c:pt idx="7">
                  <c:v>1.0145206968830978E-3</c:v>
                </c:pt>
                <c:pt idx="8">
                  <c:v>1.6912713240288049E-3</c:v>
                </c:pt>
                <c:pt idx="9">
                  <c:v>2.3846668124513012E-3</c:v>
                </c:pt>
                <c:pt idx="10">
                  <c:v>3.3919901648839998E-3</c:v>
                </c:pt>
                <c:pt idx="11">
                  <c:v>3.0605585823369995E-3</c:v>
                </c:pt>
                <c:pt idx="12">
                  <c:v>3.1556837105867035E-3</c:v>
                </c:pt>
                <c:pt idx="13">
                  <c:v>3.3234448824920985E-3</c:v>
                </c:pt>
                <c:pt idx="14">
                  <c:v>2.4937356889799984E-3</c:v>
                </c:pt>
                <c:pt idx="15">
                  <c:v>2.016190079708699E-3</c:v>
                </c:pt>
                <c:pt idx="16">
                  <c:v>1.6038386653264014E-3</c:v>
                </c:pt>
                <c:pt idx="17">
                  <c:v>1.4420022660140003E-3</c:v>
                </c:pt>
                <c:pt idx="18">
                  <c:v>7.694520545393907E-4</c:v>
                </c:pt>
                <c:pt idx="19">
                  <c:v>-2.0308676060659669E-4</c:v>
                </c:pt>
                <c:pt idx="20">
                  <c:v>-4.7735075399099602E-4</c:v>
                </c:pt>
                <c:pt idx="21">
                  <c:v>-1.3656282023428029E-3</c:v>
                </c:pt>
                <c:pt idx="22">
                  <c:v>-1.7964981351362014E-3</c:v>
                </c:pt>
                <c:pt idx="23">
                  <c:v>-2.1072613581011035E-3</c:v>
                </c:pt>
                <c:pt idx="24">
                  <c:v>-3.0195492424821002E-3</c:v>
                </c:pt>
                <c:pt idx="25">
                  <c:v>-3.8805224036214947E-3</c:v>
                </c:pt>
                <c:pt idx="26">
                  <c:v>-4.3051696003475054E-3</c:v>
                </c:pt>
                <c:pt idx="27">
                  <c:v>-5.0010429681340007E-3</c:v>
                </c:pt>
                <c:pt idx="28">
                  <c:v>-5.7298596066309992E-3</c:v>
                </c:pt>
                <c:pt idx="29">
                  <c:v>-6.3754523316850026E-3</c:v>
                </c:pt>
                <c:pt idx="30">
                  <c:v>-7.0991652420539925E-3</c:v>
                </c:pt>
                <c:pt idx="31">
                  <c:v>-7.6883742881750095E-3</c:v>
                </c:pt>
                <c:pt idx="32">
                  <c:v>-8.3232629441979955E-3</c:v>
                </c:pt>
                <c:pt idx="33">
                  <c:v>-8.73111350007999E-3</c:v>
                </c:pt>
                <c:pt idx="34">
                  <c:v>-9.1724951629650053E-3</c:v>
                </c:pt>
                <c:pt idx="35">
                  <c:v>-9.6189000871950009E-3</c:v>
                </c:pt>
                <c:pt idx="36">
                  <c:v>-1.0055867739159993E-2</c:v>
                </c:pt>
                <c:pt idx="37">
                  <c:v>-1.0476603993955003E-2</c:v>
                </c:pt>
                <c:pt idx="38">
                  <c:v>-1.0881594741131984E-2</c:v>
                </c:pt>
                <c:pt idx="39">
                  <c:v>-1.1275467022558994E-2</c:v>
                </c:pt>
                <c:pt idx="40">
                  <c:v>-1.1663298081511009E-2</c:v>
                </c:pt>
                <c:pt idx="41">
                  <c:v>-1.2048018390933002E-2</c:v>
                </c:pt>
                <c:pt idx="42">
                  <c:v>-1.2432738758613004E-2</c:v>
                </c:pt>
                <c:pt idx="43">
                  <c:v>-1.2820725051615994E-2</c:v>
                </c:pt>
                <c:pt idx="44">
                  <c:v>-1.3215411722136999E-2</c:v>
                </c:pt>
                <c:pt idx="45">
                  <c:v>-1.3620485703604995E-2</c:v>
                </c:pt>
                <c:pt idx="46">
                  <c:v>-1.4040211293604998E-2</c:v>
                </c:pt>
                <c:pt idx="47">
                  <c:v>-1.447665096595499E-2</c:v>
                </c:pt>
                <c:pt idx="48">
                  <c:v>-1.4939734130619997E-2</c:v>
                </c:pt>
                <c:pt idx="49">
                  <c:v>-1.543884931247802E-2</c:v>
                </c:pt>
                <c:pt idx="50">
                  <c:v>-1.5991531943911008E-2</c:v>
                </c:pt>
                <c:pt idx="51">
                  <c:v>-1.6628698864142005E-2</c:v>
                </c:pt>
                <c:pt idx="52">
                  <c:v>-1.6778456871725994E-2</c:v>
                </c:pt>
                <c:pt idx="53">
                  <c:v>-1.6407466103429996E-2</c:v>
                </c:pt>
                <c:pt idx="54">
                  <c:v>-1.7669337172751015E-2</c:v>
                </c:pt>
                <c:pt idx="55">
                  <c:v>-1.8039264662635002E-2</c:v>
                </c:pt>
                <c:pt idx="56">
                  <c:v>-1.8730055891249014E-2</c:v>
                </c:pt>
                <c:pt idx="57">
                  <c:v>-1.9341073909204004E-2</c:v>
                </c:pt>
                <c:pt idx="58">
                  <c:v>-2.1002265945899018E-2</c:v>
                </c:pt>
                <c:pt idx="59">
                  <c:v>-2.0761906245319012E-2</c:v>
                </c:pt>
                <c:pt idx="60">
                  <c:v>-2.128912674455799E-2</c:v>
                </c:pt>
                <c:pt idx="61">
                  <c:v>-2.2339284340530979E-2</c:v>
                </c:pt>
                <c:pt idx="62">
                  <c:v>-2.1795387375831005E-2</c:v>
                </c:pt>
                <c:pt idx="63">
                  <c:v>-2.2290428557551006E-2</c:v>
                </c:pt>
                <c:pt idx="64">
                  <c:v>-2.1445651157606993E-2</c:v>
                </c:pt>
                <c:pt idx="65">
                  <c:v>-2.1070831370755994E-2</c:v>
                </c:pt>
                <c:pt idx="66">
                  <c:v>-2.0763541571895E-2</c:v>
                </c:pt>
                <c:pt idx="67">
                  <c:v>-2.0151924224507012E-2</c:v>
                </c:pt>
                <c:pt idx="68">
                  <c:v>-1.9759879274894004E-2</c:v>
                </c:pt>
                <c:pt idx="69">
                  <c:v>-1.896964238717902E-2</c:v>
                </c:pt>
                <c:pt idx="70">
                  <c:v>-1.8819528090713994E-2</c:v>
                </c:pt>
                <c:pt idx="71">
                  <c:v>-1.8587132993711009E-2</c:v>
                </c:pt>
                <c:pt idx="72">
                  <c:v>-1.8357848372594993E-2</c:v>
                </c:pt>
                <c:pt idx="73">
                  <c:v>-1.8131623655599005E-2</c:v>
                </c:pt>
                <c:pt idx="74">
                  <c:v>-1.7908411625456006E-2</c:v>
                </c:pt>
                <c:pt idx="75">
                  <c:v>-1.7688167620450002E-2</c:v>
                </c:pt>
                <c:pt idx="76">
                  <c:v>-1.7470848927252008E-2</c:v>
                </c:pt>
                <c:pt idx="77">
                  <c:v>-1.7256414322940977E-2</c:v>
                </c:pt>
                <c:pt idx="78">
                  <c:v>-1.7044823732670994E-2</c:v>
                </c:pt>
                <c:pt idx="79">
                  <c:v>-1.6836037976628027E-2</c:v>
                </c:pt>
                <c:pt idx="80">
                  <c:v>-1.6630018585570006E-2</c:v>
                </c:pt>
                <c:pt idx="81">
                  <c:v>-1.6426727668791996E-2</c:v>
                </c:pt>
                <c:pt idx="82">
                  <c:v>-1.6226127821834996E-2</c:v>
                </c:pt>
                <c:pt idx="83">
                  <c:v>-1.6028182064126012E-2</c:v>
                </c:pt>
                <c:pt idx="84">
                  <c:v>-1.5832853798888991E-2</c:v>
                </c:pt>
                <c:pt idx="85">
                  <c:v>-1.5640106789422986E-2</c:v>
                </c:pt>
                <c:pt idx="86">
                  <c:v>-1.544990514723199E-2</c:v>
                </c:pt>
                <c:pt idx="87">
                  <c:v>-1.5262213328495977E-2</c:v>
                </c:pt>
                <c:pt idx="88">
                  <c:v>-1.5076996136258985E-2</c:v>
                </c:pt>
                <c:pt idx="89">
                  <c:v>-1.4894218726349995E-2</c:v>
                </c:pt>
                <c:pt idx="90">
                  <c:v>-1.4713846615544007E-2</c:v>
                </c:pt>
                <c:pt idx="91">
                  <c:v>-1.4535845690858001E-2</c:v>
                </c:pt>
                <c:pt idx="92">
                  <c:v>-1.4360182219214007E-2</c:v>
                </c:pt>
                <c:pt idx="93">
                  <c:v>-1.4186822856884995E-2</c:v>
                </c:pt>
                <c:pt idx="94">
                  <c:v>-1.4015734658342993E-2</c:v>
                </c:pt>
                <c:pt idx="95">
                  <c:v>-1.3846885084256993E-2</c:v>
                </c:pt>
                <c:pt idx="96">
                  <c:v>-1.3680242008499988E-2</c:v>
                </c:pt>
                <c:pt idx="97">
                  <c:v>-1.3515773724053021E-2</c:v>
                </c:pt>
                <c:pt idx="98">
                  <c:v>-1.3353448947815996E-2</c:v>
                </c:pt>
                <c:pt idx="99">
                  <c:v>-1.3193236824313004E-2</c:v>
                </c:pt>
                <c:pt idx="100">
                  <c:v>-1.3035106928341006E-2</c:v>
                </c:pt>
                <c:pt idx="101">
                  <c:v>-1.2879029266617006E-2</c:v>
                </c:pt>
                <c:pt idx="102">
                  <c:v>-1.2724974278486997E-2</c:v>
                </c:pt>
                <c:pt idx="103">
                  <c:v>-1.2572912835783004E-2</c:v>
                </c:pt>
                <c:pt idx="104">
                  <c:v>-1.2422816241884002E-2</c:v>
                </c:pt>
                <c:pt idx="105">
                  <c:v>-1.2274656230078007E-2</c:v>
                </c:pt>
                <c:pt idx="106">
                  <c:v>-1.2128404961284006E-2</c:v>
                </c:pt>
                <c:pt idx="107">
                  <c:v>-1.1984035021215006E-2</c:v>
                </c:pt>
                <c:pt idx="108">
                  <c:v>-1.1841519417041008E-2</c:v>
                </c:pt>
                <c:pt idx="109">
                  <c:v>-1.1700831573618994E-2</c:v>
                </c:pt>
                <c:pt idx="110">
                  <c:v>-1.1561945329347012E-2</c:v>
                </c:pt>
                <c:pt idx="111">
                  <c:v>-1.1424834931691996E-2</c:v>
                </c:pt>
                <c:pt idx="112">
                  <c:v>-1.1289475032449994E-2</c:v>
                </c:pt>
                <c:pt idx="113">
                  <c:v>-1.1155840682757004E-2</c:v>
                </c:pt>
                <c:pt idx="114">
                  <c:v>-1.1023907327930002E-2</c:v>
                </c:pt>
                <c:pt idx="115">
                  <c:v>-1.0893650802132004E-2</c:v>
                </c:pt>
                <c:pt idx="116">
                  <c:v>-1.0765047322919108E-2</c:v>
                </c:pt>
                <c:pt idx="117">
                  <c:v>-1.0638073485691193E-2</c:v>
                </c:pt>
                <c:pt idx="118">
                  <c:v>-1.0512706258066301E-2</c:v>
                </c:pt>
                <c:pt idx="119">
                  <c:v>-1.0388922974203199E-2</c:v>
                </c:pt>
                <c:pt idx="120">
                  <c:v>-1.0266701329102498E-2</c:v>
                </c:pt>
                <c:pt idx="121">
                  <c:v>-1.0146019372877194E-2</c:v>
                </c:pt>
                <c:pt idx="122">
                  <c:v>-1.0026855505041704E-2</c:v>
                </c:pt>
                <c:pt idx="123">
                  <c:v>-9.9091884688051052E-3</c:v>
                </c:pt>
                <c:pt idx="124">
                  <c:v>-9.7929973453883962E-3</c:v>
                </c:pt>
                <c:pt idx="125">
                  <c:v>-9.6782615483854001E-3</c:v>
                </c:pt>
                <c:pt idx="126">
                  <c:v>-9.5649608181578999E-3</c:v>
                </c:pt>
                <c:pt idx="127">
                  <c:v>-9.4530752162907961E-3</c:v>
                </c:pt>
                <c:pt idx="128">
                  <c:v>-9.3425851200972104E-3</c:v>
                </c:pt>
                <c:pt idx="129">
                  <c:v>-9.233471217190703E-3</c:v>
                </c:pt>
                <c:pt idx="130">
                  <c:v>-9.1257145001211043E-3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C-4AE3-A534-62F7F81DB515}"/>
            </c:ext>
          </c:extLst>
        </c:ser>
        <c:ser>
          <c:idx val="1"/>
          <c:order val="1"/>
          <c:tx>
            <c:strRef>
              <c:f>'DSGE HVD difference'!$AA$1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difference'!$AA$2:$AA$132</c:f>
              <c:numCache>
                <c:formatCode>0.0000</c:formatCode>
                <c:ptCount val="131"/>
                <c:pt idx="0">
                  <c:v>6.9004925544199902E-3</c:v>
                </c:pt>
                <c:pt idx="1">
                  <c:v>1.1714961121376988E-2</c:v>
                </c:pt>
                <c:pt idx="2">
                  <c:v>1.8729915763933958E-2</c:v>
                </c:pt>
                <c:pt idx="3">
                  <c:v>2.8882484189751978E-2</c:v>
                </c:pt>
                <c:pt idx="4">
                  <c:v>4.3514231910239953E-2</c:v>
                </c:pt>
                <c:pt idx="5">
                  <c:v>6.4557925292259011E-2</c:v>
                </c:pt>
                <c:pt idx="6">
                  <c:v>9.4824501777080017E-2</c:v>
                </c:pt>
                <c:pt idx="7">
                  <c:v>0.12791594094409997</c:v>
                </c:pt>
                <c:pt idx="8">
                  <c:v>0.13477207192494012</c:v>
                </c:pt>
                <c:pt idx="9">
                  <c:v>0.11730057966025498</c:v>
                </c:pt>
                <c:pt idx="10">
                  <c:v>2.0836234060188974E-2</c:v>
                </c:pt>
                <c:pt idx="11">
                  <c:v>2.0674156135626065E-2</c:v>
                </c:pt>
                <c:pt idx="12">
                  <c:v>-1.7786707565269011E-2</c:v>
                </c:pt>
                <c:pt idx="13">
                  <c:v>-9.2071390803747044E-2</c:v>
                </c:pt>
                <c:pt idx="14">
                  <c:v>-5.5166141187743989E-2</c:v>
                </c:pt>
                <c:pt idx="15">
                  <c:v>-3.5198951311341986E-2</c:v>
                </c:pt>
                <c:pt idx="16">
                  <c:v>-9.8250787731550826E-3</c:v>
                </c:pt>
                <c:pt idx="17">
                  <c:v>-6.4845995889787011E-2</c:v>
                </c:pt>
                <c:pt idx="18">
                  <c:v>-8.0962693182250023E-2</c:v>
                </c:pt>
                <c:pt idx="19">
                  <c:v>-3.4046858605542019E-2</c:v>
                </c:pt>
                <c:pt idx="20">
                  <c:v>-3.8461586227080957E-2</c:v>
                </c:pt>
                <c:pt idx="21">
                  <c:v>-1.9157278433049929E-2</c:v>
                </c:pt>
                <c:pt idx="22">
                  <c:v>-2.1097859485958992E-2</c:v>
                </c:pt>
                <c:pt idx="23">
                  <c:v>-4.3802086858290012E-2</c:v>
                </c:pt>
                <c:pt idx="24">
                  <c:v>-3.4947114971620064E-2</c:v>
                </c:pt>
                <c:pt idx="25">
                  <c:v>-9.4522105603990214E-3</c:v>
                </c:pt>
                <c:pt idx="26">
                  <c:v>-3.8651324145868027E-2</c:v>
                </c:pt>
                <c:pt idx="27">
                  <c:v>-4.3031957923910014E-2</c:v>
                </c:pt>
                <c:pt idx="28">
                  <c:v>-3.5706559308215979E-2</c:v>
                </c:pt>
                <c:pt idx="29">
                  <c:v>-3.0811575041340022E-2</c:v>
                </c:pt>
                <c:pt idx="30">
                  <c:v>-2.6442314395306976E-2</c:v>
                </c:pt>
                <c:pt idx="31">
                  <c:v>-1.8059926180642893E-2</c:v>
                </c:pt>
                <c:pt idx="32">
                  <c:v>-1.3052039397609017E-2</c:v>
                </c:pt>
                <c:pt idx="33">
                  <c:v>-6.9940990248309465E-3</c:v>
                </c:pt>
                <c:pt idx="34">
                  <c:v>-3.1542250797900184E-3</c:v>
                </c:pt>
                <c:pt idx="35">
                  <c:v>-7.9176049165008422E-4</c:v>
                </c:pt>
                <c:pt idx="36">
                  <c:v>6.2982410732015381E-4</c:v>
                </c:pt>
                <c:pt idx="37">
                  <c:v>1.5299029997699609E-3</c:v>
                </c:pt>
                <c:pt idx="38">
                  <c:v>2.1354358013201402E-3</c:v>
                </c:pt>
                <c:pt idx="39">
                  <c:v>2.5198352459870899E-3</c:v>
                </c:pt>
                <c:pt idx="40">
                  <c:v>2.6929656281690084E-3</c:v>
                </c:pt>
                <c:pt idx="41">
                  <c:v>2.6771884908600718E-3</c:v>
                </c:pt>
                <c:pt idx="42">
                  <c:v>2.4641897537730495E-3</c:v>
                </c:pt>
                <c:pt idx="43">
                  <c:v>2.015126564139047E-3</c:v>
                </c:pt>
                <c:pt idx="44">
                  <c:v>1.2567158112251064E-3</c:v>
                </c:pt>
                <c:pt idx="45">
                  <c:v>6.9137945667985257E-5</c:v>
                </c:pt>
                <c:pt idx="46">
                  <c:v>-1.7582445391649548E-3</c:v>
                </c:pt>
                <c:pt idx="47">
                  <c:v>-4.010048934222965E-3</c:v>
                </c:pt>
                <c:pt idx="48">
                  <c:v>-7.1768587847850229E-3</c:v>
                </c:pt>
                <c:pt idx="49">
                  <c:v>-1.1592061642496043E-2</c:v>
                </c:pt>
                <c:pt idx="50">
                  <c:v>-1.7851422277145979E-2</c:v>
                </c:pt>
                <c:pt idx="51">
                  <c:v>-2.7118077892622994E-2</c:v>
                </c:pt>
                <c:pt idx="52">
                  <c:v>-3.5117165982556986E-2</c:v>
                </c:pt>
                <c:pt idx="53">
                  <c:v>-1.3890177927607938E-2</c:v>
                </c:pt>
                <c:pt idx="54">
                  <c:v>-4.4611856657670979E-2</c:v>
                </c:pt>
                <c:pt idx="55">
                  <c:v>-9.0071786366931916E-2</c:v>
                </c:pt>
                <c:pt idx="56">
                  <c:v>-0.11019594795074705</c:v>
                </c:pt>
                <c:pt idx="57">
                  <c:v>-0.12834458145253202</c:v>
                </c:pt>
                <c:pt idx="58">
                  <c:v>-2.9666576486962026E-2</c:v>
                </c:pt>
                <c:pt idx="59">
                  <c:v>-8.7338447164553967E-2</c:v>
                </c:pt>
                <c:pt idx="60">
                  <c:v>-6.5197287944781024E-2</c:v>
                </c:pt>
                <c:pt idx="61">
                  <c:v>7.3137789072588999E-2</c:v>
                </c:pt>
                <c:pt idx="62">
                  <c:v>2.8204562758399332E-4</c:v>
                </c:pt>
                <c:pt idx="63">
                  <c:v>6.7867671524094009E-2</c:v>
                </c:pt>
                <c:pt idx="64">
                  <c:v>7.9352153779264994E-2</c:v>
                </c:pt>
                <c:pt idx="65">
                  <c:v>6.6613600878418E-2</c:v>
                </c:pt>
                <c:pt idx="66">
                  <c:v>0.10672018622072019</c:v>
                </c:pt>
                <c:pt idx="67">
                  <c:v>7.3256597619366898E-2</c:v>
                </c:pt>
                <c:pt idx="68">
                  <c:v>7.3606394679453291E-2</c:v>
                </c:pt>
                <c:pt idx="69">
                  <c:v>-4.6295782787361961E-3</c:v>
                </c:pt>
                <c:pt idx="70">
                  <c:v>-2.6651975335077016E-2</c:v>
                </c:pt>
                <c:pt idx="71">
                  <c:v>-2.6385746646271996E-2</c:v>
                </c:pt>
                <c:pt idx="72">
                  <c:v>-2.6122040272077013E-2</c:v>
                </c:pt>
                <c:pt idx="73">
                  <c:v>-2.5860898301694996E-2</c:v>
                </c:pt>
                <c:pt idx="74">
                  <c:v>-2.5602330033082987E-2</c:v>
                </c:pt>
                <c:pt idx="75">
                  <c:v>-2.5346327867693016E-2</c:v>
                </c:pt>
                <c:pt idx="76">
                  <c:v>-2.5092875560211003E-2</c:v>
                </c:pt>
                <c:pt idx="77">
                  <c:v>-2.4841952499782008E-2</c:v>
                </c:pt>
                <c:pt idx="78">
                  <c:v>-2.4593535931161009E-2</c:v>
                </c:pt>
                <c:pt idx="79">
                  <c:v>-2.4347602106512004E-2</c:v>
                </c:pt>
                <c:pt idx="80">
                  <c:v>-2.4104126882092985E-2</c:v>
                </c:pt>
                <c:pt idx="81">
                  <c:v>-2.3863086026813987E-2</c:v>
                </c:pt>
                <c:pt idx="82">
                  <c:v>-2.3624455381216006E-2</c:v>
                </c:pt>
                <c:pt idx="83">
                  <c:v>-2.3388210938839013E-2</c:v>
                </c:pt>
                <c:pt idx="84">
                  <c:v>-2.3154328887296988E-2</c:v>
                </c:pt>
                <c:pt idx="85">
                  <c:v>-2.2922785628452E-2</c:v>
                </c:pt>
                <c:pt idx="86">
                  <c:v>-2.2693557787756002E-2</c:v>
                </c:pt>
                <c:pt idx="87">
                  <c:v>-2.2466622217968996E-2</c:v>
                </c:pt>
                <c:pt idx="88">
                  <c:v>-2.2241955999990001E-2</c:v>
                </c:pt>
                <c:pt idx="89">
                  <c:v>-2.2019536442171E-2</c:v>
                </c:pt>
                <c:pt idx="90">
                  <c:v>-2.1799341078882012E-2</c:v>
                </c:pt>
                <c:pt idx="91">
                  <c:v>-2.1581347668680001E-2</c:v>
                </c:pt>
                <c:pt idx="92">
                  <c:v>-2.1365534192299002E-2</c:v>
                </c:pt>
                <c:pt idx="93">
                  <c:v>-2.115187885053299E-2</c:v>
                </c:pt>
                <c:pt idx="94">
                  <c:v>-2.0940360062109989E-2</c:v>
                </c:pt>
                <c:pt idx="95">
                  <c:v>-2.07309564615311E-2</c:v>
                </c:pt>
                <c:pt idx="96">
                  <c:v>-2.0523646896938599E-2</c:v>
                </c:pt>
                <c:pt idx="97">
                  <c:v>-2.0318410427979994E-2</c:v>
                </c:pt>
                <c:pt idx="98">
                  <c:v>-2.0115226323707006E-2</c:v>
                </c:pt>
                <c:pt idx="99">
                  <c:v>-1.9914074060472992E-2</c:v>
                </c:pt>
                <c:pt idx="100">
                  <c:v>-1.971493331986951E-2</c:v>
                </c:pt>
                <c:pt idx="101">
                  <c:v>-1.9517783986671505E-2</c:v>
                </c:pt>
                <c:pt idx="102">
                  <c:v>-1.9322606146805199E-2</c:v>
                </c:pt>
                <c:pt idx="103">
                  <c:v>-1.9129380085338099E-2</c:v>
                </c:pt>
                <c:pt idx="104">
                  <c:v>-1.8938086284484498E-2</c:v>
                </c:pt>
                <c:pt idx="105">
                  <c:v>-1.8748705421640102E-2</c:v>
                </c:pt>
                <c:pt idx="106">
                  <c:v>-1.8561218367423402E-2</c:v>
                </c:pt>
                <c:pt idx="107">
                  <c:v>-1.8375606183749102E-2</c:v>
                </c:pt>
                <c:pt idx="108">
                  <c:v>-1.8191850121911199E-2</c:v>
                </c:pt>
                <c:pt idx="109">
                  <c:v>-1.8009931620692005E-2</c:v>
                </c:pt>
                <c:pt idx="110">
                  <c:v>-1.7829832304485899E-2</c:v>
                </c:pt>
                <c:pt idx="111">
                  <c:v>-1.7651533981441203E-2</c:v>
                </c:pt>
                <c:pt idx="112">
                  <c:v>-1.7475018641626108E-2</c:v>
                </c:pt>
                <c:pt idx="113">
                  <c:v>-1.7300268455210099E-2</c:v>
                </c:pt>
                <c:pt idx="114">
                  <c:v>-1.7127265770658498E-2</c:v>
                </c:pt>
                <c:pt idx="115">
                  <c:v>-1.6955993112951789E-2</c:v>
                </c:pt>
                <c:pt idx="116">
                  <c:v>-1.6786433181822408E-2</c:v>
                </c:pt>
                <c:pt idx="117">
                  <c:v>-1.6618568850004095E-2</c:v>
                </c:pt>
                <c:pt idx="118">
                  <c:v>-1.6452383161504089E-2</c:v>
                </c:pt>
                <c:pt idx="119">
                  <c:v>-1.6287859329889104E-2</c:v>
                </c:pt>
                <c:pt idx="120">
                  <c:v>-1.6124980736590189E-2</c:v>
                </c:pt>
                <c:pt idx="121">
                  <c:v>-1.596373092922429E-2</c:v>
                </c:pt>
                <c:pt idx="122">
                  <c:v>-1.5804093619932E-2</c:v>
                </c:pt>
                <c:pt idx="123">
                  <c:v>-1.56460526837328E-2</c:v>
                </c:pt>
                <c:pt idx="124">
                  <c:v>-1.548959215689541E-2</c:v>
                </c:pt>
                <c:pt idx="125">
                  <c:v>-1.5334696235326503E-2</c:v>
                </c:pt>
                <c:pt idx="126">
                  <c:v>-1.5181349272973196E-2</c:v>
                </c:pt>
                <c:pt idx="127">
                  <c:v>-1.5029535780243589E-2</c:v>
                </c:pt>
                <c:pt idx="128">
                  <c:v>-1.4879240422441098E-2</c:v>
                </c:pt>
                <c:pt idx="129">
                  <c:v>-1.4730448018216713E-2</c:v>
                </c:pt>
                <c:pt idx="130">
                  <c:v>-1.4583143538034499E-2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BC-4AE3-A534-62F7F81DB515}"/>
            </c:ext>
          </c:extLst>
        </c:ser>
        <c:ser>
          <c:idx val="2"/>
          <c:order val="2"/>
          <c:tx>
            <c:strRef>
              <c:f>'DSGE HVD difference'!$AB$1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difference'!$AB$2:$AB$132</c:f>
              <c:numCache>
                <c:formatCode>0.0000</c:formatCode>
                <c:ptCount val="131"/>
                <c:pt idx="0">
                  <c:v>0.24643353365153203</c:v>
                </c:pt>
                <c:pt idx="1">
                  <c:v>0.26664785572696398</c:v>
                </c:pt>
                <c:pt idx="2">
                  <c:v>0.28890318287525601</c:v>
                </c:pt>
                <c:pt idx="3">
                  <c:v>0.31337762169681804</c:v>
                </c:pt>
                <c:pt idx="4">
                  <c:v>0.34023860947856599</c:v>
                </c:pt>
                <c:pt idx="5">
                  <c:v>0.36962871619807403</c:v>
                </c:pt>
                <c:pt idx="6">
                  <c:v>0.40165261753518111</c:v>
                </c:pt>
                <c:pt idx="7">
                  <c:v>0.43125937016614802</c:v>
                </c:pt>
                <c:pt idx="8">
                  <c:v>0.41208043957724</c:v>
                </c:pt>
                <c:pt idx="9">
                  <c:v>0.34499253614928599</c:v>
                </c:pt>
                <c:pt idx="10">
                  <c:v>0.16076017436518711</c:v>
                </c:pt>
                <c:pt idx="11">
                  <c:v>9.3349237984381592E-2</c:v>
                </c:pt>
                <c:pt idx="12">
                  <c:v>-2.8112408684081797E-2</c:v>
                </c:pt>
                <c:pt idx="13">
                  <c:v>-0.1973027123995546</c:v>
                </c:pt>
                <c:pt idx="14">
                  <c:v>-0.21509557169776028</c:v>
                </c:pt>
                <c:pt idx="15">
                  <c:v>-0.2443591922973406</c:v>
                </c:pt>
                <c:pt idx="16">
                  <c:v>-0.26275562158347832</c:v>
                </c:pt>
                <c:pt idx="17">
                  <c:v>-0.37950314831230597</c:v>
                </c:pt>
                <c:pt idx="18">
                  <c:v>-0.44229867558583974</c:v>
                </c:pt>
                <c:pt idx="19">
                  <c:v>-0.4163615570138644</c:v>
                </c:pt>
                <c:pt idx="20">
                  <c:v>-0.45149863174881505</c:v>
                </c:pt>
                <c:pt idx="21">
                  <c:v>-0.4495935426404194</c:v>
                </c:pt>
                <c:pt idx="22">
                  <c:v>-0.47669572032165614</c:v>
                </c:pt>
                <c:pt idx="23">
                  <c:v>-0.52699564246452291</c:v>
                </c:pt>
                <c:pt idx="24">
                  <c:v>-0.52963611883382133</c:v>
                </c:pt>
                <c:pt idx="25">
                  <c:v>-0.50828762149507101</c:v>
                </c:pt>
                <c:pt idx="26">
                  <c:v>-0.55566101580105098</c:v>
                </c:pt>
                <c:pt idx="27">
                  <c:v>-0.569097201407327</c:v>
                </c:pt>
                <c:pt idx="28">
                  <c:v>-0.56471101167759297</c:v>
                </c:pt>
                <c:pt idx="29">
                  <c:v>-0.55938345604030904</c:v>
                </c:pt>
                <c:pt idx="30">
                  <c:v>-0.55021881056910393</c:v>
                </c:pt>
                <c:pt idx="31">
                  <c:v>-0.53615245183516702</c:v>
                </c:pt>
                <c:pt idx="32">
                  <c:v>-0.52365874765918097</c:v>
                </c:pt>
                <c:pt idx="33">
                  <c:v>-0.51248601023596008</c:v>
                </c:pt>
                <c:pt idx="34">
                  <c:v>-0.50374858284924284</c:v>
                </c:pt>
                <c:pt idx="35">
                  <c:v>-0.49718636501865737</c:v>
                </c:pt>
                <c:pt idx="36">
                  <c:v>-0.49260064589920349</c:v>
                </c:pt>
                <c:pt idx="37">
                  <c:v>-0.489828246596064</c:v>
                </c:pt>
                <c:pt idx="38">
                  <c:v>-0.48878553542544401</c:v>
                </c:pt>
                <c:pt idx="39">
                  <c:v>-0.48945456358687001</c:v>
                </c:pt>
                <c:pt idx="40">
                  <c:v>-0.49184460818993497</c:v>
                </c:pt>
                <c:pt idx="41">
                  <c:v>-0.49596052660265399</c:v>
                </c:pt>
                <c:pt idx="42">
                  <c:v>-0.50182432554676093</c:v>
                </c:pt>
                <c:pt idx="43">
                  <c:v>-0.50947434478618103</c:v>
                </c:pt>
                <c:pt idx="44">
                  <c:v>-0.51896445034854399</c:v>
                </c:pt>
                <c:pt idx="45">
                  <c:v>-0.53036512309366801</c:v>
                </c:pt>
                <c:pt idx="46">
                  <c:v>-0.54377824965421206</c:v>
                </c:pt>
                <c:pt idx="47">
                  <c:v>-0.55905867470827697</c:v>
                </c:pt>
                <c:pt idx="48">
                  <c:v>-0.57631768507007186</c:v>
                </c:pt>
                <c:pt idx="49">
                  <c:v>-0.59562860860797351</c:v>
                </c:pt>
                <c:pt idx="50">
                  <c:v>-0.61708764473922395</c:v>
                </c:pt>
                <c:pt idx="51">
                  <c:v>-0.64100246399203398</c:v>
                </c:pt>
                <c:pt idx="52">
                  <c:v>-0.66647949628600633</c:v>
                </c:pt>
                <c:pt idx="53">
                  <c:v>-0.63225099276288288</c:v>
                </c:pt>
                <c:pt idx="54">
                  <c:v>-0.68596645727874106</c:v>
                </c:pt>
                <c:pt idx="55">
                  <c:v>-0.74218045255665233</c:v>
                </c:pt>
                <c:pt idx="56">
                  <c:v>-0.76096695766454514</c:v>
                </c:pt>
                <c:pt idx="57">
                  <c:v>-0.76286188551486644</c:v>
                </c:pt>
                <c:pt idx="58">
                  <c:v>-0.59794380763685606</c:v>
                </c:pt>
                <c:pt idx="59">
                  <c:v>-0.625865322965521</c:v>
                </c:pt>
                <c:pt idx="60">
                  <c:v>-0.54561080147335894</c:v>
                </c:pt>
                <c:pt idx="61">
                  <c:v>-0.3046942794459237</c:v>
                </c:pt>
                <c:pt idx="62">
                  <c:v>-0.33235755639872011</c:v>
                </c:pt>
                <c:pt idx="63">
                  <c:v>-0.19141690000411199</c:v>
                </c:pt>
                <c:pt idx="64">
                  <c:v>-0.13392499796966101</c:v>
                </c:pt>
                <c:pt idx="65">
                  <c:v>-0.11294758027805002</c:v>
                </c:pt>
                <c:pt idx="66">
                  <c:v>-3.6661739612871003E-2</c:v>
                </c:pt>
                <c:pt idx="67">
                  <c:v>-6.4476718442623981E-2</c:v>
                </c:pt>
                <c:pt idx="68">
                  <c:v>-6.0555051104310975E-2</c:v>
                </c:pt>
                <c:pt idx="69">
                  <c:v>-0.16648145137735698</c:v>
                </c:pt>
                <c:pt idx="70">
                  <c:v>-0.204175285361548</c:v>
                </c:pt>
                <c:pt idx="71">
                  <c:v>-0.20198478633878902</c:v>
                </c:pt>
                <c:pt idx="72">
                  <c:v>-0.19986132325363198</c:v>
                </c:pt>
                <c:pt idx="73">
                  <c:v>-0.197790532604734</c:v>
                </c:pt>
                <c:pt idx="74">
                  <c:v>-0.19576234915020796</c:v>
                </c:pt>
                <c:pt idx="75">
                  <c:v>-0.193769702373988</c:v>
                </c:pt>
                <c:pt idx="76">
                  <c:v>-0.19180760845025396</c:v>
                </c:pt>
                <c:pt idx="77">
                  <c:v>-0.18987253770822199</c:v>
                </c:pt>
                <c:pt idx="78">
                  <c:v>-0.18796197400805004</c:v>
                </c:pt>
                <c:pt idx="79">
                  <c:v>-0.18607410780031597</c:v>
                </c:pt>
                <c:pt idx="80">
                  <c:v>-0.18420762230832402</c:v>
                </c:pt>
                <c:pt idx="81">
                  <c:v>-0.182361544578966</c:v>
                </c:pt>
                <c:pt idx="82">
                  <c:v>-0.18053514172048102</c:v>
                </c:pt>
                <c:pt idx="83">
                  <c:v>-0.17872784861707197</c:v>
                </c:pt>
                <c:pt idx="84">
                  <c:v>-0.17693921757004</c:v>
                </c:pt>
                <c:pt idx="85">
                  <c:v>-0.17516888321280799</c:v>
                </c:pt>
                <c:pt idx="86">
                  <c:v>-0.17341653806563598</c:v>
                </c:pt>
                <c:pt idx="87">
                  <c:v>-0.17168191550192</c:v>
                </c:pt>
                <c:pt idx="88">
                  <c:v>-0.169964777877361</c:v>
                </c:pt>
                <c:pt idx="89">
                  <c:v>-0.16826490825561602</c:v>
                </c:pt>
                <c:pt idx="90">
                  <c:v>-0.166582104639275</c:v>
                </c:pt>
                <c:pt idx="91">
                  <c:v>-0.16491617594605903</c:v>
                </c:pt>
                <c:pt idx="92">
                  <c:v>-0.16326693920080598</c:v>
                </c:pt>
                <c:pt idx="93">
                  <c:v>-0.16163421757437998</c:v>
                </c:pt>
                <c:pt idx="94">
                  <c:v>-0.16001783901261898</c:v>
                </c:pt>
                <c:pt idx="95">
                  <c:v>-0.15841763527632499</c:v>
                </c:pt>
                <c:pt idx="96">
                  <c:v>-0.15683344126765303</c:v>
                </c:pt>
                <c:pt idx="97">
                  <c:v>-0.15526509455603199</c:v>
                </c:pt>
                <c:pt idx="98">
                  <c:v>-0.15371243504314003</c:v>
                </c:pt>
                <c:pt idx="99">
                  <c:v>-0.15217530472478299</c:v>
                </c:pt>
                <c:pt idx="100">
                  <c:v>-0.150653547520333</c:v>
                </c:pt>
                <c:pt idx="101">
                  <c:v>-0.14914700914925996</c:v>
                </c:pt>
                <c:pt idx="102">
                  <c:v>-0.14765553704053203</c:v>
                </c:pt>
                <c:pt idx="103">
                  <c:v>-0.146178980264939</c:v>
                </c:pt>
                <c:pt idx="104">
                  <c:v>-0.144717189483448</c:v>
                </c:pt>
                <c:pt idx="105">
                  <c:v>-0.14327001690676203</c:v>
                </c:pt>
                <c:pt idx="106">
                  <c:v>-0.14183731626272297</c:v>
                </c:pt>
                <c:pt idx="107">
                  <c:v>-0.140418942769234</c:v>
                </c:pt>
                <c:pt idx="108">
                  <c:v>-0.13901475311106803</c:v>
                </c:pt>
                <c:pt idx="109">
                  <c:v>-0.13762460541940999</c:v>
                </c:pt>
                <c:pt idx="110">
                  <c:v>-0.13624835925338102</c:v>
                </c:pt>
                <c:pt idx="111">
                  <c:v>-0.13488587558294401</c:v>
                </c:pt>
                <c:pt idx="112">
                  <c:v>-0.13353701677284799</c:v>
                </c:pt>
                <c:pt idx="113">
                  <c:v>-0.13220164656731798</c:v>
                </c:pt>
                <c:pt idx="114">
                  <c:v>-0.13087963007531203</c:v>
                </c:pt>
                <c:pt idx="115">
                  <c:v>-0.12957083375621598</c:v>
                </c:pt>
                <c:pt idx="116">
                  <c:v>-0.12827512540587596</c:v>
                </c:pt>
                <c:pt idx="117">
                  <c:v>-0.126992374142917</c:v>
                </c:pt>
                <c:pt idx="118">
                  <c:v>-0.12572245039528698</c:v>
                </c:pt>
                <c:pt idx="119">
                  <c:v>-0.12446522588701597</c:v>
                </c:pt>
                <c:pt idx="120">
                  <c:v>-0.123220573625137</c:v>
                </c:pt>
                <c:pt idx="121">
                  <c:v>-0.12198836788679002</c:v>
                </c:pt>
                <c:pt idx="122">
                  <c:v>-0.12076848420646299</c:v>
                </c:pt>
                <c:pt idx="123">
                  <c:v>-0.11956079936338099</c:v>
                </c:pt>
                <c:pt idx="124">
                  <c:v>-0.11836519136903803</c:v>
                </c:pt>
                <c:pt idx="125">
                  <c:v>-0.11718153945485499</c:v>
                </c:pt>
                <c:pt idx="126">
                  <c:v>-0.11600972405996299</c:v>
                </c:pt>
                <c:pt idx="127">
                  <c:v>-0.11484962681912403</c:v>
                </c:pt>
                <c:pt idx="128">
                  <c:v>-0.11370113055076603</c:v>
                </c:pt>
                <c:pt idx="129">
                  <c:v>-0.11256411924514198</c:v>
                </c:pt>
                <c:pt idx="130">
                  <c:v>-0.11143847805261001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BC-4AE3-A534-62F7F81DB515}"/>
            </c:ext>
          </c:extLst>
        </c:ser>
        <c:ser>
          <c:idx val="3"/>
          <c:order val="3"/>
          <c:tx>
            <c:strRef>
              <c:f>'DSGE HVD difference'!$AC$1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difference'!$AC$2:$AC$132</c:f>
              <c:numCache>
                <c:formatCode>0.0000</c:formatCode>
                <c:ptCount val="131"/>
                <c:pt idx="0">
                  <c:v>0.11573476067081581</c:v>
                </c:pt>
                <c:pt idx="1">
                  <c:v>0.13323039028664713</c:v>
                </c:pt>
                <c:pt idx="2">
                  <c:v>0.153367165678921</c:v>
                </c:pt>
                <c:pt idx="3">
                  <c:v>0.17664882360086301</c:v>
                </c:pt>
                <c:pt idx="4">
                  <c:v>0.20374294614090499</c:v>
                </c:pt>
                <c:pt idx="5">
                  <c:v>0.23556095465828997</c:v>
                </c:pt>
                <c:pt idx="6">
                  <c:v>0.27334145457312203</c:v>
                </c:pt>
                <c:pt idx="7">
                  <c:v>0.31519730760383513</c:v>
                </c:pt>
                <c:pt idx="8">
                  <c:v>0.319739574929368</c:v>
                </c:pt>
                <c:pt idx="9">
                  <c:v>0.28642084893383224</c:v>
                </c:pt>
                <c:pt idx="10">
                  <c:v>0.14997875606572808</c:v>
                </c:pt>
                <c:pt idx="11">
                  <c:v>0.12058251774515862</c:v>
                </c:pt>
                <c:pt idx="12">
                  <c:v>4.2146368560859557E-2</c:v>
                </c:pt>
                <c:pt idx="13">
                  <c:v>-8.0365331141268342E-2</c:v>
                </c:pt>
                <c:pt idx="14">
                  <c:v>-6.8106505820037216E-2</c:v>
                </c:pt>
                <c:pt idx="15">
                  <c:v>-6.8471249777555213E-2</c:v>
                </c:pt>
                <c:pt idx="16">
                  <c:v>-6.1009244176941535E-2</c:v>
                </c:pt>
                <c:pt idx="17">
                  <c:v>-0.14300312930274817</c:v>
                </c:pt>
                <c:pt idx="18">
                  <c:v>-0.17719394100466471</c:v>
                </c:pt>
                <c:pt idx="19">
                  <c:v>-0.13302286994908041</c:v>
                </c:pt>
                <c:pt idx="20">
                  <c:v>-0.14705537419660658</c:v>
                </c:pt>
                <c:pt idx="21">
                  <c:v>-0.12740499518844303</c:v>
                </c:pt>
                <c:pt idx="22">
                  <c:v>-0.13483457215932904</c:v>
                </c:pt>
                <c:pt idx="23">
                  <c:v>-0.16529168711083958</c:v>
                </c:pt>
                <c:pt idx="24">
                  <c:v>-0.15441393468388198</c:v>
                </c:pt>
                <c:pt idx="25">
                  <c:v>-0.12322951535565227</c:v>
                </c:pt>
                <c:pt idx="26">
                  <c:v>-0.15476509929814003</c:v>
                </c:pt>
                <c:pt idx="27">
                  <c:v>-0.15658981844390615</c:v>
                </c:pt>
                <c:pt idx="28">
                  <c:v>-0.14386594357588794</c:v>
                </c:pt>
                <c:pt idx="29">
                  <c:v>-0.131891377137758</c:v>
                </c:pt>
                <c:pt idx="30">
                  <c:v>-0.11717229368798501</c:v>
                </c:pt>
                <c:pt idx="31">
                  <c:v>-9.8781298715186039E-2</c:v>
                </c:pt>
                <c:pt idx="32">
                  <c:v>-8.1332937331572097E-2</c:v>
                </c:pt>
                <c:pt idx="33">
                  <c:v>-6.5706770213607046E-2</c:v>
                </c:pt>
                <c:pt idx="34">
                  <c:v>-5.301132589419294E-2</c:v>
                </c:pt>
                <c:pt idx="35">
                  <c:v>-4.2864558345152015E-2</c:v>
                </c:pt>
                <c:pt idx="36">
                  <c:v>-3.4895803467815012E-2</c:v>
                </c:pt>
                <c:pt idx="37">
                  <c:v>-2.8837231649325001E-2</c:v>
                </c:pt>
                <c:pt idx="38">
                  <c:v>-2.4562507690171043E-2</c:v>
                </c:pt>
                <c:pt idx="39">
                  <c:v>-2.203329207082802E-2</c:v>
                </c:pt>
                <c:pt idx="40">
                  <c:v>-2.123768020066602E-2</c:v>
                </c:pt>
                <c:pt idx="41">
                  <c:v>-2.2169737557368979E-2</c:v>
                </c:pt>
                <c:pt idx="42">
                  <c:v>-2.4846935070675924E-2</c:v>
                </c:pt>
                <c:pt idx="43">
                  <c:v>-2.9310186822715939E-2</c:v>
                </c:pt>
                <c:pt idx="44">
                  <c:v>-3.5624498430771007E-2</c:v>
                </c:pt>
                <c:pt idx="45">
                  <c:v>-4.3882513323359962E-2</c:v>
                </c:pt>
                <c:pt idx="46">
                  <c:v>-5.4209366220707045E-2</c:v>
                </c:pt>
                <c:pt idx="47">
                  <c:v>-6.6910669950404983E-2</c:v>
                </c:pt>
                <c:pt idx="48">
                  <c:v>-8.1511841757463038E-2</c:v>
                </c:pt>
                <c:pt idx="49">
                  <c:v>-9.8328752433224947E-2</c:v>
                </c:pt>
                <c:pt idx="50">
                  <c:v>-0.11762195508626197</c:v>
                </c:pt>
                <c:pt idx="51">
                  <c:v>-0.14036434934199502</c:v>
                </c:pt>
                <c:pt idx="52">
                  <c:v>-0.17399309109153405</c:v>
                </c:pt>
                <c:pt idx="53">
                  <c:v>-0.131150277037</c:v>
                </c:pt>
                <c:pt idx="54">
                  <c:v>-0.20345317906743898</c:v>
                </c:pt>
                <c:pt idx="55">
                  <c:v>-0.25646307403583901</c:v>
                </c:pt>
                <c:pt idx="56">
                  <c:v>-0.28185169587627701</c:v>
                </c:pt>
                <c:pt idx="57">
                  <c:v>-0.29713682953293818</c:v>
                </c:pt>
                <c:pt idx="58">
                  <c:v>-0.16339864521019901</c:v>
                </c:pt>
                <c:pt idx="59">
                  <c:v>-0.20568039031778498</c:v>
                </c:pt>
                <c:pt idx="60">
                  <c:v>-0.15174215529965904</c:v>
                </c:pt>
                <c:pt idx="61">
                  <c:v>4.5811524527481912E-2</c:v>
                </c:pt>
                <c:pt idx="62">
                  <c:v>4.5493447256150232E-3</c:v>
                </c:pt>
                <c:pt idx="63">
                  <c:v>0.1210487701608059</c:v>
                </c:pt>
                <c:pt idx="64">
                  <c:v>0.16199938900868796</c:v>
                </c:pt>
                <c:pt idx="65">
                  <c:v>0.17315480406318398</c:v>
                </c:pt>
                <c:pt idx="66">
                  <c:v>0.23573243062813903</c:v>
                </c:pt>
                <c:pt idx="67">
                  <c:v>0.206837466884918</c:v>
                </c:pt>
                <c:pt idx="68">
                  <c:v>0.20838811726303338</c:v>
                </c:pt>
                <c:pt idx="69">
                  <c:v>0.11161741076005305</c:v>
                </c:pt>
                <c:pt idx="70">
                  <c:v>7.6893582542794048E-2</c:v>
                </c:pt>
                <c:pt idx="71">
                  <c:v>7.801886970451799E-2</c:v>
                </c:pt>
                <c:pt idx="72">
                  <c:v>7.8990788417008018E-2</c:v>
                </c:pt>
                <c:pt idx="73">
                  <c:v>7.9826348635793964E-2</c:v>
                </c:pt>
                <c:pt idx="74">
                  <c:v>8.0540130203270999E-2</c:v>
                </c:pt>
                <c:pt idx="75">
                  <c:v>8.1144696291378021E-2</c:v>
                </c:pt>
                <c:pt idx="76">
                  <c:v>8.1650930245741965E-2</c:v>
                </c:pt>
                <c:pt idx="77">
                  <c:v>8.2068310601193961E-2</c:v>
                </c:pt>
                <c:pt idx="78">
                  <c:v>8.2405136133342022E-2</c:v>
                </c:pt>
                <c:pt idx="79">
                  <c:v>8.2668710483234986E-2</c:v>
                </c:pt>
                <c:pt idx="80">
                  <c:v>8.2865494026487019E-2</c:v>
                </c:pt>
                <c:pt idx="81">
                  <c:v>8.3001229162387974E-2</c:v>
                </c:pt>
                <c:pt idx="82">
                  <c:v>8.3081043998548987E-2</c:v>
                </c:pt>
                <c:pt idx="83">
                  <c:v>8.3109538443571995E-2</c:v>
                </c:pt>
                <c:pt idx="84">
                  <c:v>8.3090855946926001E-2</c:v>
                </c:pt>
                <c:pt idx="85">
                  <c:v>8.302874350386899E-2</c:v>
                </c:pt>
                <c:pt idx="86">
                  <c:v>8.292660204365998E-2</c:v>
                </c:pt>
                <c:pt idx="87">
                  <c:v>8.2787528917408981E-2</c:v>
                </c:pt>
                <c:pt idx="88">
                  <c:v>8.2614353878278979E-2</c:v>
                </c:pt>
                <c:pt idx="89">
                  <c:v>8.2409669685915982E-2</c:v>
                </c:pt>
                <c:pt idx="90">
                  <c:v>8.2175858256596013E-2</c:v>
                </c:pt>
                <c:pt idx="91">
                  <c:v>8.1915113110761995E-2</c:v>
                </c:pt>
                <c:pt idx="92">
                  <c:v>8.1629458732199997E-2</c:v>
                </c:pt>
                <c:pt idx="93">
                  <c:v>8.1320767342034972E-2</c:v>
                </c:pt>
                <c:pt idx="94">
                  <c:v>8.0990773500619007E-2</c:v>
                </c:pt>
                <c:pt idx="95">
                  <c:v>8.0641086877295001E-2</c:v>
                </c:pt>
                <c:pt idx="96">
                  <c:v>8.0273203468565896E-2</c:v>
                </c:pt>
                <c:pt idx="97">
                  <c:v>7.9888515496838411E-2</c:v>
                </c:pt>
                <c:pt idx="98">
                  <c:v>7.9488320182462435E-2</c:v>
                </c:pt>
                <c:pt idx="99">
                  <c:v>7.9073827549469219E-2</c:v>
                </c:pt>
                <c:pt idx="100">
                  <c:v>7.8646167399059982E-2</c:v>
                </c:pt>
                <c:pt idx="101">
                  <c:v>7.8206395563176406E-2</c:v>
                </c:pt>
                <c:pt idx="102">
                  <c:v>7.7755499532645184E-2</c:v>
                </c:pt>
                <c:pt idx="103">
                  <c:v>7.7294403539686279E-2</c:v>
                </c:pt>
                <c:pt idx="104">
                  <c:v>7.6823973162399084E-2</c:v>
                </c:pt>
                <c:pt idx="105">
                  <c:v>7.6345019508729475E-2</c:v>
                </c:pt>
                <c:pt idx="106">
                  <c:v>7.5858303029059881E-2</c:v>
                </c:pt>
                <c:pt idx="107">
                  <c:v>7.5364536999526319E-2</c:v>
                </c:pt>
                <c:pt idx="108">
                  <c:v>7.4864390712319095E-2</c:v>
                </c:pt>
                <c:pt idx="109">
                  <c:v>7.4358492404298704E-2</c:v>
                </c:pt>
                <c:pt idx="110">
                  <c:v>7.3847431951115372E-2</c:v>
                </c:pt>
                <c:pt idx="111">
                  <c:v>7.3331763350489604E-2</c:v>
                </c:pt>
                <c:pt idx="112">
                  <c:v>7.2812007015375296E-2</c:v>
                </c:pt>
                <c:pt idx="113">
                  <c:v>7.2288651895144718E-2</c:v>
                </c:pt>
                <c:pt idx="114">
                  <c:v>7.176215744082251E-2</c:v>
                </c:pt>
                <c:pt idx="115">
                  <c:v>7.1232955428477795E-2</c:v>
                </c:pt>
                <c:pt idx="116">
                  <c:v>7.070145165334199E-2</c:v>
                </c:pt>
                <c:pt idx="117">
                  <c:v>7.0168027505795899E-2</c:v>
                </c:pt>
                <c:pt idx="118">
                  <c:v>6.9633041439201598E-2</c:v>
                </c:pt>
                <c:pt idx="119">
                  <c:v>6.9096830338491178E-2</c:v>
                </c:pt>
                <c:pt idx="120">
                  <c:v>6.8559710797515508E-2</c:v>
                </c:pt>
                <c:pt idx="121">
                  <c:v>6.8021980312394398E-2</c:v>
                </c:pt>
                <c:pt idx="122">
                  <c:v>6.7483918397344689E-2</c:v>
                </c:pt>
                <c:pt idx="123">
                  <c:v>6.6945787628908404E-2</c:v>
                </c:pt>
                <c:pt idx="124">
                  <c:v>6.6407834623929698E-2</c:v>
                </c:pt>
                <c:pt idx="125">
                  <c:v>6.5870290956119779E-2</c:v>
                </c:pt>
                <c:pt idx="126">
                  <c:v>6.5333374015678514E-2</c:v>
                </c:pt>
                <c:pt idx="127">
                  <c:v>6.4797287815995891E-2</c:v>
                </c:pt>
                <c:pt idx="128">
                  <c:v>6.426222375115398E-2</c:v>
                </c:pt>
                <c:pt idx="129">
                  <c:v>6.3728361307606798E-2</c:v>
                </c:pt>
                <c:pt idx="130">
                  <c:v>6.3195868733189192E-2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BC-4AE3-A534-62F7F81DB515}"/>
            </c:ext>
          </c:extLst>
        </c:ser>
        <c:ser>
          <c:idx val="4"/>
          <c:order val="4"/>
          <c:tx>
            <c:strRef>
              <c:f>'DSGE HVD difference'!$AD$1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difference'!$AD$2:$AD$132</c:f>
              <c:numCache>
                <c:formatCode>0.0000</c:formatCode>
                <c:ptCount val="131"/>
                <c:pt idx="0">
                  <c:v>3.7480444855083998E-3</c:v>
                </c:pt>
                <c:pt idx="1">
                  <c:v>5.1548791726380022E-3</c:v>
                </c:pt>
                <c:pt idx="2">
                  <c:v>6.7903527984395015E-3</c:v>
                </c:pt>
                <c:pt idx="3">
                  <c:v>8.6883072667308936E-3</c:v>
                </c:pt>
                <c:pt idx="4">
                  <c:v>1.0886957796264904E-2</c:v>
                </c:pt>
                <c:pt idx="5">
                  <c:v>1.3428643887156991E-2</c:v>
                </c:pt>
                <c:pt idx="6">
                  <c:v>1.6355230461791506E-2</c:v>
                </c:pt>
                <c:pt idx="7">
                  <c:v>1.9763204854061994E-2</c:v>
                </c:pt>
                <c:pt idx="8">
                  <c:v>2.1487743028390016E-2</c:v>
                </c:pt>
                <c:pt idx="9">
                  <c:v>2.230474438645999E-2</c:v>
                </c:pt>
                <c:pt idx="10">
                  <c:v>2.0600002611519799E-2</c:v>
                </c:pt>
                <c:pt idx="11">
                  <c:v>2.2051160350909024E-2</c:v>
                </c:pt>
                <c:pt idx="12">
                  <c:v>2.20429970424738E-2</c:v>
                </c:pt>
                <c:pt idx="13">
                  <c:v>2.2179647005738719E-2</c:v>
                </c:pt>
                <c:pt idx="14">
                  <c:v>2.3776439820914298E-2</c:v>
                </c:pt>
                <c:pt idx="15">
                  <c:v>2.3869763746429001E-2</c:v>
                </c:pt>
                <c:pt idx="16">
                  <c:v>2.4118078359593297E-2</c:v>
                </c:pt>
                <c:pt idx="17">
                  <c:v>2.348822859449402E-2</c:v>
                </c:pt>
                <c:pt idx="18">
                  <c:v>2.4167853330263604E-2</c:v>
                </c:pt>
                <c:pt idx="19">
                  <c:v>2.4935025002370149E-2</c:v>
                </c:pt>
                <c:pt idx="20">
                  <c:v>2.4506641345734499E-2</c:v>
                </c:pt>
                <c:pt idx="21">
                  <c:v>2.464241389273733E-2</c:v>
                </c:pt>
                <c:pt idx="22">
                  <c:v>2.4188270384518748E-2</c:v>
                </c:pt>
                <c:pt idx="23">
                  <c:v>2.2117572145654799E-2</c:v>
                </c:pt>
                <c:pt idx="24">
                  <c:v>2.1776963225228999E-2</c:v>
                </c:pt>
                <c:pt idx="25">
                  <c:v>2.1311558026525797E-2</c:v>
                </c:pt>
                <c:pt idx="26">
                  <c:v>1.9800074855664804E-2</c:v>
                </c:pt>
                <c:pt idx="27">
                  <c:v>1.8073243173512596E-2</c:v>
                </c:pt>
                <c:pt idx="28">
                  <c:v>1.6250159923802104E-2</c:v>
                </c:pt>
                <c:pt idx="29">
                  <c:v>1.4885130705203697E-2</c:v>
                </c:pt>
                <c:pt idx="30">
                  <c:v>1.3892843019158801E-2</c:v>
                </c:pt>
                <c:pt idx="31">
                  <c:v>1.3277981727022298E-2</c:v>
                </c:pt>
                <c:pt idx="32">
                  <c:v>1.2215664460507598E-2</c:v>
                </c:pt>
                <c:pt idx="33">
                  <c:v>1.0747880906970899E-2</c:v>
                </c:pt>
                <c:pt idx="34">
                  <c:v>9.4050340437179993E-3</c:v>
                </c:pt>
                <c:pt idx="35">
                  <c:v>8.1554533753148712E-3</c:v>
                </c:pt>
                <c:pt idx="36">
                  <c:v>6.965424133631902E-3</c:v>
                </c:pt>
                <c:pt idx="37">
                  <c:v>5.8156349596037195E-3</c:v>
                </c:pt>
                <c:pt idx="38">
                  <c:v>4.7060683548318001E-3</c:v>
                </c:pt>
                <c:pt idx="39">
                  <c:v>3.6422903662906014E-3</c:v>
                </c:pt>
                <c:pt idx="40">
                  <c:v>2.6231095404858004E-3</c:v>
                </c:pt>
                <c:pt idx="41">
                  <c:v>1.6443777950402999E-3</c:v>
                </c:pt>
                <c:pt idx="42">
                  <c:v>6.9776083502669922E-4</c:v>
                </c:pt>
                <c:pt idx="43">
                  <c:v>-2.283534557592018E-4</c:v>
                </c:pt>
                <c:pt idx="44">
                  <c:v>-1.149321496801102E-3</c:v>
                </c:pt>
                <c:pt idx="45">
                  <c:v>-2.0868905326620023E-3</c:v>
                </c:pt>
                <c:pt idx="46">
                  <c:v>-3.1068720211964995E-3</c:v>
                </c:pt>
                <c:pt idx="47">
                  <c:v>-3.3151367142601699E-3</c:v>
                </c:pt>
                <c:pt idx="48">
                  <c:v>-4.3032994421471904E-3</c:v>
                </c:pt>
                <c:pt idx="49">
                  <c:v>-5.7490943493374302E-3</c:v>
                </c:pt>
                <c:pt idx="50">
                  <c:v>-7.8814460983137984E-3</c:v>
                </c:pt>
                <c:pt idx="51">
                  <c:v>-1.0227033832294997E-2</c:v>
                </c:pt>
                <c:pt idx="52">
                  <c:v>-1.1238757343654197E-2</c:v>
                </c:pt>
                <c:pt idx="53">
                  <c:v>-7.5157087916299936E-4</c:v>
                </c:pt>
                <c:pt idx="54">
                  <c:v>-6.3081246995632398E-3</c:v>
                </c:pt>
                <c:pt idx="55">
                  <c:v>-9.8520793494208947E-3</c:v>
                </c:pt>
                <c:pt idx="56">
                  <c:v>-1.223749505980402E-2</c:v>
                </c:pt>
                <c:pt idx="57">
                  <c:v>-1.4670696769230003E-2</c:v>
                </c:pt>
                <c:pt idx="58">
                  <c:v>-1.3763194030502801E-2</c:v>
                </c:pt>
                <c:pt idx="59">
                  <c:v>-1.7851546693959906E-2</c:v>
                </c:pt>
                <c:pt idx="60">
                  <c:v>-1.8788108210664536E-2</c:v>
                </c:pt>
                <c:pt idx="61">
                  <c:v>-1.5260651148940395E-2</c:v>
                </c:pt>
                <c:pt idx="62">
                  <c:v>-1.6153738699060005E-2</c:v>
                </c:pt>
                <c:pt idx="63">
                  <c:v>-1.3611460532764796E-2</c:v>
                </c:pt>
                <c:pt idx="64">
                  <c:v>-1.4390331394893395E-2</c:v>
                </c:pt>
                <c:pt idx="65">
                  <c:v>-1.4490322453917504E-2</c:v>
                </c:pt>
                <c:pt idx="66">
                  <c:v>-1.4565197740616299E-2</c:v>
                </c:pt>
                <c:pt idx="67">
                  <c:v>-1.4428399627839296E-2</c:v>
                </c:pt>
                <c:pt idx="68">
                  <c:v>-1.4479993483141208E-2</c:v>
                </c:pt>
                <c:pt idx="69">
                  <c:v>-1.601197924206E-2</c:v>
                </c:pt>
                <c:pt idx="70">
                  <c:v>-1.63259880332258E-2</c:v>
                </c:pt>
                <c:pt idx="71">
                  <c:v>-1.6443458896655997E-2</c:v>
                </c:pt>
                <c:pt idx="72">
                  <c:v>-1.6504032424387603E-2</c:v>
                </c:pt>
                <c:pt idx="73">
                  <c:v>-1.6514786830295298E-2</c:v>
                </c:pt>
                <c:pt idx="74">
                  <c:v>-1.6482084110589795E-2</c:v>
                </c:pt>
                <c:pt idx="75">
                  <c:v>-1.64116263359694E-2</c:v>
                </c:pt>
                <c:pt idx="76">
                  <c:v>-1.6308511052617599E-2</c:v>
                </c:pt>
                <c:pt idx="77">
                  <c:v>-1.6177284740772201E-2</c:v>
                </c:pt>
                <c:pt idx="78">
                  <c:v>-1.6021993636176998E-2</c:v>
                </c:pt>
                <c:pt idx="79">
                  <c:v>-1.5846231487432097E-2</c:v>
                </c:pt>
                <c:pt idx="80">
                  <c:v>-1.5653184021008106E-2</c:v>
                </c:pt>
                <c:pt idx="81">
                  <c:v>-1.5445670031120302E-2</c:v>
                </c:pt>
                <c:pt idx="82">
                  <c:v>-1.5226179116098401E-2</c:v>
                </c:pt>
                <c:pt idx="83">
                  <c:v>-1.4996906155972101E-2</c:v>
                </c:pt>
                <c:pt idx="84">
                  <c:v>-1.4759782675225902E-2</c:v>
                </c:pt>
                <c:pt idx="85">
                  <c:v>-1.4516505265971105E-2</c:v>
                </c:pt>
                <c:pt idx="86">
                  <c:v>-1.4268561264683295E-2</c:v>
                </c:pt>
                <c:pt idx="87">
                  <c:v>-1.4017251883680096E-2</c:v>
                </c:pt>
                <c:pt idx="88">
                  <c:v>-1.3763712999412897E-2</c:v>
                </c:pt>
                <c:pt idx="89">
                  <c:v>-1.35089337954978E-2</c:v>
                </c:pt>
                <c:pt idx="90">
                  <c:v>-1.3253773450784399E-2</c:v>
                </c:pt>
                <c:pt idx="91">
                  <c:v>-1.29989760528944E-2</c:v>
                </c:pt>
                <c:pt idx="92">
                  <c:v>-1.2745183906432506E-2</c:v>
                </c:pt>
                <c:pt idx="93">
                  <c:v>-1.2492949393146102E-2</c:v>
                </c:pt>
                <c:pt idx="94">
                  <c:v>-1.2242745529186194E-2</c:v>
                </c:pt>
                <c:pt idx="95">
                  <c:v>-1.1994975352642899E-2</c:v>
                </c:pt>
                <c:pt idx="96">
                  <c:v>-1.1749980262929505E-2</c:v>
                </c:pt>
                <c:pt idx="97">
                  <c:v>-1.1508047422535E-2</c:v>
                </c:pt>
                <c:pt idx="98">
                  <c:v>-1.1269416321269606E-2</c:v>
                </c:pt>
                <c:pt idx="99">
                  <c:v>-1.1034284593406295E-2</c:v>
                </c:pt>
                <c:pt idx="100">
                  <c:v>-1.0802813169165898E-2</c:v>
                </c:pt>
                <c:pt idx="101">
                  <c:v>-1.0575130833715501E-2</c:v>
                </c:pt>
                <c:pt idx="102">
                  <c:v>-1.0351338259313302E-2</c:v>
                </c:pt>
                <c:pt idx="103">
                  <c:v>-1.0131511569348804E-2</c:v>
                </c:pt>
                <c:pt idx="104">
                  <c:v>-9.9157054867978003E-3</c:v>
                </c:pt>
                <c:pt idx="105">
                  <c:v>-9.7039561139649969E-3</c:v>
                </c:pt>
                <c:pt idx="106">
                  <c:v>-9.4962833853097992E-3</c:v>
                </c:pt>
                <c:pt idx="107">
                  <c:v>-9.2926932305755043E-3</c:v>
                </c:pt>
                <c:pt idx="108">
                  <c:v>-9.0931794813347983E-3</c:v>
                </c:pt>
                <c:pt idx="109">
                  <c:v>-8.8977255503949991E-3</c:v>
                </c:pt>
                <c:pt idx="110">
                  <c:v>-8.7063059102099015E-3</c:v>
                </c:pt>
                <c:pt idx="111">
                  <c:v>-8.5188873935133982E-3</c:v>
                </c:pt>
                <c:pt idx="112">
                  <c:v>-8.335430336771598E-3</c:v>
                </c:pt>
                <c:pt idx="113">
                  <c:v>-8.1558895847058978E-3</c:v>
                </c:pt>
                <c:pt idx="114">
                  <c:v>-7.9802153720748975E-3</c:v>
                </c:pt>
                <c:pt idx="115">
                  <c:v>-7.808354097047502E-3</c:v>
                </c:pt>
                <c:pt idx="116">
                  <c:v>-7.6402489988554971E-3</c:v>
                </c:pt>
                <c:pt idx="117">
                  <c:v>-7.4758407509634001E-3</c:v>
                </c:pt>
                <c:pt idx="118">
                  <c:v>-7.3150679796938969E-3</c:v>
                </c:pt>
                <c:pt idx="119">
                  <c:v>-7.1578677170981986E-3</c:v>
                </c:pt>
                <c:pt idx="120">
                  <c:v>-7.0041757958484996E-3</c:v>
                </c:pt>
                <c:pt idx="121">
                  <c:v>-6.853927193024998E-3</c:v>
                </c:pt>
                <c:pt idx="122">
                  <c:v>-6.7070563288697989E-3</c:v>
                </c:pt>
                <c:pt idx="123">
                  <c:v>-6.5634973258766986E-3</c:v>
                </c:pt>
                <c:pt idx="124">
                  <c:v>-6.4231842329588E-3</c:v>
                </c:pt>
                <c:pt idx="125">
                  <c:v>-6.2860512188799011E-3</c:v>
                </c:pt>
                <c:pt idx="126">
                  <c:v>-6.1520327386496015E-3</c:v>
                </c:pt>
                <c:pt idx="127">
                  <c:v>-6.021063676145702E-3</c:v>
                </c:pt>
                <c:pt idx="128">
                  <c:v>-5.8930794658472001E-3</c:v>
                </c:pt>
                <c:pt idx="129">
                  <c:v>-5.7680161962203984E-3</c:v>
                </c:pt>
                <c:pt idx="130">
                  <c:v>-5.6458106970022001E-3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BC-4AE3-A534-62F7F81DB515}"/>
            </c:ext>
          </c:extLst>
        </c:ser>
        <c:ser>
          <c:idx val="5"/>
          <c:order val="5"/>
          <c:tx>
            <c:strRef>
              <c:f>'DSGE HVD difference'!$AE$1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difference'!$AE$2:$AE$132</c:f>
              <c:numCache>
                <c:formatCode>0.0000</c:formatCode>
                <c:ptCount val="131"/>
                <c:pt idx="0">
                  <c:v>7.6980972153328012E-3</c:v>
                </c:pt>
                <c:pt idx="1">
                  <c:v>8.8060448029015984E-3</c:v>
                </c:pt>
                <c:pt idx="2">
                  <c:v>1.0062544264371601E-2</c:v>
                </c:pt>
                <c:pt idx="3">
                  <c:v>1.1503981139563704E-2</c:v>
                </c:pt>
                <c:pt idx="4">
                  <c:v>1.3182656227930509E-2</c:v>
                </c:pt>
                <c:pt idx="5">
                  <c:v>1.5175411163540001E-2</c:v>
                </c:pt>
                <c:pt idx="6">
                  <c:v>1.7594073909884107E-2</c:v>
                </c:pt>
                <c:pt idx="7">
                  <c:v>2.5482966136963128E-2</c:v>
                </c:pt>
                <c:pt idx="8">
                  <c:v>1.622603370099189E-2</c:v>
                </c:pt>
                <c:pt idx="9">
                  <c:v>-4.3017648691300037E-3</c:v>
                </c:pt>
                <c:pt idx="10">
                  <c:v>-5.2404241172085003E-2</c:v>
                </c:pt>
                <c:pt idx="11">
                  <c:v>-5.9807128159212991E-2</c:v>
                </c:pt>
                <c:pt idx="12">
                  <c:v>-8.1807234313012983E-2</c:v>
                </c:pt>
                <c:pt idx="13">
                  <c:v>-0.11303409123055101</c:v>
                </c:pt>
                <c:pt idx="14">
                  <c:v>-0.10347510576354399</c:v>
                </c:pt>
                <c:pt idx="15">
                  <c:v>-0.10064192841451899</c:v>
                </c:pt>
                <c:pt idx="16">
                  <c:v>-9.6297135913213011E-2</c:v>
                </c:pt>
                <c:pt idx="17">
                  <c:v>-0.11277258291795</c:v>
                </c:pt>
                <c:pt idx="18">
                  <c:v>-0.1128383270694886</c:v>
                </c:pt>
                <c:pt idx="19">
                  <c:v>-9.3472598537002807E-2</c:v>
                </c:pt>
                <c:pt idx="20">
                  <c:v>-9.5239785560774698E-2</c:v>
                </c:pt>
                <c:pt idx="21">
                  <c:v>-8.2369371257204518E-2</c:v>
                </c:pt>
                <c:pt idx="22">
                  <c:v>-8.1967619069430994E-2</c:v>
                </c:pt>
                <c:pt idx="23">
                  <c:v>-8.9649139775997408E-2</c:v>
                </c:pt>
                <c:pt idx="24">
                  <c:v>-7.9716454015137814E-2</c:v>
                </c:pt>
                <c:pt idx="25">
                  <c:v>-6.5448594845040994E-2</c:v>
                </c:pt>
                <c:pt idx="26">
                  <c:v>-6.9853028835554096E-2</c:v>
                </c:pt>
                <c:pt idx="27">
                  <c:v>-6.5487604960583284E-2</c:v>
                </c:pt>
                <c:pt idx="28">
                  <c:v>-5.7061744565568499E-2</c:v>
                </c:pt>
                <c:pt idx="29">
                  <c:v>-4.9119878175058695E-2</c:v>
                </c:pt>
                <c:pt idx="30">
                  <c:v>-3.8855707373956209E-2</c:v>
                </c:pt>
                <c:pt idx="31">
                  <c:v>-2.9344012777651002E-2</c:v>
                </c:pt>
                <c:pt idx="32">
                  <c:v>-2.0356133150676397E-2</c:v>
                </c:pt>
                <c:pt idx="33">
                  <c:v>-1.5691956544976397E-2</c:v>
                </c:pt>
                <c:pt idx="34">
                  <c:v>-1.1584108038213541E-2</c:v>
                </c:pt>
                <c:pt idx="35">
                  <c:v>-8.0244456053580708E-3</c:v>
                </c:pt>
                <c:pt idx="36">
                  <c:v>-5.0437473154598097E-3</c:v>
                </c:pt>
                <c:pt idx="37">
                  <c:v>-2.6830299254285012E-3</c:v>
                </c:pt>
                <c:pt idx="38">
                  <c:v>-9.194463554999012E-4</c:v>
                </c:pt>
                <c:pt idx="39">
                  <c:v>3.2032569193870056E-4</c:v>
                </c:pt>
                <c:pt idx="40">
                  <c:v>1.1120776300913016E-3</c:v>
                </c:pt>
                <c:pt idx="41">
                  <c:v>1.5021190620730998E-3</c:v>
                </c:pt>
                <c:pt idx="42">
                  <c:v>1.5292702577966999E-3</c:v>
                </c:pt>
                <c:pt idx="43">
                  <c:v>1.2253752933084902E-3</c:v>
                </c:pt>
                <c:pt idx="44">
                  <c:v>6.1500160771731896E-4</c:v>
                </c:pt>
                <c:pt idx="45">
                  <c:v>-2.8430052633501152E-4</c:v>
                </c:pt>
                <c:pt idx="46">
                  <c:v>-1.4690809468804909E-3</c:v>
                </c:pt>
                <c:pt idx="47">
                  <c:v>-2.655770959815399E-3</c:v>
                </c:pt>
                <c:pt idx="48">
                  <c:v>-4.6143992083780977E-3</c:v>
                </c:pt>
                <c:pt idx="49">
                  <c:v>-7.1612782165377982E-3</c:v>
                </c:pt>
                <c:pt idx="50">
                  <c:v>-1.03523691684047E-2</c:v>
                </c:pt>
                <c:pt idx="51">
                  <c:v>-1.3647868446105396E-2</c:v>
                </c:pt>
                <c:pt idx="52">
                  <c:v>-1.8818808754222101E-2</c:v>
                </c:pt>
                <c:pt idx="53">
                  <c:v>1.6964974973247279E-2</c:v>
                </c:pt>
                <c:pt idx="54">
                  <c:v>-4.1132730434179201E-3</c:v>
                </c:pt>
                <c:pt idx="55">
                  <c:v>-1.4222200295816501E-2</c:v>
                </c:pt>
                <c:pt idx="56">
                  <c:v>-1.6168011729645201E-2</c:v>
                </c:pt>
                <c:pt idx="57">
                  <c:v>-1.44786236293847E-2</c:v>
                </c:pt>
                <c:pt idx="58">
                  <c:v>3.5606655468497589E-2</c:v>
                </c:pt>
                <c:pt idx="59">
                  <c:v>2.4412758791721802E-2</c:v>
                </c:pt>
                <c:pt idx="60">
                  <c:v>4.5075728184547095E-2</c:v>
                </c:pt>
                <c:pt idx="61">
                  <c:v>0.10486626276044692</c:v>
                </c:pt>
                <c:pt idx="62">
                  <c:v>9.4613176068432697E-2</c:v>
                </c:pt>
                <c:pt idx="63">
                  <c:v>0.12768373640026298</c:v>
                </c:pt>
                <c:pt idx="64">
                  <c:v>0.12404646031507319</c:v>
                </c:pt>
                <c:pt idx="65">
                  <c:v>0.1194060540991768</c:v>
                </c:pt>
                <c:pt idx="66">
                  <c:v>0.1244148708935164</c:v>
                </c:pt>
                <c:pt idx="67">
                  <c:v>0.1076444246518258</c:v>
                </c:pt>
                <c:pt idx="68">
                  <c:v>9.83014543183508E-2</c:v>
                </c:pt>
                <c:pt idx="69">
                  <c:v>6.4245088960350194E-2</c:v>
                </c:pt>
                <c:pt idx="70">
                  <c:v>5.2187860564151409E-2</c:v>
                </c:pt>
                <c:pt idx="71">
                  <c:v>5.0805598673874096E-2</c:v>
                </c:pt>
                <c:pt idx="72">
                  <c:v>4.9564767770715799E-2</c:v>
                </c:pt>
                <c:pt idx="73">
                  <c:v>4.8440065990279203E-2</c:v>
                </c:pt>
                <c:pt idx="74">
                  <c:v>4.7410994306561698E-2</c:v>
                </c:pt>
                <c:pt idx="75">
                  <c:v>4.6460926948616095E-2</c:v>
                </c:pt>
                <c:pt idx="76">
                  <c:v>4.55763644583983E-2</c:v>
                </c:pt>
                <c:pt idx="77">
                  <c:v>4.4746333136980405E-2</c:v>
                </c:pt>
                <c:pt idx="78">
                  <c:v>4.3961901868003896E-2</c:v>
                </c:pt>
                <c:pt idx="79">
                  <c:v>4.3215793096857399E-2</c:v>
                </c:pt>
                <c:pt idx="80">
                  <c:v>4.2502069373414997E-2</c:v>
                </c:pt>
                <c:pt idx="81">
                  <c:v>4.1815880568366603E-2</c:v>
                </c:pt>
                <c:pt idx="82">
                  <c:v>4.1153259834402003E-2</c:v>
                </c:pt>
                <c:pt idx="83">
                  <c:v>4.0510958752530496E-2</c:v>
                </c:pt>
                <c:pt idx="84">
                  <c:v>3.9886313999446102E-2</c:v>
                </c:pt>
                <c:pt idx="85">
                  <c:v>3.9277139389044501E-2</c:v>
                </c:pt>
                <c:pt idx="86">
                  <c:v>3.8681638355793302E-2</c:v>
                </c:pt>
                <c:pt idx="87">
                  <c:v>3.8098332920298829E-2</c:v>
                </c:pt>
                <c:pt idx="88">
                  <c:v>3.7526005956517144E-2</c:v>
                </c:pt>
                <c:pt idx="89">
                  <c:v>3.696365420434905E-2</c:v>
                </c:pt>
                <c:pt idx="90">
                  <c:v>3.6410449971791541E-2</c:v>
                </c:pt>
                <c:pt idx="91">
                  <c:v>3.586570987211167E-2</c:v>
                </c:pt>
                <c:pt idx="92">
                  <c:v>3.5328869263457817E-2</c:v>
                </c:pt>
                <c:pt idx="93">
                  <c:v>3.4799461316733768E-2</c:v>
                </c:pt>
                <c:pt idx="94">
                  <c:v>3.4277099845084605E-2</c:v>
                </c:pt>
                <c:pt idx="95">
                  <c:v>3.3761465195093862E-2</c:v>
                </c:pt>
                <c:pt idx="96">
                  <c:v>3.3252292633868689E-2</c:v>
                </c:pt>
                <c:pt idx="97">
                  <c:v>3.2749362774063082E-2</c:v>
                </c:pt>
                <c:pt idx="98">
                  <c:v>3.2252493665753078E-2</c:v>
                </c:pt>
                <c:pt idx="99">
                  <c:v>3.1761534254067199E-2</c:v>
                </c:pt>
                <c:pt idx="100">
                  <c:v>3.1276358957938365E-2</c:v>
                </c:pt>
                <c:pt idx="101">
                  <c:v>3.0796863170910578E-2</c:v>
                </c:pt>
                <c:pt idx="102">
                  <c:v>3.0322959521774259E-2</c:v>
                </c:pt>
                <c:pt idx="103">
                  <c:v>2.9854574762596203E-2</c:v>
                </c:pt>
                <c:pt idx="104">
                  <c:v>2.9391647175851108E-2</c:v>
                </c:pt>
                <c:pt idx="105">
                  <c:v>2.8934124411933479E-2</c:v>
                </c:pt>
                <c:pt idx="106">
                  <c:v>2.8481961684230048E-2</c:v>
                </c:pt>
                <c:pt idx="107">
                  <c:v>2.8035120261860641E-2</c:v>
                </c:pt>
                <c:pt idx="108">
                  <c:v>2.759356621072875E-2</c:v>
                </c:pt>
                <c:pt idx="109">
                  <c:v>2.715726934211846E-2</c:v>
                </c:pt>
                <c:pt idx="110">
                  <c:v>2.672620233509437E-2</c:v>
                </c:pt>
                <c:pt idx="111">
                  <c:v>2.630034000471972E-2</c:v>
                </c:pt>
                <c:pt idx="112">
                  <c:v>2.5879658692818001E-2</c:v>
                </c:pt>
                <c:pt idx="113">
                  <c:v>2.5464135761890241E-2</c:v>
                </c:pt>
                <c:pt idx="114">
                  <c:v>2.5053749175990719E-2</c:v>
                </c:pt>
                <c:pt idx="115">
                  <c:v>2.464847715500379E-2</c:v>
                </c:pt>
                <c:pt idx="116">
                  <c:v>2.424829789094619E-2</c:v>
                </c:pt>
                <c:pt idx="117">
                  <c:v>2.385318931673145E-2</c:v>
                </c:pt>
                <c:pt idx="118">
                  <c:v>2.3463128919333779E-2</c:v>
                </c:pt>
                <c:pt idx="119">
                  <c:v>2.3078093590547279E-2</c:v>
                </c:pt>
                <c:pt idx="120">
                  <c:v>2.2698059509578761E-2</c:v>
                </c:pt>
                <c:pt idx="121">
                  <c:v>2.2323002052592408E-2</c:v>
                </c:pt>
                <c:pt idx="122">
                  <c:v>2.1952895725057698E-2</c:v>
                </c:pt>
                <c:pt idx="123">
                  <c:v>2.158771411337378E-2</c:v>
                </c:pt>
                <c:pt idx="124">
                  <c:v>2.1227429852760903E-2</c:v>
                </c:pt>
                <c:pt idx="125">
                  <c:v>2.0872014608856279E-2</c:v>
                </c:pt>
                <c:pt idx="126">
                  <c:v>2.0521439070819519E-2</c:v>
                </c:pt>
                <c:pt idx="127">
                  <c:v>2.0175672954075109E-2</c:v>
                </c:pt>
                <c:pt idx="128">
                  <c:v>1.9834685011084228E-2</c:v>
                </c:pt>
                <c:pt idx="129">
                  <c:v>1.9498443048773718E-2</c:v>
                </c:pt>
                <c:pt idx="130">
                  <c:v>1.9166913951442269E-2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0BC-4AE3-A534-62F7F81DB515}"/>
            </c:ext>
          </c:extLst>
        </c:ser>
        <c:ser>
          <c:idx val="6"/>
          <c:order val="6"/>
          <c:tx>
            <c:strRef>
              <c:f>'DSGE HVD difference'!$AF$1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difference'!$AF$2:$AF$132</c:f>
              <c:numCache>
                <c:formatCode>0.0000</c:formatCode>
                <c:ptCount val="131"/>
                <c:pt idx="0">
                  <c:v>4.7328043494589005E-17</c:v>
                </c:pt>
                <c:pt idx="1">
                  <c:v>4.3050326186741954E-17</c:v>
                </c:pt>
                <c:pt idx="2">
                  <c:v>3.6162972196818012E-17</c:v>
                </c:pt>
                <c:pt idx="3">
                  <c:v>2.4653946257294987E-17</c:v>
                </c:pt>
                <c:pt idx="4">
                  <c:v>5.0161776813319809E-18</c:v>
                </c:pt>
                <c:pt idx="5">
                  <c:v>-2.8520149509918009E-17</c:v>
                </c:pt>
                <c:pt idx="6">
                  <c:v>-8.4016270350322985E-17</c:v>
                </c:pt>
                <c:pt idx="7">
                  <c:v>-1.8972141394482004E-16</c:v>
                </c:pt>
                <c:pt idx="8">
                  <c:v>-2.0170816705153988E-16</c:v>
                </c:pt>
                <c:pt idx="9">
                  <c:v>-1.6854844180479999E-16</c:v>
                </c:pt>
                <c:pt idx="10">
                  <c:v>-6.8470309771003195E-19</c:v>
                </c:pt>
                <c:pt idx="11">
                  <c:v>-6.7266173326403984E-17</c:v>
                </c:pt>
                <c:pt idx="12">
                  <c:v>-3.6265365422242968E-17</c:v>
                </c:pt>
                <c:pt idx="13">
                  <c:v>5.977903368359599E-17</c:v>
                </c:pt>
                <c:pt idx="14">
                  <c:v>-3.3371465804681038E-17</c:v>
                </c:pt>
                <c:pt idx="15">
                  <c:v>-6.4400819220991804E-17</c:v>
                </c:pt>
                <c:pt idx="16">
                  <c:v>-8.2548124466452002E-17</c:v>
                </c:pt>
                <c:pt idx="17">
                  <c:v>-9.5607411695199827E-18</c:v>
                </c:pt>
                <c:pt idx="18">
                  <c:v>-1.4831659582479967E-17</c:v>
                </c:pt>
                <c:pt idx="19">
                  <c:v>-9.8214900069509865E-17</c:v>
                </c:pt>
                <c:pt idx="20">
                  <c:v>-4.512130231527993E-17</c:v>
                </c:pt>
                <c:pt idx="21">
                  <c:v>-1.0491801539002003E-16</c:v>
                </c:pt>
                <c:pt idx="22">
                  <c:v>-7.6874359411639935E-17</c:v>
                </c:pt>
                <c:pt idx="23">
                  <c:v>7.6682069633603216E-18</c:v>
                </c:pt>
                <c:pt idx="24">
                  <c:v>-1.7653919168529843E-17</c:v>
                </c:pt>
                <c:pt idx="25">
                  <c:v>-5.7899845804250046E-17</c:v>
                </c:pt>
                <c:pt idx="26">
                  <c:v>1.2342370065598603E-18</c:v>
                </c:pt>
                <c:pt idx="27">
                  <c:v>1.8442356232160433E-17</c:v>
                </c:pt>
                <c:pt idx="28">
                  <c:v>1.5920307326299942E-17</c:v>
                </c:pt>
                <c:pt idx="29">
                  <c:v>2.5130590692719635E-17</c:v>
                </c:pt>
                <c:pt idx="30">
                  <c:v>1.2493731343709823E-17</c:v>
                </c:pt>
                <c:pt idx="31">
                  <c:v>9.5787857130204801E-18</c:v>
                </c:pt>
                <c:pt idx="32">
                  <c:v>-3.3375939441501175E-18</c:v>
                </c:pt>
                <c:pt idx="33">
                  <c:v>1.7003768518029527E-17</c:v>
                </c:pt>
                <c:pt idx="34">
                  <c:v>3.1158485327289489E-17</c:v>
                </c:pt>
                <c:pt idx="35">
                  <c:v>4.1288263626229345E-17</c:v>
                </c:pt>
                <c:pt idx="36">
                  <c:v>4.9432075637660052E-17</c:v>
                </c:pt>
                <c:pt idx="37">
                  <c:v>5.7164260972000041E-17</c:v>
                </c:pt>
                <c:pt idx="38">
                  <c:v>6.5051080288199628E-17</c:v>
                </c:pt>
                <c:pt idx="39">
                  <c:v>7.2961624918929563E-17</c:v>
                </c:pt>
                <c:pt idx="40">
                  <c:v>8.0641975907849632E-17</c:v>
                </c:pt>
                <c:pt idx="41">
                  <c:v>8.8121002583929828E-17</c:v>
                </c:pt>
                <c:pt idx="42">
                  <c:v>9.5431483550669821E-17</c:v>
                </c:pt>
                <c:pt idx="43">
                  <c:v>1.0262279695787977E-16</c:v>
                </c:pt>
                <c:pt idx="44">
                  <c:v>1.0978028574118997E-16</c:v>
                </c:pt>
                <c:pt idx="45">
                  <c:v>1.1703654332406013E-16</c:v>
                </c:pt>
                <c:pt idx="46">
                  <c:v>1.2444089288933002E-16</c:v>
                </c:pt>
                <c:pt idx="47">
                  <c:v>1.3459558988596016E-16</c:v>
                </c:pt>
                <c:pt idx="48">
                  <c:v>1.4719121960183006E-16</c:v>
                </c:pt>
                <c:pt idx="49">
                  <c:v>1.6424091216414002E-16</c:v>
                </c:pt>
                <c:pt idx="50">
                  <c:v>1.881755773930804E-16</c:v>
                </c:pt>
                <c:pt idx="51">
                  <c:v>2.2252253609148989E-16</c:v>
                </c:pt>
                <c:pt idx="52">
                  <c:v>2.4718373604151917E-16</c:v>
                </c:pt>
                <c:pt idx="53">
                  <c:v>1.4948459067145964E-16</c:v>
                </c:pt>
                <c:pt idx="54">
                  <c:v>2.1761417169527948E-16</c:v>
                </c:pt>
                <c:pt idx="55">
                  <c:v>2.9813317894997978E-16</c:v>
                </c:pt>
                <c:pt idx="56">
                  <c:v>3.6033646034522022E-16</c:v>
                </c:pt>
                <c:pt idx="57">
                  <c:v>4.287103864544013E-16</c:v>
                </c:pt>
                <c:pt idx="58">
                  <c:v>2.2163034912279885E-16</c:v>
                </c:pt>
                <c:pt idx="59">
                  <c:v>3.7934255448750222E-16</c:v>
                </c:pt>
                <c:pt idx="60">
                  <c:v>3.5713740785659924E-16</c:v>
                </c:pt>
                <c:pt idx="61">
                  <c:v>1.4916486301659794E-16</c:v>
                </c:pt>
                <c:pt idx="62">
                  <c:v>2.4978855605030196E-16</c:v>
                </c:pt>
                <c:pt idx="63">
                  <c:v>1.0439023195640114E-16</c:v>
                </c:pt>
                <c:pt idx="64">
                  <c:v>1.895868789081997E-16</c:v>
                </c:pt>
                <c:pt idx="65">
                  <c:v>1.9924847507209766E-16</c:v>
                </c:pt>
                <c:pt idx="66">
                  <c:v>1.689980699098992E-16</c:v>
                </c:pt>
                <c:pt idx="67">
                  <c:v>2.0611846873569871E-16</c:v>
                </c:pt>
                <c:pt idx="68">
                  <c:v>2.1396514554559976E-16</c:v>
                </c:pt>
                <c:pt idx="69">
                  <c:v>3.3204656008420081E-16</c:v>
                </c:pt>
                <c:pt idx="70">
                  <c:v>3.37266636039601E-16</c:v>
                </c:pt>
                <c:pt idx="71">
                  <c:v>3.316060147716017E-16</c:v>
                </c:pt>
                <c:pt idx="72">
                  <c:v>3.2565746855870174E-16</c:v>
                </c:pt>
                <c:pt idx="73">
                  <c:v>3.1950019823340017E-16</c:v>
                </c:pt>
                <c:pt idx="74">
                  <c:v>3.1319590661650102E-16</c:v>
                </c:pt>
                <c:pt idx="75">
                  <c:v>3.0679184518640158E-16</c:v>
                </c:pt>
                <c:pt idx="76">
                  <c:v>3.0032362246940073E-16</c:v>
                </c:pt>
                <c:pt idx="77">
                  <c:v>2.9381769862950103E-16</c:v>
                </c:pt>
                <c:pt idx="78">
                  <c:v>2.8729353442989982E-16</c:v>
                </c:pt>
                <c:pt idx="79">
                  <c:v>2.8076539262280086E-16</c:v>
                </c:pt>
                <c:pt idx="80">
                  <c:v>2.7424380929899887E-16</c:v>
                </c:pt>
                <c:pt idx="81">
                  <c:v>2.6773676446929982E-16</c:v>
                </c:pt>
                <c:pt idx="82">
                  <c:v>2.6125058730870078E-16</c:v>
                </c:pt>
                <c:pt idx="83">
                  <c:v>2.5479063369139831E-16</c:v>
                </c:pt>
                <c:pt idx="84">
                  <c:v>2.4836177316710183E-16</c:v>
                </c:pt>
                <c:pt idx="85">
                  <c:v>2.4196872031520012E-16</c:v>
                </c:pt>
                <c:pt idx="86">
                  <c:v>2.3561624217539868E-16</c:v>
                </c:pt>
                <c:pt idx="87">
                  <c:v>2.2930926969069938E-16</c:v>
                </c:pt>
                <c:pt idx="88">
                  <c:v>2.2305293718839936E-16</c:v>
                </c:pt>
                <c:pt idx="89">
                  <c:v>2.1685257008399938E-16</c:v>
                </c:pt>
                <c:pt idx="90">
                  <c:v>2.1071363740989903E-16</c:v>
                </c:pt>
                <c:pt idx="91">
                  <c:v>2.0464168250389875E-16</c:v>
                </c:pt>
                <c:pt idx="92">
                  <c:v>1.9864224231830127E-16</c:v>
                </c:pt>
                <c:pt idx="93">
                  <c:v>1.9272076331759986E-16</c:v>
                </c:pt>
                <c:pt idx="94">
                  <c:v>1.8688251983039957E-16</c:v>
                </c:pt>
                <c:pt idx="95">
                  <c:v>1.8113253896660028E-16</c:v>
                </c:pt>
                <c:pt idx="96">
                  <c:v>1.7547553479450041E-16</c:v>
                </c:pt>
                <c:pt idx="97">
                  <c:v>1.6991585333579948E-16</c:v>
                </c:pt>
                <c:pt idx="98">
                  <c:v>1.6445742905499984E-16</c:v>
                </c:pt>
                <c:pt idx="99">
                  <c:v>1.5910375285460035E-16</c:v>
                </c:pt>
                <c:pt idx="100">
                  <c:v>1.5385785109940004E-16</c:v>
                </c:pt>
                <c:pt idx="101">
                  <c:v>1.4872227485630126E-16</c:v>
                </c:pt>
                <c:pt idx="102">
                  <c:v>1.4369909831720006E-16</c:v>
                </c:pt>
                <c:pt idx="103">
                  <c:v>1.3878992524953016E-16</c:v>
                </c:pt>
                <c:pt idx="104">
                  <c:v>1.3399590227258063E-16</c:v>
                </c:pt>
                <c:pt idx="105">
                  <c:v>1.2931773776031967E-16</c:v>
                </c:pt>
                <c:pt idx="106">
                  <c:v>1.2475572522542022E-16</c:v>
                </c:pt>
                <c:pt idx="107">
                  <c:v>1.2030977010901093E-16</c:v>
                </c:pt>
                <c:pt idx="108">
                  <c:v>1.1597941900051015E-16</c:v>
                </c:pt>
                <c:pt idx="109">
                  <c:v>1.1176389041413951E-16</c:v>
                </c:pt>
                <c:pt idx="110">
                  <c:v>1.0766210635885026E-16</c:v>
                </c:pt>
                <c:pt idx="111">
                  <c:v>1.0367272404804986E-16</c:v>
                </c:pt>
                <c:pt idx="112">
                  <c:v>9.9794167200189103E-17</c:v>
                </c:pt>
                <c:pt idx="113">
                  <c:v>9.6024656480369551E-17</c:v>
                </c:pt>
                <c:pt idx="114">
                  <c:v>9.2362238725089722E-17</c:v>
                </c:pt>
                <c:pt idx="115">
                  <c:v>8.8804814674339388E-17</c:v>
                </c:pt>
                <c:pt idx="116">
                  <c:v>8.5350165008979275E-17</c:v>
                </c:pt>
                <c:pt idx="117">
                  <c:v>8.199597455584063E-17</c:v>
                </c:pt>
                <c:pt idx="118">
                  <c:v>7.8739854578130007E-17</c:v>
                </c:pt>
                <c:pt idx="119">
                  <c:v>7.5579363116129608E-17</c:v>
                </c:pt>
                <c:pt idx="120">
                  <c:v>7.2512023381720187E-17</c:v>
                </c:pt>
                <c:pt idx="121">
                  <c:v>6.9535340242640197E-17</c:v>
                </c:pt>
                <c:pt idx="122">
                  <c:v>6.6646814857550052E-17</c:v>
                </c:pt>
                <c:pt idx="123">
                  <c:v>6.3843957542539665E-17</c:v>
                </c:pt>
                <c:pt idx="124">
                  <c:v>6.1124298964510124E-17</c:v>
                </c:pt>
                <c:pt idx="125">
                  <c:v>5.848539976672035E-17</c:v>
                </c:pt>
                <c:pt idx="126">
                  <c:v>5.592485873861954E-17</c:v>
                </c:pt>
                <c:pt idx="127">
                  <c:v>5.3440319645270036E-17</c:v>
                </c:pt>
                <c:pt idx="128">
                  <c:v>5.1029476832290044E-17</c:v>
                </c:pt>
                <c:pt idx="129">
                  <c:v>4.8690079721280053E-17</c:v>
                </c:pt>
                <c:pt idx="130">
                  <c:v>4.6419936307039657E-17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BC-4AE3-A534-62F7F81DB515}"/>
            </c:ext>
          </c:extLst>
        </c:ser>
        <c:ser>
          <c:idx val="7"/>
          <c:order val="7"/>
          <c:tx>
            <c:strRef>
              <c:f>'DSGE HVD difference'!$AG$1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difference'!$AG$2:$AG$132</c:f>
              <c:numCache>
                <c:formatCode>0.0000</c:formatCode>
                <c:ptCount val="131"/>
                <c:pt idx="0">
                  <c:v>-1.0554555194794007E-16</c:v>
                </c:pt>
                <c:pt idx="1">
                  <c:v>-5.4333616165900108E-17</c:v>
                </c:pt>
                <c:pt idx="2">
                  <c:v>6.0806850109300299E-18</c:v>
                </c:pt>
                <c:pt idx="3">
                  <c:v>7.6910029648432991E-17</c:v>
                </c:pt>
                <c:pt idx="4">
                  <c:v>1.5945558025331299E-16</c:v>
                </c:pt>
                <c:pt idx="5">
                  <c:v>2.5508236488001905E-16</c:v>
                </c:pt>
                <c:pt idx="6">
                  <c:v>3.6526932487900002E-16</c:v>
                </c:pt>
                <c:pt idx="7">
                  <c:v>4.888382281490501E-16</c:v>
                </c:pt>
                <c:pt idx="8">
                  <c:v>6.3286300430408983E-16</c:v>
                </c:pt>
                <c:pt idx="9">
                  <c:v>7.8529000818682035E-16</c:v>
                </c:pt>
                <c:pt idx="10">
                  <c:v>9.3333980221033021E-16</c:v>
                </c:pt>
                <c:pt idx="11">
                  <c:v>1.0545544385194301E-15</c:v>
                </c:pt>
                <c:pt idx="12">
                  <c:v>1.1686100044485403E-15</c:v>
                </c:pt>
                <c:pt idx="13">
                  <c:v>1.2612594564005007E-15</c:v>
                </c:pt>
                <c:pt idx="14">
                  <c:v>1.328044816081459E-15</c:v>
                </c:pt>
                <c:pt idx="15">
                  <c:v>1.3912117237301703E-15</c:v>
                </c:pt>
                <c:pt idx="16">
                  <c:v>1.4481315709024599E-15</c:v>
                </c:pt>
                <c:pt idx="17">
                  <c:v>1.4913710870620211E-15</c:v>
                </c:pt>
                <c:pt idx="18">
                  <c:v>1.5105839125804006E-15</c:v>
                </c:pt>
                <c:pt idx="19">
                  <c:v>1.5187506134264997E-15</c:v>
                </c:pt>
                <c:pt idx="20">
                  <c:v>1.5282852240452995E-15</c:v>
                </c:pt>
                <c:pt idx="21">
                  <c:v>1.5222936125643989E-15</c:v>
                </c:pt>
                <c:pt idx="22">
                  <c:v>1.5160256900136002E-15</c:v>
                </c:pt>
                <c:pt idx="23">
                  <c:v>1.5022940682339E-15</c:v>
                </c:pt>
                <c:pt idx="24">
                  <c:v>1.4721625638764003E-15</c:v>
                </c:pt>
                <c:pt idx="25">
                  <c:v>1.4383588169203976E-15</c:v>
                </c:pt>
                <c:pt idx="26">
                  <c:v>1.4018557577020003E-15</c:v>
                </c:pt>
                <c:pt idx="27">
                  <c:v>1.3535872357446E-15</c:v>
                </c:pt>
                <c:pt idx="28">
                  <c:v>1.2984405939737982E-15</c:v>
                </c:pt>
                <c:pt idx="29">
                  <c:v>1.2398934162290996E-15</c:v>
                </c:pt>
                <c:pt idx="30">
                  <c:v>1.176102674216601E-15</c:v>
                </c:pt>
                <c:pt idx="31">
                  <c:v>1.1116255971244997E-15</c:v>
                </c:pt>
                <c:pt idx="32">
                  <c:v>1.0455352885335014E-15</c:v>
                </c:pt>
                <c:pt idx="33">
                  <c:v>9.8251529084870005E-16</c:v>
                </c:pt>
                <c:pt idx="34">
                  <c:v>9.1939001190800065E-16</c:v>
                </c:pt>
                <c:pt idx="35">
                  <c:v>8.5646524828830077E-16</c:v>
                </c:pt>
                <c:pt idx="36">
                  <c:v>7.9381091673180055E-16</c:v>
                </c:pt>
                <c:pt idx="37">
                  <c:v>7.3141313721069987E-16</c:v>
                </c:pt>
                <c:pt idx="38">
                  <c:v>6.6914079908179935E-16</c:v>
                </c:pt>
                <c:pt idx="39">
                  <c:v>6.0675302877320069E-16</c:v>
                </c:pt>
                <c:pt idx="40">
                  <c:v>5.4393425795129842E-16</c:v>
                </c:pt>
                <c:pt idx="41">
                  <c:v>4.8032781960820361E-16</c:v>
                </c:pt>
                <c:pt idx="42">
                  <c:v>4.1550864936300327E-16</c:v>
                </c:pt>
                <c:pt idx="43">
                  <c:v>3.4898114172339937E-16</c:v>
                </c:pt>
                <c:pt idx="44">
                  <c:v>2.801749778162972E-16</c:v>
                </c:pt>
                <c:pt idx="45">
                  <c:v>2.0843660126350008E-16</c:v>
                </c:pt>
                <c:pt idx="46">
                  <c:v>1.3298870476199677E-16</c:v>
                </c:pt>
                <c:pt idx="47">
                  <c:v>5.3464612144000724E-17</c:v>
                </c:pt>
                <c:pt idx="48">
                  <c:v>-3.1007748679999931E-17</c:v>
                </c:pt>
                <c:pt idx="49">
                  <c:v>-1.2124643766199929E-16</c:v>
                </c:pt>
                <c:pt idx="50">
                  <c:v>-2.1830437168450086E-16</c:v>
                </c:pt>
                <c:pt idx="51">
                  <c:v>-3.2351360034959529E-16</c:v>
                </c:pt>
                <c:pt idx="52">
                  <c:v>-3.6247804623460112E-16</c:v>
                </c:pt>
                <c:pt idx="53">
                  <c:v>-4.9815582854709823E-16</c:v>
                </c:pt>
                <c:pt idx="54">
                  <c:v>-4.6825738123580259E-16</c:v>
                </c:pt>
                <c:pt idx="55">
                  <c:v>-5.5155102342990083E-16</c:v>
                </c:pt>
                <c:pt idx="56">
                  <c:v>-6.5894301765660177E-16</c:v>
                </c:pt>
                <c:pt idx="57">
                  <c:v>-7.8275348568609729E-16</c:v>
                </c:pt>
                <c:pt idx="58">
                  <c:v>-9.2035222111800567E-16</c:v>
                </c:pt>
                <c:pt idx="59">
                  <c:v>-1.0364461717401029E-15</c:v>
                </c:pt>
                <c:pt idx="60">
                  <c:v>-1.1645173443039012E-15</c:v>
                </c:pt>
                <c:pt idx="61">
                  <c:v>-1.2760213489767026E-15</c:v>
                </c:pt>
                <c:pt idx="62">
                  <c:v>-1.3585614554694995E-15</c:v>
                </c:pt>
                <c:pt idx="63">
                  <c:v>-1.4372661494865017E-15</c:v>
                </c:pt>
                <c:pt idx="64">
                  <c:v>-1.4759699004111987E-15</c:v>
                </c:pt>
                <c:pt idx="65">
                  <c:v>-1.5064575954772002E-15</c:v>
                </c:pt>
                <c:pt idx="66">
                  <c:v>-1.5172806847071961E-15</c:v>
                </c:pt>
                <c:pt idx="67">
                  <c:v>-1.5128228393764034E-15</c:v>
                </c:pt>
                <c:pt idx="68">
                  <c:v>-1.4997647527986005E-15</c:v>
                </c:pt>
                <c:pt idx="69">
                  <c:v>-1.4833854634635E-15</c:v>
                </c:pt>
                <c:pt idx="70">
                  <c:v>-1.4785769887315963E-15</c:v>
                </c:pt>
                <c:pt idx="71">
                  <c:v>-1.4959390445215036E-15</c:v>
                </c:pt>
                <c:pt idx="72">
                  <c:v>-1.512634260638498E-15</c:v>
                </c:pt>
                <c:pt idx="73">
                  <c:v>-1.5286223973376981E-15</c:v>
                </c:pt>
                <c:pt idx="74">
                  <c:v>-1.5438621131453015E-15</c:v>
                </c:pt>
                <c:pt idx="75">
                  <c:v>-1.5583150599814008E-15</c:v>
                </c:pt>
                <c:pt idx="76">
                  <c:v>-1.5719485479838018E-15</c:v>
                </c:pt>
                <c:pt idx="77">
                  <c:v>-1.5847371049878037E-15</c:v>
                </c:pt>
                <c:pt idx="78">
                  <c:v>-1.5966632024210035E-15</c:v>
                </c:pt>
                <c:pt idx="79">
                  <c:v>-1.6077173706613034E-15</c:v>
                </c:pt>
                <c:pt idx="80">
                  <c:v>-1.6178978837416021E-15</c:v>
                </c:pt>
                <c:pt idx="81">
                  <c:v>-1.6272101559451025E-15</c:v>
                </c:pt>
                <c:pt idx="82">
                  <c:v>-1.6356659611776975E-15</c:v>
                </c:pt>
                <c:pt idx="83">
                  <c:v>-1.643282559612198E-15</c:v>
                </c:pt>
                <c:pt idx="84">
                  <c:v>-1.6500817944360022E-15</c:v>
                </c:pt>
                <c:pt idx="85">
                  <c:v>-1.6560892040118056E-15</c:v>
                </c:pt>
                <c:pt idx="86">
                  <c:v>-1.6613331807999988E-15</c:v>
                </c:pt>
                <c:pt idx="87">
                  <c:v>-1.6658441974411035E-15</c:v>
                </c:pt>
                <c:pt idx="88">
                  <c:v>-1.6696541119530002E-15</c:v>
                </c:pt>
                <c:pt idx="89">
                  <c:v>-1.6727955576192011E-15</c:v>
                </c:pt>
                <c:pt idx="90">
                  <c:v>-1.6753014184466027E-15</c:v>
                </c:pt>
                <c:pt idx="91">
                  <c:v>-1.6772043877106993E-15</c:v>
                </c:pt>
                <c:pt idx="92">
                  <c:v>-1.6785366048149014E-15</c:v>
                </c:pt>
                <c:pt idx="93">
                  <c:v>-1.6793293642270005E-15</c:v>
                </c:pt>
                <c:pt idx="94">
                  <c:v>-1.6796128894292031E-15</c:v>
                </c:pt>
                <c:pt idx="95">
                  <c:v>-1.679416164467802E-15</c:v>
                </c:pt>
                <c:pt idx="96">
                  <c:v>-1.6787668156908978E-15</c:v>
                </c:pt>
                <c:pt idx="97">
                  <c:v>-1.6776910365128037E-15</c:v>
                </c:pt>
                <c:pt idx="98">
                  <c:v>-1.6762135484663982E-15</c:v>
                </c:pt>
                <c:pt idx="99">
                  <c:v>-1.6743575923251962E-15</c:v>
                </c:pt>
                <c:pt idx="100">
                  <c:v>-1.6721449436698972E-15</c:v>
                </c:pt>
                <c:pt idx="101">
                  <c:v>-1.6695959478792004E-15</c:v>
                </c:pt>
                <c:pt idx="102">
                  <c:v>-1.6667295701295004E-15</c:v>
                </c:pt>
                <c:pt idx="103">
                  <c:v>-1.6635634565801002E-15</c:v>
                </c:pt>
                <c:pt idx="104">
                  <c:v>-1.6601140034628984E-15</c:v>
                </c:pt>
                <c:pt idx="105">
                  <c:v>-1.6563964313132985E-15</c:v>
                </c:pt>
                <c:pt idx="106">
                  <c:v>-1.6524248620372996E-15</c:v>
                </c:pt>
                <c:pt idx="107">
                  <c:v>-1.6482123969259017E-15</c:v>
                </c:pt>
                <c:pt idx="108">
                  <c:v>-1.6437711940996952E-15</c:v>
                </c:pt>
                <c:pt idx="109">
                  <c:v>-1.6391125441833028E-15</c:v>
                </c:pt>
                <c:pt idx="110">
                  <c:v>-1.6342469432906014E-15</c:v>
                </c:pt>
                <c:pt idx="111">
                  <c:v>-1.6291841626402956E-15</c:v>
                </c:pt>
                <c:pt idx="112">
                  <c:v>-1.6239333143206012E-15</c:v>
                </c:pt>
                <c:pt idx="113">
                  <c:v>-1.6185029128942013E-15</c:v>
                </c:pt>
                <c:pt idx="114">
                  <c:v>-1.6129009326659007E-15</c:v>
                </c:pt>
                <c:pt idx="115">
                  <c:v>-1.607134860558697E-15</c:v>
                </c:pt>
                <c:pt idx="116">
                  <c:v>-1.601211744624E-15</c:v>
                </c:pt>
                <c:pt idx="117">
                  <c:v>-1.5951382382880003E-15</c:v>
                </c:pt>
                <c:pt idx="118">
                  <c:v>-1.5889206404884008E-15</c:v>
                </c:pt>
                <c:pt idx="119">
                  <c:v>-1.5825649318958995E-15</c:v>
                </c:pt>
                <c:pt idx="120">
                  <c:v>-1.5760768074391957E-15</c:v>
                </c:pt>
                <c:pt idx="121">
                  <c:v>-1.569461705376105E-15</c:v>
                </c:pt>
                <c:pt idx="122">
                  <c:v>-1.5627248331553981E-15</c:v>
                </c:pt>
                <c:pt idx="123">
                  <c:v>-1.5558711903255049E-15</c:v>
                </c:pt>
                <c:pt idx="124">
                  <c:v>-1.548905588735595E-15</c:v>
                </c:pt>
                <c:pt idx="125">
                  <c:v>-1.5418326702763967E-15</c:v>
                </c:pt>
                <c:pt idx="126">
                  <c:v>-1.5346569223931974E-15</c:v>
                </c:pt>
                <c:pt idx="127">
                  <c:v>-1.5273826915959006E-15</c:v>
                </c:pt>
                <c:pt idx="128">
                  <c:v>-1.5200141951753015E-15</c:v>
                </c:pt>
                <c:pt idx="129">
                  <c:v>-1.512555531325498E-15</c:v>
                </c:pt>
                <c:pt idx="130">
                  <c:v>-1.5050106878506998E-15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0BC-4AE3-A534-62F7F81DB515}"/>
            </c:ext>
          </c:extLst>
        </c:ser>
        <c:ser>
          <c:idx val="8"/>
          <c:order val="8"/>
          <c:tx>
            <c:strRef>
              <c:f>'DSGE HVD difference'!$AH$1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difference'!$AH$2:$AH$132</c:f>
              <c:numCache>
                <c:formatCode>0.0000</c:formatCode>
                <c:ptCount val="131"/>
                <c:pt idx="0">
                  <c:v>-3.7907481297304478E-3</c:v>
                </c:pt>
                <c:pt idx="1">
                  <c:v>-3.7506317120742615E-3</c:v>
                </c:pt>
                <c:pt idx="2">
                  <c:v>-3.7109618698497829E-3</c:v>
                </c:pt>
                <c:pt idx="3">
                  <c:v>-3.6717332817377962E-3</c:v>
                </c:pt>
                <c:pt idx="4">
                  <c:v>-3.6329406951664924E-3</c:v>
                </c:pt>
                <c:pt idx="5">
                  <c:v>-3.5945789253642581E-3</c:v>
                </c:pt>
                <c:pt idx="6">
                  <c:v>-3.5566428544258769E-3</c:v>
                </c:pt>
                <c:pt idx="7">
                  <c:v>-3.5191274303932735E-3</c:v>
                </c:pt>
                <c:pt idx="8">
                  <c:v>-3.4820276663384635E-3</c:v>
                </c:pt>
                <c:pt idx="9">
                  <c:v>-3.4453386394759995E-3</c:v>
                </c:pt>
                <c:pt idx="10">
                  <c:v>-3.4090554902733781E-3</c:v>
                </c:pt>
                <c:pt idx="11">
                  <c:v>-3.373173421586626E-3</c:v>
                </c:pt>
                <c:pt idx="12">
                  <c:v>-3.3376876977848917E-3</c:v>
                </c:pt>
                <c:pt idx="13">
                  <c:v>-3.3025936439144829E-3</c:v>
                </c:pt>
                <c:pt idx="14">
                  <c:v>-3.2678866448682437E-3</c:v>
                </c:pt>
                <c:pt idx="15">
                  <c:v>-3.2335621445412008E-3</c:v>
                </c:pt>
                <c:pt idx="16">
                  <c:v>-3.1996156450317752E-3</c:v>
                </c:pt>
                <c:pt idx="17">
                  <c:v>-3.1660427058313803E-3</c:v>
                </c:pt>
                <c:pt idx="18">
                  <c:v>-3.1328389430438199E-3</c:v>
                </c:pt>
                <c:pt idx="19">
                  <c:v>-3.1000000286003472E-3</c:v>
                </c:pt>
                <c:pt idx="20">
                  <c:v>-3.0675216894842194E-3</c:v>
                </c:pt>
                <c:pt idx="21">
                  <c:v>-3.0353997069858737E-3</c:v>
                </c:pt>
                <c:pt idx="22">
                  <c:v>-3.0036299159426918E-3</c:v>
                </c:pt>
                <c:pt idx="23">
                  <c:v>-2.9722082040155502E-3</c:v>
                </c:pt>
                <c:pt idx="24">
                  <c:v>-2.9411305109534294E-3</c:v>
                </c:pt>
                <c:pt idx="25">
                  <c:v>-2.9103928278800977E-3</c:v>
                </c:pt>
                <c:pt idx="26">
                  <c:v>-2.8799911965859898E-3</c:v>
                </c:pt>
                <c:pt idx="27">
                  <c:v>-2.8499217088425377E-3</c:v>
                </c:pt>
                <c:pt idx="28">
                  <c:v>-2.8201805057058663E-3</c:v>
                </c:pt>
                <c:pt idx="29">
                  <c:v>-2.7907637768448709E-3</c:v>
                </c:pt>
                <c:pt idx="30">
                  <c:v>-2.7616677598769047E-3</c:v>
                </c:pt>
                <c:pt idx="31">
                  <c:v>-2.7328887397081712E-3</c:v>
                </c:pt>
                <c:pt idx="32">
                  <c:v>-2.7044230478907236E-3</c:v>
                </c:pt>
                <c:pt idx="33">
                  <c:v>-2.6762670619808874E-3</c:v>
                </c:pt>
                <c:pt idx="34">
                  <c:v>-2.6484172049133542E-3</c:v>
                </c:pt>
                <c:pt idx="35">
                  <c:v>-2.6208699443800547E-3</c:v>
                </c:pt>
                <c:pt idx="36">
                  <c:v>-2.5936217922200382E-3</c:v>
                </c:pt>
                <c:pt idx="37">
                  <c:v>-2.5666693038177779E-3</c:v>
                </c:pt>
                <c:pt idx="38">
                  <c:v>-2.5400090775105611E-3</c:v>
                </c:pt>
                <c:pt idx="39">
                  <c:v>-2.5136377540027847E-3</c:v>
                </c:pt>
                <c:pt idx="40">
                  <c:v>-2.4875520157913588E-3</c:v>
                </c:pt>
                <c:pt idx="41">
                  <c:v>-2.4617485865966772E-3</c:v>
                </c:pt>
                <c:pt idx="42">
                  <c:v>-2.4362242308039301E-3</c:v>
                </c:pt>
                <c:pt idx="43">
                  <c:v>-2.4109757529112257E-3</c:v>
                </c:pt>
                <c:pt idx="44">
                  <c:v>-2.3859999969862555E-3</c:v>
                </c:pt>
                <c:pt idx="45">
                  <c:v>-2.3612938461306252E-3</c:v>
                </c:pt>
                <c:pt idx="46">
                  <c:v>-2.3368542219522064E-3</c:v>
                </c:pt>
                <c:pt idx="47">
                  <c:v>-2.3126780840437172E-3</c:v>
                </c:pt>
                <c:pt idx="48">
                  <c:v>-2.2887624294731733E-3</c:v>
                </c:pt>
                <c:pt idx="49">
                  <c:v>-2.2651042922755384E-3</c:v>
                </c:pt>
                <c:pt idx="50">
                  <c:v>-2.2417007429563849E-3</c:v>
                </c:pt>
                <c:pt idx="51">
                  <c:v>-2.2185488879999456E-3</c:v>
                </c:pt>
                <c:pt idx="52">
                  <c:v>-2.1956458693866703E-3</c:v>
                </c:pt>
                <c:pt idx="53">
                  <c:v>-2.1729888641137348E-3</c:v>
                </c:pt>
                <c:pt idx="54">
                  <c:v>-2.1505750837293352E-3</c:v>
                </c:pt>
                <c:pt idx="55">
                  <c:v>-2.1284017738697268E-3</c:v>
                </c:pt>
                <c:pt idx="56">
                  <c:v>-2.1064662138023894E-3</c:v>
                </c:pt>
                <c:pt idx="57">
                  <c:v>-2.0847657159737357E-3</c:v>
                </c:pt>
                <c:pt idx="58">
                  <c:v>-2.0632976255711469E-3</c:v>
                </c:pt>
                <c:pt idx="59">
                  <c:v>-2.0420593200710579E-3</c:v>
                </c:pt>
                <c:pt idx="60">
                  <c:v>-2.0210482088352539E-3</c:v>
                </c:pt>
                <c:pt idx="61">
                  <c:v>-2.0002617326690107E-3</c:v>
                </c:pt>
                <c:pt idx="62">
                  <c:v>-1.9796973633909145E-3</c:v>
                </c:pt>
                <c:pt idx="63">
                  <c:v>-1.9593526034560778E-3</c:v>
                </c:pt>
                <c:pt idx="64">
                  <c:v>-1.9392249855190078E-3</c:v>
                </c:pt>
                <c:pt idx="65">
                  <c:v>-1.9193120720472597E-3</c:v>
                </c:pt>
                <c:pt idx="66">
                  <c:v>-1.8996114549271802E-3</c:v>
                </c:pt>
                <c:pt idx="67">
                  <c:v>-1.8801207550625764E-3</c:v>
                </c:pt>
                <c:pt idx="68">
                  <c:v>-1.8608376220117498E-3</c:v>
                </c:pt>
                <c:pt idx="69">
                  <c:v>-1.8417597335900113E-3</c:v>
                </c:pt>
                <c:pt idx="70">
                  <c:v>-1.8228847955149342E-3</c:v>
                </c:pt>
                <c:pt idx="71">
                  <c:v>-1.804210541026846E-3</c:v>
                </c:pt>
                <c:pt idx="72">
                  <c:v>-1.7857347305315612E-3</c:v>
                </c:pt>
                <c:pt idx="73">
                  <c:v>-1.7674551512449797E-3</c:v>
                </c:pt>
                <c:pt idx="74">
                  <c:v>-1.749369616840102E-3</c:v>
                </c:pt>
                <c:pt idx="75">
                  <c:v>-1.7314759671026255E-3</c:v>
                </c:pt>
                <c:pt idx="76">
                  <c:v>-1.713772067587753E-3</c:v>
                </c:pt>
                <c:pt idx="77">
                  <c:v>-1.6962558092851838E-3</c:v>
                </c:pt>
                <c:pt idx="78">
                  <c:v>-1.678925108286717E-3</c:v>
                </c:pt>
                <c:pt idx="79">
                  <c:v>-1.6617779054597572E-3</c:v>
                </c:pt>
                <c:pt idx="80">
                  <c:v>-1.6448121661251983E-3</c:v>
                </c:pt>
                <c:pt idx="81">
                  <c:v>-1.6280258797394447E-3</c:v>
                </c:pt>
                <c:pt idx="82">
                  <c:v>-1.6114170595815944E-3</c:v>
                </c:pt>
                <c:pt idx="83">
                  <c:v>-1.5949837424450504E-3</c:v>
                </c:pt>
                <c:pt idx="84">
                  <c:v>-1.5787239883329077E-3</c:v>
                </c:pt>
                <c:pt idx="85">
                  <c:v>-1.5626358801582437E-3</c:v>
                </c:pt>
                <c:pt idx="86">
                  <c:v>-1.5467175234484833E-3</c:v>
                </c:pt>
                <c:pt idx="87">
                  <c:v>-1.5309670460540966E-3</c:v>
                </c:pt>
                <c:pt idx="88">
                  <c:v>-1.5153825978607345E-3</c:v>
                </c:pt>
                <c:pt idx="89">
                  <c:v>-1.4999623505065865E-3</c:v>
                </c:pt>
                <c:pt idx="90">
                  <c:v>-1.4847044971029843E-3</c:v>
                </c:pt>
                <c:pt idx="91">
                  <c:v>-1.4696072519589276E-3</c:v>
                </c:pt>
                <c:pt idx="92">
                  <c:v>-1.4546688503098743E-3</c:v>
                </c:pt>
                <c:pt idx="93">
                  <c:v>-1.4398875480500666E-3</c:v>
                </c:pt>
                <c:pt idx="94">
                  <c:v>-1.4252616214684806E-3</c:v>
                </c:pt>
                <c:pt idx="95">
                  <c:v>-1.4107893669892322E-3</c:v>
                </c:pt>
                <c:pt idx="96">
                  <c:v>-1.3964691009147466E-3</c:v>
                </c:pt>
                <c:pt idx="97">
                  <c:v>-1.382299159172922E-3</c:v>
                </c:pt>
                <c:pt idx="98">
                  <c:v>-1.3682778970678547E-3</c:v>
                </c:pt>
                <c:pt idx="99">
                  <c:v>-1.3544036890341992E-3</c:v>
                </c:pt>
                <c:pt idx="100">
                  <c:v>-1.340674928394549E-3</c:v>
                </c:pt>
                <c:pt idx="101">
                  <c:v>-1.3270900271205512E-3</c:v>
                </c:pt>
                <c:pt idx="102">
                  <c:v>-1.3136474155972058E-3</c:v>
                </c:pt>
                <c:pt idx="103">
                  <c:v>-1.3003455423905273E-3</c:v>
                </c:pt>
                <c:pt idx="104">
                  <c:v>-1.2871828740184277E-3</c:v>
                </c:pt>
                <c:pt idx="105">
                  <c:v>-1.2741578947246734E-3</c:v>
                </c:pt>
                <c:pt idx="106">
                  <c:v>-1.2612691062562006E-3</c:v>
                </c:pt>
                <c:pt idx="107">
                  <c:v>-1.2485150276431208E-3</c:v>
                </c:pt>
                <c:pt idx="108">
                  <c:v>-1.2358941949824123E-3</c:v>
                </c:pt>
                <c:pt idx="109">
                  <c:v>-1.2234051612239978E-3</c:v>
                </c:pt>
                <c:pt idx="110">
                  <c:v>-1.2110464959600457E-3</c:v>
                </c:pt>
                <c:pt idx="111">
                  <c:v>-1.1988167852171972E-3</c:v>
                </c:pt>
                <c:pt idx="112">
                  <c:v>-1.1867146312514695E-3</c:v>
                </c:pt>
                <c:pt idx="113">
                  <c:v>-1.174738652346374E-3</c:v>
                </c:pt>
                <c:pt idx="114">
                  <c:v>-1.1628874826132615E-3</c:v>
                </c:pt>
                <c:pt idx="115">
                  <c:v>-1.1511597717948712E-3</c:v>
                </c:pt>
                <c:pt idx="116">
                  <c:v>-1.1395541850714823E-3</c:v>
                </c:pt>
                <c:pt idx="117">
                  <c:v>-1.1280694028693952E-3</c:v>
                </c:pt>
                <c:pt idx="118">
                  <c:v>-1.1167041206724896E-3</c:v>
                </c:pt>
                <c:pt idx="119">
                  <c:v>-1.1054570488360767E-3</c:v>
                </c:pt>
                <c:pt idx="120">
                  <c:v>-1.0943269124033149E-3</c:v>
                </c:pt>
                <c:pt idx="121">
                  <c:v>-1.0833124509242943E-3</c:v>
                </c:pt>
                <c:pt idx="122">
                  <c:v>-1.0724124182772765E-3</c:v>
                </c:pt>
                <c:pt idx="123">
                  <c:v>-1.0616255824927292E-3</c:v>
                </c:pt>
                <c:pt idx="124">
                  <c:v>-1.0509507255793652E-3</c:v>
                </c:pt>
                <c:pt idx="125">
                  <c:v>-1.0403866433530212E-3</c:v>
                </c:pt>
                <c:pt idx="126">
                  <c:v>-1.0299321452672289E-3</c:v>
                </c:pt>
                <c:pt idx="127">
                  <c:v>-1.0195860542466476E-3</c:v>
                </c:pt>
                <c:pt idx="128">
                  <c:v>-1.0093472065224676E-3</c:v>
                </c:pt>
                <c:pt idx="129">
                  <c:v>-9.992144514699593E-4</c:v>
                </c:pt>
                <c:pt idx="130">
                  <c:v>-9.8918665144851251E-4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0BC-4AE3-A534-62F7F81DB515}"/>
            </c:ext>
          </c:extLst>
        </c:ser>
        <c:ser>
          <c:idx val="9"/>
          <c:order val="9"/>
          <c:tx>
            <c:strRef>
              <c:f>'DSGE HVD difference'!$AI$1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'DSGE HVD difference'!$AI$2:$AI$132</c:f>
              <c:numCache>
                <c:formatCode>0.0000</c:formatCode>
                <c:ptCount val="131"/>
                <c:pt idx="0">
                  <c:v>0.37553775317855947</c:v>
                </c:pt>
                <c:pt idx="1">
                  <c:v>0.42088163242218896</c:v>
                </c:pt>
                <c:pt idx="2">
                  <c:v>0.47351225953921044</c:v>
                </c:pt>
                <c:pt idx="3">
                  <c:v>0.53512032285489419</c:v>
                </c:pt>
                <c:pt idx="4">
                  <c:v>0.60797113525312796</c:v>
                </c:pt>
                <c:pt idx="5">
                  <c:v>0.69515868677223891</c:v>
                </c:pt>
                <c:pt idx="6">
                  <c:v>0.80095629991274664</c:v>
                </c:pt>
                <c:pt idx="7">
                  <c:v>0.9171141829715983</c:v>
                </c:pt>
                <c:pt idx="8">
                  <c:v>0.9025151068186209</c:v>
                </c:pt>
                <c:pt idx="9">
                  <c:v>0.76565627243367906</c:v>
                </c:pt>
                <c:pt idx="10">
                  <c:v>0.29975386060515047</c:v>
                </c:pt>
                <c:pt idx="11">
                  <c:v>0.19653732921761369</c:v>
                </c:pt>
                <c:pt idx="12">
                  <c:v>-6.3698988946227497E-2</c:v>
                </c:pt>
                <c:pt idx="13">
                  <c:v>-0.46057302733080335</c:v>
                </c:pt>
                <c:pt idx="14">
                  <c:v>-0.41884103560405817</c:v>
                </c:pt>
                <c:pt idx="15">
                  <c:v>-0.42601893011915892</c:v>
                </c:pt>
                <c:pt idx="16">
                  <c:v>-0.40736477906689866</c:v>
                </c:pt>
                <c:pt idx="17">
                  <c:v>-0.67836066826811303</c:v>
                </c:pt>
                <c:pt idx="18">
                  <c:v>-0.79148917040048228</c:v>
                </c:pt>
                <c:pt idx="19">
                  <c:v>-0.65527194589232507</c:v>
                </c:pt>
                <c:pt idx="20">
                  <c:v>-0.71129360883101633</c:v>
                </c:pt>
                <c:pt idx="21">
                  <c:v>-0.65828380153570676</c:v>
                </c:pt>
                <c:pt idx="22">
                  <c:v>-0.69520762870293384</c:v>
                </c:pt>
                <c:pt idx="23">
                  <c:v>-0.80870045362611032</c:v>
                </c:pt>
                <c:pt idx="24">
                  <c:v>-0.78289733903266634</c:v>
                </c:pt>
                <c:pt idx="25">
                  <c:v>-0.69189729946113765</c:v>
                </c:pt>
                <c:pt idx="26">
                  <c:v>-0.80631555402188038</c:v>
                </c:pt>
                <c:pt idx="27">
                  <c:v>-0.82398430423918911</c:v>
                </c:pt>
                <c:pt idx="28">
                  <c:v>-0.79364513931579883</c:v>
                </c:pt>
                <c:pt idx="29">
                  <c:v>-0.76548737179779069</c:v>
                </c:pt>
                <c:pt idx="30">
                  <c:v>-0.72865711600912286</c:v>
                </c:pt>
                <c:pt idx="31">
                  <c:v>-0.67948097080950665</c:v>
                </c:pt>
                <c:pt idx="32">
                  <c:v>-0.63721187907061871</c:v>
                </c:pt>
                <c:pt idx="33">
                  <c:v>-0.60153833567446346</c:v>
                </c:pt>
                <c:pt idx="34">
                  <c:v>-0.57391412018559895</c:v>
                </c:pt>
                <c:pt idx="35">
                  <c:v>-0.55295144611707681</c:v>
                </c:pt>
                <c:pt idx="36">
                  <c:v>-0.5375944379729054</c:v>
                </c:pt>
                <c:pt idx="37">
                  <c:v>-0.52704624350921569</c:v>
                </c:pt>
                <c:pt idx="38">
                  <c:v>-0.52084758913360474</c:v>
                </c:pt>
                <c:pt idx="39">
                  <c:v>-0.51879450913004277</c:v>
                </c:pt>
                <c:pt idx="40">
                  <c:v>-0.52080498568915645</c:v>
                </c:pt>
                <c:pt idx="41">
                  <c:v>-0.52681634578957848</c:v>
                </c:pt>
                <c:pt idx="42">
                  <c:v>-0.53684900276025682</c:v>
                </c:pt>
                <c:pt idx="43">
                  <c:v>-0.55100408401173551</c:v>
                </c:pt>
                <c:pt idx="44">
                  <c:v>-0.56946796457629656</c:v>
                </c:pt>
                <c:pt idx="45">
                  <c:v>-0.59253146908009213</c:v>
                </c:pt>
                <c:pt idx="46">
                  <c:v>-0.62069887889771802</c:v>
                </c:pt>
                <c:pt idx="47">
                  <c:v>-0.65273963031697901</c:v>
                </c:pt>
                <c:pt idx="48">
                  <c:v>-0.6911525808229384</c:v>
                </c:pt>
                <c:pt idx="49">
                  <c:v>-0.73616374885432334</c:v>
                </c:pt>
                <c:pt idx="50">
                  <c:v>-0.78902807005621767</c:v>
                </c:pt>
                <c:pt idx="51">
                  <c:v>-0.85120704125719449</c:v>
                </c:pt>
                <c:pt idx="52">
                  <c:v>-0.9246214221990865</c:v>
                </c:pt>
                <c:pt idx="53">
                  <c:v>-0.77965849860095071</c:v>
                </c:pt>
                <c:pt idx="54">
                  <c:v>-0.96427280300331264</c:v>
                </c:pt>
                <c:pt idx="55">
                  <c:v>-1.1329572590411654</c:v>
                </c:pt>
                <c:pt idx="56">
                  <c:v>-1.2022566303860702</c:v>
                </c:pt>
                <c:pt idx="57">
                  <c:v>-1.2389184565241298</c:v>
                </c:pt>
                <c:pt idx="58">
                  <c:v>-0.79223113146749302</c:v>
                </c:pt>
                <c:pt idx="59">
                  <c:v>-0.93512691391548886</c:v>
                </c:pt>
                <c:pt idx="60">
                  <c:v>-0.75957279969731062</c:v>
                </c:pt>
                <c:pt idx="61">
                  <c:v>-0.12047890030754742</c:v>
                </c:pt>
                <c:pt idx="62">
                  <c:v>-0.27284181341537145</c:v>
                </c:pt>
                <c:pt idx="63">
                  <c:v>8.7322036387277688E-2</c:v>
                </c:pt>
                <c:pt idx="64">
                  <c:v>0.19369779759534445</c:v>
                </c:pt>
                <c:pt idx="65">
                  <c:v>0.2087464128660067</c:v>
                </c:pt>
                <c:pt idx="66">
                  <c:v>0.39297739736206477</c:v>
                </c:pt>
                <c:pt idx="67">
                  <c:v>0.28680132610607656</c:v>
                </c:pt>
                <c:pt idx="68">
                  <c:v>0.28364020477647828</c:v>
                </c:pt>
                <c:pt idx="69">
                  <c:v>-3.2071911298520113E-2</c:v>
                </c:pt>
                <c:pt idx="70">
                  <c:v>-0.1387142185091354</c:v>
                </c:pt>
                <c:pt idx="71">
                  <c:v>-0.13638086703806393</c:v>
                </c:pt>
                <c:pt idx="72">
                  <c:v>-0.1340754228655005</c:v>
                </c:pt>
                <c:pt idx="73">
                  <c:v>-0.13179888191749634</c:v>
                </c:pt>
                <c:pt idx="74">
                  <c:v>-0.1295534200263454</c:v>
                </c:pt>
                <c:pt idx="75">
                  <c:v>-0.1273416769252102</c:v>
                </c:pt>
                <c:pt idx="76">
                  <c:v>-0.12516632135378333</c:v>
                </c:pt>
                <c:pt idx="77">
                  <c:v>-0.12302980134282931</c:v>
                </c:pt>
                <c:pt idx="78">
                  <c:v>-0.12093421441500113</c:v>
                </c:pt>
                <c:pt idx="79">
                  <c:v>-0.11888125369625677</c:v>
                </c:pt>
                <c:pt idx="80">
                  <c:v>-0.11687220056321963</c:v>
                </c:pt>
                <c:pt idx="81">
                  <c:v>-0.11490794445467852</c:v>
                </c:pt>
                <c:pt idx="82">
                  <c:v>-0.11298901726626243</c:v>
                </c:pt>
                <c:pt idx="83">
                  <c:v>-0.11111563432235302</c:v>
                </c:pt>
                <c:pt idx="84">
                  <c:v>-0.10928773697341408</c:v>
                </c:pt>
                <c:pt idx="85">
                  <c:v>-0.10750503388390024</c:v>
                </c:pt>
                <c:pt idx="86">
                  <c:v>-0.10576703938930389</c:v>
                </c:pt>
                <c:pt idx="87">
                  <c:v>-0.10407310814041278</c:v>
                </c:pt>
                <c:pt idx="88">
                  <c:v>-0.10242246577608895</c:v>
                </c:pt>
                <c:pt idx="89">
                  <c:v>-0.10081423567987784</c:v>
                </c:pt>
                <c:pt idx="90">
                  <c:v>-9.9247462053202326E-2</c:v>
                </c:pt>
                <c:pt idx="91">
                  <c:v>-9.7721129627578174E-2</c:v>
                </c:pt>
                <c:pt idx="92">
                  <c:v>-9.6234180373405045E-2</c:v>
                </c:pt>
                <c:pt idx="93">
                  <c:v>-9.4785527564226882E-2</c:v>
                </c:pt>
                <c:pt idx="94">
                  <c:v>-9.3374067538024547E-2</c:v>
                </c:pt>
                <c:pt idx="95">
                  <c:v>-9.1998689469357853E-2</c:v>
                </c:pt>
                <c:pt idx="96">
                  <c:v>-9.0658283434502759E-2</c:v>
                </c:pt>
                <c:pt idx="97">
                  <c:v>-8.9351747018872954E-2</c:v>
                </c:pt>
                <c:pt idx="98">
                  <c:v>-8.8077990684786472E-2</c:v>
                </c:pt>
                <c:pt idx="99">
                  <c:v>-8.6835942088474588E-2</c:v>
                </c:pt>
                <c:pt idx="100">
                  <c:v>-8.562454950910714E-2</c:v>
                </c:pt>
                <c:pt idx="101">
                  <c:v>-8.4442784529299042E-2</c:v>
                </c:pt>
                <c:pt idx="102">
                  <c:v>-8.3289644086316839E-2</c:v>
                </c:pt>
                <c:pt idx="103">
                  <c:v>-8.2164151995518492E-2</c:v>
                </c:pt>
                <c:pt idx="104">
                  <c:v>-8.1065360032384057E-2</c:v>
                </c:pt>
                <c:pt idx="105">
                  <c:v>-7.9992348646508393E-2</c:v>
                </c:pt>
                <c:pt idx="106">
                  <c:v>-7.8944227369707992E-2</c:v>
                </c:pt>
                <c:pt idx="107">
                  <c:v>-7.7920134971031285E-2</c:v>
                </c:pt>
                <c:pt idx="108">
                  <c:v>-7.6919239403291109E-2</c:v>
                </c:pt>
                <c:pt idx="109">
                  <c:v>-7.5940737578924375E-2</c:v>
                </c:pt>
                <c:pt idx="110">
                  <c:v>-7.4983855007175665E-2</c:v>
                </c:pt>
                <c:pt idx="111">
                  <c:v>-7.4047845319600014E-2</c:v>
                </c:pt>
                <c:pt idx="112">
                  <c:v>-7.3131989706755399E-2</c:v>
                </c:pt>
                <c:pt idx="113">
                  <c:v>-7.2235596285303905E-2</c:v>
                </c:pt>
                <c:pt idx="114">
                  <c:v>-7.1357999411776965E-2</c:v>
                </c:pt>
                <c:pt idx="115">
                  <c:v>-7.0498558956662086E-2</c:v>
                </c:pt>
                <c:pt idx="116">
                  <c:v>-6.9656659550257793E-2</c:v>
                </c:pt>
                <c:pt idx="117">
                  <c:v>-6.8831709809919234E-2</c:v>
                </c:pt>
                <c:pt idx="118">
                  <c:v>-6.8023141556689898E-2</c:v>
                </c:pt>
                <c:pt idx="119">
                  <c:v>-6.723040902800563E-2</c:v>
                </c:pt>
                <c:pt idx="120">
                  <c:v>-6.6452988091988754E-2</c:v>
                </c:pt>
                <c:pt idx="121">
                  <c:v>-6.56903754678555E-2</c:v>
                </c:pt>
                <c:pt idx="122">
                  <c:v>-6.4942087956182906E-2</c:v>
                </c:pt>
                <c:pt idx="123">
                  <c:v>-6.420766168200763E-2</c:v>
                </c:pt>
                <c:pt idx="124">
                  <c:v>-6.34866513531709E-2</c:v>
                </c:pt>
                <c:pt idx="125">
                  <c:v>-6.2778629535825248E-2</c:v>
                </c:pt>
                <c:pt idx="126">
                  <c:v>-6.2083185948514356E-2</c:v>
                </c:pt>
                <c:pt idx="127">
                  <c:v>-6.1399926775981217E-2</c:v>
                </c:pt>
                <c:pt idx="128">
                  <c:v>-6.0728474003437283E-2</c:v>
                </c:pt>
                <c:pt idx="129">
                  <c:v>-6.0068464771860702E-2</c:v>
                </c:pt>
                <c:pt idx="130">
                  <c:v>-5.9419550754586339E-2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0BC-4AE3-A534-62F7F81DB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dateAx>
        <c:axId val="1190122384"/>
        <c:scaling>
          <c:orientation val="minMax"/>
          <c:max val="45536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802401664410174E-2"/>
          <c:y val="0.23627502623656962"/>
          <c:w val="0.88565822010303863"/>
          <c:h val="0.6430753217912725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'DSGE HVD difference'!$Z$1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difference'!$Z$2:$Z$132</c:f>
              <c:numCache>
                <c:formatCode>0.0000</c:formatCode>
                <c:ptCount val="131"/>
                <c:pt idx="0">
                  <c:v>-1.1864272693190986E-3</c:v>
                </c:pt>
                <c:pt idx="1">
                  <c:v>-9.2186697626449321E-4</c:v>
                </c:pt>
                <c:pt idx="2">
                  <c:v>-6.2993997186189254E-4</c:v>
                </c:pt>
                <c:pt idx="3">
                  <c:v>-3.0916175709580496E-4</c:v>
                </c:pt>
                <c:pt idx="4">
                  <c:v>3.8674394388094058E-5</c:v>
                </c:pt>
                <c:pt idx="5">
                  <c:v>4.0161449828289564E-4</c:v>
                </c:pt>
                <c:pt idx="6">
                  <c:v>7.450645101135106E-4</c:v>
                </c:pt>
                <c:pt idx="7">
                  <c:v>1.0145206968830978E-3</c:v>
                </c:pt>
                <c:pt idx="8">
                  <c:v>1.6912713240288049E-3</c:v>
                </c:pt>
                <c:pt idx="9">
                  <c:v>2.3846668124513012E-3</c:v>
                </c:pt>
                <c:pt idx="10">
                  <c:v>3.3919901648839998E-3</c:v>
                </c:pt>
                <c:pt idx="11">
                  <c:v>3.0605585823369995E-3</c:v>
                </c:pt>
                <c:pt idx="12">
                  <c:v>3.1556837105867035E-3</c:v>
                </c:pt>
                <c:pt idx="13">
                  <c:v>3.3234448824920985E-3</c:v>
                </c:pt>
                <c:pt idx="14">
                  <c:v>2.4937356889799984E-3</c:v>
                </c:pt>
                <c:pt idx="15">
                  <c:v>2.016190079708699E-3</c:v>
                </c:pt>
                <c:pt idx="16">
                  <c:v>1.6038386653264014E-3</c:v>
                </c:pt>
                <c:pt idx="17">
                  <c:v>1.4420022660140003E-3</c:v>
                </c:pt>
                <c:pt idx="18">
                  <c:v>7.694520545393907E-4</c:v>
                </c:pt>
                <c:pt idx="19">
                  <c:v>-2.0308676060659669E-4</c:v>
                </c:pt>
                <c:pt idx="20">
                  <c:v>-4.7735075399099602E-4</c:v>
                </c:pt>
                <c:pt idx="21">
                  <c:v>-1.3656282023428029E-3</c:v>
                </c:pt>
                <c:pt idx="22">
                  <c:v>-1.7964981351362014E-3</c:v>
                </c:pt>
                <c:pt idx="23">
                  <c:v>-2.1072613581011035E-3</c:v>
                </c:pt>
                <c:pt idx="24">
                  <c:v>-3.0195492424821002E-3</c:v>
                </c:pt>
                <c:pt idx="25">
                  <c:v>-3.8805224036214947E-3</c:v>
                </c:pt>
                <c:pt idx="26">
                  <c:v>-4.3051696003475054E-3</c:v>
                </c:pt>
                <c:pt idx="27">
                  <c:v>-5.0010429681340007E-3</c:v>
                </c:pt>
                <c:pt idx="28">
                  <c:v>-5.7298596066309992E-3</c:v>
                </c:pt>
                <c:pt idx="29">
                  <c:v>-6.3754523316850026E-3</c:v>
                </c:pt>
                <c:pt idx="30">
                  <c:v>-7.0991652420539925E-3</c:v>
                </c:pt>
                <c:pt idx="31">
                  <c:v>-7.6883742881750095E-3</c:v>
                </c:pt>
                <c:pt idx="32">
                  <c:v>-8.3232629441979955E-3</c:v>
                </c:pt>
                <c:pt idx="33">
                  <c:v>-8.73111350007999E-3</c:v>
                </c:pt>
                <c:pt idx="34">
                  <c:v>-9.1724951629650053E-3</c:v>
                </c:pt>
                <c:pt idx="35">
                  <c:v>-9.6189000871950009E-3</c:v>
                </c:pt>
                <c:pt idx="36">
                  <c:v>-1.0055867739159993E-2</c:v>
                </c:pt>
                <c:pt idx="37">
                  <c:v>-1.0476603993955003E-2</c:v>
                </c:pt>
                <c:pt idx="38">
                  <c:v>-1.0881594741131984E-2</c:v>
                </c:pt>
                <c:pt idx="39">
                  <c:v>-1.1275467022558994E-2</c:v>
                </c:pt>
                <c:pt idx="40">
                  <c:v>-1.1663298081511009E-2</c:v>
                </c:pt>
                <c:pt idx="41">
                  <c:v>-1.2048018390933002E-2</c:v>
                </c:pt>
                <c:pt idx="42">
                  <c:v>-1.2432738758613004E-2</c:v>
                </c:pt>
                <c:pt idx="43">
                  <c:v>-1.2820725051615994E-2</c:v>
                </c:pt>
                <c:pt idx="44">
                  <c:v>-1.3215411722136999E-2</c:v>
                </c:pt>
                <c:pt idx="45">
                  <c:v>-1.3620485703604995E-2</c:v>
                </c:pt>
                <c:pt idx="46">
                  <c:v>-1.4040211293604998E-2</c:v>
                </c:pt>
                <c:pt idx="47">
                  <c:v>-1.447665096595499E-2</c:v>
                </c:pt>
                <c:pt idx="48">
                  <c:v>-1.4939734130619997E-2</c:v>
                </c:pt>
                <c:pt idx="49">
                  <c:v>-1.543884931247802E-2</c:v>
                </c:pt>
                <c:pt idx="50">
                  <c:v>-1.5991531943911008E-2</c:v>
                </c:pt>
                <c:pt idx="51">
                  <c:v>-1.6628698864142005E-2</c:v>
                </c:pt>
                <c:pt idx="52">
                  <c:v>-1.6778456871725994E-2</c:v>
                </c:pt>
                <c:pt idx="53">
                  <c:v>-1.6407466103429996E-2</c:v>
                </c:pt>
                <c:pt idx="54">
                  <c:v>-1.7669337172751015E-2</c:v>
                </c:pt>
                <c:pt idx="55">
                  <c:v>-1.8039264662635002E-2</c:v>
                </c:pt>
                <c:pt idx="56">
                  <c:v>-1.8730055891249014E-2</c:v>
                </c:pt>
                <c:pt idx="57">
                  <c:v>-1.9341073909204004E-2</c:v>
                </c:pt>
                <c:pt idx="58">
                  <c:v>-2.1002265945899018E-2</c:v>
                </c:pt>
                <c:pt idx="59">
                  <c:v>-2.0761906245319012E-2</c:v>
                </c:pt>
                <c:pt idx="60">
                  <c:v>-2.128912674455799E-2</c:v>
                </c:pt>
                <c:pt idx="61">
                  <c:v>-2.2339284340530979E-2</c:v>
                </c:pt>
                <c:pt idx="62">
                  <c:v>-2.1795387375831005E-2</c:v>
                </c:pt>
                <c:pt idx="63">
                  <c:v>-2.2290428557551006E-2</c:v>
                </c:pt>
                <c:pt idx="64">
                  <c:v>-2.1445651157606993E-2</c:v>
                </c:pt>
                <c:pt idx="65">
                  <c:v>-2.1070831370755994E-2</c:v>
                </c:pt>
                <c:pt idx="66">
                  <c:v>-2.0763541571895E-2</c:v>
                </c:pt>
                <c:pt idx="67">
                  <c:v>-2.0151924224507012E-2</c:v>
                </c:pt>
                <c:pt idx="68">
                  <c:v>-1.9759879274894004E-2</c:v>
                </c:pt>
                <c:pt idx="69">
                  <c:v>-1.896964238717902E-2</c:v>
                </c:pt>
                <c:pt idx="70">
                  <c:v>-1.8819528090713994E-2</c:v>
                </c:pt>
                <c:pt idx="71">
                  <c:v>-1.8587132993711009E-2</c:v>
                </c:pt>
                <c:pt idx="72">
                  <c:v>-1.8357848372594993E-2</c:v>
                </c:pt>
                <c:pt idx="73">
                  <c:v>-1.8131623655599005E-2</c:v>
                </c:pt>
                <c:pt idx="74">
                  <c:v>-1.7908411625456006E-2</c:v>
                </c:pt>
                <c:pt idx="75">
                  <c:v>-1.7688167620450002E-2</c:v>
                </c:pt>
                <c:pt idx="76">
                  <c:v>-1.7470848927252008E-2</c:v>
                </c:pt>
                <c:pt idx="77">
                  <c:v>-1.7256414322940977E-2</c:v>
                </c:pt>
                <c:pt idx="78">
                  <c:v>-1.7044823732670994E-2</c:v>
                </c:pt>
                <c:pt idx="79">
                  <c:v>-1.6836037976628027E-2</c:v>
                </c:pt>
                <c:pt idx="80">
                  <c:v>-1.6630018585570006E-2</c:v>
                </c:pt>
                <c:pt idx="81">
                  <c:v>-1.6426727668791996E-2</c:v>
                </c:pt>
                <c:pt idx="82">
                  <c:v>-1.6226127821834996E-2</c:v>
                </c:pt>
                <c:pt idx="83">
                  <c:v>-1.6028182064126012E-2</c:v>
                </c:pt>
                <c:pt idx="84">
                  <c:v>-1.5832853798888991E-2</c:v>
                </c:pt>
                <c:pt idx="85">
                  <c:v>-1.5640106789422986E-2</c:v>
                </c:pt>
                <c:pt idx="86">
                  <c:v>-1.544990514723199E-2</c:v>
                </c:pt>
                <c:pt idx="87">
                  <c:v>-1.5262213328495977E-2</c:v>
                </c:pt>
                <c:pt idx="88">
                  <c:v>-1.5076996136258985E-2</c:v>
                </c:pt>
                <c:pt idx="89">
                  <c:v>-1.4894218726349995E-2</c:v>
                </c:pt>
                <c:pt idx="90">
                  <c:v>-1.4713846615544007E-2</c:v>
                </c:pt>
                <c:pt idx="91">
                  <c:v>-1.4535845690858001E-2</c:v>
                </c:pt>
                <c:pt idx="92">
                  <c:v>-1.4360182219214007E-2</c:v>
                </c:pt>
                <c:pt idx="93">
                  <c:v>-1.4186822856884995E-2</c:v>
                </c:pt>
                <c:pt idx="94">
                  <c:v>-1.4015734658342993E-2</c:v>
                </c:pt>
                <c:pt idx="95">
                  <c:v>-1.3846885084256993E-2</c:v>
                </c:pt>
                <c:pt idx="96">
                  <c:v>-1.3680242008499988E-2</c:v>
                </c:pt>
                <c:pt idx="97">
                  <c:v>-1.3515773724053021E-2</c:v>
                </c:pt>
                <c:pt idx="98">
                  <c:v>-1.3353448947815996E-2</c:v>
                </c:pt>
                <c:pt idx="99">
                  <c:v>-1.3193236824313004E-2</c:v>
                </c:pt>
                <c:pt idx="100">
                  <c:v>-1.3035106928341006E-2</c:v>
                </c:pt>
                <c:pt idx="101">
                  <c:v>-1.2879029266617006E-2</c:v>
                </c:pt>
                <c:pt idx="102">
                  <c:v>-1.2724974278486997E-2</c:v>
                </c:pt>
                <c:pt idx="103">
                  <c:v>-1.2572912835783004E-2</c:v>
                </c:pt>
                <c:pt idx="104">
                  <c:v>-1.2422816241884002E-2</c:v>
                </c:pt>
                <c:pt idx="105">
                  <c:v>-1.2274656230078007E-2</c:v>
                </c:pt>
                <c:pt idx="106">
                  <c:v>-1.2128404961284006E-2</c:v>
                </c:pt>
                <c:pt idx="107">
                  <c:v>-1.1984035021215006E-2</c:v>
                </c:pt>
                <c:pt idx="108">
                  <c:v>-1.1841519417041008E-2</c:v>
                </c:pt>
                <c:pt idx="109">
                  <c:v>-1.1700831573618994E-2</c:v>
                </c:pt>
                <c:pt idx="110">
                  <c:v>-1.1561945329347012E-2</c:v>
                </c:pt>
                <c:pt idx="111">
                  <c:v>-1.1424834931691996E-2</c:v>
                </c:pt>
                <c:pt idx="112">
                  <c:v>-1.1289475032449994E-2</c:v>
                </c:pt>
                <c:pt idx="113">
                  <c:v>-1.1155840682757004E-2</c:v>
                </c:pt>
                <c:pt idx="114">
                  <c:v>-1.1023907327930002E-2</c:v>
                </c:pt>
                <c:pt idx="115">
                  <c:v>-1.0893650802132004E-2</c:v>
                </c:pt>
                <c:pt idx="116">
                  <c:v>-1.0765047322919108E-2</c:v>
                </c:pt>
                <c:pt idx="117">
                  <c:v>-1.0638073485691193E-2</c:v>
                </c:pt>
                <c:pt idx="118">
                  <c:v>-1.0512706258066301E-2</c:v>
                </c:pt>
                <c:pt idx="119">
                  <c:v>-1.0388922974203199E-2</c:v>
                </c:pt>
                <c:pt idx="120">
                  <c:v>-1.0266701329102498E-2</c:v>
                </c:pt>
                <c:pt idx="121">
                  <c:v>-1.0146019372877194E-2</c:v>
                </c:pt>
                <c:pt idx="122">
                  <c:v>-1.0026855505041704E-2</c:v>
                </c:pt>
                <c:pt idx="123">
                  <c:v>-9.9091884688051052E-3</c:v>
                </c:pt>
                <c:pt idx="124">
                  <c:v>-9.7929973453883962E-3</c:v>
                </c:pt>
                <c:pt idx="125">
                  <c:v>-9.6782615483854001E-3</c:v>
                </c:pt>
                <c:pt idx="126">
                  <c:v>-9.5649608181578999E-3</c:v>
                </c:pt>
                <c:pt idx="127">
                  <c:v>-9.4530752162907961E-3</c:v>
                </c:pt>
                <c:pt idx="128">
                  <c:v>-9.3425851200972104E-3</c:v>
                </c:pt>
                <c:pt idx="129">
                  <c:v>-9.233471217190703E-3</c:v>
                </c:pt>
                <c:pt idx="130">
                  <c:v>-9.1257145001211043E-3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5-455A-80D8-2A5F1650FF71}"/>
            </c:ext>
          </c:extLst>
        </c:ser>
        <c:ser>
          <c:idx val="1"/>
          <c:order val="1"/>
          <c:tx>
            <c:strRef>
              <c:f>'DSGE HVD difference'!$AA$1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difference'!$AA$2:$AA$132</c:f>
              <c:numCache>
                <c:formatCode>0.0000</c:formatCode>
                <c:ptCount val="131"/>
                <c:pt idx="0">
                  <c:v>6.9004925544199902E-3</c:v>
                </c:pt>
                <c:pt idx="1">
                  <c:v>1.1714961121376988E-2</c:v>
                </c:pt>
                <c:pt idx="2">
                  <c:v>1.8729915763933958E-2</c:v>
                </c:pt>
                <c:pt idx="3">
                  <c:v>2.8882484189751978E-2</c:v>
                </c:pt>
                <c:pt idx="4">
                  <c:v>4.3514231910239953E-2</c:v>
                </c:pt>
                <c:pt idx="5">
                  <c:v>6.4557925292259011E-2</c:v>
                </c:pt>
                <c:pt idx="6">
                  <c:v>9.4824501777080017E-2</c:v>
                </c:pt>
                <c:pt idx="7">
                  <c:v>0.12791594094409997</c:v>
                </c:pt>
                <c:pt idx="8">
                  <c:v>0.13477207192494012</c:v>
                </c:pt>
                <c:pt idx="9">
                  <c:v>0.11730057966025498</c:v>
                </c:pt>
                <c:pt idx="10">
                  <c:v>2.0836234060188974E-2</c:v>
                </c:pt>
                <c:pt idx="11">
                  <c:v>2.0674156135626065E-2</c:v>
                </c:pt>
                <c:pt idx="12">
                  <c:v>-1.7786707565269011E-2</c:v>
                </c:pt>
                <c:pt idx="13">
                  <c:v>-9.2071390803747044E-2</c:v>
                </c:pt>
                <c:pt idx="14">
                  <c:v>-5.5166141187743989E-2</c:v>
                </c:pt>
                <c:pt idx="15">
                  <c:v>-3.5198951311341986E-2</c:v>
                </c:pt>
                <c:pt idx="16">
                  <c:v>-9.8250787731550826E-3</c:v>
                </c:pt>
                <c:pt idx="17">
                  <c:v>-6.4845995889787011E-2</c:v>
                </c:pt>
                <c:pt idx="18">
                  <c:v>-8.0962693182250023E-2</c:v>
                </c:pt>
                <c:pt idx="19">
                  <c:v>-3.4046858605542019E-2</c:v>
                </c:pt>
                <c:pt idx="20">
                  <c:v>-3.8461586227080957E-2</c:v>
                </c:pt>
                <c:pt idx="21">
                  <c:v>-1.9157278433049929E-2</c:v>
                </c:pt>
                <c:pt idx="22">
                  <c:v>-2.1097859485958992E-2</c:v>
                </c:pt>
                <c:pt idx="23">
                  <c:v>-4.3802086858290012E-2</c:v>
                </c:pt>
                <c:pt idx="24">
                  <c:v>-3.4947114971620064E-2</c:v>
                </c:pt>
                <c:pt idx="25">
                  <c:v>-9.4522105603990214E-3</c:v>
                </c:pt>
                <c:pt idx="26">
                  <c:v>-3.8651324145868027E-2</c:v>
                </c:pt>
                <c:pt idx="27">
                  <c:v>-4.3031957923910014E-2</c:v>
                </c:pt>
                <c:pt idx="28">
                  <c:v>-3.5706559308215979E-2</c:v>
                </c:pt>
                <c:pt idx="29">
                  <c:v>-3.0811575041340022E-2</c:v>
                </c:pt>
                <c:pt idx="30">
                  <c:v>-2.6442314395306976E-2</c:v>
                </c:pt>
                <c:pt idx="31">
                  <c:v>-1.8059926180642893E-2</c:v>
                </c:pt>
                <c:pt idx="32">
                  <c:v>-1.3052039397609017E-2</c:v>
                </c:pt>
                <c:pt idx="33">
                  <c:v>-6.9940990248309465E-3</c:v>
                </c:pt>
                <c:pt idx="34">
                  <c:v>-3.1542250797900184E-3</c:v>
                </c:pt>
                <c:pt idx="35">
                  <c:v>-7.9176049165008422E-4</c:v>
                </c:pt>
                <c:pt idx="36">
                  <c:v>6.2982410732015381E-4</c:v>
                </c:pt>
                <c:pt idx="37">
                  <c:v>1.5299029997699609E-3</c:v>
                </c:pt>
                <c:pt idx="38">
                  <c:v>2.1354358013201402E-3</c:v>
                </c:pt>
                <c:pt idx="39">
                  <c:v>2.5198352459870899E-3</c:v>
                </c:pt>
                <c:pt idx="40">
                  <c:v>2.6929656281690084E-3</c:v>
                </c:pt>
                <c:pt idx="41">
                  <c:v>2.6771884908600718E-3</c:v>
                </c:pt>
                <c:pt idx="42">
                  <c:v>2.4641897537730495E-3</c:v>
                </c:pt>
                <c:pt idx="43">
                  <c:v>2.015126564139047E-3</c:v>
                </c:pt>
                <c:pt idx="44">
                  <c:v>1.2567158112251064E-3</c:v>
                </c:pt>
                <c:pt idx="45">
                  <c:v>6.9137945667985257E-5</c:v>
                </c:pt>
                <c:pt idx="46">
                  <c:v>-1.7582445391649548E-3</c:v>
                </c:pt>
                <c:pt idx="47">
                  <c:v>-4.010048934222965E-3</c:v>
                </c:pt>
                <c:pt idx="48">
                  <c:v>-7.1768587847850229E-3</c:v>
                </c:pt>
                <c:pt idx="49">
                  <c:v>-1.1592061642496043E-2</c:v>
                </c:pt>
                <c:pt idx="50">
                  <c:v>-1.7851422277145979E-2</c:v>
                </c:pt>
                <c:pt idx="51">
                  <c:v>-2.7118077892622994E-2</c:v>
                </c:pt>
                <c:pt idx="52">
                  <c:v>-3.5117165982556986E-2</c:v>
                </c:pt>
                <c:pt idx="53">
                  <c:v>-1.3890177927607938E-2</c:v>
                </c:pt>
                <c:pt idx="54">
                  <c:v>-4.4611856657670979E-2</c:v>
                </c:pt>
                <c:pt idx="55">
                  <c:v>-9.0071786366931916E-2</c:v>
                </c:pt>
                <c:pt idx="56">
                  <c:v>-0.11019594795074705</c:v>
                </c:pt>
                <c:pt idx="57">
                  <c:v>-0.12834458145253202</c:v>
                </c:pt>
                <c:pt idx="58">
                  <c:v>-2.9666576486962026E-2</c:v>
                </c:pt>
                <c:pt idx="59">
                  <c:v>-8.7338447164553967E-2</c:v>
                </c:pt>
                <c:pt idx="60">
                  <c:v>-6.5197287944781024E-2</c:v>
                </c:pt>
                <c:pt idx="61">
                  <c:v>7.3137789072588999E-2</c:v>
                </c:pt>
                <c:pt idx="62">
                  <c:v>2.8204562758399332E-4</c:v>
                </c:pt>
                <c:pt idx="63">
                  <c:v>6.7867671524094009E-2</c:v>
                </c:pt>
                <c:pt idx="64">
                  <c:v>7.9352153779264994E-2</c:v>
                </c:pt>
                <c:pt idx="65">
                  <c:v>6.6613600878418E-2</c:v>
                </c:pt>
                <c:pt idx="66">
                  <c:v>0.10672018622072019</c:v>
                </c:pt>
                <c:pt idx="67">
                  <c:v>7.3256597619366898E-2</c:v>
                </c:pt>
                <c:pt idx="68">
                  <c:v>7.3606394679453291E-2</c:v>
                </c:pt>
                <c:pt idx="69">
                  <c:v>-4.6295782787361961E-3</c:v>
                </c:pt>
                <c:pt idx="70">
                  <c:v>-2.6651975335077016E-2</c:v>
                </c:pt>
                <c:pt idx="71">
                  <c:v>-2.6385746646271996E-2</c:v>
                </c:pt>
                <c:pt idx="72">
                  <c:v>-2.6122040272077013E-2</c:v>
                </c:pt>
                <c:pt idx="73">
                  <c:v>-2.5860898301694996E-2</c:v>
                </c:pt>
                <c:pt idx="74">
                  <c:v>-2.5602330033082987E-2</c:v>
                </c:pt>
                <c:pt idx="75">
                  <c:v>-2.5346327867693016E-2</c:v>
                </c:pt>
                <c:pt idx="76">
                  <c:v>-2.5092875560211003E-2</c:v>
                </c:pt>
                <c:pt idx="77">
                  <c:v>-2.4841952499782008E-2</c:v>
                </c:pt>
                <c:pt idx="78">
                  <c:v>-2.4593535931161009E-2</c:v>
                </c:pt>
                <c:pt idx="79">
                  <c:v>-2.4347602106512004E-2</c:v>
                </c:pt>
                <c:pt idx="80">
                  <c:v>-2.4104126882092985E-2</c:v>
                </c:pt>
                <c:pt idx="81">
                  <c:v>-2.3863086026813987E-2</c:v>
                </c:pt>
                <c:pt idx="82">
                  <c:v>-2.3624455381216006E-2</c:v>
                </c:pt>
                <c:pt idx="83">
                  <c:v>-2.3388210938839013E-2</c:v>
                </c:pt>
                <c:pt idx="84">
                  <c:v>-2.3154328887296988E-2</c:v>
                </c:pt>
                <c:pt idx="85">
                  <c:v>-2.2922785628452E-2</c:v>
                </c:pt>
                <c:pt idx="86">
                  <c:v>-2.2693557787756002E-2</c:v>
                </c:pt>
                <c:pt idx="87">
                  <c:v>-2.2466622217968996E-2</c:v>
                </c:pt>
                <c:pt idx="88">
                  <c:v>-2.2241955999990001E-2</c:v>
                </c:pt>
                <c:pt idx="89">
                  <c:v>-2.2019536442171E-2</c:v>
                </c:pt>
                <c:pt idx="90">
                  <c:v>-2.1799341078882012E-2</c:v>
                </c:pt>
                <c:pt idx="91">
                  <c:v>-2.1581347668680001E-2</c:v>
                </c:pt>
                <c:pt idx="92">
                  <c:v>-2.1365534192299002E-2</c:v>
                </c:pt>
                <c:pt idx="93">
                  <c:v>-2.115187885053299E-2</c:v>
                </c:pt>
                <c:pt idx="94">
                  <c:v>-2.0940360062109989E-2</c:v>
                </c:pt>
                <c:pt idx="95">
                  <c:v>-2.07309564615311E-2</c:v>
                </c:pt>
                <c:pt idx="96">
                  <c:v>-2.0523646896938599E-2</c:v>
                </c:pt>
                <c:pt idx="97">
                  <c:v>-2.0318410427979994E-2</c:v>
                </c:pt>
                <c:pt idx="98">
                  <c:v>-2.0115226323707006E-2</c:v>
                </c:pt>
                <c:pt idx="99">
                  <c:v>-1.9914074060472992E-2</c:v>
                </c:pt>
                <c:pt idx="100">
                  <c:v>-1.971493331986951E-2</c:v>
                </c:pt>
                <c:pt idx="101">
                  <c:v>-1.9517783986671505E-2</c:v>
                </c:pt>
                <c:pt idx="102">
                  <c:v>-1.9322606146805199E-2</c:v>
                </c:pt>
                <c:pt idx="103">
                  <c:v>-1.9129380085338099E-2</c:v>
                </c:pt>
                <c:pt idx="104">
                  <c:v>-1.8938086284484498E-2</c:v>
                </c:pt>
                <c:pt idx="105">
                  <c:v>-1.8748705421640102E-2</c:v>
                </c:pt>
                <c:pt idx="106">
                  <c:v>-1.8561218367423402E-2</c:v>
                </c:pt>
                <c:pt idx="107">
                  <c:v>-1.8375606183749102E-2</c:v>
                </c:pt>
                <c:pt idx="108">
                  <c:v>-1.8191850121911199E-2</c:v>
                </c:pt>
                <c:pt idx="109">
                  <c:v>-1.8009931620692005E-2</c:v>
                </c:pt>
                <c:pt idx="110">
                  <c:v>-1.7829832304485899E-2</c:v>
                </c:pt>
                <c:pt idx="111">
                  <c:v>-1.7651533981441203E-2</c:v>
                </c:pt>
                <c:pt idx="112">
                  <c:v>-1.7475018641626108E-2</c:v>
                </c:pt>
                <c:pt idx="113">
                  <c:v>-1.7300268455210099E-2</c:v>
                </c:pt>
                <c:pt idx="114">
                  <c:v>-1.7127265770658498E-2</c:v>
                </c:pt>
                <c:pt idx="115">
                  <c:v>-1.6955993112951789E-2</c:v>
                </c:pt>
                <c:pt idx="116">
                  <c:v>-1.6786433181822408E-2</c:v>
                </c:pt>
                <c:pt idx="117">
                  <c:v>-1.6618568850004095E-2</c:v>
                </c:pt>
                <c:pt idx="118">
                  <c:v>-1.6452383161504089E-2</c:v>
                </c:pt>
                <c:pt idx="119">
                  <c:v>-1.6287859329889104E-2</c:v>
                </c:pt>
                <c:pt idx="120">
                  <c:v>-1.6124980736590189E-2</c:v>
                </c:pt>
                <c:pt idx="121">
                  <c:v>-1.596373092922429E-2</c:v>
                </c:pt>
                <c:pt idx="122">
                  <c:v>-1.5804093619932E-2</c:v>
                </c:pt>
                <c:pt idx="123">
                  <c:v>-1.56460526837328E-2</c:v>
                </c:pt>
                <c:pt idx="124">
                  <c:v>-1.548959215689541E-2</c:v>
                </c:pt>
                <c:pt idx="125">
                  <c:v>-1.5334696235326503E-2</c:v>
                </c:pt>
                <c:pt idx="126">
                  <c:v>-1.5181349272973196E-2</c:v>
                </c:pt>
                <c:pt idx="127">
                  <c:v>-1.5029535780243589E-2</c:v>
                </c:pt>
                <c:pt idx="128">
                  <c:v>-1.4879240422441098E-2</c:v>
                </c:pt>
                <c:pt idx="129">
                  <c:v>-1.4730448018216713E-2</c:v>
                </c:pt>
                <c:pt idx="130">
                  <c:v>-1.4583143538034499E-2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C5-455A-80D8-2A5F1650FF71}"/>
            </c:ext>
          </c:extLst>
        </c:ser>
        <c:ser>
          <c:idx val="2"/>
          <c:order val="2"/>
          <c:tx>
            <c:strRef>
              <c:f>'DSGE HVD difference'!$AB$1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difference'!$AB$2:$AB$132</c:f>
              <c:numCache>
                <c:formatCode>0.0000</c:formatCode>
                <c:ptCount val="131"/>
                <c:pt idx="0">
                  <c:v>0.24643353365153203</c:v>
                </c:pt>
                <c:pt idx="1">
                  <c:v>0.26664785572696398</c:v>
                </c:pt>
                <c:pt idx="2">
                  <c:v>0.28890318287525601</c:v>
                </c:pt>
                <c:pt idx="3">
                  <c:v>0.31337762169681804</c:v>
                </c:pt>
                <c:pt idx="4">
                  <c:v>0.34023860947856599</c:v>
                </c:pt>
                <c:pt idx="5">
                  <c:v>0.36962871619807403</c:v>
                </c:pt>
                <c:pt idx="6">
                  <c:v>0.40165261753518111</c:v>
                </c:pt>
                <c:pt idx="7">
                  <c:v>0.43125937016614802</c:v>
                </c:pt>
                <c:pt idx="8">
                  <c:v>0.41208043957724</c:v>
                </c:pt>
                <c:pt idx="9">
                  <c:v>0.34499253614928599</c:v>
                </c:pt>
                <c:pt idx="10">
                  <c:v>0.16076017436518711</c:v>
                </c:pt>
                <c:pt idx="11">
                  <c:v>9.3349237984381592E-2</c:v>
                </c:pt>
                <c:pt idx="12">
                  <c:v>-2.8112408684081797E-2</c:v>
                </c:pt>
                <c:pt idx="13">
                  <c:v>-0.1973027123995546</c:v>
                </c:pt>
                <c:pt idx="14">
                  <c:v>-0.21509557169776028</c:v>
                </c:pt>
                <c:pt idx="15">
                  <c:v>-0.2443591922973406</c:v>
                </c:pt>
                <c:pt idx="16">
                  <c:v>-0.26275562158347832</c:v>
                </c:pt>
                <c:pt idx="17">
                  <c:v>-0.37950314831230597</c:v>
                </c:pt>
                <c:pt idx="18">
                  <c:v>-0.44229867558583974</c:v>
                </c:pt>
                <c:pt idx="19">
                  <c:v>-0.4163615570138644</c:v>
                </c:pt>
                <c:pt idx="20">
                  <c:v>-0.45149863174881505</c:v>
                </c:pt>
                <c:pt idx="21">
                  <c:v>-0.4495935426404194</c:v>
                </c:pt>
                <c:pt idx="22">
                  <c:v>-0.47669572032165614</c:v>
                </c:pt>
                <c:pt idx="23">
                  <c:v>-0.52699564246452291</c:v>
                </c:pt>
                <c:pt idx="24">
                  <c:v>-0.52963611883382133</c:v>
                </c:pt>
                <c:pt idx="25">
                  <c:v>-0.50828762149507101</c:v>
                </c:pt>
                <c:pt idx="26">
                  <c:v>-0.55566101580105098</c:v>
                </c:pt>
                <c:pt idx="27">
                  <c:v>-0.569097201407327</c:v>
                </c:pt>
                <c:pt idx="28">
                  <c:v>-0.56471101167759297</c:v>
                </c:pt>
                <c:pt idx="29">
                  <c:v>-0.55938345604030904</c:v>
                </c:pt>
                <c:pt idx="30">
                  <c:v>-0.55021881056910393</c:v>
                </c:pt>
                <c:pt idx="31">
                  <c:v>-0.53615245183516702</c:v>
                </c:pt>
                <c:pt idx="32">
                  <c:v>-0.52365874765918097</c:v>
                </c:pt>
                <c:pt idx="33">
                  <c:v>-0.51248601023596008</c:v>
                </c:pt>
                <c:pt idx="34">
                  <c:v>-0.50374858284924284</c:v>
                </c:pt>
                <c:pt idx="35">
                  <c:v>-0.49718636501865737</c:v>
                </c:pt>
                <c:pt idx="36">
                  <c:v>-0.49260064589920349</c:v>
                </c:pt>
                <c:pt idx="37">
                  <c:v>-0.489828246596064</c:v>
                </c:pt>
                <c:pt idx="38">
                  <c:v>-0.48878553542544401</c:v>
                </c:pt>
                <c:pt idx="39">
                  <c:v>-0.48945456358687001</c:v>
                </c:pt>
                <c:pt idx="40">
                  <c:v>-0.49184460818993497</c:v>
                </c:pt>
                <c:pt idx="41">
                  <c:v>-0.49596052660265399</c:v>
                </c:pt>
                <c:pt idx="42">
                  <c:v>-0.50182432554676093</c:v>
                </c:pt>
                <c:pt idx="43">
                  <c:v>-0.50947434478618103</c:v>
                </c:pt>
                <c:pt idx="44">
                  <c:v>-0.51896445034854399</c:v>
                </c:pt>
                <c:pt idx="45">
                  <c:v>-0.53036512309366801</c:v>
                </c:pt>
                <c:pt idx="46">
                  <c:v>-0.54377824965421206</c:v>
                </c:pt>
                <c:pt idx="47">
                  <c:v>-0.55905867470827697</c:v>
                </c:pt>
                <c:pt idx="48">
                  <c:v>-0.57631768507007186</c:v>
                </c:pt>
                <c:pt idx="49">
                  <c:v>-0.59562860860797351</c:v>
                </c:pt>
                <c:pt idx="50">
                  <c:v>-0.61708764473922395</c:v>
                </c:pt>
                <c:pt idx="51">
                  <c:v>-0.64100246399203398</c:v>
                </c:pt>
                <c:pt idx="52">
                  <c:v>-0.66647949628600633</c:v>
                </c:pt>
                <c:pt idx="53">
                  <c:v>-0.63225099276288288</c:v>
                </c:pt>
                <c:pt idx="54">
                  <c:v>-0.68596645727874106</c:v>
                </c:pt>
                <c:pt idx="55">
                  <c:v>-0.74218045255665233</c:v>
                </c:pt>
                <c:pt idx="56">
                  <c:v>-0.76096695766454514</c:v>
                </c:pt>
                <c:pt idx="57">
                  <c:v>-0.76286188551486644</c:v>
                </c:pt>
                <c:pt idx="58">
                  <c:v>-0.59794380763685606</c:v>
                </c:pt>
                <c:pt idx="59">
                  <c:v>-0.625865322965521</c:v>
                </c:pt>
                <c:pt idx="60">
                  <c:v>-0.54561080147335894</c:v>
                </c:pt>
                <c:pt idx="61">
                  <c:v>-0.3046942794459237</c:v>
                </c:pt>
                <c:pt idx="62">
                  <c:v>-0.33235755639872011</c:v>
                </c:pt>
                <c:pt idx="63">
                  <c:v>-0.19141690000411199</c:v>
                </c:pt>
                <c:pt idx="64">
                  <c:v>-0.13392499796966101</c:v>
                </c:pt>
                <c:pt idx="65">
                  <c:v>-0.11294758027805002</c:v>
                </c:pt>
                <c:pt idx="66">
                  <c:v>-3.6661739612871003E-2</c:v>
                </c:pt>
                <c:pt idx="67">
                  <c:v>-6.4476718442623981E-2</c:v>
                </c:pt>
                <c:pt idx="68">
                  <c:v>-6.0555051104310975E-2</c:v>
                </c:pt>
                <c:pt idx="69">
                  <c:v>-0.16648145137735698</c:v>
                </c:pt>
                <c:pt idx="70">
                  <c:v>-0.204175285361548</c:v>
                </c:pt>
                <c:pt idx="71">
                  <c:v>-0.20198478633878902</c:v>
                </c:pt>
                <c:pt idx="72">
                  <c:v>-0.19986132325363198</c:v>
                </c:pt>
                <c:pt idx="73">
                  <c:v>-0.197790532604734</c:v>
                </c:pt>
                <c:pt idx="74">
                  <c:v>-0.19576234915020796</c:v>
                </c:pt>
                <c:pt idx="75">
                  <c:v>-0.193769702373988</c:v>
                </c:pt>
                <c:pt idx="76">
                  <c:v>-0.19180760845025396</c:v>
                </c:pt>
                <c:pt idx="77">
                  <c:v>-0.18987253770822199</c:v>
                </c:pt>
                <c:pt idx="78">
                  <c:v>-0.18796197400805004</c:v>
                </c:pt>
                <c:pt idx="79">
                  <c:v>-0.18607410780031597</c:v>
                </c:pt>
                <c:pt idx="80">
                  <c:v>-0.18420762230832402</c:v>
                </c:pt>
                <c:pt idx="81">
                  <c:v>-0.182361544578966</c:v>
                </c:pt>
                <c:pt idx="82">
                  <c:v>-0.18053514172048102</c:v>
                </c:pt>
                <c:pt idx="83">
                  <c:v>-0.17872784861707197</c:v>
                </c:pt>
                <c:pt idx="84">
                  <c:v>-0.17693921757004</c:v>
                </c:pt>
                <c:pt idx="85">
                  <c:v>-0.17516888321280799</c:v>
                </c:pt>
                <c:pt idx="86">
                  <c:v>-0.17341653806563598</c:v>
                </c:pt>
                <c:pt idx="87">
                  <c:v>-0.17168191550192</c:v>
                </c:pt>
                <c:pt idx="88">
                  <c:v>-0.169964777877361</c:v>
                </c:pt>
                <c:pt idx="89">
                  <c:v>-0.16826490825561602</c:v>
                </c:pt>
                <c:pt idx="90">
                  <c:v>-0.166582104639275</c:v>
                </c:pt>
                <c:pt idx="91">
                  <c:v>-0.16491617594605903</c:v>
                </c:pt>
                <c:pt idx="92">
                  <c:v>-0.16326693920080598</c:v>
                </c:pt>
                <c:pt idx="93">
                  <c:v>-0.16163421757437998</c:v>
                </c:pt>
                <c:pt idx="94">
                  <c:v>-0.16001783901261898</c:v>
                </c:pt>
                <c:pt idx="95">
                  <c:v>-0.15841763527632499</c:v>
                </c:pt>
                <c:pt idx="96">
                  <c:v>-0.15683344126765303</c:v>
                </c:pt>
                <c:pt idx="97">
                  <c:v>-0.15526509455603199</c:v>
                </c:pt>
                <c:pt idx="98">
                  <c:v>-0.15371243504314003</c:v>
                </c:pt>
                <c:pt idx="99">
                  <c:v>-0.15217530472478299</c:v>
                </c:pt>
                <c:pt idx="100">
                  <c:v>-0.150653547520333</c:v>
                </c:pt>
                <c:pt idx="101">
                  <c:v>-0.14914700914925996</c:v>
                </c:pt>
                <c:pt idx="102">
                  <c:v>-0.14765553704053203</c:v>
                </c:pt>
                <c:pt idx="103">
                  <c:v>-0.146178980264939</c:v>
                </c:pt>
                <c:pt idx="104">
                  <c:v>-0.144717189483448</c:v>
                </c:pt>
                <c:pt idx="105">
                  <c:v>-0.14327001690676203</c:v>
                </c:pt>
                <c:pt idx="106">
                  <c:v>-0.14183731626272297</c:v>
                </c:pt>
                <c:pt idx="107">
                  <c:v>-0.140418942769234</c:v>
                </c:pt>
                <c:pt idx="108">
                  <c:v>-0.13901475311106803</c:v>
                </c:pt>
                <c:pt idx="109">
                  <c:v>-0.13762460541940999</c:v>
                </c:pt>
                <c:pt idx="110">
                  <c:v>-0.13624835925338102</c:v>
                </c:pt>
                <c:pt idx="111">
                  <c:v>-0.13488587558294401</c:v>
                </c:pt>
                <c:pt idx="112">
                  <c:v>-0.13353701677284799</c:v>
                </c:pt>
                <c:pt idx="113">
                  <c:v>-0.13220164656731798</c:v>
                </c:pt>
                <c:pt idx="114">
                  <c:v>-0.13087963007531203</c:v>
                </c:pt>
                <c:pt idx="115">
                  <c:v>-0.12957083375621598</c:v>
                </c:pt>
                <c:pt idx="116">
                  <c:v>-0.12827512540587596</c:v>
                </c:pt>
                <c:pt idx="117">
                  <c:v>-0.126992374142917</c:v>
                </c:pt>
                <c:pt idx="118">
                  <c:v>-0.12572245039528698</c:v>
                </c:pt>
                <c:pt idx="119">
                  <c:v>-0.12446522588701597</c:v>
                </c:pt>
                <c:pt idx="120">
                  <c:v>-0.123220573625137</c:v>
                </c:pt>
                <c:pt idx="121">
                  <c:v>-0.12198836788679002</c:v>
                </c:pt>
                <c:pt idx="122">
                  <c:v>-0.12076848420646299</c:v>
                </c:pt>
                <c:pt idx="123">
                  <c:v>-0.11956079936338099</c:v>
                </c:pt>
                <c:pt idx="124">
                  <c:v>-0.11836519136903803</c:v>
                </c:pt>
                <c:pt idx="125">
                  <c:v>-0.11718153945485499</c:v>
                </c:pt>
                <c:pt idx="126">
                  <c:v>-0.11600972405996299</c:v>
                </c:pt>
                <c:pt idx="127">
                  <c:v>-0.11484962681912403</c:v>
                </c:pt>
                <c:pt idx="128">
                  <c:v>-0.11370113055076603</c:v>
                </c:pt>
                <c:pt idx="129">
                  <c:v>-0.11256411924514198</c:v>
                </c:pt>
                <c:pt idx="130">
                  <c:v>-0.11143847805261001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C5-455A-80D8-2A5F1650FF71}"/>
            </c:ext>
          </c:extLst>
        </c:ser>
        <c:ser>
          <c:idx val="3"/>
          <c:order val="3"/>
          <c:tx>
            <c:strRef>
              <c:f>'DSGE HVD difference'!$AC$1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difference'!$AC$2:$AC$132</c:f>
              <c:numCache>
                <c:formatCode>0.0000</c:formatCode>
                <c:ptCount val="131"/>
                <c:pt idx="0">
                  <c:v>0.11573476067081581</c:v>
                </c:pt>
                <c:pt idx="1">
                  <c:v>0.13323039028664713</c:v>
                </c:pt>
                <c:pt idx="2">
                  <c:v>0.153367165678921</c:v>
                </c:pt>
                <c:pt idx="3">
                  <c:v>0.17664882360086301</c:v>
                </c:pt>
                <c:pt idx="4">
                  <c:v>0.20374294614090499</c:v>
                </c:pt>
                <c:pt idx="5">
                  <c:v>0.23556095465828997</c:v>
                </c:pt>
                <c:pt idx="6">
                  <c:v>0.27334145457312203</c:v>
                </c:pt>
                <c:pt idx="7">
                  <c:v>0.31519730760383513</c:v>
                </c:pt>
                <c:pt idx="8">
                  <c:v>0.319739574929368</c:v>
                </c:pt>
                <c:pt idx="9">
                  <c:v>0.28642084893383224</c:v>
                </c:pt>
                <c:pt idx="10">
                  <c:v>0.14997875606572808</c:v>
                </c:pt>
                <c:pt idx="11">
                  <c:v>0.12058251774515862</c:v>
                </c:pt>
                <c:pt idx="12">
                  <c:v>4.2146368560859557E-2</c:v>
                </c:pt>
                <c:pt idx="13">
                  <c:v>-8.0365331141268342E-2</c:v>
                </c:pt>
                <c:pt idx="14">
                  <c:v>-6.8106505820037216E-2</c:v>
                </c:pt>
                <c:pt idx="15">
                  <c:v>-6.8471249777555213E-2</c:v>
                </c:pt>
                <c:pt idx="16">
                  <c:v>-6.1009244176941535E-2</c:v>
                </c:pt>
                <c:pt idx="17">
                  <c:v>-0.14300312930274817</c:v>
                </c:pt>
                <c:pt idx="18">
                  <c:v>-0.17719394100466471</c:v>
                </c:pt>
                <c:pt idx="19">
                  <c:v>-0.13302286994908041</c:v>
                </c:pt>
                <c:pt idx="20">
                  <c:v>-0.14705537419660658</c:v>
                </c:pt>
                <c:pt idx="21">
                  <c:v>-0.12740499518844303</c:v>
                </c:pt>
                <c:pt idx="22">
                  <c:v>-0.13483457215932904</c:v>
                </c:pt>
                <c:pt idx="23">
                  <c:v>-0.16529168711083958</c:v>
                </c:pt>
                <c:pt idx="24">
                  <c:v>-0.15441393468388198</c:v>
                </c:pt>
                <c:pt idx="25">
                  <c:v>-0.12322951535565227</c:v>
                </c:pt>
                <c:pt idx="26">
                  <c:v>-0.15476509929814003</c:v>
                </c:pt>
                <c:pt idx="27">
                  <c:v>-0.15658981844390615</c:v>
                </c:pt>
                <c:pt idx="28">
                  <c:v>-0.14386594357588794</c:v>
                </c:pt>
                <c:pt idx="29">
                  <c:v>-0.131891377137758</c:v>
                </c:pt>
                <c:pt idx="30">
                  <c:v>-0.11717229368798501</c:v>
                </c:pt>
                <c:pt idx="31">
                  <c:v>-9.8781298715186039E-2</c:v>
                </c:pt>
                <c:pt idx="32">
                  <c:v>-8.1332937331572097E-2</c:v>
                </c:pt>
                <c:pt idx="33">
                  <c:v>-6.5706770213607046E-2</c:v>
                </c:pt>
                <c:pt idx="34">
                  <c:v>-5.301132589419294E-2</c:v>
                </c:pt>
                <c:pt idx="35">
                  <c:v>-4.2864558345152015E-2</c:v>
                </c:pt>
                <c:pt idx="36">
                  <c:v>-3.4895803467815012E-2</c:v>
                </c:pt>
                <c:pt idx="37">
                  <c:v>-2.8837231649325001E-2</c:v>
                </c:pt>
                <c:pt idx="38">
                  <c:v>-2.4562507690171043E-2</c:v>
                </c:pt>
                <c:pt idx="39">
                  <c:v>-2.203329207082802E-2</c:v>
                </c:pt>
                <c:pt idx="40">
                  <c:v>-2.123768020066602E-2</c:v>
                </c:pt>
                <c:pt idx="41">
                  <c:v>-2.2169737557368979E-2</c:v>
                </c:pt>
                <c:pt idx="42">
                  <c:v>-2.4846935070675924E-2</c:v>
                </c:pt>
                <c:pt idx="43">
                  <c:v>-2.9310186822715939E-2</c:v>
                </c:pt>
                <c:pt idx="44">
                  <c:v>-3.5624498430771007E-2</c:v>
                </c:pt>
                <c:pt idx="45">
                  <c:v>-4.3882513323359962E-2</c:v>
                </c:pt>
                <c:pt idx="46">
                  <c:v>-5.4209366220707045E-2</c:v>
                </c:pt>
                <c:pt idx="47">
                  <c:v>-6.6910669950404983E-2</c:v>
                </c:pt>
                <c:pt idx="48">
                  <c:v>-8.1511841757463038E-2</c:v>
                </c:pt>
                <c:pt idx="49">
                  <c:v>-9.8328752433224947E-2</c:v>
                </c:pt>
                <c:pt idx="50">
                  <c:v>-0.11762195508626197</c:v>
                </c:pt>
                <c:pt idx="51">
                  <c:v>-0.14036434934199502</c:v>
                </c:pt>
                <c:pt idx="52">
                  <c:v>-0.17399309109153405</c:v>
                </c:pt>
                <c:pt idx="53">
                  <c:v>-0.131150277037</c:v>
                </c:pt>
                <c:pt idx="54">
                  <c:v>-0.20345317906743898</c:v>
                </c:pt>
                <c:pt idx="55">
                  <c:v>-0.25646307403583901</c:v>
                </c:pt>
                <c:pt idx="56">
                  <c:v>-0.28185169587627701</c:v>
                </c:pt>
                <c:pt idx="57">
                  <c:v>-0.29713682953293818</c:v>
                </c:pt>
                <c:pt idx="58">
                  <c:v>-0.16339864521019901</c:v>
                </c:pt>
                <c:pt idx="59">
                  <c:v>-0.20568039031778498</c:v>
                </c:pt>
                <c:pt idx="60">
                  <c:v>-0.15174215529965904</c:v>
                </c:pt>
                <c:pt idx="61">
                  <c:v>4.5811524527481912E-2</c:v>
                </c:pt>
                <c:pt idx="62">
                  <c:v>4.5493447256150232E-3</c:v>
                </c:pt>
                <c:pt idx="63">
                  <c:v>0.1210487701608059</c:v>
                </c:pt>
                <c:pt idx="64">
                  <c:v>0.16199938900868796</c:v>
                </c:pt>
                <c:pt idx="65">
                  <c:v>0.17315480406318398</c:v>
                </c:pt>
                <c:pt idx="66">
                  <c:v>0.23573243062813903</c:v>
                </c:pt>
                <c:pt idx="67">
                  <c:v>0.206837466884918</c:v>
                </c:pt>
                <c:pt idx="68">
                  <c:v>0.20838811726303338</c:v>
                </c:pt>
                <c:pt idx="69">
                  <c:v>0.11161741076005305</c:v>
                </c:pt>
                <c:pt idx="70">
                  <c:v>7.6893582542794048E-2</c:v>
                </c:pt>
                <c:pt idx="71">
                  <c:v>7.801886970451799E-2</c:v>
                </c:pt>
                <c:pt idx="72">
                  <c:v>7.8990788417008018E-2</c:v>
                </c:pt>
                <c:pt idx="73">
                  <c:v>7.9826348635793964E-2</c:v>
                </c:pt>
                <c:pt idx="74">
                  <c:v>8.0540130203270999E-2</c:v>
                </c:pt>
                <c:pt idx="75">
                  <c:v>8.1144696291378021E-2</c:v>
                </c:pt>
                <c:pt idx="76">
                  <c:v>8.1650930245741965E-2</c:v>
                </c:pt>
                <c:pt idx="77">
                  <c:v>8.2068310601193961E-2</c:v>
                </c:pt>
                <c:pt idx="78">
                  <c:v>8.2405136133342022E-2</c:v>
                </c:pt>
                <c:pt idx="79">
                  <c:v>8.2668710483234986E-2</c:v>
                </c:pt>
                <c:pt idx="80">
                  <c:v>8.2865494026487019E-2</c:v>
                </c:pt>
                <c:pt idx="81">
                  <c:v>8.3001229162387974E-2</c:v>
                </c:pt>
                <c:pt idx="82">
                  <c:v>8.3081043998548987E-2</c:v>
                </c:pt>
                <c:pt idx="83">
                  <c:v>8.3109538443571995E-2</c:v>
                </c:pt>
                <c:pt idx="84">
                  <c:v>8.3090855946926001E-2</c:v>
                </c:pt>
                <c:pt idx="85">
                  <c:v>8.302874350386899E-2</c:v>
                </c:pt>
                <c:pt idx="86">
                  <c:v>8.292660204365998E-2</c:v>
                </c:pt>
                <c:pt idx="87">
                  <c:v>8.2787528917408981E-2</c:v>
                </c:pt>
                <c:pt idx="88">
                  <c:v>8.2614353878278979E-2</c:v>
                </c:pt>
                <c:pt idx="89">
                  <c:v>8.2409669685915982E-2</c:v>
                </c:pt>
                <c:pt idx="90">
                  <c:v>8.2175858256596013E-2</c:v>
                </c:pt>
                <c:pt idx="91">
                  <c:v>8.1915113110761995E-2</c:v>
                </c:pt>
                <c:pt idx="92">
                  <c:v>8.1629458732199997E-2</c:v>
                </c:pt>
                <c:pt idx="93">
                  <c:v>8.1320767342034972E-2</c:v>
                </c:pt>
                <c:pt idx="94">
                  <c:v>8.0990773500619007E-2</c:v>
                </c:pt>
                <c:pt idx="95">
                  <c:v>8.0641086877295001E-2</c:v>
                </c:pt>
                <c:pt idx="96">
                  <c:v>8.0273203468565896E-2</c:v>
                </c:pt>
                <c:pt idx="97">
                  <c:v>7.9888515496838411E-2</c:v>
                </c:pt>
                <c:pt idx="98">
                  <c:v>7.9488320182462435E-2</c:v>
                </c:pt>
                <c:pt idx="99">
                  <c:v>7.9073827549469219E-2</c:v>
                </c:pt>
                <c:pt idx="100">
                  <c:v>7.8646167399059982E-2</c:v>
                </c:pt>
                <c:pt idx="101">
                  <c:v>7.8206395563176406E-2</c:v>
                </c:pt>
                <c:pt idx="102">
                  <c:v>7.7755499532645184E-2</c:v>
                </c:pt>
                <c:pt idx="103">
                  <c:v>7.7294403539686279E-2</c:v>
                </c:pt>
                <c:pt idx="104">
                  <c:v>7.6823973162399084E-2</c:v>
                </c:pt>
                <c:pt idx="105">
                  <c:v>7.6345019508729475E-2</c:v>
                </c:pt>
                <c:pt idx="106">
                  <c:v>7.5858303029059881E-2</c:v>
                </c:pt>
                <c:pt idx="107">
                  <c:v>7.5364536999526319E-2</c:v>
                </c:pt>
                <c:pt idx="108">
                  <c:v>7.4864390712319095E-2</c:v>
                </c:pt>
                <c:pt idx="109">
                  <c:v>7.4358492404298704E-2</c:v>
                </c:pt>
                <c:pt idx="110">
                  <c:v>7.3847431951115372E-2</c:v>
                </c:pt>
                <c:pt idx="111">
                  <c:v>7.3331763350489604E-2</c:v>
                </c:pt>
                <c:pt idx="112">
                  <c:v>7.2812007015375296E-2</c:v>
                </c:pt>
                <c:pt idx="113">
                  <c:v>7.2288651895144718E-2</c:v>
                </c:pt>
                <c:pt idx="114">
                  <c:v>7.176215744082251E-2</c:v>
                </c:pt>
                <c:pt idx="115">
                  <c:v>7.1232955428477795E-2</c:v>
                </c:pt>
                <c:pt idx="116">
                  <c:v>7.070145165334199E-2</c:v>
                </c:pt>
                <c:pt idx="117">
                  <c:v>7.0168027505795899E-2</c:v>
                </c:pt>
                <c:pt idx="118">
                  <c:v>6.9633041439201598E-2</c:v>
                </c:pt>
                <c:pt idx="119">
                  <c:v>6.9096830338491178E-2</c:v>
                </c:pt>
                <c:pt idx="120">
                  <c:v>6.8559710797515508E-2</c:v>
                </c:pt>
                <c:pt idx="121">
                  <c:v>6.8021980312394398E-2</c:v>
                </c:pt>
                <c:pt idx="122">
                  <c:v>6.7483918397344689E-2</c:v>
                </c:pt>
                <c:pt idx="123">
                  <c:v>6.6945787628908404E-2</c:v>
                </c:pt>
                <c:pt idx="124">
                  <c:v>6.6407834623929698E-2</c:v>
                </c:pt>
                <c:pt idx="125">
                  <c:v>6.5870290956119779E-2</c:v>
                </c:pt>
                <c:pt idx="126">
                  <c:v>6.5333374015678514E-2</c:v>
                </c:pt>
                <c:pt idx="127">
                  <c:v>6.4797287815995891E-2</c:v>
                </c:pt>
                <c:pt idx="128">
                  <c:v>6.426222375115398E-2</c:v>
                </c:pt>
                <c:pt idx="129">
                  <c:v>6.3728361307606798E-2</c:v>
                </c:pt>
                <c:pt idx="130">
                  <c:v>6.3195868733189192E-2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C5-455A-80D8-2A5F1650FF71}"/>
            </c:ext>
          </c:extLst>
        </c:ser>
        <c:ser>
          <c:idx val="4"/>
          <c:order val="4"/>
          <c:tx>
            <c:strRef>
              <c:f>'DSGE HVD difference'!$AD$1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difference'!$AD$2:$AD$132</c:f>
              <c:numCache>
                <c:formatCode>0.0000</c:formatCode>
                <c:ptCount val="131"/>
                <c:pt idx="0">
                  <c:v>3.7480444855083998E-3</c:v>
                </c:pt>
                <c:pt idx="1">
                  <c:v>5.1548791726380022E-3</c:v>
                </c:pt>
                <c:pt idx="2">
                  <c:v>6.7903527984395015E-3</c:v>
                </c:pt>
                <c:pt idx="3">
                  <c:v>8.6883072667308936E-3</c:v>
                </c:pt>
                <c:pt idx="4">
                  <c:v>1.0886957796264904E-2</c:v>
                </c:pt>
                <c:pt idx="5">
                  <c:v>1.3428643887156991E-2</c:v>
                </c:pt>
                <c:pt idx="6">
                  <c:v>1.6355230461791506E-2</c:v>
                </c:pt>
                <c:pt idx="7">
                  <c:v>1.9763204854061994E-2</c:v>
                </c:pt>
                <c:pt idx="8">
                  <c:v>2.1487743028390016E-2</c:v>
                </c:pt>
                <c:pt idx="9">
                  <c:v>2.230474438645999E-2</c:v>
                </c:pt>
                <c:pt idx="10">
                  <c:v>2.0600002611519799E-2</c:v>
                </c:pt>
                <c:pt idx="11">
                  <c:v>2.2051160350909024E-2</c:v>
                </c:pt>
                <c:pt idx="12">
                  <c:v>2.20429970424738E-2</c:v>
                </c:pt>
                <c:pt idx="13">
                  <c:v>2.2179647005738719E-2</c:v>
                </c:pt>
                <c:pt idx="14">
                  <c:v>2.3776439820914298E-2</c:v>
                </c:pt>
                <c:pt idx="15">
                  <c:v>2.3869763746429001E-2</c:v>
                </c:pt>
                <c:pt idx="16">
                  <c:v>2.4118078359593297E-2</c:v>
                </c:pt>
                <c:pt idx="17">
                  <c:v>2.348822859449402E-2</c:v>
                </c:pt>
                <c:pt idx="18">
                  <c:v>2.4167853330263604E-2</c:v>
                </c:pt>
                <c:pt idx="19">
                  <c:v>2.4935025002370149E-2</c:v>
                </c:pt>
                <c:pt idx="20">
                  <c:v>2.4506641345734499E-2</c:v>
                </c:pt>
                <c:pt idx="21">
                  <c:v>2.464241389273733E-2</c:v>
                </c:pt>
                <c:pt idx="22">
                  <c:v>2.4188270384518748E-2</c:v>
                </c:pt>
                <c:pt idx="23">
                  <c:v>2.2117572145654799E-2</c:v>
                </c:pt>
                <c:pt idx="24">
                  <c:v>2.1776963225228999E-2</c:v>
                </c:pt>
                <c:pt idx="25">
                  <c:v>2.1311558026525797E-2</c:v>
                </c:pt>
                <c:pt idx="26">
                  <c:v>1.9800074855664804E-2</c:v>
                </c:pt>
                <c:pt idx="27">
                  <c:v>1.8073243173512596E-2</c:v>
                </c:pt>
                <c:pt idx="28">
                  <c:v>1.6250159923802104E-2</c:v>
                </c:pt>
                <c:pt idx="29">
                  <c:v>1.4885130705203697E-2</c:v>
                </c:pt>
                <c:pt idx="30">
                  <c:v>1.3892843019158801E-2</c:v>
                </c:pt>
                <c:pt idx="31">
                  <c:v>1.3277981727022298E-2</c:v>
                </c:pt>
                <c:pt idx="32">
                  <c:v>1.2215664460507598E-2</c:v>
                </c:pt>
                <c:pt idx="33">
                  <c:v>1.0747880906970899E-2</c:v>
                </c:pt>
                <c:pt idx="34">
                  <c:v>9.4050340437179993E-3</c:v>
                </c:pt>
                <c:pt idx="35">
                  <c:v>8.1554533753148712E-3</c:v>
                </c:pt>
                <c:pt idx="36">
                  <c:v>6.965424133631902E-3</c:v>
                </c:pt>
                <c:pt idx="37">
                  <c:v>5.8156349596037195E-3</c:v>
                </c:pt>
                <c:pt idx="38">
                  <c:v>4.7060683548318001E-3</c:v>
                </c:pt>
                <c:pt idx="39">
                  <c:v>3.6422903662906014E-3</c:v>
                </c:pt>
                <c:pt idx="40">
                  <c:v>2.6231095404858004E-3</c:v>
                </c:pt>
                <c:pt idx="41">
                  <c:v>1.6443777950402999E-3</c:v>
                </c:pt>
                <c:pt idx="42">
                  <c:v>6.9776083502669922E-4</c:v>
                </c:pt>
                <c:pt idx="43">
                  <c:v>-2.283534557592018E-4</c:v>
                </c:pt>
                <c:pt idx="44">
                  <c:v>-1.149321496801102E-3</c:v>
                </c:pt>
                <c:pt idx="45">
                  <c:v>-2.0868905326620023E-3</c:v>
                </c:pt>
                <c:pt idx="46">
                  <c:v>-3.1068720211964995E-3</c:v>
                </c:pt>
                <c:pt idx="47">
                  <c:v>-3.3151367142601699E-3</c:v>
                </c:pt>
                <c:pt idx="48">
                  <c:v>-4.3032994421471904E-3</c:v>
                </c:pt>
                <c:pt idx="49">
                  <c:v>-5.7490943493374302E-3</c:v>
                </c:pt>
                <c:pt idx="50">
                  <c:v>-7.8814460983137984E-3</c:v>
                </c:pt>
                <c:pt idx="51">
                  <c:v>-1.0227033832294997E-2</c:v>
                </c:pt>
                <c:pt idx="52">
                  <c:v>-1.1238757343654197E-2</c:v>
                </c:pt>
                <c:pt idx="53">
                  <c:v>-7.5157087916299936E-4</c:v>
                </c:pt>
                <c:pt idx="54">
                  <c:v>-6.3081246995632398E-3</c:v>
                </c:pt>
                <c:pt idx="55">
                  <c:v>-9.8520793494208947E-3</c:v>
                </c:pt>
                <c:pt idx="56">
                  <c:v>-1.223749505980402E-2</c:v>
                </c:pt>
                <c:pt idx="57">
                  <c:v>-1.4670696769230003E-2</c:v>
                </c:pt>
                <c:pt idx="58">
                  <c:v>-1.3763194030502801E-2</c:v>
                </c:pt>
                <c:pt idx="59">
                  <c:v>-1.7851546693959906E-2</c:v>
                </c:pt>
                <c:pt idx="60">
                  <c:v>-1.8788108210664536E-2</c:v>
                </c:pt>
                <c:pt idx="61">
                  <c:v>-1.5260651148940395E-2</c:v>
                </c:pt>
                <c:pt idx="62">
                  <c:v>-1.6153738699060005E-2</c:v>
                </c:pt>
                <c:pt idx="63">
                  <c:v>-1.3611460532764796E-2</c:v>
                </c:pt>
                <c:pt idx="64">
                  <c:v>-1.4390331394893395E-2</c:v>
                </c:pt>
                <c:pt idx="65">
                  <c:v>-1.4490322453917504E-2</c:v>
                </c:pt>
                <c:pt idx="66">
                  <c:v>-1.4565197740616299E-2</c:v>
                </c:pt>
                <c:pt idx="67">
                  <c:v>-1.4428399627839296E-2</c:v>
                </c:pt>
                <c:pt idx="68">
                  <c:v>-1.4479993483141208E-2</c:v>
                </c:pt>
                <c:pt idx="69">
                  <c:v>-1.601197924206E-2</c:v>
                </c:pt>
                <c:pt idx="70">
                  <c:v>-1.63259880332258E-2</c:v>
                </c:pt>
                <c:pt idx="71">
                  <c:v>-1.6443458896655997E-2</c:v>
                </c:pt>
                <c:pt idx="72">
                  <c:v>-1.6504032424387603E-2</c:v>
                </c:pt>
                <c:pt idx="73">
                  <c:v>-1.6514786830295298E-2</c:v>
                </c:pt>
                <c:pt idx="74">
                  <c:v>-1.6482084110589795E-2</c:v>
                </c:pt>
                <c:pt idx="75">
                  <c:v>-1.64116263359694E-2</c:v>
                </c:pt>
                <c:pt idx="76">
                  <c:v>-1.6308511052617599E-2</c:v>
                </c:pt>
                <c:pt idx="77">
                  <c:v>-1.6177284740772201E-2</c:v>
                </c:pt>
                <c:pt idx="78">
                  <c:v>-1.6021993636176998E-2</c:v>
                </c:pt>
                <c:pt idx="79">
                  <c:v>-1.5846231487432097E-2</c:v>
                </c:pt>
                <c:pt idx="80">
                  <c:v>-1.5653184021008106E-2</c:v>
                </c:pt>
                <c:pt idx="81">
                  <c:v>-1.5445670031120302E-2</c:v>
                </c:pt>
                <c:pt idx="82">
                  <c:v>-1.5226179116098401E-2</c:v>
                </c:pt>
                <c:pt idx="83">
                  <c:v>-1.4996906155972101E-2</c:v>
                </c:pt>
                <c:pt idx="84">
                  <c:v>-1.4759782675225902E-2</c:v>
                </c:pt>
                <c:pt idx="85">
                  <c:v>-1.4516505265971105E-2</c:v>
                </c:pt>
                <c:pt idx="86">
                  <c:v>-1.4268561264683295E-2</c:v>
                </c:pt>
                <c:pt idx="87">
                  <c:v>-1.4017251883680096E-2</c:v>
                </c:pt>
                <c:pt idx="88">
                  <c:v>-1.3763712999412897E-2</c:v>
                </c:pt>
                <c:pt idx="89">
                  <c:v>-1.35089337954978E-2</c:v>
                </c:pt>
                <c:pt idx="90">
                  <c:v>-1.3253773450784399E-2</c:v>
                </c:pt>
                <c:pt idx="91">
                  <c:v>-1.29989760528944E-2</c:v>
                </c:pt>
                <c:pt idx="92">
                  <c:v>-1.2745183906432506E-2</c:v>
                </c:pt>
                <c:pt idx="93">
                  <c:v>-1.2492949393146102E-2</c:v>
                </c:pt>
                <c:pt idx="94">
                  <c:v>-1.2242745529186194E-2</c:v>
                </c:pt>
                <c:pt idx="95">
                  <c:v>-1.1994975352642899E-2</c:v>
                </c:pt>
                <c:pt idx="96">
                  <c:v>-1.1749980262929505E-2</c:v>
                </c:pt>
                <c:pt idx="97">
                  <c:v>-1.1508047422535E-2</c:v>
                </c:pt>
                <c:pt idx="98">
                  <c:v>-1.1269416321269606E-2</c:v>
                </c:pt>
                <c:pt idx="99">
                  <c:v>-1.1034284593406295E-2</c:v>
                </c:pt>
                <c:pt idx="100">
                  <c:v>-1.0802813169165898E-2</c:v>
                </c:pt>
                <c:pt idx="101">
                  <c:v>-1.0575130833715501E-2</c:v>
                </c:pt>
                <c:pt idx="102">
                  <c:v>-1.0351338259313302E-2</c:v>
                </c:pt>
                <c:pt idx="103">
                  <c:v>-1.0131511569348804E-2</c:v>
                </c:pt>
                <c:pt idx="104">
                  <c:v>-9.9157054867978003E-3</c:v>
                </c:pt>
                <c:pt idx="105">
                  <c:v>-9.7039561139649969E-3</c:v>
                </c:pt>
                <c:pt idx="106">
                  <c:v>-9.4962833853097992E-3</c:v>
                </c:pt>
                <c:pt idx="107">
                  <c:v>-9.2926932305755043E-3</c:v>
                </c:pt>
                <c:pt idx="108">
                  <c:v>-9.0931794813347983E-3</c:v>
                </c:pt>
                <c:pt idx="109">
                  <c:v>-8.8977255503949991E-3</c:v>
                </c:pt>
                <c:pt idx="110">
                  <c:v>-8.7063059102099015E-3</c:v>
                </c:pt>
                <c:pt idx="111">
                  <c:v>-8.5188873935133982E-3</c:v>
                </c:pt>
                <c:pt idx="112">
                  <c:v>-8.335430336771598E-3</c:v>
                </c:pt>
                <c:pt idx="113">
                  <c:v>-8.1558895847058978E-3</c:v>
                </c:pt>
                <c:pt idx="114">
                  <c:v>-7.9802153720748975E-3</c:v>
                </c:pt>
                <c:pt idx="115">
                  <c:v>-7.808354097047502E-3</c:v>
                </c:pt>
                <c:pt idx="116">
                  <c:v>-7.6402489988554971E-3</c:v>
                </c:pt>
                <c:pt idx="117">
                  <c:v>-7.4758407509634001E-3</c:v>
                </c:pt>
                <c:pt idx="118">
                  <c:v>-7.3150679796938969E-3</c:v>
                </c:pt>
                <c:pt idx="119">
                  <c:v>-7.1578677170981986E-3</c:v>
                </c:pt>
                <c:pt idx="120">
                  <c:v>-7.0041757958484996E-3</c:v>
                </c:pt>
                <c:pt idx="121">
                  <c:v>-6.853927193024998E-3</c:v>
                </c:pt>
                <c:pt idx="122">
                  <c:v>-6.7070563288697989E-3</c:v>
                </c:pt>
                <c:pt idx="123">
                  <c:v>-6.5634973258766986E-3</c:v>
                </c:pt>
                <c:pt idx="124">
                  <c:v>-6.4231842329588E-3</c:v>
                </c:pt>
                <c:pt idx="125">
                  <c:v>-6.2860512188799011E-3</c:v>
                </c:pt>
                <c:pt idx="126">
                  <c:v>-6.1520327386496015E-3</c:v>
                </c:pt>
                <c:pt idx="127">
                  <c:v>-6.021063676145702E-3</c:v>
                </c:pt>
                <c:pt idx="128">
                  <c:v>-5.8930794658472001E-3</c:v>
                </c:pt>
                <c:pt idx="129">
                  <c:v>-5.7680161962203984E-3</c:v>
                </c:pt>
                <c:pt idx="130">
                  <c:v>-5.6458106970022001E-3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C5-455A-80D8-2A5F1650FF71}"/>
            </c:ext>
          </c:extLst>
        </c:ser>
        <c:ser>
          <c:idx val="5"/>
          <c:order val="5"/>
          <c:tx>
            <c:strRef>
              <c:f>'DSGE HVD difference'!$AE$1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difference'!$AE$2:$AE$132</c:f>
              <c:numCache>
                <c:formatCode>0.0000</c:formatCode>
                <c:ptCount val="131"/>
                <c:pt idx="0">
                  <c:v>7.6980972153328012E-3</c:v>
                </c:pt>
                <c:pt idx="1">
                  <c:v>8.8060448029015984E-3</c:v>
                </c:pt>
                <c:pt idx="2">
                  <c:v>1.0062544264371601E-2</c:v>
                </c:pt>
                <c:pt idx="3">
                  <c:v>1.1503981139563704E-2</c:v>
                </c:pt>
                <c:pt idx="4">
                  <c:v>1.3182656227930509E-2</c:v>
                </c:pt>
                <c:pt idx="5">
                  <c:v>1.5175411163540001E-2</c:v>
                </c:pt>
                <c:pt idx="6">
                  <c:v>1.7594073909884107E-2</c:v>
                </c:pt>
                <c:pt idx="7">
                  <c:v>2.5482966136963128E-2</c:v>
                </c:pt>
                <c:pt idx="8">
                  <c:v>1.622603370099189E-2</c:v>
                </c:pt>
                <c:pt idx="9">
                  <c:v>-4.3017648691300037E-3</c:v>
                </c:pt>
                <c:pt idx="10">
                  <c:v>-5.2404241172085003E-2</c:v>
                </c:pt>
                <c:pt idx="11">
                  <c:v>-5.9807128159212991E-2</c:v>
                </c:pt>
                <c:pt idx="12">
                  <c:v>-8.1807234313012983E-2</c:v>
                </c:pt>
                <c:pt idx="13">
                  <c:v>-0.11303409123055101</c:v>
                </c:pt>
                <c:pt idx="14">
                  <c:v>-0.10347510576354399</c:v>
                </c:pt>
                <c:pt idx="15">
                  <c:v>-0.10064192841451899</c:v>
                </c:pt>
                <c:pt idx="16">
                  <c:v>-9.6297135913213011E-2</c:v>
                </c:pt>
                <c:pt idx="17">
                  <c:v>-0.11277258291795</c:v>
                </c:pt>
                <c:pt idx="18">
                  <c:v>-0.1128383270694886</c:v>
                </c:pt>
                <c:pt idx="19">
                  <c:v>-9.3472598537002807E-2</c:v>
                </c:pt>
                <c:pt idx="20">
                  <c:v>-9.5239785560774698E-2</c:v>
                </c:pt>
                <c:pt idx="21">
                  <c:v>-8.2369371257204518E-2</c:v>
                </c:pt>
                <c:pt idx="22">
                  <c:v>-8.1967619069430994E-2</c:v>
                </c:pt>
                <c:pt idx="23">
                  <c:v>-8.9649139775997408E-2</c:v>
                </c:pt>
                <c:pt idx="24">
                  <c:v>-7.9716454015137814E-2</c:v>
                </c:pt>
                <c:pt idx="25">
                  <c:v>-6.5448594845040994E-2</c:v>
                </c:pt>
                <c:pt idx="26">
                  <c:v>-6.9853028835554096E-2</c:v>
                </c:pt>
                <c:pt idx="27">
                  <c:v>-6.5487604960583284E-2</c:v>
                </c:pt>
                <c:pt idx="28">
                  <c:v>-5.7061744565568499E-2</c:v>
                </c:pt>
                <c:pt idx="29">
                  <c:v>-4.9119878175058695E-2</c:v>
                </c:pt>
                <c:pt idx="30">
                  <c:v>-3.8855707373956209E-2</c:v>
                </c:pt>
                <c:pt idx="31">
                  <c:v>-2.9344012777651002E-2</c:v>
                </c:pt>
                <c:pt idx="32">
                  <c:v>-2.0356133150676397E-2</c:v>
                </c:pt>
                <c:pt idx="33">
                  <c:v>-1.5691956544976397E-2</c:v>
                </c:pt>
                <c:pt idx="34">
                  <c:v>-1.1584108038213541E-2</c:v>
                </c:pt>
                <c:pt idx="35">
                  <c:v>-8.0244456053580708E-3</c:v>
                </c:pt>
                <c:pt idx="36">
                  <c:v>-5.0437473154598097E-3</c:v>
                </c:pt>
                <c:pt idx="37">
                  <c:v>-2.6830299254285012E-3</c:v>
                </c:pt>
                <c:pt idx="38">
                  <c:v>-9.194463554999012E-4</c:v>
                </c:pt>
                <c:pt idx="39">
                  <c:v>3.2032569193870056E-4</c:v>
                </c:pt>
                <c:pt idx="40">
                  <c:v>1.1120776300913016E-3</c:v>
                </c:pt>
                <c:pt idx="41">
                  <c:v>1.5021190620730998E-3</c:v>
                </c:pt>
                <c:pt idx="42">
                  <c:v>1.5292702577966999E-3</c:v>
                </c:pt>
                <c:pt idx="43">
                  <c:v>1.2253752933084902E-3</c:v>
                </c:pt>
                <c:pt idx="44">
                  <c:v>6.1500160771731896E-4</c:v>
                </c:pt>
                <c:pt idx="45">
                  <c:v>-2.8430052633501152E-4</c:v>
                </c:pt>
                <c:pt idx="46">
                  <c:v>-1.4690809468804909E-3</c:v>
                </c:pt>
                <c:pt idx="47">
                  <c:v>-2.655770959815399E-3</c:v>
                </c:pt>
                <c:pt idx="48">
                  <c:v>-4.6143992083780977E-3</c:v>
                </c:pt>
                <c:pt idx="49">
                  <c:v>-7.1612782165377982E-3</c:v>
                </c:pt>
                <c:pt idx="50">
                  <c:v>-1.03523691684047E-2</c:v>
                </c:pt>
                <c:pt idx="51">
                  <c:v>-1.3647868446105396E-2</c:v>
                </c:pt>
                <c:pt idx="52">
                  <c:v>-1.8818808754222101E-2</c:v>
                </c:pt>
                <c:pt idx="53">
                  <c:v>1.6964974973247279E-2</c:v>
                </c:pt>
                <c:pt idx="54">
                  <c:v>-4.1132730434179201E-3</c:v>
                </c:pt>
                <c:pt idx="55">
                  <c:v>-1.4222200295816501E-2</c:v>
                </c:pt>
                <c:pt idx="56">
                  <c:v>-1.6168011729645201E-2</c:v>
                </c:pt>
                <c:pt idx="57">
                  <c:v>-1.44786236293847E-2</c:v>
                </c:pt>
                <c:pt idx="58">
                  <c:v>3.5606655468497589E-2</c:v>
                </c:pt>
                <c:pt idx="59">
                  <c:v>2.4412758791721802E-2</c:v>
                </c:pt>
                <c:pt idx="60">
                  <c:v>4.5075728184547095E-2</c:v>
                </c:pt>
                <c:pt idx="61">
                  <c:v>0.10486626276044692</c:v>
                </c:pt>
                <c:pt idx="62">
                  <c:v>9.4613176068432697E-2</c:v>
                </c:pt>
                <c:pt idx="63">
                  <c:v>0.12768373640026298</c:v>
                </c:pt>
                <c:pt idx="64">
                  <c:v>0.12404646031507319</c:v>
                </c:pt>
                <c:pt idx="65">
                  <c:v>0.1194060540991768</c:v>
                </c:pt>
                <c:pt idx="66">
                  <c:v>0.1244148708935164</c:v>
                </c:pt>
                <c:pt idx="67">
                  <c:v>0.1076444246518258</c:v>
                </c:pt>
                <c:pt idx="68">
                  <c:v>9.83014543183508E-2</c:v>
                </c:pt>
                <c:pt idx="69">
                  <c:v>6.4245088960350194E-2</c:v>
                </c:pt>
                <c:pt idx="70">
                  <c:v>5.2187860564151409E-2</c:v>
                </c:pt>
                <c:pt idx="71">
                  <c:v>5.0805598673874096E-2</c:v>
                </c:pt>
                <c:pt idx="72">
                  <c:v>4.9564767770715799E-2</c:v>
                </c:pt>
                <c:pt idx="73">
                  <c:v>4.8440065990279203E-2</c:v>
                </c:pt>
                <c:pt idx="74">
                  <c:v>4.7410994306561698E-2</c:v>
                </c:pt>
                <c:pt idx="75">
                  <c:v>4.6460926948616095E-2</c:v>
                </c:pt>
                <c:pt idx="76">
                  <c:v>4.55763644583983E-2</c:v>
                </c:pt>
                <c:pt idx="77">
                  <c:v>4.4746333136980405E-2</c:v>
                </c:pt>
                <c:pt idx="78">
                  <c:v>4.3961901868003896E-2</c:v>
                </c:pt>
                <c:pt idx="79">
                  <c:v>4.3215793096857399E-2</c:v>
                </c:pt>
                <c:pt idx="80">
                  <c:v>4.2502069373414997E-2</c:v>
                </c:pt>
                <c:pt idx="81">
                  <c:v>4.1815880568366603E-2</c:v>
                </c:pt>
                <c:pt idx="82">
                  <c:v>4.1153259834402003E-2</c:v>
                </c:pt>
                <c:pt idx="83">
                  <c:v>4.0510958752530496E-2</c:v>
                </c:pt>
                <c:pt idx="84">
                  <c:v>3.9886313999446102E-2</c:v>
                </c:pt>
                <c:pt idx="85">
                  <c:v>3.9277139389044501E-2</c:v>
                </c:pt>
                <c:pt idx="86">
                  <c:v>3.8681638355793302E-2</c:v>
                </c:pt>
                <c:pt idx="87">
                  <c:v>3.8098332920298829E-2</c:v>
                </c:pt>
                <c:pt idx="88">
                  <c:v>3.7526005956517144E-2</c:v>
                </c:pt>
                <c:pt idx="89">
                  <c:v>3.696365420434905E-2</c:v>
                </c:pt>
                <c:pt idx="90">
                  <c:v>3.6410449971791541E-2</c:v>
                </c:pt>
                <c:pt idx="91">
                  <c:v>3.586570987211167E-2</c:v>
                </c:pt>
                <c:pt idx="92">
                  <c:v>3.5328869263457817E-2</c:v>
                </c:pt>
                <c:pt idx="93">
                  <c:v>3.4799461316733768E-2</c:v>
                </c:pt>
                <c:pt idx="94">
                  <c:v>3.4277099845084605E-2</c:v>
                </c:pt>
                <c:pt idx="95">
                  <c:v>3.3761465195093862E-2</c:v>
                </c:pt>
                <c:pt idx="96">
                  <c:v>3.3252292633868689E-2</c:v>
                </c:pt>
                <c:pt idx="97">
                  <c:v>3.2749362774063082E-2</c:v>
                </c:pt>
                <c:pt idx="98">
                  <c:v>3.2252493665753078E-2</c:v>
                </c:pt>
                <c:pt idx="99">
                  <c:v>3.1761534254067199E-2</c:v>
                </c:pt>
                <c:pt idx="100">
                  <c:v>3.1276358957938365E-2</c:v>
                </c:pt>
                <c:pt idx="101">
                  <c:v>3.0796863170910578E-2</c:v>
                </c:pt>
                <c:pt idx="102">
                  <c:v>3.0322959521774259E-2</c:v>
                </c:pt>
                <c:pt idx="103">
                  <c:v>2.9854574762596203E-2</c:v>
                </c:pt>
                <c:pt idx="104">
                  <c:v>2.9391647175851108E-2</c:v>
                </c:pt>
                <c:pt idx="105">
                  <c:v>2.8934124411933479E-2</c:v>
                </c:pt>
                <c:pt idx="106">
                  <c:v>2.8481961684230048E-2</c:v>
                </c:pt>
                <c:pt idx="107">
                  <c:v>2.8035120261860641E-2</c:v>
                </c:pt>
                <c:pt idx="108">
                  <c:v>2.759356621072875E-2</c:v>
                </c:pt>
                <c:pt idx="109">
                  <c:v>2.715726934211846E-2</c:v>
                </c:pt>
                <c:pt idx="110">
                  <c:v>2.672620233509437E-2</c:v>
                </c:pt>
                <c:pt idx="111">
                  <c:v>2.630034000471972E-2</c:v>
                </c:pt>
                <c:pt idx="112">
                  <c:v>2.5879658692818001E-2</c:v>
                </c:pt>
                <c:pt idx="113">
                  <c:v>2.5464135761890241E-2</c:v>
                </c:pt>
                <c:pt idx="114">
                  <c:v>2.5053749175990719E-2</c:v>
                </c:pt>
                <c:pt idx="115">
                  <c:v>2.464847715500379E-2</c:v>
                </c:pt>
                <c:pt idx="116">
                  <c:v>2.424829789094619E-2</c:v>
                </c:pt>
                <c:pt idx="117">
                  <c:v>2.385318931673145E-2</c:v>
                </c:pt>
                <c:pt idx="118">
                  <c:v>2.3463128919333779E-2</c:v>
                </c:pt>
                <c:pt idx="119">
                  <c:v>2.3078093590547279E-2</c:v>
                </c:pt>
                <c:pt idx="120">
                  <c:v>2.2698059509578761E-2</c:v>
                </c:pt>
                <c:pt idx="121">
                  <c:v>2.2323002052592408E-2</c:v>
                </c:pt>
                <c:pt idx="122">
                  <c:v>2.1952895725057698E-2</c:v>
                </c:pt>
                <c:pt idx="123">
                  <c:v>2.158771411337378E-2</c:v>
                </c:pt>
                <c:pt idx="124">
                  <c:v>2.1227429852760903E-2</c:v>
                </c:pt>
                <c:pt idx="125">
                  <c:v>2.0872014608856279E-2</c:v>
                </c:pt>
                <c:pt idx="126">
                  <c:v>2.0521439070819519E-2</c:v>
                </c:pt>
                <c:pt idx="127">
                  <c:v>2.0175672954075109E-2</c:v>
                </c:pt>
                <c:pt idx="128">
                  <c:v>1.9834685011084228E-2</c:v>
                </c:pt>
                <c:pt idx="129">
                  <c:v>1.9498443048773718E-2</c:v>
                </c:pt>
                <c:pt idx="130">
                  <c:v>1.9166913951442269E-2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C5-455A-80D8-2A5F1650FF71}"/>
            </c:ext>
          </c:extLst>
        </c:ser>
        <c:ser>
          <c:idx val="6"/>
          <c:order val="6"/>
          <c:tx>
            <c:strRef>
              <c:f>'DSGE HVD difference'!$AF$1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difference'!$AF$2:$AF$132</c:f>
              <c:numCache>
                <c:formatCode>0.0000</c:formatCode>
                <c:ptCount val="131"/>
                <c:pt idx="0">
                  <c:v>4.7328043494589005E-17</c:v>
                </c:pt>
                <c:pt idx="1">
                  <c:v>4.3050326186741954E-17</c:v>
                </c:pt>
                <c:pt idx="2">
                  <c:v>3.6162972196818012E-17</c:v>
                </c:pt>
                <c:pt idx="3">
                  <c:v>2.4653946257294987E-17</c:v>
                </c:pt>
                <c:pt idx="4">
                  <c:v>5.0161776813319809E-18</c:v>
                </c:pt>
                <c:pt idx="5">
                  <c:v>-2.8520149509918009E-17</c:v>
                </c:pt>
                <c:pt idx="6">
                  <c:v>-8.4016270350322985E-17</c:v>
                </c:pt>
                <c:pt idx="7">
                  <c:v>-1.8972141394482004E-16</c:v>
                </c:pt>
                <c:pt idx="8">
                  <c:v>-2.0170816705153988E-16</c:v>
                </c:pt>
                <c:pt idx="9">
                  <c:v>-1.6854844180479999E-16</c:v>
                </c:pt>
                <c:pt idx="10">
                  <c:v>-6.8470309771003195E-19</c:v>
                </c:pt>
                <c:pt idx="11">
                  <c:v>-6.7266173326403984E-17</c:v>
                </c:pt>
                <c:pt idx="12">
                  <c:v>-3.6265365422242968E-17</c:v>
                </c:pt>
                <c:pt idx="13">
                  <c:v>5.977903368359599E-17</c:v>
                </c:pt>
                <c:pt idx="14">
                  <c:v>-3.3371465804681038E-17</c:v>
                </c:pt>
                <c:pt idx="15">
                  <c:v>-6.4400819220991804E-17</c:v>
                </c:pt>
                <c:pt idx="16">
                  <c:v>-8.2548124466452002E-17</c:v>
                </c:pt>
                <c:pt idx="17">
                  <c:v>-9.5607411695199827E-18</c:v>
                </c:pt>
                <c:pt idx="18">
                  <c:v>-1.4831659582479967E-17</c:v>
                </c:pt>
                <c:pt idx="19">
                  <c:v>-9.8214900069509865E-17</c:v>
                </c:pt>
                <c:pt idx="20">
                  <c:v>-4.512130231527993E-17</c:v>
                </c:pt>
                <c:pt idx="21">
                  <c:v>-1.0491801539002003E-16</c:v>
                </c:pt>
                <c:pt idx="22">
                  <c:v>-7.6874359411639935E-17</c:v>
                </c:pt>
                <c:pt idx="23">
                  <c:v>7.6682069633603216E-18</c:v>
                </c:pt>
                <c:pt idx="24">
                  <c:v>-1.7653919168529843E-17</c:v>
                </c:pt>
                <c:pt idx="25">
                  <c:v>-5.7899845804250046E-17</c:v>
                </c:pt>
                <c:pt idx="26">
                  <c:v>1.2342370065598603E-18</c:v>
                </c:pt>
                <c:pt idx="27">
                  <c:v>1.8442356232160433E-17</c:v>
                </c:pt>
                <c:pt idx="28">
                  <c:v>1.5920307326299942E-17</c:v>
                </c:pt>
                <c:pt idx="29">
                  <c:v>2.5130590692719635E-17</c:v>
                </c:pt>
                <c:pt idx="30">
                  <c:v>1.2493731343709823E-17</c:v>
                </c:pt>
                <c:pt idx="31">
                  <c:v>9.5787857130204801E-18</c:v>
                </c:pt>
                <c:pt idx="32">
                  <c:v>-3.3375939441501175E-18</c:v>
                </c:pt>
                <c:pt idx="33">
                  <c:v>1.7003768518029527E-17</c:v>
                </c:pt>
                <c:pt idx="34">
                  <c:v>3.1158485327289489E-17</c:v>
                </c:pt>
                <c:pt idx="35">
                  <c:v>4.1288263626229345E-17</c:v>
                </c:pt>
                <c:pt idx="36">
                  <c:v>4.9432075637660052E-17</c:v>
                </c:pt>
                <c:pt idx="37">
                  <c:v>5.7164260972000041E-17</c:v>
                </c:pt>
                <c:pt idx="38">
                  <c:v>6.5051080288199628E-17</c:v>
                </c:pt>
                <c:pt idx="39">
                  <c:v>7.2961624918929563E-17</c:v>
                </c:pt>
                <c:pt idx="40">
                  <c:v>8.0641975907849632E-17</c:v>
                </c:pt>
                <c:pt idx="41">
                  <c:v>8.8121002583929828E-17</c:v>
                </c:pt>
                <c:pt idx="42">
                  <c:v>9.5431483550669821E-17</c:v>
                </c:pt>
                <c:pt idx="43">
                  <c:v>1.0262279695787977E-16</c:v>
                </c:pt>
                <c:pt idx="44">
                  <c:v>1.0978028574118997E-16</c:v>
                </c:pt>
                <c:pt idx="45">
                  <c:v>1.1703654332406013E-16</c:v>
                </c:pt>
                <c:pt idx="46">
                  <c:v>1.2444089288933002E-16</c:v>
                </c:pt>
                <c:pt idx="47">
                  <c:v>1.3459558988596016E-16</c:v>
                </c:pt>
                <c:pt idx="48">
                  <c:v>1.4719121960183006E-16</c:v>
                </c:pt>
                <c:pt idx="49">
                  <c:v>1.6424091216414002E-16</c:v>
                </c:pt>
                <c:pt idx="50">
                  <c:v>1.881755773930804E-16</c:v>
                </c:pt>
                <c:pt idx="51">
                  <c:v>2.2252253609148989E-16</c:v>
                </c:pt>
                <c:pt idx="52">
                  <c:v>2.4718373604151917E-16</c:v>
                </c:pt>
                <c:pt idx="53">
                  <c:v>1.4948459067145964E-16</c:v>
                </c:pt>
                <c:pt idx="54">
                  <c:v>2.1761417169527948E-16</c:v>
                </c:pt>
                <c:pt idx="55">
                  <c:v>2.9813317894997978E-16</c:v>
                </c:pt>
                <c:pt idx="56">
                  <c:v>3.6033646034522022E-16</c:v>
                </c:pt>
                <c:pt idx="57">
                  <c:v>4.287103864544013E-16</c:v>
                </c:pt>
                <c:pt idx="58">
                  <c:v>2.2163034912279885E-16</c:v>
                </c:pt>
                <c:pt idx="59">
                  <c:v>3.7934255448750222E-16</c:v>
                </c:pt>
                <c:pt idx="60">
                  <c:v>3.5713740785659924E-16</c:v>
                </c:pt>
                <c:pt idx="61">
                  <c:v>1.4916486301659794E-16</c:v>
                </c:pt>
                <c:pt idx="62">
                  <c:v>2.4978855605030196E-16</c:v>
                </c:pt>
                <c:pt idx="63">
                  <c:v>1.0439023195640114E-16</c:v>
                </c:pt>
                <c:pt idx="64">
                  <c:v>1.895868789081997E-16</c:v>
                </c:pt>
                <c:pt idx="65">
                  <c:v>1.9924847507209766E-16</c:v>
                </c:pt>
                <c:pt idx="66">
                  <c:v>1.689980699098992E-16</c:v>
                </c:pt>
                <c:pt idx="67">
                  <c:v>2.0611846873569871E-16</c:v>
                </c:pt>
                <c:pt idx="68">
                  <c:v>2.1396514554559976E-16</c:v>
                </c:pt>
                <c:pt idx="69">
                  <c:v>3.3204656008420081E-16</c:v>
                </c:pt>
                <c:pt idx="70">
                  <c:v>3.37266636039601E-16</c:v>
                </c:pt>
                <c:pt idx="71">
                  <c:v>3.316060147716017E-16</c:v>
                </c:pt>
                <c:pt idx="72">
                  <c:v>3.2565746855870174E-16</c:v>
                </c:pt>
                <c:pt idx="73">
                  <c:v>3.1950019823340017E-16</c:v>
                </c:pt>
                <c:pt idx="74">
                  <c:v>3.1319590661650102E-16</c:v>
                </c:pt>
                <c:pt idx="75">
                  <c:v>3.0679184518640158E-16</c:v>
                </c:pt>
                <c:pt idx="76">
                  <c:v>3.0032362246940073E-16</c:v>
                </c:pt>
                <c:pt idx="77">
                  <c:v>2.9381769862950103E-16</c:v>
                </c:pt>
                <c:pt idx="78">
                  <c:v>2.8729353442989982E-16</c:v>
                </c:pt>
                <c:pt idx="79">
                  <c:v>2.8076539262280086E-16</c:v>
                </c:pt>
                <c:pt idx="80">
                  <c:v>2.7424380929899887E-16</c:v>
                </c:pt>
                <c:pt idx="81">
                  <c:v>2.6773676446929982E-16</c:v>
                </c:pt>
                <c:pt idx="82">
                  <c:v>2.6125058730870078E-16</c:v>
                </c:pt>
                <c:pt idx="83">
                  <c:v>2.5479063369139831E-16</c:v>
                </c:pt>
                <c:pt idx="84">
                  <c:v>2.4836177316710183E-16</c:v>
                </c:pt>
                <c:pt idx="85">
                  <c:v>2.4196872031520012E-16</c:v>
                </c:pt>
                <c:pt idx="86">
                  <c:v>2.3561624217539868E-16</c:v>
                </c:pt>
                <c:pt idx="87">
                  <c:v>2.2930926969069938E-16</c:v>
                </c:pt>
                <c:pt idx="88">
                  <c:v>2.2305293718839936E-16</c:v>
                </c:pt>
                <c:pt idx="89">
                  <c:v>2.1685257008399938E-16</c:v>
                </c:pt>
                <c:pt idx="90">
                  <c:v>2.1071363740989903E-16</c:v>
                </c:pt>
                <c:pt idx="91">
                  <c:v>2.0464168250389875E-16</c:v>
                </c:pt>
                <c:pt idx="92">
                  <c:v>1.9864224231830127E-16</c:v>
                </c:pt>
                <c:pt idx="93">
                  <c:v>1.9272076331759986E-16</c:v>
                </c:pt>
                <c:pt idx="94">
                  <c:v>1.8688251983039957E-16</c:v>
                </c:pt>
                <c:pt idx="95">
                  <c:v>1.8113253896660028E-16</c:v>
                </c:pt>
                <c:pt idx="96">
                  <c:v>1.7547553479450041E-16</c:v>
                </c:pt>
                <c:pt idx="97">
                  <c:v>1.6991585333579948E-16</c:v>
                </c:pt>
                <c:pt idx="98">
                  <c:v>1.6445742905499984E-16</c:v>
                </c:pt>
                <c:pt idx="99">
                  <c:v>1.5910375285460035E-16</c:v>
                </c:pt>
                <c:pt idx="100">
                  <c:v>1.5385785109940004E-16</c:v>
                </c:pt>
                <c:pt idx="101">
                  <c:v>1.4872227485630126E-16</c:v>
                </c:pt>
                <c:pt idx="102">
                  <c:v>1.4369909831720006E-16</c:v>
                </c:pt>
                <c:pt idx="103">
                  <c:v>1.3878992524953016E-16</c:v>
                </c:pt>
                <c:pt idx="104">
                  <c:v>1.3399590227258063E-16</c:v>
                </c:pt>
                <c:pt idx="105">
                  <c:v>1.2931773776031967E-16</c:v>
                </c:pt>
                <c:pt idx="106">
                  <c:v>1.2475572522542022E-16</c:v>
                </c:pt>
                <c:pt idx="107">
                  <c:v>1.2030977010901093E-16</c:v>
                </c:pt>
                <c:pt idx="108">
                  <c:v>1.1597941900051015E-16</c:v>
                </c:pt>
                <c:pt idx="109">
                  <c:v>1.1176389041413951E-16</c:v>
                </c:pt>
                <c:pt idx="110">
                  <c:v>1.0766210635885026E-16</c:v>
                </c:pt>
                <c:pt idx="111">
                  <c:v>1.0367272404804986E-16</c:v>
                </c:pt>
                <c:pt idx="112">
                  <c:v>9.9794167200189103E-17</c:v>
                </c:pt>
                <c:pt idx="113">
                  <c:v>9.6024656480369551E-17</c:v>
                </c:pt>
                <c:pt idx="114">
                  <c:v>9.2362238725089722E-17</c:v>
                </c:pt>
                <c:pt idx="115">
                  <c:v>8.8804814674339388E-17</c:v>
                </c:pt>
                <c:pt idx="116">
                  <c:v>8.5350165008979275E-17</c:v>
                </c:pt>
                <c:pt idx="117">
                  <c:v>8.199597455584063E-17</c:v>
                </c:pt>
                <c:pt idx="118">
                  <c:v>7.8739854578130007E-17</c:v>
                </c:pt>
                <c:pt idx="119">
                  <c:v>7.5579363116129608E-17</c:v>
                </c:pt>
                <c:pt idx="120">
                  <c:v>7.2512023381720187E-17</c:v>
                </c:pt>
                <c:pt idx="121">
                  <c:v>6.9535340242640197E-17</c:v>
                </c:pt>
                <c:pt idx="122">
                  <c:v>6.6646814857550052E-17</c:v>
                </c:pt>
                <c:pt idx="123">
                  <c:v>6.3843957542539665E-17</c:v>
                </c:pt>
                <c:pt idx="124">
                  <c:v>6.1124298964510124E-17</c:v>
                </c:pt>
                <c:pt idx="125">
                  <c:v>5.848539976672035E-17</c:v>
                </c:pt>
                <c:pt idx="126">
                  <c:v>5.592485873861954E-17</c:v>
                </c:pt>
                <c:pt idx="127">
                  <c:v>5.3440319645270036E-17</c:v>
                </c:pt>
                <c:pt idx="128">
                  <c:v>5.1029476832290044E-17</c:v>
                </c:pt>
                <c:pt idx="129">
                  <c:v>4.8690079721280053E-17</c:v>
                </c:pt>
                <c:pt idx="130">
                  <c:v>4.6419936307039657E-17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C5-455A-80D8-2A5F1650FF71}"/>
            </c:ext>
          </c:extLst>
        </c:ser>
        <c:ser>
          <c:idx val="7"/>
          <c:order val="7"/>
          <c:tx>
            <c:strRef>
              <c:f>'DSGE HVD difference'!$AG$1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difference'!$AG$2:$AG$132</c:f>
              <c:numCache>
                <c:formatCode>0.0000</c:formatCode>
                <c:ptCount val="131"/>
                <c:pt idx="0">
                  <c:v>-1.0554555194794007E-16</c:v>
                </c:pt>
                <c:pt idx="1">
                  <c:v>-5.4333616165900108E-17</c:v>
                </c:pt>
                <c:pt idx="2">
                  <c:v>6.0806850109300299E-18</c:v>
                </c:pt>
                <c:pt idx="3">
                  <c:v>7.6910029648432991E-17</c:v>
                </c:pt>
                <c:pt idx="4">
                  <c:v>1.5945558025331299E-16</c:v>
                </c:pt>
                <c:pt idx="5">
                  <c:v>2.5508236488001905E-16</c:v>
                </c:pt>
                <c:pt idx="6">
                  <c:v>3.6526932487900002E-16</c:v>
                </c:pt>
                <c:pt idx="7">
                  <c:v>4.888382281490501E-16</c:v>
                </c:pt>
                <c:pt idx="8">
                  <c:v>6.3286300430408983E-16</c:v>
                </c:pt>
                <c:pt idx="9">
                  <c:v>7.8529000818682035E-16</c:v>
                </c:pt>
                <c:pt idx="10">
                  <c:v>9.3333980221033021E-16</c:v>
                </c:pt>
                <c:pt idx="11">
                  <c:v>1.0545544385194301E-15</c:v>
                </c:pt>
                <c:pt idx="12">
                  <c:v>1.1686100044485403E-15</c:v>
                </c:pt>
                <c:pt idx="13">
                  <c:v>1.2612594564005007E-15</c:v>
                </c:pt>
                <c:pt idx="14">
                  <c:v>1.328044816081459E-15</c:v>
                </c:pt>
                <c:pt idx="15">
                  <c:v>1.3912117237301703E-15</c:v>
                </c:pt>
                <c:pt idx="16">
                  <c:v>1.4481315709024599E-15</c:v>
                </c:pt>
                <c:pt idx="17">
                  <c:v>1.4913710870620211E-15</c:v>
                </c:pt>
                <c:pt idx="18">
                  <c:v>1.5105839125804006E-15</c:v>
                </c:pt>
                <c:pt idx="19">
                  <c:v>1.5187506134264997E-15</c:v>
                </c:pt>
                <c:pt idx="20">
                  <c:v>1.5282852240452995E-15</c:v>
                </c:pt>
                <c:pt idx="21">
                  <c:v>1.5222936125643989E-15</c:v>
                </c:pt>
                <c:pt idx="22">
                  <c:v>1.5160256900136002E-15</c:v>
                </c:pt>
                <c:pt idx="23">
                  <c:v>1.5022940682339E-15</c:v>
                </c:pt>
                <c:pt idx="24">
                  <c:v>1.4721625638764003E-15</c:v>
                </c:pt>
                <c:pt idx="25">
                  <c:v>1.4383588169203976E-15</c:v>
                </c:pt>
                <c:pt idx="26">
                  <c:v>1.4018557577020003E-15</c:v>
                </c:pt>
                <c:pt idx="27">
                  <c:v>1.3535872357446E-15</c:v>
                </c:pt>
                <c:pt idx="28">
                  <c:v>1.2984405939737982E-15</c:v>
                </c:pt>
                <c:pt idx="29">
                  <c:v>1.2398934162290996E-15</c:v>
                </c:pt>
                <c:pt idx="30">
                  <c:v>1.176102674216601E-15</c:v>
                </c:pt>
                <c:pt idx="31">
                  <c:v>1.1116255971244997E-15</c:v>
                </c:pt>
                <c:pt idx="32">
                  <c:v>1.0455352885335014E-15</c:v>
                </c:pt>
                <c:pt idx="33">
                  <c:v>9.8251529084870005E-16</c:v>
                </c:pt>
                <c:pt idx="34">
                  <c:v>9.1939001190800065E-16</c:v>
                </c:pt>
                <c:pt idx="35">
                  <c:v>8.5646524828830077E-16</c:v>
                </c:pt>
                <c:pt idx="36">
                  <c:v>7.9381091673180055E-16</c:v>
                </c:pt>
                <c:pt idx="37">
                  <c:v>7.3141313721069987E-16</c:v>
                </c:pt>
                <c:pt idx="38">
                  <c:v>6.6914079908179935E-16</c:v>
                </c:pt>
                <c:pt idx="39">
                  <c:v>6.0675302877320069E-16</c:v>
                </c:pt>
                <c:pt idx="40">
                  <c:v>5.4393425795129842E-16</c:v>
                </c:pt>
                <c:pt idx="41">
                  <c:v>4.8032781960820361E-16</c:v>
                </c:pt>
                <c:pt idx="42">
                  <c:v>4.1550864936300327E-16</c:v>
                </c:pt>
                <c:pt idx="43">
                  <c:v>3.4898114172339937E-16</c:v>
                </c:pt>
                <c:pt idx="44">
                  <c:v>2.801749778162972E-16</c:v>
                </c:pt>
                <c:pt idx="45">
                  <c:v>2.0843660126350008E-16</c:v>
                </c:pt>
                <c:pt idx="46">
                  <c:v>1.3298870476199677E-16</c:v>
                </c:pt>
                <c:pt idx="47">
                  <c:v>5.3464612144000724E-17</c:v>
                </c:pt>
                <c:pt idx="48">
                  <c:v>-3.1007748679999931E-17</c:v>
                </c:pt>
                <c:pt idx="49">
                  <c:v>-1.2124643766199929E-16</c:v>
                </c:pt>
                <c:pt idx="50">
                  <c:v>-2.1830437168450086E-16</c:v>
                </c:pt>
                <c:pt idx="51">
                  <c:v>-3.2351360034959529E-16</c:v>
                </c:pt>
                <c:pt idx="52">
                  <c:v>-3.6247804623460112E-16</c:v>
                </c:pt>
                <c:pt idx="53">
                  <c:v>-4.9815582854709823E-16</c:v>
                </c:pt>
                <c:pt idx="54">
                  <c:v>-4.6825738123580259E-16</c:v>
                </c:pt>
                <c:pt idx="55">
                  <c:v>-5.5155102342990083E-16</c:v>
                </c:pt>
                <c:pt idx="56">
                  <c:v>-6.5894301765660177E-16</c:v>
                </c:pt>
                <c:pt idx="57">
                  <c:v>-7.8275348568609729E-16</c:v>
                </c:pt>
                <c:pt idx="58">
                  <c:v>-9.2035222111800567E-16</c:v>
                </c:pt>
                <c:pt idx="59">
                  <c:v>-1.0364461717401029E-15</c:v>
                </c:pt>
                <c:pt idx="60">
                  <c:v>-1.1645173443039012E-15</c:v>
                </c:pt>
                <c:pt idx="61">
                  <c:v>-1.2760213489767026E-15</c:v>
                </c:pt>
                <c:pt idx="62">
                  <c:v>-1.3585614554694995E-15</c:v>
                </c:pt>
                <c:pt idx="63">
                  <c:v>-1.4372661494865017E-15</c:v>
                </c:pt>
                <c:pt idx="64">
                  <c:v>-1.4759699004111987E-15</c:v>
                </c:pt>
                <c:pt idx="65">
                  <c:v>-1.5064575954772002E-15</c:v>
                </c:pt>
                <c:pt idx="66">
                  <c:v>-1.5172806847071961E-15</c:v>
                </c:pt>
                <c:pt idx="67">
                  <c:v>-1.5128228393764034E-15</c:v>
                </c:pt>
                <c:pt idx="68">
                  <c:v>-1.4997647527986005E-15</c:v>
                </c:pt>
                <c:pt idx="69">
                  <c:v>-1.4833854634635E-15</c:v>
                </c:pt>
                <c:pt idx="70">
                  <c:v>-1.4785769887315963E-15</c:v>
                </c:pt>
                <c:pt idx="71">
                  <c:v>-1.4959390445215036E-15</c:v>
                </c:pt>
                <c:pt idx="72">
                  <c:v>-1.512634260638498E-15</c:v>
                </c:pt>
                <c:pt idx="73">
                  <c:v>-1.5286223973376981E-15</c:v>
                </c:pt>
                <c:pt idx="74">
                  <c:v>-1.5438621131453015E-15</c:v>
                </c:pt>
                <c:pt idx="75">
                  <c:v>-1.5583150599814008E-15</c:v>
                </c:pt>
                <c:pt idx="76">
                  <c:v>-1.5719485479838018E-15</c:v>
                </c:pt>
                <c:pt idx="77">
                  <c:v>-1.5847371049878037E-15</c:v>
                </c:pt>
                <c:pt idx="78">
                  <c:v>-1.5966632024210035E-15</c:v>
                </c:pt>
                <c:pt idx="79">
                  <c:v>-1.6077173706613034E-15</c:v>
                </c:pt>
                <c:pt idx="80">
                  <c:v>-1.6178978837416021E-15</c:v>
                </c:pt>
                <c:pt idx="81">
                  <c:v>-1.6272101559451025E-15</c:v>
                </c:pt>
                <c:pt idx="82">
                  <c:v>-1.6356659611776975E-15</c:v>
                </c:pt>
                <c:pt idx="83">
                  <c:v>-1.643282559612198E-15</c:v>
                </c:pt>
                <c:pt idx="84">
                  <c:v>-1.6500817944360022E-15</c:v>
                </c:pt>
                <c:pt idx="85">
                  <c:v>-1.6560892040118056E-15</c:v>
                </c:pt>
                <c:pt idx="86">
                  <c:v>-1.6613331807999988E-15</c:v>
                </c:pt>
                <c:pt idx="87">
                  <c:v>-1.6658441974411035E-15</c:v>
                </c:pt>
                <c:pt idx="88">
                  <c:v>-1.6696541119530002E-15</c:v>
                </c:pt>
                <c:pt idx="89">
                  <c:v>-1.6727955576192011E-15</c:v>
                </c:pt>
                <c:pt idx="90">
                  <c:v>-1.6753014184466027E-15</c:v>
                </c:pt>
                <c:pt idx="91">
                  <c:v>-1.6772043877106993E-15</c:v>
                </c:pt>
                <c:pt idx="92">
                  <c:v>-1.6785366048149014E-15</c:v>
                </c:pt>
                <c:pt idx="93">
                  <c:v>-1.6793293642270005E-15</c:v>
                </c:pt>
                <c:pt idx="94">
                  <c:v>-1.6796128894292031E-15</c:v>
                </c:pt>
                <c:pt idx="95">
                  <c:v>-1.679416164467802E-15</c:v>
                </c:pt>
                <c:pt idx="96">
                  <c:v>-1.6787668156908978E-15</c:v>
                </c:pt>
                <c:pt idx="97">
                  <c:v>-1.6776910365128037E-15</c:v>
                </c:pt>
                <c:pt idx="98">
                  <c:v>-1.6762135484663982E-15</c:v>
                </c:pt>
                <c:pt idx="99">
                  <c:v>-1.6743575923251962E-15</c:v>
                </c:pt>
                <c:pt idx="100">
                  <c:v>-1.6721449436698972E-15</c:v>
                </c:pt>
                <c:pt idx="101">
                  <c:v>-1.6695959478792004E-15</c:v>
                </c:pt>
                <c:pt idx="102">
                  <c:v>-1.6667295701295004E-15</c:v>
                </c:pt>
                <c:pt idx="103">
                  <c:v>-1.6635634565801002E-15</c:v>
                </c:pt>
                <c:pt idx="104">
                  <c:v>-1.6601140034628984E-15</c:v>
                </c:pt>
                <c:pt idx="105">
                  <c:v>-1.6563964313132985E-15</c:v>
                </c:pt>
                <c:pt idx="106">
                  <c:v>-1.6524248620372996E-15</c:v>
                </c:pt>
                <c:pt idx="107">
                  <c:v>-1.6482123969259017E-15</c:v>
                </c:pt>
                <c:pt idx="108">
                  <c:v>-1.6437711940996952E-15</c:v>
                </c:pt>
                <c:pt idx="109">
                  <c:v>-1.6391125441833028E-15</c:v>
                </c:pt>
                <c:pt idx="110">
                  <c:v>-1.6342469432906014E-15</c:v>
                </c:pt>
                <c:pt idx="111">
                  <c:v>-1.6291841626402956E-15</c:v>
                </c:pt>
                <c:pt idx="112">
                  <c:v>-1.6239333143206012E-15</c:v>
                </c:pt>
                <c:pt idx="113">
                  <c:v>-1.6185029128942013E-15</c:v>
                </c:pt>
                <c:pt idx="114">
                  <c:v>-1.6129009326659007E-15</c:v>
                </c:pt>
                <c:pt idx="115">
                  <c:v>-1.607134860558697E-15</c:v>
                </c:pt>
                <c:pt idx="116">
                  <c:v>-1.601211744624E-15</c:v>
                </c:pt>
                <c:pt idx="117">
                  <c:v>-1.5951382382880003E-15</c:v>
                </c:pt>
                <c:pt idx="118">
                  <c:v>-1.5889206404884008E-15</c:v>
                </c:pt>
                <c:pt idx="119">
                  <c:v>-1.5825649318958995E-15</c:v>
                </c:pt>
                <c:pt idx="120">
                  <c:v>-1.5760768074391957E-15</c:v>
                </c:pt>
                <c:pt idx="121">
                  <c:v>-1.569461705376105E-15</c:v>
                </c:pt>
                <c:pt idx="122">
                  <c:v>-1.5627248331553981E-15</c:v>
                </c:pt>
                <c:pt idx="123">
                  <c:v>-1.5558711903255049E-15</c:v>
                </c:pt>
                <c:pt idx="124">
                  <c:v>-1.548905588735595E-15</c:v>
                </c:pt>
                <c:pt idx="125">
                  <c:v>-1.5418326702763967E-15</c:v>
                </c:pt>
                <c:pt idx="126">
                  <c:v>-1.5346569223931974E-15</c:v>
                </c:pt>
                <c:pt idx="127">
                  <c:v>-1.5273826915959006E-15</c:v>
                </c:pt>
                <c:pt idx="128">
                  <c:v>-1.5200141951753015E-15</c:v>
                </c:pt>
                <c:pt idx="129">
                  <c:v>-1.512555531325498E-15</c:v>
                </c:pt>
                <c:pt idx="130">
                  <c:v>-1.5050106878506998E-15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C5-455A-80D8-2A5F1650FF71}"/>
            </c:ext>
          </c:extLst>
        </c:ser>
        <c:ser>
          <c:idx val="8"/>
          <c:order val="8"/>
          <c:tx>
            <c:strRef>
              <c:f>'DSGE HVD difference'!$AH$1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difference'!$AH$2:$AH$132</c:f>
              <c:numCache>
                <c:formatCode>0.0000</c:formatCode>
                <c:ptCount val="131"/>
                <c:pt idx="0">
                  <c:v>-3.7907481297304478E-3</c:v>
                </c:pt>
                <c:pt idx="1">
                  <c:v>-3.7506317120742615E-3</c:v>
                </c:pt>
                <c:pt idx="2">
                  <c:v>-3.7109618698497829E-3</c:v>
                </c:pt>
                <c:pt idx="3">
                  <c:v>-3.6717332817377962E-3</c:v>
                </c:pt>
                <c:pt idx="4">
                  <c:v>-3.6329406951664924E-3</c:v>
                </c:pt>
                <c:pt idx="5">
                  <c:v>-3.5945789253642581E-3</c:v>
                </c:pt>
                <c:pt idx="6">
                  <c:v>-3.5566428544258769E-3</c:v>
                </c:pt>
                <c:pt idx="7">
                  <c:v>-3.5191274303932735E-3</c:v>
                </c:pt>
                <c:pt idx="8">
                  <c:v>-3.4820276663384635E-3</c:v>
                </c:pt>
                <c:pt idx="9">
                  <c:v>-3.4453386394759995E-3</c:v>
                </c:pt>
                <c:pt idx="10">
                  <c:v>-3.4090554902733781E-3</c:v>
                </c:pt>
                <c:pt idx="11">
                  <c:v>-3.373173421586626E-3</c:v>
                </c:pt>
                <c:pt idx="12">
                  <c:v>-3.3376876977848917E-3</c:v>
                </c:pt>
                <c:pt idx="13">
                  <c:v>-3.3025936439144829E-3</c:v>
                </c:pt>
                <c:pt idx="14">
                  <c:v>-3.2678866448682437E-3</c:v>
                </c:pt>
                <c:pt idx="15">
                  <c:v>-3.2335621445412008E-3</c:v>
                </c:pt>
                <c:pt idx="16">
                  <c:v>-3.1996156450317752E-3</c:v>
                </c:pt>
                <c:pt idx="17">
                  <c:v>-3.1660427058313803E-3</c:v>
                </c:pt>
                <c:pt idx="18">
                  <c:v>-3.1328389430438199E-3</c:v>
                </c:pt>
                <c:pt idx="19">
                  <c:v>-3.1000000286003472E-3</c:v>
                </c:pt>
                <c:pt idx="20">
                  <c:v>-3.0675216894842194E-3</c:v>
                </c:pt>
                <c:pt idx="21">
                  <c:v>-3.0353997069858737E-3</c:v>
                </c:pt>
                <c:pt idx="22">
                  <c:v>-3.0036299159426918E-3</c:v>
                </c:pt>
                <c:pt idx="23">
                  <c:v>-2.9722082040155502E-3</c:v>
                </c:pt>
                <c:pt idx="24">
                  <c:v>-2.9411305109534294E-3</c:v>
                </c:pt>
                <c:pt idx="25">
                  <c:v>-2.9103928278800977E-3</c:v>
                </c:pt>
                <c:pt idx="26">
                  <c:v>-2.8799911965859898E-3</c:v>
                </c:pt>
                <c:pt idx="27">
                  <c:v>-2.8499217088425377E-3</c:v>
                </c:pt>
                <c:pt idx="28">
                  <c:v>-2.8201805057058663E-3</c:v>
                </c:pt>
                <c:pt idx="29">
                  <c:v>-2.7907637768448709E-3</c:v>
                </c:pt>
                <c:pt idx="30">
                  <c:v>-2.7616677598769047E-3</c:v>
                </c:pt>
                <c:pt idx="31">
                  <c:v>-2.7328887397081712E-3</c:v>
                </c:pt>
                <c:pt idx="32">
                  <c:v>-2.7044230478907236E-3</c:v>
                </c:pt>
                <c:pt idx="33">
                  <c:v>-2.6762670619808874E-3</c:v>
                </c:pt>
                <c:pt idx="34">
                  <c:v>-2.6484172049133542E-3</c:v>
                </c:pt>
                <c:pt idx="35">
                  <c:v>-2.6208699443800547E-3</c:v>
                </c:pt>
                <c:pt idx="36">
                  <c:v>-2.5936217922200382E-3</c:v>
                </c:pt>
                <c:pt idx="37">
                  <c:v>-2.5666693038177779E-3</c:v>
                </c:pt>
                <c:pt idx="38">
                  <c:v>-2.5400090775105611E-3</c:v>
                </c:pt>
                <c:pt idx="39">
                  <c:v>-2.5136377540027847E-3</c:v>
                </c:pt>
                <c:pt idx="40">
                  <c:v>-2.4875520157913588E-3</c:v>
                </c:pt>
                <c:pt idx="41">
                  <c:v>-2.4617485865966772E-3</c:v>
                </c:pt>
                <c:pt idx="42">
                  <c:v>-2.4362242308039301E-3</c:v>
                </c:pt>
                <c:pt idx="43">
                  <c:v>-2.4109757529112257E-3</c:v>
                </c:pt>
                <c:pt idx="44">
                  <c:v>-2.3859999969862555E-3</c:v>
                </c:pt>
                <c:pt idx="45">
                  <c:v>-2.3612938461306252E-3</c:v>
                </c:pt>
                <c:pt idx="46">
                  <c:v>-2.3368542219522064E-3</c:v>
                </c:pt>
                <c:pt idx="47">
                  <c:v>-2.3126780840437172E-3</c:v>
                </c:pt>
                <c:pt idx="48">
                  <c:v>-2.2887624294731733E-3</c:v>
                </c:pt>
                <c:pt idx="49">
                  <c:v>-2.2651042922755384E-3</c:v>
                </c:pt>
                <c:pt idx="50">
                  <c:v>-2.2417007429563849E-3</c:v>
                </c:pt>
                <c:pt idx="51">
                  <c:v>-2.2185488879999456E-3</c:v>
                </c:pt>
                <c:pt idx="52">
                  <c:v>-2.1956458693866703E-3</c:v>
                </c:pt>
                <c:pt idx="53">
                  <c:v>-2.1729888641137348E-3</c:v>
                </c:pt>
                <c:pt idx="54">
                  <c:v>-2.1505750837293352E-3</c:v>
                </c:pt>
                <c:pt idx="55">
                  <c:v>-2.1284017738697268E-3</c:v>
                </c:pt>
                <c:pt idx="56">
                  <c:v>-2.1064662138023894E-3</c:v>
                </c:pt>
                <c:pt idx="57">
                  <c:v>-2.0847657159737357E-3</c:v>
                </c:pt>
                <c:pt idx="58">
                  <c:v>-2.0632976255711469E-3</c:v>
                </c:pt>
                <c:pt idx="59">
                  <c:v>-2.0420593200710579E-3</c:v>
                </c:pt>
                <c:pt idx="60">
                  <c:v>-2.0210482088352539E-3</c:v>
                </c:pt>
                <c:pt idx="61">
                  <c:v>-2.0002617326690107E-3</c:v>
                </c:pt>
                <c:pt idx="62">
                  <c:v>-1.9796973633909145E-3</c:v>
                </c:pt>
                <c:pt idx="63">
                  <c:v>-1.9593526034560778E-3</c:v>
                </c:pt>
                <c:pt idx="64">
                  <c:v>-1.9392249855190078E-3</c:v>
                </c:pt>
                <c:pt idx="65">
                  <c:v>-1.9193120720472597E-3</c:v>
                </c:pt>
                <c:pt idx="66">
                  <c:v>-1.8996114549271802E-3</c:v>
                </c:pt>
                <c:pt idx="67">
                  <c:v>-1.8801207550625764E-3</c:v>
                </c:pt>
                <c:pt idx="68">
                  <c:v>-1.8608376220117498E-3</c:v>
                </c:pt>
                <c:pt idx="69">
                  <c:v>-1.8417597335900113E-3</c:v>
                </c:pt>
                <c:pt idx="70">
                  <c:v>-1.8228847955149342E-3</c:v>
                </c:pt>
                <c:pt idx="71">
                  <c:v>-1.804210541026846E-3</c:v>
                </c:pt>
                <c:pt idx="72">
                  <c:v>-1.7857347305315612E-3</c:v>
                </c:pt>
                <c:pt idx="73">
                  <c:v>-1.7674551512449797E-3</c:v>
                </c:pt>
                <c:pt idx="74">
                  <c:v>-1.749369616840102E-3</c:v>
                </c:pt>
                <c:pt idx="75">
                  <c:v>-1.7314759671026255E-3</c:v>
                </c:pt>
                <c:pt idx="76">
                  <c:v>-1.713772067587753E-3</c:v>
                </c:pt>
                <c:pt idx="77">
                  <c:v>-1.6962558092851838E-3</c:v>
                </c:pt>
                <c:pt idx="78">
                  <c:v>-1.678925108286717E-3</c:v>
                </c:pt>
                <c:pt idx="79">
                  <c:v>-1.6617779054597572E-3</c:v>
                </c:pt>
                <c:pt idx="80">
                  <c:v>-1.6448121661251983E-3</c:v>
                </c:pt>
                <c:pt idx="81">
                  <c:v>-1.6280258797394447E-3</c:v>
                </c:pt>
                <c:pt idx="82">
                  <c:v>-1.6114170595815944E-3</c:v>
                </c:pt>
                <c:pt idx="83">
                  <c:v>-1.5949837424450504E-3</c:v>
                </c:pt>
                <c:pt idx="84">
                  <c:v>-1.5787239883329077E-3</c:v>
                </c:pt>
                <c:pt idx="85">
                  <c:v>-1.5626358801582437E-3</c:v>
                </c:pt>
                <c:pt idx="86">
                  <c:v>-1.5467175234484833E-3</c:v>
                </c:pt>
                <c:pt idx="87">
                  <c:v>-1.5309670460540966E-3</c:v>
                </c:pt>
                <c:pt idx="88">
                  <c:v>-1.5153825978607345E-3</c:v>
                </c:pt>
                <c:pt idx="89">
                  <c:v>-1.4999623505065865E-3</c:v>
                </c:pt>
                <c:pt idx="90">
                  <c:v>-1.4847044971029843E-3</c:v>
                </c:pt>
                <c:pt idx="91">
                  <c:v>-1.4696072519589276E-3</c:v>
                </c:pt>
                <c:pt idx="92">
                  <c:v>-1.4546688503098743E-3</c:v>
                </c:pt>
                <c:pt idx="93">
                  <c:v>-1.4398875480500666E-3</c:v>
                </c:pt>
                <c:pt idx="94">
                  <c:v>-1.4252616214684806E-3</c:v>
                </c:pt>
                <c:pt idx="95">
                  <c:v>-1.4107893669892322E-3</c:v>
                </c:pt>
                <c:pt idx="96">
                  <c:v>-1.3964691009147466E-3</c:v>
                </c:pt>
                <c:pt idx="97">
                  <c:v>-1.382299159172922E-3</c:v>
                </c:pt>
                <c:pt idx="98">
                  <c:v>-1.3682778970678547E-3</c:v>
                </c:pt>
                <c:pt idx="99">
                  <c:v>-1.3544036890341992E-3</c:v>
                </c:pt>
                <c:pt idx="100">
                  <c:v>-1.340674928394549E-3</c:v>
                </c:pt>
                <c:pt idx="101">
                  <c:v>-1.3270900271205512E-3</c:v>
                </c:pt>
                <c:pt idx="102">
                  <c:v>-1.3136474155972058E-3</c:v>
                </c:pt>
                <c:pt idx="103">
                  <c:v>-1.3003455423905273E-3</c:v>
                </c:pt>
                <c:pt idx="104">
                  <c:v>-1.2871828740184277E-3</c:v>
                </c:pt>
                <c:pt idx="105">
                  <c:v>-1.2741578947246734E-3</c:v>
                </c:pt>
                <c:pt idx="106">
                  <c:v>-1.2612691062562006E-3</c:v>
                </c:pt>
                <c:pt idx="107">
                  <c:v>-1.2485150276431208E-3</c:v>
                </c:pt>
                <c:pt idx="108">
                  <c:v>-1.2358941949824123E-3</c:v>
                </c:pt>
                <c:pt idx="109">
                  <c:v>-1.2234051612239978E-3</c:v>
                </c:pt>
                <c:pt idx="110">
                  <c:v>-1.2110464959600457E-3</c:v>
                </c:pt>
                <c:pt idx="111">
                  <c:v>-1.1988167852171972E-3</c:v>
                </c:pt>
                <c:pt idx="112">
                  <c:v>-1.1867146312514695E-3</c:v>
                </c:pt>
                <c:pt idx="113">
                  <c:v>-1.174738652346374E-3</c:v>
                </c:pt>
                <c:pt idx="114">
                  <c:v>-1.1628874826132615E-3</c:v>
                </c:pt>
                <c:pt idx="115">
                  <c:v>-1.1511597717948712E-3</c:v>
                </c:pt>
                <c:pt idx="116">
                  <c:v>-1.1395541850714823E-3</c:v>
                </c:pt>
                <c:pt idx="117">
                  <c:v>-1.1280694028693952E-3</c:v>
                </c:pt>
                <c:pt idx="118">
                  <c:v>-1.1167041206724896E-3</c:v>
                </c:pt>
                <c:pt idx="119">
                  <c:v>-1.1054570488360767E-3</c:v>
                </c:pt>
                <c:pt idx="120">
                  <c:v>-1.0943269124033149E-3</c:v>
                </c:pt>
                <c:pt idx="121">
                  <c:v>-1.0833124509242943E-3</c:v>
                </c:pt>
                <c:pt idx="122">
                  <c:v>-1.0724124182772765E-3</c:v>
                </c:pt>
                <c:pt idx="123">
                  <c:v>-1.0616255824927292E-3</c:v>
                </c:pt>
                <c:pt idx="124">
                  <c:v>-1.0509507255793652E-3</c:v>
                </c:pt>
                <c:pt idx="125">
                  <c:v>-1.0403866433530212E-3</c:v>
                </c:pt>
                <c:pt idx="126">
                  <c:v>-1.0299321452672289E-3</c:v>
                </c:pt>
                <c:pt idx="127">
                  <c:v>-1.0195860542466476E-3</c:v>
                </c:pt>
                <c:pt idx="128">
                  <c:v>-1.0093472065224676E-3</c:v>
                </c:pt>
                <c:pt idx="129">
                  <c:v>-9.992144514699593E-4</c:v>
                </c:pt>
                <c:pt idx="130">
                  <c:v>-9.8918665144851251E-4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C5-455A-80D8-2A5F1650F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lineChart>
        <c:grouping val="standard"/>
        <c:varyColors val="0"/>
        <c:ser>
          <c:idx val="9"/>
          <c:order val="9"/>
          <c:tx>
            <c:strRef>
              <c:f>'DSGE HVD difference'!$AI$1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'DSGE HVD difference'!$AI$2:$AI$132</c:f>
              <c:numCache>
                <c:formatCode>0.0000</c:formatCode>
                <c:ptCount val="131"/>
                <c:pt idx="0">
                  <c:v>0.37553775317855947</c:v>
                </c:pt>
                <c:pt idx="1">
                  <c:v>0.42088163242218896</c:v>
                </c:pt>
                <c:pt idx="2">
                  <c:v>0.47351225953921044</c:v>
                </c:pt>
                <c:pt idx="3">
                  <c:v>0.53512032285489419</c:v>
                </c:pt>
                <c:pt idx="4">
                  <c:v>0.60797113525312796</c:v>
                </c:pt>
                <c:pt idx="5">
                  <c:v>0.69515868677223891</c:v>
                </c:pt>
                <c:pt idx="6">
                  <c:v>0.80095629991274664</c:v>
                </c:pt>
                <c:pt idx="7">
                  <c:v>0.9171141829715983</c:v>
                </c:pt>
                <c:pt idx="8">
                  <c:v>0.9025151068186209</c:v>
                </c:pt>
                <c:pt idx="9">
                  <c:v>0.76565627243367906</c:v>
                </c:pt>
                <c:pt idx="10">
                  <c:v>0.29975386060515047</c:v>
                </c:pt>
                <c:pt idx="11">
                  <c:v>0.19653732921761369</c:v>
                </c:pt>
                <c:pt idx="12">
                  <c:v>-6.3698988946227497E-2</c:v>
                </c:pt>
                <c:pt idx="13">
                  <c:v>-0.46057302733080335</c:v>
                </c:pt>
                <c:pt idx="14">
                  <c:v>-0.41884103560405817</c:v>
                </c:pt>
                <c:pt idx="15">
                  <c:v>-0.42601893011915892</c:v>
                </c:pt>
                <c:pt idx="16">
                  <c:v>-0.40736477906689866</c:v>
                </c:pt>
                <c:pt idx="17">
                  <c:v>-0.67836066826811303</c:v>
                </c:pt>
                <c:pt idx="18">
                  <c:v>-0.79148917040048228</c:v>
                </c:pt>
                <c:pt idx="19">
                  <c:v>-0.65527194589232507</c:v>
                </c:pt>
                <c:pt idx="20">
                  <c:v>-0.71129360883101633</c:v>
                </c:pt>
                <c:pt idx="21">
                  <c:v>-0.65828380153570676</c:v>
                </c:pt>
                <c:pt idx="22">
                  <c:v>-0.69520762870293384</c:v>
                </c:pt>
                <c:pt idx="23">
                  <c:v>-0.80870045362611032</c:v>
                </c:pt>
                <c:pt idx="24">
                  <c:v>-0.78289733903266634</c:v>
                </c:pt>
                <c:pt idx="25">
                  <c:v>-0.69189729946113765</c:v>
                </c:pt>
                <c:pt idx="26">
                  <c:v>-0.80631555402188038</c:v>
                </c:pt>
                <c:pt idx="27">
                  <c:v>-0.82398430423918911</c:v>
                </c:pt>
                <c:pt idx="28">
                  <c:v>-0.79364513931579883</c:v>
                </c:pt>
                <c:pt idx="29">
                  <c:v>-0.76548737179779069</c:v>
                </c:pt>
                <c:pt idx="30">
                  <c:v>-0.72865711600912286</c:v>
                </c:pt>
                <c:pt idx="31">
                  <c:v>-0.67948097080950665</c:v>
                </c:pt>
                <c:pt idx="32">
                  <c:v>-0.63721187907061871</c:v>
                </c:pt>
                <c:pt idx="33">
                  <c:v>-0.60153833567446346</c:v>
                </c:pt>
                <c:pt idx="34">
                  <c:v>-0.57391412018559895</c:v>
                </c:pt>
                <c:pt idx="35">
                  <c:v>-0.55295144611707681</c:v>
                </c:pt>
                <c:pt idx="36">
                  <c:v>-0.5375944379729054</c:v>
                </c:pt>
                <c:pt idx="37">
                  <c:v>-0.52704624350921569</c:v>
                </c:pt>
                <c:pt idx="38">
                  <c:v>-0.52084758913360474</c:v>
                </c:pt>
                <c:pt idx="39">
                  <c:v>-0.51879450913004277</c:v>
                </c:pt>
                <c:pt idx="40">
                  <c:v>-0.52080498568915645</c:v>
                </c:pt>
                <c:pt idx="41">
                  <c:v>-0.52681634578957848</c:v>
                </c:pt>
                <c:pt idx="42">
                  <c:v>-0.53684900276025682</c:v>
                </c:pt>
                <c:pt idx="43">
                  <c:v>-0.55100408401173551</c:v>
                </c:pt>
                <c:pt idx="44">
                  <c:v>-0.56946796457629656</c:v>
                </c:pt>
                <c:pt idx="45">
                  <c:v>-0.59253146908009213</c:v>
                </c:pt>
                <c:pt idx="46">
                  <c:v>-0.62069887889771802</c:v>
                </c:pt>
                <c:pt idx="47">
                  <c:v>-0.65273963031697901</c:v>
                </c:pt>
                <c:pt idx="48">
                  <c:v>-0.6911525808229384</c:v>
                </c:pt>
                <c:pt idx="49">
                  <c:v>-0.73616374885432334</c:v>
                </c:pt>
                <c:pt idx="50">
                  <c:v>-0.78902807005621767</c:v>
                </c:pt>
                <c:pt idx="51">
                  <c:v>-0.85120704125719449</c:v>
                </c:pt>
                <c:pt idx="52">
                  <c:v>-0.9246214221990865</c:v>
                </c:pt>
                <c:pt idx="53">
                  <c:v>-0.77965849860095071</c:v>
                </c:pt>
                <c:pt idx="54">
                  <c:v>-0.96427280300331264</c:v>
                </c:pt>
                <c:pt idx="55">
                  <c:v>-1.1329572590411654</c:v>
                </c:pt>
                <c:pt idx="56">
                  <c:v>-1.2022566303860702</c:v>
                </c:pt>
                <c:pt idx="57">
                  <c:v>-1.2389184565241298</c:v>
                </c:pt>
                <c:pt idx="58">
                  <c:v>-0.79223113146749302</c:v>
                </c:pt>
                <c:pt idx="59">
                  <c:v>-0.93512691391548886</c:v>
                </c:pt>
                <c:pt idx="60">
                  <c:v>-0.75957279969731062</c:v>
                </c:pt>
                <c:pt idx="61">
                  <c:v>-0.12047890030754742</c:v>
                </c:pt>
                <c:pt idx="62">
                  <c:v>-0.27284181341537145</c:v>
                </c:pt>
                <c:pt idx="63">
                  <c:v>8.7322036387277688E-2</c:v>
                </c:pt>
                <c:pt idx="64">
                  <c:v>0.19369779759534445</c:v>
                </c:pt>
                <c:pt idx="65">
                  <c:v>0.2087464128660067</c:v>
                </c:pt>
                <c:pt idx="66">
                  <c:v>0.39297739736206477</c:v>
                </c:pt>
                <c:pt idx="67">
                  <c:v>0.28680132610607656</c:v>
                </c:pt>
                <c:pt idx="68">
                  <c:v>0.28364020477647828</c:v>
                </c:pt>
                <c:pt idx="69">
                  <c:v>-3.2071911298520113E-2</c:v>
                </c:pt>
                <c:pt idx="70">
                  <c:v>-0.1387142185091354</c:v>
                </c:pt>
                <c:pt idx="71">
                  <c:v>-0.13638086703806393</c:v>
                </c:pt>
                <c:pt idx="72">
                  <c:v>-0.1340754228655005</c:v>
                </c:pt>
                <c:pt idx="73">
                  <c:v>-0.13179888191749634</c:v>
                </c:pt>
                <c:pt idx="74">
                  <c:v>-0.1295534200263454</c:v>
                </c:pt>
                <c:pt idx="75">
                  <c:v>-0.1273416769252102</c:v>
                </c:pt>
                <c:pt idx="76">
                  <c:v>-0.12516632135378333</c:v>
                </c:pt>
                <c:pt idx="77">
                  <c:v>-0.12302980134282931</c:v>
                </c:pt>
                <c:pt idx="78">
                  <c:v>-0.12093421441500113</c:v>
                </c:pt>
                <c:pt idx="79">
                  <c:v>-0.11888125369625677</c:v>
                </c:pt>
                <c:pt idx="80">
                  <c:v>-0.11687220056321963</c:v>
                </c:pt>
                <c:pt idx="81">
                  <c:v>-0.11490794445467852</c:v>
                </c:pt>
                <c:pt idx="82">
                  <c:v>-0.11298901726626243</c:v>
                </c:pt>
                <c:pt idx="83">
                  <c:v>-0.11111563432235302</c:v>
                </c:pt>
                <c:pt idx="84">
                  <c:v>-0.10928773697341408</c:v>
                </c:pt>
                <c:pt idx="85">
                  <c:v>-0.10750503388390024</c:v>
                </c:pt>
                <c:pt idx="86">
                  <c:v>-0.10576703938930389</c:v>
                </c:pt>
                <c:pt idx="87">
                  <c:v>-0.10407310814041278</c:v>
                </c:pt>
                <c:pt idx="88">
                  <c:v>-0.10242246577608895</c:v>
                </c:pt>
                <c:pt idx="89">
                  <c:v>-0.10081423567987784</c:v>
                </c:pt>
                <c:pt idx="90">
                  <c:v>-9.9247462053202326E-2</c:v>
                </c:pt>
                <c:pt idx="91">
                  <c:v>-9.7721129627578174E-2</c:v>
                </c:pt>
                <c:pt idx="92">
                  <c:v>-9.6234180373405045E-2</c:v>
                </c:pt>
                <c:pt idx="93">
                  <c:v>-9.4785527564226882E-2</c:v>
                </c:pt>
                <c:pt idx="94">
                  <c:v>-9.3374067538024547E-2</c:v>
                </c:pt>
                <c:pt idx="95">
                  <c:v>-9.1998689469357853E-2</c:v>
                </c:pt>
                <c:pt idx="96">
                  <c:v>-9.0658283434502759E-2</c:v>
                </c:pt>
                <c:pt idx="97">
                  <c:v>-8.9351747018872954E-2</c:v>
                </c:pt>
                <c:pt idx="98">
                  <c:v>-8.8077990684786472E-2</c:v>
                </c:pt>
                <c:pt idx="99">
                  <c:v>-8.6835942088474588E-2</c:v>
                </c:pt>
                <c:pt idx="100">
                  <c:v>-8.562454950910714E-2</c:v>
                </c:pt>
                <c:pt idx="101">
                  <c:v>-8.4442784529299042E-2</c:v>
                </c:pt>
                <c:pt idx="102">
                  <c:v>-8.3289644086316839E-2</c:v>
                </c:pt>
                <c:pt idx="103">
                  <c:v>-8.2164151995518492E-2</c:v>
                </c:pt>
                <c:pt idx="104">
                  <c:v>-8.1065360032384057E-2</c:v>
                </c:pt>
                <c:pt idx="105">
                  <c:v>-7.9992348646508393E-2</c:v>
                </c:pt>
                <c:pt idx="106">
                  <c:v>-7.8944227369707992E-2</c:v>
                </c:pt>
                <c:pt idx="107">
                  <c:v>-7.7920134971031285E-2</c:v>
                </c:pt>
                <c:pt idx="108">
                  <c:v>-7.6919239403291109E-2</c:v>
                </c:pt>
                <c:pt idx="109">
                  <c:v>-7.5940737578924375E-2</c:v>
                </c:pt>
                <c:pt idx="110">
                  <c:v>-7.4983855007175665E-2</c:v>
                </c:pt>
                <c:pt idx="111">
                  <c:v>-7.4047845319600014E-2</c:v>
                </c:pt>
                <c:pt idx="112">
                  <c:v>-7.3131989706755399E-2</c:v>
                </c:pt>
                <c:pt idx="113">
                  <c:v>-7.2235596285303905E-2</c:v>
                </c:pt>
                <c:pt idx="114">
                  <c:v>-7.1357999411776965E-2</c:v>
                </c:pt>
                <c:pt idx="115">
                  <c:v>-7.0498558956662086E-2</c:v>
                </c:pt>
                <c:pt idx="116">
                  <c:v>-6.9656659550257793E-2</c:v>
                </c:pt>
                <c:pt idx="117">
                  <c:v>-6.8831709809919234E-2</c:v>
                </c:pt>
                <c:pt idx="118">
                  <c:v>-6.8023141556689898E-2</c:v>
                </c:pt>
                <c:pt idx="119">
                  <c:v>-6.723040902800563E-2</c:v>
                </c:pt>
                <c:pt idx="120">
                  <c:v>-6.6452988091988754E-2</c:v>
                </c:pt>
                <c:pt idx="121">
                  <c:v>-6.56903754678555E-2</c:v>
                </c:pt>
                <c:pt idx="122">
                  <c:v>-6.4942087956182906E-2</c:v>
                </c:pt>
                <c:pt idx="123">
                  <c:v>-6.420766168200763E-2</c:v>
                </c:pt>
                <c:pt idx="124">
                  <c:v>-6.34866513531709E-2</c:v>
                </c:pt>
                <c:pt idx="125">
                  <c:v>-6.2778629535825248E-2</c:v>
                </c:pt>
                <c:pt idx="126">
                  <c:v>-6.2083185948514356E-2</c:v>
                </c:pt>
                <c:pt idx="127">
                  <c:v>-6.1399926775981217E-2</c:v>
                </c:pt>
                <c:pt idx="128">
                  <c:v>-6.0728474003437283E-2</c:v>
                </c:pt>
                <c:pt idx="129">
                  <c:v>-6.0068464771860702E-2</c:v>
                </c:pt>
                <c:pt idx="130">
                  <c:v>-5.9419550754586339E-2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5C5-455A-80D8-2A5F1650F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843279"/>
        <c:axId val="1698837999"/>
      </c:lineChart>
      <c:dateAx>
        <c:axId val="1190122384"/>
        <c:scaling>
          <c:orientation val="minMax"/>
          <c:max val="45658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valAx>
        <c:axId val="16988379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698843279"/>
        <c:crosses val="autoZero"/>
        <c:crossBetween val="between"/>
      </c:valAx>
      <c:catAx>
        <c:axId val="1698843279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majorTickMark val="out"/>
        <c:minorTickMark val="none"/>
        <c:tickLblPos val="nextTo"/>
        <c:crossAx val="1698837999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8.2205048273724643E-2"/>
          <c:y val="9.6674400618716166E-3"/>
          <c:w val="0.83558974786636886"/>
          <c:h val="0.2254492695373635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'DSGE HVD wFG'!$Z$1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wFG'!$Z$2:$Z$132</c:f>
              <c:numCache>
                <c:formatCode>0.0000</c:formatCode>
                <c:ptCount val="131"/>
                <c:pt idx="0">
                  <c:v>-0.10116499029808</c:v>
                </c:pt>
                <c:pt idx="1">
                  <c:v>-9.1415602048891598E-2</c:v>
                </c:pt>
                <c:pt idx="2">
                  <c:v>-9.5807612147910698E-2</c:v>
                </c:pt>
                <c:pt idx="3">
                  <c:v>-9.28572460411968E-2</c:v>
                </c:pt>
                <c:pt idx="4">
                  <c:v>-9.4503573302483102E-2</c:v>
                </c:pt>
                <c:pt idx="5">
                  <c:v>-9.7453030409408406E-2</c:v>
                </c:pt>
                <c:pt idx="6">
                  <c:v>-8.2949480993659494E-2</c:v>
                </c:pt>
                <c:pt idx="7">
                  <c:v>-5.01476530084006E-2</c:v>
                </c:pt>
                <c:pt idx="8">
                  <c:v>-3.5773165114307497E-2</c:v>
                </c:pt>
                <c:pt idx="9">
                  <c:v>-2.4089109529469799E-2</c:v>
                </c:pt>
                <c:pt idx="10">
                  <c:v>-3.9925576677519101E-2</c:v>
                </c:pt>
                <c:pt idx="11">
                  <c:v>-2.7038449102135001E-2</c:v>
                </c:pt>
                <c:pt idx="12">
                  <c:v>-2.8494113734741599E-2</c:v>
                </c:pt>
                <c:pt idx="13">
                  <c:v>-2.82922007426669E-2</c:v>
                </c:pt>
                <c:pt idx="14">
                  <c:v>-1.9280872158649001E-2</c:v>
                </c:pt>
                <c:pt idx="15">
                  <c:v>-4.1303004539159603E-2</c:v>
                </c:pt>
                <c:pt idx="16">
                  <c:v>-5.8766053904821799E-2</c:v>
                </c:pt>
                <c:pt idx="17">
                  <c:v>-6.4203684109087805E-2</c:v>
                </c:pt>
                <c:pt idx="18">
                  <c:v>-8.6900799934183606E-2</c:v>
                </c:pt>
                <c:pt idx="19">
                  <c:v>-8.3203926639219203E-2</c:v>
                </c:pt>
                <c:pt idx="20">
                  <c:v>-8.1138714250120703E-2</c:v>
                </c:pt>
                <c:pt idx="21">
                  <c:v>-8.6544570595947307E-2</c:v>
                </c:pt>
                <c:pt idx="22">
                  <c:v>-9.3431333735875505E-2</c:v>
                </c:pt>
                <c:pt idx="23">
                  <c:v>-8.7928026169745002E-2</c:v>
                </c:pt>
                <c:pt idx="24">
                  <c:v>-0.10048847835562</c:v>
                </c:pt>
                <c:pt idx="25">
                  <c:v>-9.5000335052677701E-2</c:v>
                </c:pt>
                <c:pt idx="26">
                  <c:v>-9.9459504432794402E-2</c:v>
                </c:pt>
                <c:pt idx="27">
                  <c:v>-0.11045848026907</c:v>
                </c:pt>
                <c:pt idx="28">
                  <c:v>-0.12407675743687099</c:v>
                </c:pt>
                <c:pt idx="29">
                  <c:v>-0.11765066591697</c:v>
                </c:pt>
                <c:pt idx="30">
                  <c:v>-0.122205790077314</c:v>
                </c:pt>
                <c:pt idx="31">
                  <c:v>-0.12684931984071601</c:v>
                </c:pt>
                <c:pt idx="32">
                  <c:v>-0.123198816062282</c:v>
                </c:pt>
                <c:pt idx="33">
                  <c:v>-0.12668424897153499</c:v>
                </c:pt>
                <c:pt idx="34">
                  <c:v>-0.13477040855068201</c:v>
                </c:pt>
                <c:pt idx="35">
                  <c:v>-0.133004716171574</c:v>
                </c:pt>
                <c:pt idx="36">
                  <c:v>-0.13194735417491199</c:v>
                </c:pt>
                <c:pt idx="37">
                  <c:v>-0.14498140937162601</c:v>
                </c:pt>
                <c:pt idx="38">
                  <c:v>-0.14639908930706599</c:v>
                </c:pt>
                <c:pt idx="39">
                  <c:v>-0.14880179390116</c:v>
                </c:pt>
                <c:pt idx="40">
                  <c:v>-0.155620411539487</c:v>
                </c:pt>
                <c:pt idx="41">
                  <c:v>-0.15174884053153301</c:v>
                </c:pt>
                <c:pt idx="42">
                  <c:v>-0.15236736903801101</c:v>
                </c:pt>
                <c:pt idx="43">
                  <c:v>-0.15811855472518099</c:v>
                </c:pt>
                <c:pt idx="44">
                  <c:v>-0.15894250476521901</c:v>
                </c:pt>
                <c:pt idx="45">
                  <c:v>-0.154505222129946</c:v>
                </c:pt>
                <c:pt idx="46">
                  <c:v>-0.146252175261569</c:v>
                </c:pt>
                <c:pt idx="47">
                  <c:v>-0.14174911758501199</c:v>
                </c:pt>
                <c:pt idx="48">
                  <c:v>-0.127167986116826</c:v>
                </c:pt>
                <c:pt idx="49">
                  <c:v>-0.14356819057544701</c:v>
                </c:pt>
                <c:pt idx="50">
                  <c:v>-0.14360995690214901</c:v>
                </c:pt>
                <c:pt idx="51">
                  <c:v>-0.135974576005187</c:v>
                </c:pt>
                <c:pt idx="52">
                  <c:v>-0.14070548318876799</c:v>
                </c:pt>
                <c:pt idx="53">
                  <c:v>-0.14597519741200499</c:v>
                </c:pt>
                <c:pt idx="54">
                  <c:v>-0.15723250297962801</c:v>
                </c:pt>
                <c:pt idx="55">
                  <c:v>-0.14900861625697101</c:v>
                </c:pt>
                <c:pt idx="56">
                  <c:v>-0.17723473717681201</c:v>
                </c:pt>
                <c:pt idx="57">
                  <c:v>-0.21742854947951701</c:v>
                </c:pt>
                <c:pt idx="58">
                  <c:v>-0.20354087391530101</c:v>
                </c:pt>
                <c:pt idx="59">
                  <c:v>-0.18437691906169901</c:v>
                </c:pt>
                <c:pt idx="60">
                  <c:v>-0.182100768215638</c:v>
                </c:pt>
                <c:pt idx="61">
                  <c:v>-0.18647299575634599</c:v>
                </c:pt>
                <c:pt idx="62">
                  <c:v>-0.17668812436853101</c:v>
                </c:pt>
                <c:pt idx="63">
                  <c:v>-0.177210965600924</c:v>
                </c:pt>
                <c:pt idx="64">
                  <c:v>-0.177323933130202</c:v>
                </c:pt>
                <c:pt idx="65">
                  <c:v>-0.18290673431329299</c:v>
                </c:pt>
                <c:pt idx="66">
                  <c:v>-0.17327065089414501</c:v>
                </c:pt>
                <c:pt idx="67">
                  <c:v>-0.173017359007167</c:v>
                </c:pt>
                <c:pt idx="68">
                  <c:v>-0.18225651324893299</c:v>
                </c:pt>
                <c:pt idx="69">
                  <c:v>-0.18375688302281101</c:v>
                </c:pt>
                <c:pt idx="70">
                  <c:v>-0.19188343666194799</c:v>
                </c:pt>
                <c:pt idx="71">
                  <c:v>-0.189659205835919</c:v>
                </c:pt>
                <c:pt idx="72">
                  <c:v>-0.18744074218276599</c:v>
                </c:pt>
                <c:pt idx="73">
                  <c:v>-0.18523233876197001</c:v>
                </c:pt>
                <c:pt idx="74">
                  <c:v>-0.18303739874705399</c:v>
                </c:pt>
                <c:pt idx="75">
                  <c:v>-0.18085860840628001</c:v>
                </c:pt>
                <c:pt idx="76">
                  <c:v>-0.178698076126418</c:v>
                </c:pt>
                <c:pt idx="77">
                  <c:v>-0.17655744421438699</c:v>
                </c:pt>
                <c:pt idx="78">
                  <c:v>-0.17443797886708901</c:v>
                </c:pt>
                <c:pt idx="79">
                  <c:v>-0.17234064262458201</c:v>
                </c:pt>
                <c:pt idx="80">
                  <c:v>-0.17026615276201701</c:v>
                </c:pt>
                <c:pt idx="81">
                  <c:v>-0.16821502838812399</c:v>
                </c:pt>
                <c:pt idx="82">
                  <c:v>-0.166187628467965</c:v>
                </c:pt>
                <c:pt idx="83">
                  <c:v>-0.164184182547572</c:v>
                </c:pt>
                <c:pt idx="84">
                  <c:v>-0.162204815605898</c:v>
                </c:pt>
                <c:pt idx="85">
                  <c:v>-0.16024956817757599</c:v>
                </c:pt>
                <c:pt idx="86">
                  <c:v>-0.15831841266427499</c:v>
                </c:pt>
                <c:pt idx="87">
                  <c:v>-0.15641126657162599</c:v>
                </c:pt>
                <c:pt idx="88">
                  <c:v>-0.15452800326388699</c:v>
                </c:pt>
                <c:pt idx="89">
                  <c:v>-0.15266846071241899</c:v>
                </c:pt>
                <c:pt idx="90">
                  <c:v>-0.150832448620983</c:v>
                </c:pt>
                <c:pt idx="91">
                  <c:v>-0.14901975423622199</c:v>
                </c:pt>
                <c:pt idx="92">
                  <c:v>-0.147230147091792</c:v>
                </c:pt>
                <c:pt idx="93">
                  <c:v>-0.14546338288652</c:v>
                </c:pt>
                <c:pt idx="94">
                  <c:v>-0.143719206658318</c:v>
                </c:pt>
                <c:pt idx="95">
                  <c:v>-0.141997355384547</c:v>
                </c:pt>
                <c:pt idx="96">
                  <c:v>-0.14029756011455399</c:v>
                </c:pt>
                <c:pt idx="97">
                  <c:v>-0.13861954771996701</c:v>
                </c:pt>
                <c:pt idx="98">
                  <c:v>-0.136963042332194</c:v>
                </c:pt>
                <c:pt idx="99">
                  <c:v>-0.13532776652346701</c:v>
                </c:pt>
                <c:pt idx="100">
                  <c:v>-0.133713442277271</c:v>
                </c:pt>
                <c:pt idx="101">
                  <c:v>-0.132119791785477</c:v>
                </c:pt>
                <c:pt idx="102">
                  <c:v>-0.13054653810261299</c:v>
                </c:pt>
                <c:pt idx="103">
                  <c:v>-0.12899340568215101</c:v>
                </c:pt>
                <c:pt idx="104">
                  <c:v>-0.127460120815165</c:v>
                </c:pt>
                <c:pt idx="105">
                  <c:v>-0.12594641198804701</c:v>
                </c:pt>
                <c:pt idx="106">
                  <c:v>-0.124452010173002</c:v>
                </c:pt>
                <c:pt idx="107">
                  <c:v>-0.122976649062614</c:v>
                </c:pt>
                <c:pt idx="108">
                  <c:v>-0.121520065257797</c:v>
                </c:pt>
                <c:pt idx="109">
                  <c:v>-0.120081998416828</c:v>
                </c:pt>
                <c:pt idx="110">
                  <c:v>-0.11866219137185401</c:v>
                </c:pt>
                <c:pt idx="111">
                  <c:v>-0.11726039021816299</c:v>
                </c:pt>
                <c:pt idx="112">
                  <c:v>-0.115876344380642</c:v>
                </c:pt>
                <c:pt idx="113">
                  <c:v>-0.114509806661082</c:v>
                </c:pt>
                <c:pt idx="114">
                  <c:v>-0.113160533269432</c:v>
                </c:pt>
                <c:pt idx="115">
                  <c:v>-0.111828283841561</c:v>
                </c:pt>
                <c:pt idx="116">
                  <c:v>-0.110512821445699</c:v>
                </c:pt>
                <c:pt idx="117">
                  <c:v>-0.109213912579381</c:v>
                </c:pt>
                <c:pt idx="118">
                  <c:v>-0.107931327158433</c:v>
                </c:pt>
                <c:pt idx="119">
                  <c:v>-0.106664838499288</c:v>
                </c:pt>
                <c:pt idx="120">
                  <c:v>-0.10541422329575099</c:v>
                </c:pt>
                <c:pt idx="121">
                  <c:v>-0.104179261591118</c:v>
                </c:pt>
                <c:pt idx="122">
                  <c:v>-0.102959736746475</c:v>
                </c:pt>
                <c:pt idx="123">
                  <c:v>-0.10175543540582301</c:v>
                </c:pt>
                <c:pt idx="124">
                  <c:v>-0.100566147458614</c:v>
                </c:pt>
                <c:pt idx="125">
                  <c:v>-9.9391666000196305E-2</c:v>
                </c:pt>
                <c:pt idx="126">
                  <c:v>-9.8231787290570194E-2</c:v>
                </c:pt>
                <c:pt idx="127">
                  <c:v>-9.7086310711829896E-2</c:v>
                </c:pt>
                <c:pt idx="128">
                  <c:v>-9.5955038724581804E-2</c:v>
                </c:pt>
                <c:pt idx="129">
                  <c:v>-9.4837776823610997E-2</c:v>
                </c:pt>
                <c:pt idx="130">
                  <c:v>-9.3734333493014105E-2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8B-4CB7-98FE-72A2EA6A81C0}"/>
            </c:ext>
          </c:extLst>
        </c:ser>
        <c:ser>
          <c:idx val="1"/>
          <c:order val="1"/>
          <c:tx>
            <c:strRef>
              <c:f>'DSGE HVD wFG'!$AA$1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wFG'!$AA$2:$AA$132</c:f>
              <c:numCache>
                <c:formatCode>0.0000</c:formatCode>
                <c:ptCount val="131"/>
                <c:pt idx="0">
                  <c:v>-0.14808542456621801</c:v>
                </c:pt>
                <c:pt idx="1">
                  <c:v>-0.16817797066353801</c:v>
                </c:pt>
                <c:pt idx="2">
                  <c:v>-0.33979271461635702</c:v>
                </c:pt>
                <c:pt idx="3">
                  <c:v>-0.47721599214238702</c:v>
                </c:pt>
                <c:pt idx="4">
                  <c:v>-0.63793934161025601</c:v>
                </c:pt>
                <c:pt idx="5">
                  <c:v>-0.60173872227559899</c:v>
                </c:pt>
                <c:pt idx="6">
                  <c:v>-0.71012196680319895</c:v>
                </c:pt>
                <c:pt idx="7">
                  <c:v>-1.3069466116369099</c:v>
                </c:pt>
                <c:pt idx="8">
                  <c:v>-1.0855520118558799</c:v>
                </c:pt>
                <c:pt idx="9">
                  <c:v>-0.87630026865846899</c:v>
                </c:pt>
                <c:pt idx="10">
                  <c:v>-0.66815747751135102</c:v>
                </c:pt>
                <c:pt idx="11">
                  <c:v>-0.58178558866152896</c:v>
                </c:pt>
                <c:pt idx="12">
                  <c:v>-0.48620875558308602</c:v>
                </c:pt>
                <c:pt idx="13">
                  <c:v>-0.640383925170946</c:v>
                </c:pt>
                <c:pt idx="14">
                  <c:v>-0.70215744037565397</c:v>
                </c:pt>
                <c:pt idx="15">
                  <c:v>-0.67840625215024497</c:v>
                </c:pt>
                <c:pt idx="16">
                  <c:v>-0.51321703243347105</c:v>
                </c:pt>
                <c:pt idx="17">
                  <c:v>-0.66377755849394904</c:v>
                </c:pt>
                <c:pt idx="18">
                  <c:v>-0.85099195434994901</c:v>
                </c:pt>
                <c:pt idx="19">
                  <c:v>-0.85369932669293103</c:v>
                </c:pt>
                <c:pt idx="20">
                  <c:v>-0.83168688383171596</c:v>
                </c:pt>
                <c:pt idx="21">
                  <c:v>-0.91228283520751197</c:v>
                </c:pt>
                <c:pt idx="22">
                  <c:v>-0.82773010770516697</c:v>
                </c:pt>
                <c:pt idx="23">
                  <c:v>-0.83546715004463301</c:v>
                </c:pt>
                <c:pt idx="24">
                  <c:v>-0.83427278019528905</c:v>
                </c:pt>
                <c:pt idx="25">
                  <c:v>-0.81569416031677799</c:v>
                </c:pt>
                <c:pt idx="26">
                  <c:v>-0.77734899788628598</c:v>
                </c:pt>
                <c:pt idx="27">
                  <c:v>-0.76365399612470897</c:v>
                </c:pt>
                <c:pt idx="28">
                  <c:v>-0.72984968092035296</c:v>
                </c:pt>
                <c:pt idx="29">
                  <c:v>-0.74516318341305898</c:v>
                </c:pt>
                <c:pt idx="30">
                  <c:v>-0.79292065503802001</c:v>
                </c:pt>
                <c:pt idx="31">
                  <c:v>-0.88704236973166894</c:v>
                </c:pt>
                <c:pt idx="32">
                  <c:v>-0.95276737021667901</c:v>
                </c:pt>
                <c:pt idx="33">
                  <c:v>-0.97219316774667297</c:v>
                </c:pt>
                <c:pt idx="34">
                  <c:v>-1.11634732833506</c:v>
                </c:pt>
                <c:pt idx="35">
                  <c:v>-1.1033280133183101</c:v>
                </c:pt>
                <c:pt idx="36">
                  <c:v>-1.2599329042393499</c:v>
                </c:pt>
                <c:pt idx="37">
                  <c:v>-1.12437643140966</c:v>
                </c:pt>
                <c:pt idx="38">
                  <c:v>-1.0832642945775699</c:v>
                </c:pt>
                <c:pt idx="39">
                  <c:v>-0.93414742720614596</c:v>
                </c:pt>
                <c:pt idx="40">
                  <c:v>-0.83224877818954501</c:v>
                </c:pt>
                <c:pt idx="41">
                  <c:v>-0.79859986214712597</c:v>
                </c:pt>
                <c:pt idx="42">
                  <c:v>-0.71677423421539199</c:v>
                </c:pt>
                <c:pt idx="43">
                  <c:v>-0.62396588878066295</c:v>
                </c:pt>
                <c:pt idx="44">
                  <c:v>-0.53588973528596895</c:v>
                </c:pt>
                <c:pt idx="45">
                  <c:v>-0.58714840279428504</c:v>
                </c:pt>
                <c:pt idx="46">
                  <c:v>-0.56143841932122895</c:v>
                </c:pt>
                <c:pt idx="47">
                  <c:v>-0.61139699285145899</c:v>
                </c:pt>
                <c:pt idx="48">
                  <c:v>-0.65580593873903803</c:v>
                </c:pt>
                <c:pt idx="49">
                  <c:v>-0.67390626051545099</c:v>
                </c:pt>
                <c:pt idx="50">
                  <c:v>-0.67461405975975197</c:v>
                </c:pt>
                <c:pt idx="51">
                  <c:v>-0.61580943525124399</c:v>
                </c:pt>
                <c:pt idx="52">
                  <c:v>-0.82818985368917697</c:v>
                </c:pt>
                <c:pt idx="53">
                  <c:v>-0.89960537957736797</c:v>
                </c:pt>
                <c:pt idx="54">
                  <c:v>-0.76223677357929298</c:v>
                </c:pt>
                <c:pt idx="55">
                  <c:v>-0.67657394850098895</c:v>
                </c:pt>
                <c:pt idx="56">
                  <c:v>-0.54943673284987704</c:v>
                </c:pt>
                <c:pt idx="57">
                  <c:v>-0.49451860889835803</c:v>
                </c:pt>
                <c:pt idx="58">
                  <c:v>-0.357021753687077</c:v>
                </c:pt>
                <c:pt idx="59">
                  <c:v>-0.40926937205261998</c:v>
                </c:pt>
                <c:pt idx="60">
                  <c:v>-0.50853150992892704</c:v>
                </c:pt>
                <c:pt idx="61">
                  <c:v>-0.28091443540622302</c:v>
                </c:pt>
                <c:pt idx="62">
                  <c:v>-0.29000435859491802</c:v>
                </c:pt>
                <c:pt idx="63">
                  <c:v>-0.171490970456812</c:v>
                </c:pt>
                <c:pt idx="64">
                  <c:v>-0.15413710853983001</c:v>
                </c:pt>
                <c:pt idx="65">
                  <c:v>-0.17310101550182999</c:v>
                </c:pt>
                <c:pt idx="66">
                  <c:v>2.76898209863315E-2</c:v>
                </c:pt>
                <c:pt idx="67">
                  <c:v>1.28054676815732E-2</c:v>
                </c:pt>
                <c:pt idx="68">
                  <c:v>-2.24714031504188E-2</c:v>
                </c:pt>
                <c:pt idx="69">
                  <c:v>-9.4500506641697096E-2</c:v>
                </c:pt>
                <c:pt idx="70">
                  <c:v>-0.154932393131886</c:v>
                </c:pt>
                <c:pt idx="71">
                  <c:v>-0.153383566285893</c:v>
                </c:pt>
                <c:pt idx="72">
                  <c:v>-0.15184998866115601</c:v>
                </c:pt>
                <c:pt idx="73">
                  <c:v>-0.15033162272271899</c:v>
                </c:pt>
                <c:pt idx="74">
                  <c:v>-0.14882837602829399</c:v>
                </c:pt>
                <c:pt idx="75">
                  <c:v>-0.14734012836264701</c:v>
                </c:pt>
                <c:pt idx="76">
                  <c:v>-0.14586674581582701</c:v>
                </c:pt>
                <c:pt idx="77">
                  <c:v>-0.144408088083988</c:v>
                </c:pt>
                <c:pt idx="78">
                  <c:v>-0.14296401225210301</c:v>
                </c:pt>
                <c:pt idx="79">
                  <c:v>-0.14153437475050601</c:v>
                </c:pt>
                <c:pt idx="80">
                  <c:v>-0.14011903236352799</c:v>
                </c:pt>
                <c:pt idx="81">
                  <c:v>-0.13871784274614599</c:v>
                </c:pt>
                <c:pt idx="82">
                  <c:v>-0.137330664685302</c:v>
                </c:pt>
                <c:pt idx="83">
                  <c:v>-0.13595735822876101</c:v>
                </c:pt>
                <c:pt idx="84">
                  <c:v>-0.13459778474526399</c:v>
                </c:pt>
                <c:pt idx="85">
                  <c:v>-0.133251806949094</c:v>
                </c:pt>
                <c:pt idx="86">
                  <c:v>-0.13191928890622501</c:v>
                </c:pt>
                <c:pt idx="87">
                  <c:v>-0.13060009603098099</c:v>
                </c:pt>
                <c:pt idx="88">
                  <c:v>-0.12929409507784501</c:v>
                </c:pt>
                <c:pt idx="89">
                  <c:v>-0.12800115413079</c:v>
                </c:pt>
                <c:pt idx="90">
                  <c:v>-0.12672114259141601</c:v>
                </c:pt>
                <c:pt idx="91">
                  <c:v>-0.12545393116650499</c:v>
                </c:pt>
                <c:pt idx="92">
                  <c:v>-0.124199391855361</c:v>
                </c:pt>
                <c:pt idx="93">
                  <c:v>-0.122957397937077</c:v>
                </c:pt>
                <c:pt idx="94">
                  <c:v>-0.121727823957847</c:v>
                </c:pt>
                <c:pt idx="95">
                  <c:v>-0.12051054571834099</c:v>
                </c:pt>
                <c:pt idx="96">
                  <c:v>-0.11930544026119599</c:v>
                </c:pt>
                <c:pt idx="97">
                  <c:v>-0.11811238585860299</c:v>
                </c:pt>
                <c:pt idx="98">
                  <c:v>-0.116931262000028</c:v>
                </c:pt>
                <c:pt idx="99">
                  <c:v>-0.11576194938003299</c:v>
                </c:pt>
                <c:pt idx="100">
                  <c:v>-0.11460432988623501</c:v>
                </c:pt>
                <c:pt idx="101">
                  <c:v>-0.113458286587374</c:v>
                </c:pt>
                <c:pt idx="102">
                  <c:v>-0.11232370372150099</c:v>
                </c:pt>
                <c:pt idx="103">
                  <c:v>-0.111200466684287</c:v>
                </c:pt>
                <c:pt idx="104">
                  <c:v>-0.110088462017444</c:v>
                </c:pt>
                <c:pt idx="105">
                  <c:v>-0.10898757739727</c:v>
                </c:pt>
                <c:pt idx="106">
                  <c:v>-0.107897701623297</c:v>
                </c:pt>
                <c:pt idx="107">
                  <c:v>-0.106818724607064</c:v>
                </c:pt>
                <c:pt idx="108">
                  <c:v>-0.105750537360993</c:v>
                </c:pt>
                <c:pt idx="109">
                  <c:v>-0.104693031987383</c:v>
                </c:pt>
                <c:pt idx="110">
                  <c:v>-0.10364610166751</c:v>
                </c:pt>
                <c:pt idx="111">
                  <c:v>-0.102609640650835</c:v>
                </c:pt>
                <c:pt idx="112">
                  <c:v>-0.101583544244326</c:v>
                </c:pt>
                <c:pt idx="113">
                  <c:v>-0.100567708801883</c:v>
                </c:pt>
                <c:pt idx="114">
                  <c:v>-9.9562031713864602E-2</c:v>
                </c:pt>
                <c:pt idx="115">
                  <c:v>-9.8566411396725895E-2</c:v>
                </c:pt>
                <c:pt idx="116">
                  <c:v>-9.7580747282758701E-2</c:v>
                </c:pt>
                <c:pt idx="117">
                  <c:v>-9.6604939809931095E-2</c:v>
                </c:pt>
                <c:pt idx="118">
                  <c:v>-9.5638890411831795E-2</c:v>
                </c:pt>
                <c:pt idx="119">
                  <c:v>-9.4682501507713498E-2</c:v>
                </c:pt>
                <c:pt idx="120">
                  <c:v>-9.3735676492636394E-2</c:v>
                </c:pt>
                <c:pt idx="121">
                  <c:v>-9.2798319727709994E-2</c:v>
                </c:pt>
                <c:pt idx="122">
                  <c:v>-9.1870336530432903E-2</c:v>
                </c:pt>
                <c:pt idx="123">
                  <c:v>-9.0951633165128595E-2</c:v>
                </c:pt>
                <c:pt idx="124">
                  <c:v>-9.0042116833477306E-2</c:v>
                </c:pt>
                <c:pt idx="125">
                  <c:v>-8.9141695665142601E-2</c:v>
                </c:pt>
                <c:pt idx="126">
                  <c:v>-8.8250278708491101E-2</c:v>
                </c:pt>
                <c:pt idx="127">
                  <c:v>-8.7367775921406293E-2</c:v>
                </c:pt>
                <c:pt idx="128">
                  <c:v>-8.6494098162192196E-2</c:v>
                </c:pt>
                <c:pt idx="129">
                  <c:v>-8.5629157180570306E-2</c:v>
                </c:pt>
                <c:pt idx="130">
                  <c:v>-8.4772865608764597E-2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8B-4CB7-98FE-72A2EA6A81C0}"/>
            </c:ext>
          </c:extLst>
        </c:ser>
        <c:ser>
          <c:idx val="2"/>
          <c:order val="2"/>
          <c:tx>
            <c:strRef>
              <c:f>'DSGE HVD wFG'!$AB$1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wFG'!$AB$2:$AB$132</c:f>
              <c:numCache>
                <c:formatCode>0.0000</c:formatCode>
                <c:ptCount val="131"/>
                <c:pt idx="0">
                  <c:v>0.49991387508665402</c:v>
                </c:pt>
                <c:pt idx="1">
                  <c:v>0.55181563496361996</c:v>
                </c:pt>
                <c:pt idx="2">
                  <c:v>0.56002226080116702</c:v>
                </c:pt>
                <c:pt idx="3">
                  <c:v>0.53555175219462903</c:v>
                </c:pt>
                <c:pt idx="4">
                  <c:v>0.48092882731752601</c:v>
                </c:pt>
                <c:pt idx="5">
                  <c:v>0.51265011203107302</c:v>
                </c:pt>
                <c:pt idx="6">
                  <c:v>0.482826613552436</c:v>
                </c:pt>
                <c:pt idx="7">
                  <c:v>0.18081284878985401</c:v>
                </c:pt>
                <c:pt idx="8">
                  <c:v>0.23032624202458099</c:v>
                </c:pt>
                <c:pt idx="9">
                  <c:v>0.24041405514629799</c:v>
                </c:pt>
                <c:pt idx="10">
                  <c:v>0.19466108133605001</c:v>
                </c:pt>
                <c:pt idx="11">
                  <c:v>0.15426066736204899</c:v>
                </c:pt>
                <c:pt idx="12">
                  <c:v>9.5901011351545204E-2</c:v>
                </c:pt>
                <c:pt idx="13">
                  <c:v>-0.15320738753542701</c:v>
                </c:pt>
                <c:pt idx="14">
                  <c:v>-0.18872773973873899</c:v>
                </c:pt>
                <c:pt idx="15">
                  <c:v>-0.17135993149501</c:v>
                </c:pt>
                <c:pt idx="16">
                  <c:v>-0.16770908393975201</c:v>
                </c:pt>
                <c:pt idx="17">
                  <c:v>-0.26294852069524499</c:v>
                </c:pt>
                <c:pt idx="18">
                  <c:v>-0.42649476645304502</c:v>
                </c:pt>
                <c:pt idx="19">
                  <c:v>-0.40323598286951901</c:v>
                </c:pt>
                <c:pt idx="20">
                  <c:v>-0.45546684473196097</c:v>
                </c:pt>
                <c:pt idx="21">
                  <c:v>-0.46567873466017501</c:v>
                </c:pt>
                <c:pt idx="22">
                  <c:v>-0.50848157933904603</c:v>
                </c:pt>
                <c:pt idx="23">
                  <c:v>-0.52003960568431895</c:v>
                </c:pt>
                <c:pt idx="24">
                  <c:v>-0.467456678300393</c:v>
                </c:pt>
                <c:pt idx="25">
                  <c:v>-0.39843797107590101</c:v>
                </c:pt>
                <c:pt idx="26">
                  <c:v>-0.43271204947258002</c:v>
                </c:pt>
                <c:pt idx="27">
                  <c:v>-0.38715663446493698</c:v>
                </c:pt>
                <c:pt idx="28">
                  <c:v>-0.39725795766882199</c:v>
                </c:pt>
                <c:pt idx="29">
                  <c:v>-0.376128980011809</c:v>
                </c:pt>
                <c:pt idx="30">
                  <c:v>-0.36058546645293399</c:v>
                </c:pt>
                <c:pt idx="31">
                  <c:v>-0.39777607549070698</c:v>
                </c:pt>
                <c:pt idx="32">
                  <c:v>-0.42348341441113402</c:v>
                </c:pt>
                <c:pt idx="33">
                  <c:v>-0.40195218199766602</c:v>
                </c:pt>
                <c:pt idx="34">
                  <c:v>-0.442634854941513</c:v>
                </c:pt>
                <c:pt idx="35">
                  <c:v>-0.45807815884756897</c:v>
                </c:pt>
                <c:pt idx="36">
                  <c:v>-0.46526367204682401</c:v>
                </c:pt>
                <c:pt idx="37">
                  <c:v>-0.428891193222874</c:v>
                </c:pt>
                <c:pt idx="38">
                  <c:v>-0.384407744894182</c:v>
                </c:pt>
                <c:pt idx="39">
                  <c:v>-0.32365282323799499</c:v>
                </c:pt>
                <c:pt idx="40">
                  <c:v>-0.30069155474305698</c:v>
                </c:pt>
                <c:pt idx="41">
                  <c:v>-0.31058661660043202</c:v>
                </c:pt>
                <c:pt idx="42">
                  <c:v>-0.32079100944390998</c:v>
                </c:pt>
                <c:pt idx="43">
                  <c:v>-0.34195585541617102</c:v>
                </c:pt>
                <c:pt idx="44">
                  <c:v>-0.34233077060443001</c:v>
                </c:pt>
                <c:pt idx="45">
                  <c:v>-0.3619735452981</c:v>
                </c:pt>
                <c:pt idx="46">
                  <c:v>-0.378408071559379</c:v>
                </c:pt>
                <c:pt idx="47">
                  <c:v>-0.42936541839826098</c:v>
                </c:pt>
                <c:pt idx="48">
                  <c:v>-0.503168187816739</c:v>
                </c:pt>
                <c:pt idx="49">
                  <c:v>-0.51262041959164695</c:v>
                </c:pt>
                <c:pt idx="50">
                  <c:v>-0.51710266353459899</c:v>
                </c:pt>
                <c:pt idx="51">
                  <c:v>-0.53133953832335901</c:v>
                </c:pt>
                <c:pt idx="52">
                  <c:v>-0.65634565566833103</c:v>
                </c:pt>
                <c:pt idx="53">
                  <c:v>-0.71173025959106195</c:v>
                </c:pt>
                <c:pt idx="54">
                  <c:v>-0.756876861060503</c:v>
                </c:pt>
                <c:pt idx="55">
                  <c:v>-0.79308256715760805</c:v>
                </c:pt>
                <c:pt idx="56">
                  <c:v>-0.69420756494740299</c:v>
                </c:pt>
                <c:pt idx="57">
                  <c:v>-0.66875265851152899</c:v>
                </c:pt>
                <c:pt idx="58">
                  <c:v>-0.49208540065170803</c:v>
                </c:pt>
                <c:pt idx="59">
                  <c:v>-0.49051648935910103</c:v>
                </c:pt>
                <c:pt idx="60">
                  <c:v>-0.38741366169684799</c:v>
                </c:pt>
                <c:pt idx="61">
                  <c:v>-6.33510770980657E-2</c:v>
                </c:pt>
                <c:pt idx="62">
                  <c:v>-3.86112704935231E-2</c:v>
                </c:pt>
                <c:pt idx="63">
                  <c:v>0.15090416471766099</c:v>
                </c:pt>
                <c:pt idx="64">
                  <c:v>0.18346758395021501</c:v>
                </c:pt>
                <c:pt idx="65">
                  <c:v>0.232561079504427</c:v>
                </c:pt>
                <c:pt idx="66">
                  <c:v>0.38188857174816698</c:v>
                </c:pt>
                <c:pt idx="67">
                  <c:v>0.35780253944451301</c:v>
                </c:pt>
                <c:pt idx="68">
                  <c:v>0.37466533133736102</c:v>
                </c:pt>
                <c:pt idx="69">
                  <c:v>0.31979034430031</c:v>
                </c:pt>
                <c:pt idx="70">
                  <c:v>0.273651245990018</c:v>
                </c:pt>
                <c:pt idx="71">
                  <c:v>0.27070547089783797</c:v>
                </c:pt>
                <c:pt idx="72">
                  <c:v>0.26785264575203499</c:v>
                </c:pt>
                <c:pt idx="73">
                  <c:v>0.26507257694067898</c:v>
                </c:pt>
                <c:pt idx="74">
                  <c:v>0.26235111769576502</c:v>
                </c:pt>
                <c:pt idx="75">
                  <c:v>0.25967833422632902</c:v>
                </c:pt>
                <c:pt idx="76">
                  <c:v>0.25704722825551202</c:v>
                </c:pt>
                <c:pt idx="77">
                  <c:v>0.25445284714364202</c:v>
                </c:pt>
                <c:pt idx="78">
                  <c:v>0.25189166400024998</c:v>
                </c:pt>
                <c:pt idx="79">
                  <c:v>0.24936114586800001</c:v>
                </c:pt>
                <c:pt idx="80">
                  <c:v>0.246859452915867</c:v>
                </c:pt>
                <c:pt idx="81">
                  <c:v>0.24438522889223999</c:v>
                </c:pt>
                <c:pt idx="82">
                  <c:v>0.241937455148929</c:v>
                </c:pt>
                <c:pt idx="83">
                  <c:v>0.23951534894815801</c:v>
                </c:pt>
                <c:pt idx="84">
                  <c:v>0.23711829261675599</c:v>
                </c:pt>
                <c:pt idx="85">
                  <c:v>0.2347457841883</c:v>
                </c:pt>
                <c:pt idx="86">
                  <c:v>0.23239740301363901</c:v>
                </c:pt>
                <c:pt idx="87">
                  <c:v>0.23007278579832999</c:v>
                </c:pt>
                <c:pt idx="88">
                  <c:v>0.22777160990343401</c:v>
                </c:pt>
                <c:pt idx="89">
                  <c:v>0.22549358170598199</c:v>
                </c:pt>
                <c:pt idx="90">
                  <c:v>0.22323842848401701</c:v>
                </c:pt>
                <c:pt idx="91">
                  <c:v>0.22100589275690799</c:v>
                </c:pt>
                <c:pt idx="92">
                  <c:v>0.218795728336038</c:v>
                </c:pt>
                <c:pt idx="93">
                  <c:v>0.21660769756700901</c:v>
                </c:pt>
                <c:pt idx="94">
                  <c:v>0.21444156940189299</c:v>
                </c:pt>
                <c:pt idx="95">
                  <c:v>0.212297118049775</c:v>
                </c:pt>
                <c:pt idx="96">
                  <c:v>0.210174122030171</c:v>
                </c:pt>
                <c:pt idx="97">
                  <c:v>0.20807236350717501</c:v>
                </c:pt>
                <c:pt idx="98">
                  <c:v>0.20599162781920399</c:v>
                </c:pt>
                <c:pt idx="99">
                  <c:v>0.203931703145073</c:v>
                </c:pt>
                <c:pt idx="100">
                  <c:v>0.20189238026508799</c:v>
                </c:pt>
                <c:pt idx="101">
                  <c:v>0.19987345238840201</c:v>
                </c:pt>
                <c:pt idx="102">
                  <c:v>0.19787471502658199</c:v>
                </c:pt>
                <c:pt idx="103">
                  <c:v>0.195895965899436</c:v>
                </c:pt>
                <c:pt idx="104">
                  <c:v>0.19393700486336499</c:v>
                </c:pt>
                <c:pt idx="105">
                  <c:v>0.191997633855472</c:v>
                </c:pt>
                <c:pt idx="106">
                  <c:v>0.19007765684870601</c:v>
                </c:pt>
                <c:pt idx="107">
                  <c:v>0.18817687981475001</c:v>
                </c:pt>
                <c:pt idx="108">
                  <c:v>0.18629511069235999</c:v>
                </c:pt>
                <c:pt idx="109">
                  <c:v>0.18443215935957299</c:v>
                </c:pt>
                <c:pt idx="110">
                  <c:v>0.182587837608642</c:v>
                </c:pt>
                <c:pt idx="111">
                  <c:v>0.180761959122958</c:v>
                </c:pt>
                <c:pt idx="112">
                  <c:v>0.178954339455383</c:v>
                </c:pt>
                <c:pt idx="113">
                  <c:v>0.17716479600764801</c:v>
                </c:pt>
                <c:pt idx="114">
                  <c:v>0.175393148010526</c:v>
                </c:pt>
                <c:pt idx="115">
                  <c:v>0.173639216504616</c:v>
                </c:pt>
                <c:pt idx="116">
                  <c:v>0.17190282432159401</c:v>
                </c:pt>
                <c:pt idx="117">
                  <c:v>0.17018379606585601</c:v>
                </c:pt>
                <c:pt idx="118">
                  <c:v>0.16848195809647501</c:v>
                </c:pt>
                <c:pt idx="119">
                  <c:v>0.16679713850943401</c:v>
                </c:pt>
                <c:pt idx="120">
                  <c:v>0.165129167120107</c:v>
                </c:pt>
                <c:pt idx="121">
                  <c:v>0.16347787544595799</c:v>
                </c:pt>
                <c:pt idx="122">
                  <c:v>0.16184309668944399</c:v>
                </c:pt>
                <c:pt idx="123">
                  <c:v>0.16022466572111899</c:v>
                </c:pt>
                <c:pt idx="124">
                  <c:v>0.158622419062912</c:v>
                </c:pt>
                <c:pt idx="125">
                  <c:v>0.15703619487158799</c:v>
                </c:pt>
                <c:pt idx="126">
                  <c:v>0.155465832922389</c:v>
                </c:pt>
                <c:pt idx="127">
                  <c:v>0.15391117459282799</c:v>
                </c:pt>
                <c:pt idx="128">
                  <c:v>0.15237206284666499</c:v>
                </c:pt>
                <c:pt idx="129">
                  <c:v>0.150848342218035</c:v>
                </c:pt>
                <c:pt idx="130">
                  <c:v>0.14933985879574099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8B-4CB7-98FE-72A2EA6A81C0}"/>
            </c:ext>
          </c:extLst>
        </c:ser>
        <c:ser>
          <c:idx val="3"/>
          <c:order val="3"/>
          <c:tx>
            <c:strRef>
              <c:f>'DSGE HVD wFG'!$AC$1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wFG'!$AC$2:$AC$132</c:f>
              <c:numCache>
                <c:formatCode>0.0000</c:formatCode>
                <c:ptCount val="131"/>
                <c:pt idx="0">
                  <c:v>0.14174747462929421</c:v>
                </c:pt>
                <c:pt idx="1">
                  <c:v>-1.2256043618187995E-2</c:v>
                </c:pt>
                <c:pt idx="2">
                  <c:v>-2.8311232881046977E-2</c:v>
                </c:pt>
                <c:pt idx="3">
                  <c:v>1.3142413695929889E-3</c:v>
                </c:pt>
                <c:pt idx="4">
                  <c:v>-0.106526205615807</c:v>
                </c:pt>
                <c:pt idx="5">
                  <c:v>-0.15123249734485503</c:v>
                </c:pt>
                <c:pt idx="6">
                  <c:v>-0.19968180058891399</c:v>
                </c:pt>
                <c:pt idx="7">
                  <c:v>-0.34549921407678896</c:v>
                </c:pt>
                <c:pt idx="8">
                  <c:v>-0.36687724918336501</c:v>
                </c:pt>
                <c:pt idx="9">
                  <c:v>-0.31115497929146302</c:v>
                </c:pt>
                <c:pt idx="10">
                  <c:v>-0.39119119715128903</c:v>
                </c:pt>
                <c:pt idx="11">
                  <c:v>-0.35921643821987537</c:v>
                </c:pt>
                <c:pt idx="12">
                  <c:v>-0.5695642251534826</c:v>
                </c:pt>
                <c:pt idx="13">
                  <c:v>-0.78815329833234438</c:v>
                </c:pt>
                <c:pt idx="14">
                  <c:v>-0.74326712803202855</c:v>
                </c:pt>
                <c:pt idx="15">
                  <c:v>-0.73073948027805125</c:v>
                </c:pt>
                <c:pt idx="16">
                  <c:v>-0.61007997507121592</c:v>
                </c:pt>
                <c:pt idx="17">
                  <c:v>-0.91096044168487811</c:v>
                </c:pt>
                <c:pt idx="18">
                  <c:v>-1.088741870778354</c:v>
                </c:pt>
                <c:pt idx="19">
                  <c:v>-1.2389028128153825</c:v>
                </c:pt>
                <c:pt idx="20">
                  <c:v>-1.0413358279677789</c:v>
                </c:pt>
                <c:pt idx="21">
                  <c:v>-1.184875443374406</c:v>
                </c:pt>
                <c:pt idx="22">
                  <c:v>-1.1096792372860791</c:v>
                </c:pt>
                <c:pt idx="23">
                  <c:v>-0.98769031540387664</c:v>
                </c:pt>
                <c:pt idx="24">
                  <c:v>-1.1222142364459959</c:v>
                </c:pt>
                <c:pt idx="25">
                  <c:v>-1.0972292708273741</c:v>
                </c:pt>
                <c:pt idx="26">
                  <c:v>-1.1397051995908891</c:v>
                </c:pt>
                <c:pt idx="27">
                  <c:v>-1.1869692436617501</c:v>
                </c:pt>
                <c:pt idx="28">
                  <c:v>-1.0976597120325859</c:v>
                </c:pt>
                <c:pt idx="29">
                  <c:v>-1.122162629539925</c:v>
                </c:pt>
                <c:pt idx="30">
                  <c:v>-1.120717187645379</c:v>
                </c:pt>
                <c:pt idx="31">
                  <c:v>-1.0615917340602941</c:v>
                </c:pt>
                <c:pt idx="32">
                  <c:v>-0.98248228688612704</c:v>
                </c:pt>
                <c:pt idx="33">
                  <c:v>-0.90446636291143401</c:v>
                </c:pt>
                <c:pt idx="34">
                  <c:v>-0.91735858171848694</c:v>
                </c:pt>
                <c:pt idx="35">
                  <c:v>-0.90141664316708803</c:v>
                </c:pt>
                <c:pt idx="36">
                  <c:v>-0.88201065201247797</c:v>
                </c:pt>
                <c:pt idx="37">
                  <c:v>-0.87615761412619109</c:v>
                </c:pt>
                <c:pt idx="38">
                  <c:v>-0.86462818276375397</c:v>
                </c:pt>
                <c:pt idx="39">
                  <c:v>-0.83927801338526908</c:v>
                </c:pt>
                <c:pt idx="40">
                  <c:v>-0.81488493968489095</c:v>
                </c:pt>
                <c:pt idx="41">
                  <c:v>-0.80950697283804707</c:v>
                </c:pt>
                <c:pt idx="42">
                  <c:v>-0.72318889371524997</c:v>
                </c:pt>
                <c:pt idx="43">
                  <c:v>-0.66232093251957402</c:v>
                </c:pt>
                <c:pt idx="44">
                  <c:v>-0.65259652621867803</c:v>
                </c:pt>
                <c:pt idx="45">
                  <c:v>-0.71045933342201695</c:v>
                </c:pt>
                <c:pt idx="46">
                  <c:v>-0.67311331205241098</c:v>
                </c:pt>
                <c:pt idx="47">
                  <c:v>-0.68324357876195596</c:v>
                </c:pt>
                <c:pt idx="48">
                  <c:v>-0.64794068647212899</c:v>
                </c:pt>
                <c:pt idx="49">
                  <c:v>-0.72998640719088592</c:v>
                </c:pt>
                <c:pt idx="50">
                  <c:v>-0.78282167287874294</c:v>
                </c:pt>
                <c:pt idx="51">
                  <c:v>-0.69673650296939904</c:v>
                </c:pt>
                <c:pt idx="52">
                  <c:v>-0.75372334597381008</c:v>
                </c:pt>
                <c:pt idx="53">
                  <c:v>-0.74204654744163301</c:v>
                </c:pt>
                <c:pt idx="54">
                  <c:v>-0.58645163974341796</c:v>
                </c:pt>
                <c:pt idx="55">
                  <c:v>-0.672036825693757</c:v>
                </c:pt>
                <c:pt idx="56">
                  <c:v>-0.62891989981709706</c:v>
                </c:pt>
                <c:pt idx="57">
                  <c:v>-0.56124907435742499</c:v>
                </c:pt>
                <c:pt idx="58">
                  <c:v>-0.56954847186452695</c:v>
                </c:pt>
                <c:pt idx="59">
                  <c:v>-0.67048084740589198</c:v>
                </c:pt>
                <c:pt idx="60">
                  <c:v>-0.69199188579696502</c:v>
                </c:pt>
                <c:pt idx="61">
                  <c:v>-0.73489057729384299</c:v>
                </c:pt>
                <c:pt idx="62">
                  <c:v>-0.79526525271300497</c:v>
                </c:pt>
                <c:pt idx="63">
                  <c:v>-0.83020818424660603</c:v>
                </c:pt>
                <c:pt idx="64">
                  <c:v>-0.45288331177883601</c:v>
                </c:pt>
                <c:pt idx="65">
                  <c:v>-0.50497308092113402</c:v>
                </c:pt>
                <c:pt idx="66">
                  <c:v>-0.38605859299916101</c:v>
                </c:pt>
                <c:pt idx="67">
                  <c:v>-0.45941468210295899</c:v>
                </c:pt>
                <c:pt idx="68">
                  <c:v>-0.28623853112405462</c:v>
                </c:pt>
                <c:pt idx="69">
                  <c:v>-0.47258862522245998</c:v>
                </c:pt>
                <c:pt idx="70">
                  <c:v>-0.57707536710169505</c:v>
                </c:pt>
                <c:pt idx="71">
                  <c:v>-0.56631417583312293</c:v>
                </c:pt>
                <c:pt idx="72">
                  <c:v>-0.55520939790426604</c:v>
                </c:pt>
                <c:pt idx="73">
                  <c:v>-0.54383310658359796</c:v>
                </c:pt>
                <c:pt idx="74">
                  <c:v>-0.53225580163382591</c:v>
                </c:pt>
                <c:pt idx="75">
                  <c:v>-0.52054450892094706</c:v>
                </c:pt>
                <c:pt idx="76">
                  <c:v>-0.50876156136241402</c:v>
                </c:pt>
                <c:pt idx="77">
                  <c:v>-0.49696388676038505</c:v>
                </c:pt>
                <c:pt idx="78">
                  <c:v>-0.48520266770722098</c:v>
                </c:pt>
                <c:pt idx="79">
                  <c:v>-0.47352326986826399</c:v>
                </c:pt>
                <c:pt idx="80">
                  <c:v>-0.461965359322696</c:v>
                </c:pt>
                <c:pt idx="81">
                  <c:v>-0.45056314869154501</c:v>
                </c:pt>
                <c:pt idx="82">
                  <c:v>-0.43934572662563398</c:v>
                </c:pt>
                <c:pt idx="83">
                  <c:v>-0.42833743675614799</c:v>
                </c:pt>
                <c:pt idx="84">
                  <c:v>-0.41755828113266402</c:v>
                </c:pt>
                <c:pt idx="85">
                  <c:v>-0.407024330047146</c:v>
                </c:pt>
                <c:pt idx="86">
                  <c:v>-0.39674812541020399</c:v>
                </c:pt>
                <c:pt idx="87">
                  <c:v>-0.38673906885759701</c:v>
                </c:pt>
                <c:pt idx="88">
                  <c:v>-0.37700378879683505</c:v>
                </c:pt>
                <c:pt idx="89">
                  <c:v>-0.367546482873645</c:v>
                </c:pt>
                <c:pt idx="90">
                  <c:v>-0.35836923401745302</c:v>
                </c:pt>
                <c:pt idx="91">
                  <c:v>-0.34947229944882496</c:v>
                </c:pt>
                <c:pt idx="92">
                  <c:v>-0.34085437290573101</c:v>
                </c:pt>
                <c:pt idx="93">
                  <c:v>-0.332512820952376</c:v>
                </c:pt>
                <c:pt idx="94">
                  <c:v>-0.32444389463881801</c:v>
                </c:pt>
                <c:pt idx="95">
                  <c:v>-0.316642918032075</c:v>
                </c:pt>
                <c:pt idx="96">
                  <c:v>-0.30910445527890201</c:v>
                </c:pt>
                <c:pt idx="97">
                  <c:v>-0.30182245791717599</c:v>
                </c:pt>
                <c:pt idx="98">
                  <c:v>-0.29479039414996061</c:v>
                </c:pt>
                <c:pt idx="99">
                  <c:v>-0.28800136175181013</c:v>
                </c:pt>
                <c:pt idx="100">
                  <c:v>-0.28144818620395878</c:v>
                </c:pt>
                <c:pt idx="101">
                  <c:v>-0.27512350556414572</c:v>
                </c:pt>
                <c:pt idx="102">
                  <c:v>-0.26901984347539687</c:v>
                </c:pt>
                <c:pt idx="103">
                  <c:v>-0.26312967161173351</c:v>
                </c:pt>
                <c:pt idx="104">
                  <c:v>-0.25744546275163938</c:v>
                </c:pt>
                <c:pt idx="105">
                  <c:v>-0.25195973556495721</c:v>
                </c:pt>
                <c:pt idx="106">
                  <c:v>-0.24666509209772519</c:v>
                </c:pt>
                <c:pt idx="107">
                  <c:v>-0.2415542488436255</c:v>
                </c:pt>
                <c:pt idx="108">
                  <c:v>-0.2366200622008974</c:v>
                </c:pt>
                <c:pt idx="109">
                  <c:v>-0.23185554903024111</c:v>
                </c:pt>
                <c:pt idx="110">
                  <c:v>-0.2272539029524844</c:v>
                </c:pt>
                <c:pt idx="111">
                  <c:v>-0.22280850695458659</c:v>
                </c:pt>
                <c:pt idx="112">
                  <c:v>-0.21851294280862479</c:v>
                </c:pt>
                <c:pt idx="113">
                  <c:v>-0.21436099775052758</c:v>
                </c:pt>
                <c:pt idx="114">
                  <c:v>-0.21034666881308289</c:v>
                </c:pt>
                <c:pt idx="115">
                  <c:v>-0.20646416516079361</c:v>
                </c:pt>
                <c:pt idx="116">
                  <c:v>-0.20270790873206382</c:v>
                </c:pt>
                <c:pt idx="117">
                  <c:v>-0.1990725334565723</c:v>
                </c:pt>
                <c:pt idx="118">
                  <c:v>-0.1955528832821628</c:v>
                </c:pt>
                <c:pt idx="119">
                  <c:v>-0.19214400921575042</c:v>
                </c:pt>
                <c:pt idx="120">
                  <c:v>-0.18884116555627631</c:v>
                </c:pt>
                <c:pt idx="121">
                  <c:v>-0.1856398054742637</c:v>
                </c:pt>
                <c:pt idx="122">
                  <c:v>-0.1825355760718447</c:v>
                </c:pt>
                <c:pt idx="123">
                  <c:v>-0.17952431303878569</c:v>
                </c:pt>
                <c:pt idx="124">
                  <c:v>-0.17660203500394531</c:v>
                </c:pt>
                <c:pt idx="125">
                  <c:v>-0.1737649376674294</c:v>
                </c:pt>
                <c:pt idx="126">
                  <c:v>-0.17100938778624761</c:v>
                </c:pt>
                <c:pt idx="127">
                  <c:v>-0.16833191707537562</c:v>
                </c:pt>
                <c:pt idx="128">
                  <c:v>-0.16572921607659871</c:v>
                </c:pt>
                <c:pt idx="129">
                  <c:v>-0.1631981280391688</c:v>
                </c:pt>
                <c:pt idx="130">
                  <c:v>-0.16073564284903361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8B-4CB7-98FE-72A2EA6A81C0}"/>
            </c:ext>
          </c:extLst>
        </c:ser>
        <c:ser>
          <c:idx val="4"/>
          <c:order val="4"/>
          <c:tx>
            <c:strRef>
              <c:f>'DSGE HVD wFG'!$AD$1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wFG'!$AD$2:$AD$132</c:f>
              <c:numCache>
                <c:formatCode>0.0000</c:formatCode>
                <c:ptCount val="131"/>
                <c:pt idx="0">
                  <c:v>-2.343352467547E-2</c:v>
                </c:pt>
                <c:pt idx="1">
                  <c:v>-1.7256471294960898E-2</c:v>
                </c:pt>
                <c:pt idx="2">
                  <c:v>-5.1006151755923997E-2</c:v>
                </c:pt>
                <c:pt idx="3">
                  <c:v>-8.5101433642590804E-2</c:v>
                </c:pt>
                <c:pt idx="4">
                  <c:v>-9.8599139881687101E-2</c:v>
                </c:pt>
                <c:pt idx="5">
                  <c:v>-0.100503109065549</c:v>
                </c:pt>
                <c:pt idx="6">
                  <c:v>-9.9811080389714493E-2</c:v>
                </c:pt>
                <c:pt idx="7">
                  <c:v>-0.17998263684848601</c:v>
                </c:pt>
                <c:pt idx="8">
                  <c:v>-0.228412744086056</c:v>
                </c:pt>
                <c:pt idx="9">
                  <c:v>-0.157732681028249</c:v>
                </c:pt>
                <c:pt idx="10">
                  <c:v>-6.1837082560996501E-2</c:v>
                </c:pt>
                <c:pt idx="11">
                  <c:v>1.94376392961126E-4</c:v>
                </c:pt>
                <c:pt idx="12">
                  <c:v>-2.2461200865772E-2</c:v>
                </c:pt>
                <c:pt idx="13">
                  <c:v>2.39212531687522E-2</c:v>
                </c:pt>
                <c:pt idx="14">
                  <c:v>-3.2718492765900699E-2</c:v>
                </c:pt>
                <c:pt idx="15">
                  <c:v>1.13560930928052E-2</c:v>
                </c:pt>
                <c:pt idx="16">
                  <c:v>-1.7824100309387001E-2</c:v>
                </c:pt>
                <c:pt idx="17">
                  <c:v>3.32736995985526E-2</c:v>
                </c:pt>
                <c:pt idx="18">
                  <c:v>6.3751313247036007E-2</c:v>
                </c:pt>
                <c:pt idx="19">
                  <c:v>2.6030734663384E-2</c:v>
                </c:pt>
                <c:pt idx="20">
                  <c:v>3.4973103966933101E-2</c:v>
                </c:pt>
                <c:pt idx="21">
                  <c:v>3.2918110871365598E-2</c:v>
                </c:pt>
                <c:pt idx="22">
                  <c:v>2.10232468627733E-2</c:v>
                </c:pt>
                <c:pt idx="23">
                  <c:v>4.4604313872376199E-2</c:v>
                </c:pt>
                <c:pt idx="24">
                  <c:v>5.9427910575460201E-2</c:v>
                </c:pt>
                <c:pt idx="25">
                  <c:v>6.7178437172280697E-2</c:v>
                </c:pt>
                <c:pt idx="26">
                  <c:v>8.8510750032914004E-2</c:v>
                </c:pt>
                <c:pt idx="27">
                  <c:v>8.55751031330238E-2</c:v>
                </c:pt>
                <c:pt idx="28">
                  <c:v>9.2730713974741599E-2</c:v>
                </c:pt>
                <c:pt idx="29">
                  <c:v>9.8668435884457603E-2</c:v>
                </c:pt>
                <c:pt idx="30">
                  <c:v>8.7895204086533299E-2</c:v>
                </c:pt>
                <c:pt idx="31">
                  <c:v>4.81651994883113E-2</c:v>
                </c:pt>
                <c:pt idx="32">
                  <c:v>4.2675092088514797E-2</c:v>
                </c:pt>
                <c:pt idx="33">
                  <c:v>3.1196392626740999E-2</c:v>
                </c:pt>
                <c:pt idx="34">
                  <c:v>1.2887355722566199E-2</c:v>
                </c:pt>
                <c:pt idx="35">
                  <c:v>-9.8239354586208295E-3</c:v>
                </c:pt>
                <c:pt idx="36">
                  <c:v>-2.2938741565291399E-2</c:v>
                </c:pt>
                <c:pt idx="37">
                  <c:v>1.52694929428106E-2</c:v>
                </c:pt>
                <c:pt idx="38">
                  <c:v>2.4889234861636599E-2</c:v>
                </c:pt>
                <c:pt idx="39">
                  <c:v>4.0817602844639103E-2</c:v>
                </c:pt>
                <c:pt idx="40">
                  <c:v>3.8768377305605901E-2</c:v>
                </c:pt>
                <c:pt idx="41">
                  <c:v>4.3764540903195898E-2</c:v>
                </c:pt>
                <c:pt idx="42">
                  <c:v>3.5917425815295098E-2</c:v>
                </c:pt>
                <c:pt idx="43">
                  <c:v>4.3094342964824797E-2</c:v>
                </c:pt>
                <c:pt idx="44">
                  <c:v>4.2305393891680601E-2</c:v>
                </c:pt>
                <c:pt idx="45">
                  <c:v>2.6059590782198699E-2</c:v>
                </c:pt>
                <c:pt idx="46">
                  <c:v>1.1674742600136E-2</c:v>
                </c:pt>
                <c:pt idx="47">
                  <c:v>-1.1751911728982299E-3</c:v>
                </c:pt>
                <c:pt idx="48">
                  <c:v>-3.6156992360162499E-3</c:v>
                </c:pt>
                <c:pt idx="49">
                  <c:v>8.8174179537818705E-3</c:v>
                </c:pt>
                <c:pt idx="50">
                  <c:v>-1.1335063944641399E-2</c:v>
                </c:pt>
                <c:pt idx="51">
                  <c:v>-3.6812328347410897E-2</c:v>
                </c:pt>
                <c:pt idx="52">
                  <c:v>-4.3387879872656E-2</c:v>
                </c:pt>
                <c:pt idx="53">
                  <c:v>-4.1064196067013198E-2</c:v>
                </c:pt>
                <c:pt idx="54">
                  <c:v>6.6234981521532598E-3</c:v>
                </c:pt>
                <c:pt idx="55">
                  <c:v>4.4418893885012703E-2</c:v>
                </c:pt>
                <c:pt idx="56">
                  <c:v>-9.4263462583822101E-4</c:v>
                </c:pt>
                <c:pt idx="57">
                  <c:v>-6.5658593233314702E-2</c:v>
                </c:pt>
                <c:pt idx="58">
                  <c:v>-4.3690376227012502E-2</c:v>
                </c:pt>
                <c:pt idx="59">
                  <c:v>-5.8323422634952403E-2</c:v>
                </c:pt>
                <c:pt idx="60">
                  <c:v>-1.8182181828015599E-2</c:v>
                </c:pt>
                <c:pt idx="61">
                  <c:v>-5.5865439249847798E-2</c:v>
                </c:pt>
                <c:pt idx="62">
                  <c:v>-7.6108775763447503E-2</c:v>
                </c:pt>
                <c:pt idx="63">
                  <c:v>-8.5434899795986702E-2</c:v>
                </c:pt>
                <c:pt idx="64">
                  <c:v>-7.1398242008570798E-2</c:v>
                </c:pt>
                <c:pt idx="65">
                  <c:v>-3.4379977701879803E-2</c:v>
                </c:pt>
                <c:pt idx="66">
                  <c:v>-5.2776747097178701E-2</c:v>
                </c:pt>
                <c:pt idx="67">
                  <c:v>-4.5924833188823497E-2</c:v>
                </c:pt>
                <c:pt idx="68">
                  <c:v>-1.35602103590377E-2</c:v>
                </c:pt>
                <c:pt idx="69">
                  <c:v>-2.7945953294800301E-2</c:v>
                </c:pt>
                <c:pt idx="70">
                  <c:v>-2.9170070590070301E-2</c:v>
                </c:pt>
                <c:pt idx="71">
                  <c:v>-3.3458911614965697E-2</c:v>
                </c:pt>
                <c:pt idx="72">
                  <c:v>-3.7167146911832802E-2</c:v>
                </c:pt>
                <c:pt idx="73">
                  <c:v>-4.0344708865340598E-2</c:v>
                </c:pt>
                <c:pt idx="74">
                  <c:v>-4.3040141884107597E-2</c:v>
                </c:pt>
                <c:pt idx="75">
                  <c:v>-4.5299844015065399E-2</c:v>
                </c:pt>
                <c:pt idx="76">
                  <c:v>-4.7167583845686298E-2</c:v>
                </c:pt>
                <c:pt idx="77">
                  <c:v>-4.86842228078187E-2</c:v>
                </c:pt>
                <c:pt idx="78">
                  <c:v>-4.9887588776409399E-2</c:v>
                </c:pt>
                <c:pt idx="79">
                  <c:v>-5.0812459256178097E-2</c:v>
                </c:pt>
                <c:pt idx="80">
                  <c:v>-5.1490622174020603E-2</c:v>
                </c:pt>
                <c:pt idx="81">
                  <c:v>-5.1950989904456402E-2</c:v>
                </c:pt>
                <c:pt idx="82">
                  <c:v>-5.2219748094377398E-2</c:v>
                </c:pt>
                <c:pt idx="83">
                  <c:v>-5.2320525474556699E-2</c:v>
                </c:pt>
                <c:pt idx="84">
                  <c:v>-5.2274574428617201E-2</c:v>
                </c:pt>
                <c:pt idx="85">
                  <c:v>-5.2100954857201003E-2</c:v>
                </c:pt>
                <c:pt idx="86">
                  <c:v>-5.1816716001492298E-2</c:v>
                </c:pt>
                <c:pt idx="87">
                  <c:v>-5.1437072514890797E-2</c:v>
                </c:pt>
                <c:pt idx="88">
                  <c:v>-5.0975572304267698E-2</c:v>
                </c:pt>
                <c:pt idx="89">
                  <c:v>-5.04442545894591E-2</c:v>
                </c:pt>
                <c:pt idx="90">
                  <c:v>-4.98537973197151E-2</c:v>
                </c:pt>
                <c:pt idx="91">
                  <c:v>-4.9213653592448697E-2</c:v>
                </c:pt>
                <c:pt idx="92">
                  <c:v>-4.8532177084998303E-2</c:v>
                </c:pt>
                <c:pt idx="93">
                  <c:v>-4.78167367673E-2</c:v>
                </c:pt>
                <c:pt idx="94">
                  <c:v>-4.7073821338242297E-2</c:v>
                </c:pt>
                <c:pt idx="95">
                  <c:v>-4.6309133941196602E-2</c:v>
                </c:pt>
                <c:pt idx="96">
                  <c:v>-4.5527677780493402E-2</c:v>
                </c:pt>
                <c:pt idx="97">
                  <c:v>-4.47338332925762E-2</c:v>
                </c:pt>
                <c:pt idx="98">
                  <c:v>-4.3931427532615003E-2</c:v>
                </c:pt>
                <c:pt idx="99">
                  <c:v>-4.3123796426658298E-2</c:v>
                </c:pt>
                <c:pt idx="100">
                  <c:v>-4.23138405164857E-2</c:v>
                </c:pt>
                <c:pt idx="101">
                  <c:v>-4.1504074793300601E-2</c:v>
                </c:pt>
                <c:pt idx="102">
                  <c:v>-4.0696673180439701E-2</c:v>
                </c:pt>
                <c:pt idx="103">
                  <c:v>-3.9893508186651203E-2</c:v>
                </c:pt>
                <c:pt idx="104">
                  <c:v>-3.90961862119414E-2</c:v>
                </c:pt>
                <c:pt idx="105">
                  <c:v>-3.8306078948688697E-2</c:v>
                </c:pt>
                <c:pt idx="106">
                  <c:v>-3.7524351282554699E-2</c:v>
                </c:pt>
                <c:pt idx="107">
                  <c:v>-3.6751986061239403E-2</c:v>
                </c:pt>
                <c:pt idx="108">
                  <c:v>-3.59898060647076E-2</c:v>
                </c:pt>
                <c:pt idx="109">
                  <c:v>-3.5238493478352798E-2</c:v>
                </c:pt>
                <c:pt idx="110">
                  <c:v>-3.4498607140766503E-2</c:v>
                </c:pt>
                <c:pt idx="111">
                  <c:v>-3.3770597810344097E-2</c:v>
                </c:pt>
                <c:pt idx="112">
                  <c:v>-3.3054821669844699E-2</c:v>
                </c:pt>
                <c:pt idx="113">
                  <c:v>-3.2351552265130597E-2</c:v>
                </c:pt>
                <c:pt idx="114">
                  <c:v>-3.1660991053535897E-2</c:v>
                </c:pt>
                <c:pt idx="115">
                  <c:v>-3.0983276718518901E-2</c:v>
                </c:pt>
                <c:pt idx="116">
                  <c:v>-3.0318493390289199E-2</c:v>
                </c:pt>
                <c:pt idx="117">
                  <c:v>-2.9666677896852199E-2</c:v>
                </c:pt>
                <c:pt idx="118">
                  <c:v>-2.9027826156203598E-2</c:v>
                </c:pt>
                <c:pt idx="119">
                  <c:v>-2.8401898808132299E-2</c:v>
                </c:pt>
                <c:pt idx="120">
                  <c:v>-2.7788826173108499E-2</c:v>
                </c:pt>
                <c:pt idx="121">
                  <c:v>-2.7188512615912399E-2</c:v>
                </c:pt>
                <c:pt idx="122">
                  <c:v>-2.6600840382909399E-2</c:v>
                </c:pt>
                <c:pt idx="123">
                  <c:v>-2.60256729740709E-2</c:v>
                </c:pt>
                <c:pt idx="124">
                  <c:v>-2.54628581038931E-2</c:v>
                </c:pt>
                <c:pt idx="125">
                  <c:v>-2.4912230299187502E-2</c:v>
                </c:pt>
                <c:pt idx="126">
                  <c:v>-2.4373613176223101E-2</c:v>
                </c:pt>
                <c:pt idx="127">
                  <c:v>-2.3846821434824601E-2</c:v>
                </c:pt>
                <c:pt idx="128">
                  <c:v>-2.3331662602699699E-2</c:v>
                </c:pt>
                <c:pt idx="129">
                  <c:v>-2.2827938559430098E-2</c:v>
                </c:pt>
                <c:pt idx="130">
                  <c:v>-2.2335446866154501E-2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8B-4CB7-98FE-72A2EA6A81C0}"/>
            </c:ext>
          </c:extLst>
        </c:ser>
        <c:ser>
          <c:idx val="5"/>
          <c:order val="5"/>
          <c:tx>
            <c:strRef>
              <c:f>'DSGE HVD wFG'!$AE$1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wFG'!$AE$2:$AE$132</c:f>
              <c:numCache>
                <c:formatCode>0.0000</c:formatCode>
                <c:ptCount val="131"/>
                <c:pt idx="0">
                  <c:v>-4.6038989020964899E-2</c:v>
                </c:pt>
                <c:pt idx="1">
                  <c:v>-3.9016156994497099E-2</c:v>
                </c:pt>
                <c:pt idx="2">
                  <c:v>-5.63059125769753E-2</c:v>
                </c:pt>
                <c:pt idx="3">
                  <c:v>-6.9077730500863396E-2</c:v>
                </c:pt>
                <c:pt idx="4">
                  <c:v>-6.2903529816891096E-2</c:v>
                </c:pt>
                <c:pt idx="5">
                  <c:v>-6.3892000981238303E-2</c:v>
                </c:pt>
                <c:pt idx="6">
                  <c:v>-5.5883768839224197E-2</c:v>
                </c:pt>
                <c:pt idx="7">
                  <c:v>5.2017786098958298E-3</c:v>
                </c:pt>
                <c:pt idx="8">
                  <c:v>-7.8812431872975305E-2</c:v>
                </c:pt>
                <c:pt idx="9">
                  <c:v>-0.104803321941799</c:v>
                </c:pt>
                <c:pt idx="10">
                  <c:v>-0.190469314826472</c:v>
                </c:pt>
                <c:pt idx="11">
                  <c:v>-0.18235299897498999</c:v>
                </c:pt>
                <c:pt idx="12">
                  <c:v>-0.24381378230140999</c:v>
                </c:pt>
                <c:pt idx="13">
                  <c:v>-0.22687690642835501</c:v>
                </c:pt>
                <c:pt idx="14">
                  <c:v>-0.25348782470067199</c:v>
                </c:pt>
                <c:pt idx="15">
                  <c:v>-0.22157962997979899</c:v>
                </c:pt>
                <c:pt idx="16">
                  <c:v>-0.255698318547109</c:v>
                </c:pt>
                <c:pt idx="17">
                  <c:v>-0.23838521145157801</c:v>
                </c:pt>
                <c:pt idx="18">
                  <c:v>-0.200701991062048</c:v>
                </c:pt>
                <c:pt idx="19">
                  <c:v>-0.18104280315018001</c:v>
                </c:pt>
                <c:pt idx="20">
                  <c:v>-0.168173296532138</c:v>
                </c:pt>
                <c:pt idx="21">
                  <c:v>-0.16183162380209101</c:v>
                </c:pt>
                <c:pt idx="22">
                  <c:v>-0.16779250167547</c:v>
                </c:pt>
                <c:pt idx="23">
                  <c:v>-0.17679415136660401</c:v>
                </c:pt>
                <c:pt idx="24">
                  <c:v>-0.16055451944788801</c:v>
                </c:pt>
                <c:pt idx="25">
                  <c:v>-0.13620928407861299</c:v>
                </c:pt>
                <c:pt idx="26">
                  <c:v>-0.123329439230251</c:v>
                </c:pt>
                <c:pt idx="27">
                  <c:v>-0.12257446400395899</c:v>
                </c:pt>
                <c:pt idx="28">
                  <c:v>-0.115147705275277</c:v>
                </c:pt>
                <c:pt idx="29">
                  <c:v>-9.5589872912087398E-2</c:v>
                </c:pt>
                <c:pt idx="30">
                  <c:v>-7.8805676771005306E-2</c:v>
                </c:pt>
                <c:pt idx="31">
                  <c:v>-6.6108421019990704E-2</c:v>
                </c:pt>
                <c:pt idx="32">
                  <c:v>-4.9090149813096298E-2</c:v>
                </c:pt>
                <c:pt idx="33">
                  <c:v>-4.0533219287402597E-2</c:v>
                </c:pt>
                <c:pt idx="34">
                  <c:v>-1.98997430648617E-2</c:v>
                </c:pt>
                <c:pt idx="35">
                  <c:v>-1.2177543419582101E-2</c:v>
                </c:pt>
                <c:pt idx="36">
                  <c:v>-1.07475694808329E-2</c:v>
                </c:pt>
                <c:pt idx="37">
                  <c:v>-1.9302232362252002E-2</c:v>
                </c:pt>
                <c:pt idx="38">
                  <c:v>-1.8614333216942301E-2</c:v>
                </c:pt>
                <c:pt idx="39">
                  <c:v>-1.2550744105492199E-2</c:v>
                </c:pt>
                <c:pt idx="40">
                  <c:v>-2.2688969379257198E-2</c:v>
                </c:pt>
                <c:pt idx="41">
                  <c:v>-1.34972037312406E-2</c:v>
                </c:pt>
                <c:pt idx="42">
                  <c:v>-1.7774060727591402E-2</c:v>
                </c:pt>
                <c:pt idx="43">
                  <c:v>-3.8975879756323198E-3</c:v>
                </c:pt>
                <c:pt idx="44">
                  <c:v>1.2906096117853E-3</c:v>
                </c:pt>
                <c:pt idx="45">
                  <c:v>8.3035309344911892E-3</c:v>
                </c:pt>
                <c:pt idx="46">
                  <c:v>7.2541151139920599E-3</c:v>
                </c:pt>
                <c:pt idx="47">
                  <c:v>1.0430946135317601E-2</c:v>
                </c:pt>
                <c:pt idx="48">
                  <c:v>1.9369290333258401E-2</c:v>
                </c:pt>
                <c:pt idx="49">
                  <c:v>1.7581890223256201E-2</c:v>
                </c:pt>
                <c:pt idx="50">
                  <c:v>-7.7129502157431097E-3</c:v>
                </c:pt>
                <c:pt idx="51">
                  <c:v>-3.3923690741129997E-2</c:v>
                </c:pt>
                <c:pt idx="52">
                  <c:v>-4.4550044338998E-2</c:v>
                </c:pt>
                <c:pt idx="53">
                  <c:v>1.3759978528344799E-2</c:v>
                </c:pt>
                <c:pt idx="54">
                  <c:v>-2.1867603732011799E-3</c:v>
                </c:pt>
                <c:pt idx="55">
                  <c:v>1.8677991794626599E-2</c:v>
                </c:pt>
                <c:pt idx="56">
                  <c:v>-2.8450032999036399E-2</c:v>
                </c:pt>
                <c:pt idx="57">
                  <c:v>-7.1922955562220003E-2</c:v>
                </c:pt>
                <c:pt idx="58">
                  <c:v>-9.0928797707925096E-3</c:v>
                </c:pt>
                <c:pt idx="59">
                  <c:v>-1.2267871401191E-2</c:v>
                </c:pt>
                <c:pt idx="60">
                  <c:v>7.6834077820794697E-2</c:v>
                </c:pt>
                <c:pt idx="61">
                  <c:v>0.13347880608198201</c:v>
                </c:pt>
                <c:pt idx="62">
                  <c:v>0.13402580236141701</c:v>
                </c:pt>
                <c:pt idx="63">
                  <c:v>0.16408172052063699</c:v>
                </c:pt>
                <c:pt idx="64">
                  <c:v>0.183760012509363</c:v>
                </c:pt>
                <c:pt idx="65">
                  <c:v>0.207891588927512</c:v>
                </c:pt>
                <c:pt idx="66">
                  <c:v>0.192397938057358</c:v>
                </c:pt>
                <c:pt idx="67">
                  <c:v>0.165478383348337</c:v>
                </c:pt>
                <c:pt idx="68">
                  <c:v>0.164524636966671</c:v>
                </c:pt>
                <c:pt idx="69">
                  <c:v>0.112218444218849</c:v>
                </c:pt>
                <c:pt idx="70">
                  <c:v>9.5232374820941906E-2</c:v>
                </c:pt>
                <c:pt idx="71">
                  <c:v>8.9719402389175099E-2</c:v>
                </c:pt>
                <c:pt idx="72">
                  <c:v>8.4764872434021296E-2</c:v>
                </c:pt>
                <c:pt idx="73">
                  <c:v>8.0305545719614804E-2</c:v>
                </c:pt>
                <c:pt idx="74">
                  <c:v>7.6285276770788196E-2</c:v>
                </c:pt>
                <c:pt idx="75">
                  <c:v>7.2654250315626695E-2</c:v>
                </c:pt>
                <c:pt idx="76">
                  <c:v>6.9368293177873797E-2</c:v>
                </c:pt>
                <c:pt idx="77">
                  <c:v>6.6388255635028606E-2</c:v>
                </c:pt>
                <c:pt idx="78">
                  <c:v>6.3679456380369495E-2</c:v>
                </c:pt>
                <c:pt idx="79">
                  <c:v>6.1211185452191202E-2</c:v>
                </c:pt>
                <c:pt idx="80">
                  <c:v>5.8956259785594697E-2</c:v>
                </c:pt>
                <c:pt idx="81">
                  <c:v>5.6890626374534903E-2</c:v>
                </c:pt>
                <c:pt idx="82">
                  <c:v>5.4993008384713001E-2</c:v>
                </c:pt>
                <c:pt idx="83">
                  <c:v>5.3244589916898698E-2</c:v>
                </c:pt>
                <c:pt idx="84">
                  <c:v>5.16287354750554E-2</c:v>
                </c:pt>
                <c:pt idx="85">
                  <c:v>5.0130740537087402E-2</c:v>
                </c:pt>
                <c:pt idx="86">
                  <c:v>4.8737609953314803E-2</c:v>
                </c:pt>
                <c:pt idx="87">
                  <c:v>4.7437861205966998E-2</c:v>
                </c:pt>
                <c:pt idx="88">
                  <c:v>4.6221349850387498E-2</c:v>
                </c:pt>
                <c:pt idx="89">
                  <c:v>4.5079114724604602E-2</c:v>
                </c:pt>
                <c:pt idx="90">
                  <c:v>4.4003240758485003E-2</c:v>
                </c:pt>
                <c:pt idx="91">
                  <c:v>4.2986737437364898E-2</c:v>
                </c:pt>
                <c:pt idx="92">
                  <c:v>4.2023431178732099E-2</c:v>
                </c:pt>
                <c:pt idx="93">
                  <c:v>4.1107870065289001E-2</c:v>
                </c:pt>
                <c:pt idx="94">
                  <c:v>4.0235239544777902E-2</c:v>
                </c:pt>
                <c:pt idx="95">
                  <c:v>3.9401287857566698E-2</c:v>
                </c:pt>
                <c:pt idx="96">
                  <c:v>3.86022600884681E-2</c:v>
                </c:pt>
                <c:pt idx="97">
                  <c:v>3.7834839860857103E-2</c:v>
                </c:pt>
                <c:pt idx="98">
                  <c:v>3.7096097800088199E-2</c:v>
                </c:pt>
                <c:pt idx="99">
                  <c:v>3.6383445990642797E-2</c:v>
                </c:pt>
                <c:pt idx="100">
                  <c:v>3.5694597738468697E-2</c:v>
                </c:pt>
                <c:pt idx="101">
                  <c:v>3.5027532027592297E-2</c:v>
                </c:pt>
                <c:pt idx="102">
                  <c:v>3.4380462129260998E-2</c:v>
                </c:pt>
                <c:pt idx="103">
                  <c:v>3.3751807883436902E-2</c:v>
                </c:pt>
                <c:pt idx="104">
                  <c:v>3.3140171227225297E-2</c:v>
                </c:pt>
                <c:pt idx="105">
                  <c:v>3.2544314593479097E-2</c:v>
                </c:pt>
                <c:pt idx="106">
                  <c:v>3.1963141846036297E-2</c:v>
                </c:pt>
                <c:pt idx="107">
                  <c:v>3.1395681456395999E-2</c:v>
                </c:pt>
                <c:pt idx="108">
                  <c:v>3.0841071660655101E-2</c:v>
                </c:pt>
                <c:pt idx="109">
                  <c:v>3.02985473656858E-2</c:v>
                </c:pt>
                <c:pt idx="110">
                  <c:v>2.97674286002526E-2</c:v>
                </c:pt>
                <c:pt idx="111">
                  <c:v>2.9247110330444599E-2</c:v>
                </c:pt>
                <c:pt idx="112">
                  <c:v>2.87370534797491E-2</c:v>
                </c:pt>
                <c:pt idx="113">
                  <c:v>2.8236777012652401E-2</c:v>
                </c:pt>
                <c:pt idx="114">
                  <c:v>2.77458509570651E-2</c:v>
                </c:pt>
                <c:pt idx="115">
                  <c:v>2.72638902553945E-2</c:v>
                </c:pt>
                <c:pt idx="116">
                  <c:v>2.6790549346930599E-2</c:v>
                </c:pt>
                <c:pt idx="117">
                  <c:v>2.6325517395572401E-2</c:v>
                </c:pt>
                <c:pt idx="118">
                  <c:v>2.58685140869594E-2</c:v>
                </c:pt>
                <c:pt idx="119">
                  <c:v>2.54192859279538E-2</c:v>
                </c:pt>
                <c:pt idx="120">
                  <c:v>2.4977602989258999E-2</c:v>
                </c:pt>
                <c:pt idx="121">
                  <c:v>2.4543256038895199E-2</c:v>
                </c:pt>
                <c:pt idx="122">
                  <c:v>2.4116054020375099E-2</c:v>
                </c:pt>
                <c:pt idx="123">
                  <c:v>2.3695821834835901E-2</c:v>
                </c:pt>
                <c:pt idx="124">
                  <c:v>2.3282398391159202E-2</c:v>
                </c:pt>
                <c:pt idx="125">
                  <c:v>2.2875634892336998E-2</c:v>
                </c:pt>
                <c:pt idx="126">
                  <c:v>2.24753933300646E-2</c:v>
                </c:pt>
                <c:pt idx="127">
                  <c:v>2.20815451628384E-2</c:v>
                </c:pt>
                <c:pt idx="128">
                  <c:v>2.16939701557387E-2</c:v>
                </c:pt>
                <c:pt idx="129">
                  <c:v>2.1312555362649799E-2</c:v>
                </c:pt>
                <c:pt idx="130">
                  <c:v>2.09371942339318E-2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D8B-4CB7-98FE-72A2EA6A81C0}"/>
            </c:ext>
          </c:extLst>
        </c:ser>
        <c:ser>
          <c:idx val="6"/>
          <c:order val="6"/>
          <c:tx>
            <c:strRef>
              <c:f>'DSGE HVD wFG'!$AF$1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wFG'!$AF$2:$AF$132</c:f>
              <c:numCache>
                <c:formatCode>0.0000</c:formatCode>
                <c:ptCount val="131"/>
                <c:pt idx="0">
                  <c:v>3.8359980442891401E-16</c:v>
                </c:pt>
                <c:pt idx="1">
                  <c:v>5.4879434627052497E-16</c:v>
                </c:pt>
                <c:pt idx="2">
                  <c:v>2.5037010554592901E-16</c:v>
                </c:pt>
                <c:pt idx="3">
                  <c:v>-2.6306487630997802E-16</c:v>
                </c:pt>
                <c:pt idx="4">
                  <c:v>1.47120079540184E-17</c:v>
                </c:pt>
                <c:pt idx="5">
                  <c:v>1.28587845422192E-16</c:v>
                </c:pt>
                <c:pt idx="6">
                  <c:v>-4.3849619980996501E-16</c:v>
                </c:pt>
                <c:pt idx="7">
                  <c:v>1.6922842930974801E-15</c:v>
                </c:pt>
                <c:pt idx="8">
                  <c:v>1.9281286187395E-15</c:v>
                </c:pt>
                <c:pt idx="9">
                  <c:v>1.7068415980213701E-15</c:v>
                </c:pt>
                <c:pt idx="10">
                  <c:v>1.5949460666182599E-15</c:v>
                </c:pt>
                <c:pt idx="11">
                  <c:v>3.2339766918551799E-16</c:v>
                </c:pt>
                <c:pt idx="12">
                  <c:v>4.29296942041903E-16</c:v>
                </c:pt>
                <c:pt idx="13">
                  <c:v>5.8130182106596099E-16</c:v>
                </c:pt>
                <c:pt idx="14">
                  <c:v>9.4034412713698303E-16</c:v>
                </c:pt>
                <c:pt idx="15">
                  <c:v>2.9945298170541502E-17</c:v>
                </c:pt>
                <c:pt idx="16">
                  <c:v>-2.6544696605558401E-16</c:v>
                </c:pt>
                <c:pt idx="17">
                  <c:v>-1.3348807338964999E-15</c:v>
                </c:pt>
                <c:pt idx="18">
                  <c:v>-1.51064288775646E-15</c:v>
                </c:pt>
                <c:pt idx="19">
                  <c:v>-1.3414644586246899E-15</c:v>
                </c:pt>
                <c:pt idx="20">
                  <c:v>-2.4848228021115301E-15</c:v>
                </c:pt>
                <c:pt idx="21">
                  <c:v>-2.2305881443885399E-15</c:v>
                </c:pt>
                <c:pt idx="22">
                  <c:v>-2.2150346629327699E-15</c:v>
                </c:pt>
                <c:pt idx="23">
                  <c:v>-2.2146122261473598E-15</c:v>
                </c:pt>
                <c:pt idx="24">
                  <c:v>-2.60156423178714E-15</c:v>
                </c:pt>
                <c:pt idx="25">
                  <c:v>-2.3095901050375302E-15</c:v>
                </c:pt>
                <c:pt idx="26">
                  <c:v>-3.1245184586860102E-15</c:v>
                </c:pt>
                <c:pt idx="27">
                  <c:v>-3.6928666610898597E-15</c:v>
                </c:pt>
                <c:pt idx="28">
                  <c:v>-3.25020582270169E-15</c:v>
                </c:pt>
                <c:pt idx="29">
                  <c:v>-4.1044178198248501E-15</c:v>
                </c:pt>
                <c:pt idx="30">
                  <c:v>-4.3259702029358401E-15</c:v>
                </c:pt>
                <c:pt idx="31">
                  <c:v>-3.8045495914073499E-15</c:v>
                </c:pt>
                <c:pt idx="32">
                  <c:v>-3.16563916966231E-15</c:v>
                </c:pt>
                <c:pt idx="33">
                  <c:v>-4.4773785621788903E-15</c:v>
                </c:pt>
                <c:pt idx="34">
                  <c:v>-4.1984328628498603E-15</c:v>
                </c:pt>
                <c:pt idx="35">
                  <c:v>-3.8171753544476604E-15</c:v>
                </c:pt>
                <c:pt idx="36">
                  <c:v>-4.0936819320477097E-15</c:v>
                </c:pt>
                <c:pt idx="37">
                  <c:v>-5.5993200431517601E-15</c:v>
                </c:pt>
                <c:pt idx="38">
                  <c:v>-5.3593155067733401E-15</c:v>
                </c:pt>
                <c:pt idx="39">
                  <c:v>-5.4778526988335303E-15</c:v>
                </c:pt>
                <c:pt idx="40">
                  <c:v>-5.8293455364732001E-15</c:v>
                </c:pt>
                <c:pt idx="41">
                  <c:v>-5.3166670514298398E-15</c:v>
                </c:pt>
                <c:pt idx="42">
                  <c:v>-5.4386195983887604E-15</c:v>
                </c:pt>
                <c:pt idx="43">
                  <c:v>-6.0128059019120702E-15</c:v>
                </c:pt>
                <c:pt idx="44">
                  <c:v>-6.8795978121033899E-15</c:v>
                </c:pt>
                <c:pt idx="45">
                  <c:v>-7.2918554582758705E-15</c:v>
                </c:pt>
                <c:pt idx="46">
                  <c:v>-6.73147316395779E-15</c:v>
                </c:pt>
                <c:pt idx="47">
                  <c:v>-7.1383372622096306E-15</c:v>
                </c:pt>
                <c:pt idx="48">
                  <c:v>-6.7045645061351797E-15</c:v>
                </c:pt>
                <c:pt idx="49">
                  <c:v>-7.1702808043328304E-15</c:v>
                </c:pt>
                <c:pt idx="50">
                  <c:v>-7.0854510106694004E-15</c:v>
                </c:pt>
                <c:pt idx="51">
                  <c:v>-6.8489265443147202E-15</c:v>
                </c:pt>
                <c:pt idx="52">
                  <c:v>-7.1425610309918408E-15</c:v>
                </c:pt>
                <c:pt idx="53">
                  <c:v>-4.5013732369686302E-15</c:v>
                </c:pt>
                <c:pt idx="54">
                  <c:v>-7.6421999786640398E-15</c:v>
                </c:pt>
                <c:pt idx="55">
                  <c:v>-7.3952964073849608E-15</c:v>
                </c:pt>
                <c:pt idx="56">
                  <c:v>-9.8280855959158793E-15</c:v>
                </c:pt>
                <c:pt idx="57">
                  <c:v>-1.3036399749259299E-14</c:v>
                </c:pt>
                <c:pt idx="58">
                  <c:v>-1.44572534728109E-14</c:v>
                </c:pt>
                <c:pt idx="59">
                  <c:v>-1.6071938190224899E-14</c:v>
                </c:pt>
                <c:pt idx="60">
                  <c:v>-1.84761899386877E-14</c:v>
                </c:pt>
                <c:pt idx="61">
                  <c:v>-2.0291502401997101E-14</c:v>
                </c:pt>
                <c:pt idx="62">
                  <c:v>-2.0391414134976199E-14</c:v>
                </c:pt>
                <c:pt idx="63">
                  <c:v>-2.1164890859327999E-14</c:v>
                </c:pt>
                <c:pt idx="64">
                  <c:v>-2.2137445958048002E-14</c:v>
                </c:pt>
                <c:pt idx="65">
                  <c:v>-2.1880191541809701E-14</c:v>
                </c:pt>
                <c:pt idx="66">
                  <c:v>-2.17227009755139E-14</c:v>
                </c:pt>
                <c:pt idx="67">
                  <c:v>-2.1076980258482201E-14</c:v>
                </c:pt>
                <c:pt idx="68">
                  <c:v>-2.2486432440819001E-14</c:v>
                </c:pt>
                <c:pt idx="69">
                  <c:v>-2.24107890511158E-14</c:v>
                </c:pt>
                <c:pt idx="70">
                  <c:v>-2.21469824987669E-14</c:v>
                </c:pt>
                <c:pt idx="71">
                  <c:v>-2.1803529188159499E-14</c:v>
                </c:pt>
                <c:pt idx="72">
                  <c:v>-2.1450908426621399E-14</c:v>
                </c:pt>
                <c:pt idx="73">
                  <c:v>-2.1090147215265301E-14</c:v>
                </c:pt>
                <c:pt idx="74">
                  <c:v>-2.0722079366089401E-14</c:v>
                </c:pt>
                <c:pt idx="75">
                  <c:v>-2.0347420300364899E-14</c:v>
                </c:pt>
                <c:pt idx="76">
                  <c:v>-1.99668230430521E-14</c:v>
                </c:pt>
                <c:pt idx="77">
                  <c:v>-1.9580918139271899E-14</c:v>
                </c:pt>
                <c:pt idx="78">
                  <c:v>-1.9190340222849801E-14</c:v>
                </c:pt>
                <c:pt idx="79">
                  <c:v>-1.8795743823561999E-14</c:v>
                </c:pt>
                <c:pt idx="80">
                  <c:v>-1.8397810767058701E-14</c:v>
                </c:pt>
                <c:pt idx="81">
                  <c:v>-1.79972512418824E-14</c:v>
                </c:pt>
                <c:pt idx="82">
                  <c:v>-1.7594800311552099E-14</c:v>
                </c:pt>
                <c:pt idx="83">
                  <c:v>-1.7191211356912001E-14</c:v>
                </c:pt>
                <c:pt idx="84">
                  <c:v>-1.67872476581987E-14</c:v>
                </c:pt>
                <c:pt idx="85">
                  <c:v>-1.6383673075577299E-14</c:v>
                </c:pt>
                <c:pt idx="86">
                  <c:v>-1.5981242565364102E-14</c:v>
                </c:pt>
                <c:pt idx="87">
                  <c:v>-1.5580693078139001E-14</c:v>
                </c:pt>
                <c:pt idx="88">
                  <c:v>-1.5182735223931801E-14</c:v>
                </c:pt>
                <c:pt idx="89">
                  <c:v>-1.47880459568759E-14</c:v>
                </c:pt>
                <c:pt idx="90">
                  <c:v>-1.4397262424662201E-14</c:v>
                </c:pt>
                <c:pt idx="91">
                  <c:v>-1.4010977043921801E-14</c:v>
                </c:pt>
                <c:pt idx="92">
                  <c:v>-1.3629733798303499E-14</c:v>
                </c:pt>
                <c:pt idx="93">
                  <c:v>-1.3254025708554E-14</c:v>
                </c:pt>
                <c:pt idx="94">
                  <c:v>-1.28842933905536E-14</c:v>
                </c:pt>
                <c:pt idx="95">
                  <c:v>-1.25209245954693E-14</c:v>
                </c:pt>
                <c:pt idx="96">
                  <c:v>-1.2164254613669E-14</c:v>
                </c:pt>
                <c:pt idx="97">
                  <c:v>-1.18145674188064E-14</c:v>
                </c:pt>
                <c:pt idx="98">
                  <c:v>-1.14720974288176E-14</c:v>
                </c:pt>
                <c:pt idx="99">
                  <c:v>-1.11370317650156E-14</c:v>
                </c:pt>
                <c:pt idx="100">
                  <c:v>-1.0809512897829999E-14</c:v>
                </c:pt>
                <c:pt idx="101">
                  <c:v>-1.04896415770235E-14</c:v>
                </c:pt>
                <c:pt idx="102">
                  <c:v>-1.0177479954645999E-14</c:v>
                </c:pt>
                <c:pt idx="103">
                  <c:v>-9.8730548199334695E-15</c:v>
                </c:pt>
                <c:pt idx="104">
                  <c:v>-9.5763608763496699E-15</c:v>
                </c:pt>
                <c:pt idx="105">
                  <c:v>-9.2873640016545604E-15</c:v>
                </c:pt>
                <c:pt idx="106">
                  <c:v>-9.0060044420000992E-15</c:v>
                </c:pt>
                <c:pt idx="107">
                  <c:v>-8.7321999004431893E-15</c:v>
                </c:pt>
                <c:pt idx="108">
                  <c:v>-8.4658484888105401E-15</c:v>
                </c:pt>
                <c:pt idx="109">
                  <c:v>-8.2068315195043001E-15</c:v>
                </c:pt>
                <c:pt idx="110">
                  <c:v>-7.9550161205838497E-15</c:v>
                </c:pt>
                <c:pt idx="111">
                  <c:v>-7.7102576633148302E-15</c:v>
                </c:pt>
                <c:pt idx="112">
                  <c:v>-7.4724019963809903E-15</c:v>
                </c:pt>
                <c:pt idx="113">
                  <c:v>-7.2412874851599402E-15</c:v>
                </c:pt>
                <c:pt idx="114">
                  <c:v>-7.0167468579333399E-15</c:v>
                </c:pt>
                <c:pt idx="115">
                  <c:v>-6.7986088637060303E-15</c:v>
                </c:pt>
                <c:pt idx="116">
                  <c:v>-6.5866997485148403E-15</c:v>
                </c:pt>
                <c:pt idx="117">
                  <c:v>-6.3808445587893696E-15</c:v>
                </c:pt>
                <c:pt idx="118">
                  <c:v>-6.1808682815498302E-15</c:v>
                </c:pt>
                <c:pt idx="119">
                  <c:v>-5.9865968320567202E-15</c:v>
                </c:pt>
                <c:pt idx="120">
                  <c:v>-5.7978579000229198E-15</c:v>
                </c:pt>
                <c:pt idx="121">
                  <c:v>-5.6144816657157597E-15</c:v>
                </c:pt>
                <c:pt idx="122">
                  <c:v>-5.4363013972645398E-15</c:v>
                </c:pt>
                <c:pt idx="123">
                  <c:v>-5.2631539402921101E-15</c:v>
                </c:pt>
                <c:pt idx="124">
                  <c:v>-5.0948801106463197E-15</c:v>
                </c:pt>
                <c:pt idx="125">
                  <c:v>-4.9313250005529297E-15</c:v>
                </c:pt>
                <c:pt idx="126">
                  <c:v>-4.7723382079753302E-15</c:v>
                </c:pt>
                <c:pt idx="127">
                  <c:v>-4.6177739983728499E-15</c:v>
                </c:pt>
                <c:pt idx="128">
                  <c:v>-4.46749140742063E-15</c:v>
                </c:pt>
                <c:pt idx="129">
                  <c:v>-4.32135429260645E-15</c:v>
                </c:pt>
                <c:pt idx="130">
                  <c:v>-4.17923134096909E-15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8B-4CB7-98FE-72A2EA6A81C0}"/>
            </c:ext>
          </c:extLst>
        </c:ser>
        <c:ser>
          <c:idx val="7"/>
          <c:order val="7"/>
          <c:tx>
            <c:strRef>
              <c:f>'DSGE HVD wFG'!$AG$1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wFG'!$AG$2:$AG$132</c:f>
              <c:numCache>
                <c:formatCode>0.0000</c:formatCode>
                <c:ptCount val="131"/>
                <c:pt idx="0">
                  <c:v>-3.6594233313568802E-15</c:v>
                </c:pt>
                <c:pt idx="1">
                  <c:v>-2.4440354632060701E-15</c:v>
                </c:pt>
                <c:pt idx="2">
                  <c:v>-1.4001092115681899E-15</c:v>
                </c:pt>
                <c:pt idx="3">
                  <c:v>-7.9837505956695004E-16</c:v>
                </c:pt>
                <c:pt idx="4">
                  <c:v>-1.49659762326061E-16</c:v>
                </c:pt>
                <c:pt idx="5">
                  <c:v>9.4075693347449101E-16</c:v>
                </c:pt>
                <c:pt idx="6">
                  <c:v>1.76077486348156E-15</c:v>
                </c:pt>
                <c:pt idx="7">
                  <c:v>2.3099358154234702E-15</c:v>
                </c:pt>
                <c:pt idx="8">
                  <c:v>4.61746737370402E-15</c:v>
                </c:pt>
                <c:pt idx="9">
                  <c:v>4.4703200978657002E-15</c:v>
                </c:pt>
                <c:pt idx="10">
                  <c:v>4.8995216364697702E-15</c:v>
                </c:pt>
                <c:pt idx="11">
                  <c:v>5.509701977865E-15</c:v>
                </c:pt>
                <c:pt idx="12">
                  <c:v>7.0121020189308404E-15</c:v>
                </c:pt>
                <c:pt idx="13">
                  <c:v>7.6845370628177707E-15</c:v>
                </c:pt>
                <c:pt idx="14">
                  <c:v>8.4771861144891194E-15</c:v>
                </c:pt>
                <c:pt idx="15">
                  <c:v>9.4410290562619697E-15</c:v>
                </c:pt>
                <c:pt idx="16">
                  <c:v>9.6208028431271392E-15</c:v>
                </c:pt>
                <c:pt idx="17">
                  <c:v>1.1060741227392201E-14</c:v>
                </c:pt>
                <c:pt idx="18">
                  <c:v>1.1936811150279201E-14</c:v>
                </c:pt>
                <c:pt idx="19">
                  <c:v>1.3766677851375599E-14</c:v>
                </c:pt>
                <c:pt idx="20">
                  <c:v>1.3954166710326999E-14</c:v>
                </c:pt>
                <c:pt idx="21">
                  <c:v>1.4744143196458299E-14</c:v>
                </c:pt>
                <c:pt idx="22">
                  <c:v>1.5907837335826399E-14</c:v>
                </c:pt>
                <c:pt idx="23">
                  <c:v>1.5774363853769001E-14</c:v>
                </c:pt>
                <c:pt idx="24">
                  <c:v>1.74047206256603E-14</c:v>
                </c:pt>
                <c:pt idx="25">
                  <c:v>1.8229757166513398E-14</c:v>
                </c:pt>
                <c:pt idx="26">
                  <c:v>1.95100390744406E-14</c:v>
                </c:pt>
                <c:pt idx="27">
                  <c:v>2.0401116122654499E-14</c:v>
                </c:pt>
                <c:pt idx="28">
                  <c:v>2.06148900568879E-14</c:v>
                </c:pt>
                <c:pt idx="29">
                  <c:v>2.19055508323665E-14</c:v>
                </c:pt>
                <c:pt idx="30">
                  <c:v>2.2851239009496301E-14</c:v>
                </c:pt>
                <c:pt idx="31">
                  <c:v>2.33589691384261E-14</c:v>
                </c:pt>
                <c:pt idx="32">
                  <c:v>2.3591558580295401E-14</c:v>
                </c:pt>
                <c:pt idx="33">
                  <c:v>2.3974305600054601E-14</c:v>
                </c:pt>
                <c:pt idx="34">
                  <c:v>2.4475179376844001E-14</c:v>
                </c:pt>
                <c:pt idx="35">
                  <c:v>2.5278088427139501E-14</c:v>
                </c:pt>
                <c:pt idx="36">
                  <c:v>2.5950379497952499E-14</c:v>
                </c:pt>
                <c:pt idx="37">
                  <c:v>2.6751144559874999E-14</c:v>
                </c:pt>
                <c:pt idx="38">
                  <c:v>2.75396532514738E-14</c:v>
                </c:pt>
                <c:pt idx="39">
                  <c:v>2.804191438763E-14</c:v>
                </c:pt>
                <c:pt idx="40">
                  <c:v>2.8492063724448899E-14</c:v>
                </c:pt>
                <c:pt idx="41">
                  <c:v>2.9042770837043502E-14</c:v>
                </c:pt>
                <c:pt idx="42">
                  <c:v>2.9306772659770202E-14</c:v>
                </c:pt>
                <c:pt idx="43">
                  <c:v>2.9480340649216501E-14</c:v>
                </c:pt>
                <c:pt idx="44">
                  <c:v>2.9965207693004399E-14</c:v>
                </c:pt>
                <c:pt idx="45">
                  <c:v>3.0636010615200998E-14</c:v>
                </c:pt>
                <c:pt idx="46">
                  <c:v>3.1091450751650899E-14</c:v>
                </c:pt>
                <c:pt idx="47">
                  <c:v>3.17374978587907E-14</c:v>
                </c:pt>
                <c:pt idx="48">
                  <c:v>3.1345214412574699E-14</c:v>
                </c:pt>
                <c:pt idx="49">
                  <c:v>3.1919387436701401E-14</c:v>
                </c:pt>
                <c:pt idx="50">
                  <c:v>3.2601781178525902E-14</c:v>
                </c:pt>
                <c:pt idx="51">
                  <c:v>3.2468454578501603E-14</c:v>
                </c:pt>
                <c:pt idx="52">
                  <c:v>3.24591065324231E-14</c:v>
                </c:pt>
                <c:pt idx="53">
                  <c:v>3.2212548942759802E-14</c:v>
                </c:pt>
                <c:pt idx="54">
                  <c:v>3.21265570237615E-14</c:v>
                </c:pt>
                <c:pt idx="55">
                  <c:v>3.1341951615385499E-14</c:v>
                </c:pt>
                <c:pt idx="56">
                  <c:v>3.1660426578401998E-14</c:v>
                </c:pt>
                <c:pt idx="57">
                  <c:v>3.15830022601922E-14</c:v>
                </c:pt>
                <c:pt idx="58">
                  <c:v>3.1756248562054997E-14</c:v>
                </c:pt>
                <c:pt idx="59">
                  <c:v>3.20289125928848E-14</c:v>
                </c:pt>
                <c:pt idx="60">
                  <c:v>3.3038815873052397E-14</c:v>
                </c:pt>
                <c:pt idx="61">
                  <c:v>3.4708802506276299E-14</c:v>
                </c:pt>
                <c:pt idx="62">
                  <c:v>3.53663045251247E-14</c:v>
                </c:pt>
                <c:pt idx="63">
                  <c:v>3.6583290247098298E-14</c:v>
                </c:pt>
                <c:pt idx="64">
                  <c:v>3.7595622885945201E-14</c:v>
                </c:pt>
                <c:pt idx="65">
                  <c:v>3.8086657234101801E-14</c:v>
                </c:pt>
                <c:pt idx="66">
                  <c:v>3.8660207282593803E-14</c:v>
                </c:pt>
                <c:pt idx="67">
                  <c:v>3.9154078594620997E-14</c:v>
                </c:pt>
                <c:pt idx="68">
                  <c:v>3.8939821739521199E-14</c:v>
                </c:pt>
                <c:pt idx="69">
                  <c:v>3.9698738026061002E-14</c:v>
                </c:pt>
                <c:pt idx="70">
                  <c:v>4.0537499580228702E-14</c:v>
                </c:pt>
                <c:pt idx="71">
                  <c:v>4.0999910242542599E-14</c:v>
                </c:pt>
                <c:pt idx="72">
                  <c:v>4.1442486555669701E-14</c:v>
                </c:pt>
                <c:pt idx="73">
                  <c:v>4.18659795462736E-14</c:v>
                </c:pt>
                <c:pt idx="74">
                  <c:v>4.2271066709581498E-14</c:v>
                </c:pt>
                <c:pt idx="75">
                  <c:v>4.2658349666420402E-14</c:v>
                </c:pt>
                <c:pt idx="76">
                  <c:v>4.30283563961805E-14</c:v>
                </c:pt>
                <c:pt idx="77">
                  <c:v>4.3381546548681398E-14</c:v>
                </c:pt>
                <c:pt idx="78">
                  <c:v>4.3718318660099597E-14</c:v>
                </c:pt>
                <c:pt idx="79">
                  <c:v>4.4039018373036899E-14</c:v>
                </c:pt>
                <c:pt idx="80">
                  <c:v>4.4343946990084498E-14</c:v>
                </c:pt>
                <c:pt idx="81">
                  <c:v>4.4633369877675297E-14</c:v>
                </c:pt>
                <c:pt idx="82">
                  <c:v>4.49075243873945E-14</c:v>
                </c:pt>
                <c:pt idx="83">
                  <c:v>4.5166627080318902E-14</c:v>
                </c:pt>
                <c:pt idx="84">
                  <c:v>4.54108801313141E-14</c:v>
                </c:pt>
                <c:pt idx="85">
                  <c:v>4.5640476859126997E-14</c:v>
                </c:pt>
                <c:pt idx="86">
                  <c:v>4.5855606378661699E-14</c:v>
                </c:pt>
                <c:pt idx="87">
                  <c:v>4.6056457407609998E-14</c:v>
                </c:pt>
                <c:pt idx="88">
                  <c:v>4.6243221283694697E-14</c:v>
                </c:pt>
                <c:pt idx="89">
                  <c:v>4.64160942637587E-14</c:v>
                </c:pt>
                <c:pt idx="90">
                  <c:v>4.6575279183945898E-14</c:v>
                </c:pt>
                <c:pt idx="91">
                  <c:v>4.6720986563031802E-14</c:v>
                </c:pt>
                <c:pt idx="92">
                  <c:v>4.6853435229995102E-14</c:v>
                </c:pt>
                <c:pt idx="93">
                  <c:v>4.6972852553310199E-14</c:v>
                </c:pt>
                <c:pt idx="94">
                  <c:v>4.7079474344075E-14</c:v>
                </c:pt>
                <c:pt idx="95">
                  <c:v>4.7173544498667297E-14</c:v>
                </c:pt>
                <c:pt idx="96">
                  <c:v>4.7255314439659102E-14</c:v>
                </c:pt>
                <c:pt idx="97">
                  <c:v>4.7325042406611798E-14</c:v>
                </c:pt>
                <c:pt idx="98">
                  <c:v>4.7382992641400701E-14</c:v>
                </c:pt>
                <c:pt idx="99">
                  <c:v>4.7429434506080102E-14</c:v>
                </c:pt>
                <c:pt idx="100">
                  <c:v>4.7464641565112302E-14</c:v>
                </c:pt>
                <c:pt idx="101">
                  <c:v>4.74888906581438E-14</c:v>
                </c:pt>
                <c:pt idx="102">
                  <c:v>4.75024609844406E-14</c:v>
                </c:pt>
                <c:pt idx="103">
                  <c:v>4.7505633215601203E-14</c:v>
                </c:pt>
                <c:pt idx="104">
                  <c:v>4.7498688649253902E-14</c:v>
                </c:pt>
                <c:pt idx="105">
                  <c:v>4.7481908413064402E-14</c:v>
                </c:pt>
                <c:pt idx="106">
                  <c:v>4.7455572725510303E-14</c:v>
                </c:pt>
                <c:pt idx="107">
                  <c:v>4.7419960217473801E-14</c:v>
                </c:pt>
                <c:pt idx="108">
                  <c:v>4.7375347316712603E-14</c:v>
                </c:pt>
                <c:pt idx="109">
                  <c:v>4.7322007695654199E-14</c:v>
                </c:pt>
                <c:pt idx="110">
                  <c:v>4.7260211781670399E-14</c:v>
                </c:pt>
                <c:pt idx="111">
                  <c:v>4.7190226327981602E-14</c:v>
                </c:pt>
                <c:pt idx="112">
                  <c:v>4.71123140425847E-14</c:v>
                </c:pt>
                <c:pt idx="113">
                  <c:v>4.7026733272043199E-14</c:v>
                </c:pt>
                <c:pt idx="114">
                  <c:v>4.6933737736606801E-14</c:v>
                </c:pt>
                <c:pt idx="115">
                  <c:v>4.6833576312889101E-14</c:v>
                </c:pt>
                <c:pt idx="116">
                  <c:v>4.6726492860226003E-14</c:v>
                </c:pt>
                <c:pt idx="117">
                  <c:v>4.6612726086815699E-14</c:v>
                </c:pt>
                <c:pt idx="118">
                  <c:v>4.6492509451801102E-14</c:v>
                </c:pt>
                <c:pt idx="119">
                  <c:v>4.6366071099570102E-14</c:v>
                </c:pt>
                <c:pt idx="120">
                  <c:v>4.6233633822712503E-14</c:v>
                </c:pt>
                <c:pt idx="121">
                  <c:v>4.6095415050259097E-14</c:v>
                </c:pt>
                <c:pt idx="122">
                  <c:v>4.5951626858045799E-14</c:v>
                </c:pt>
                <c:pt idx="123">
                  <c:v>4.5802475998265497E-14</c:v>
                </c:pt>
                <c:pt idx="124">
                  <c:v>4.5648163945507302E-14</c:v>
                </c:pt>
                <c:pt idx="125">
                  <c:v>4.5488886956807002E-14</c:v>
                </c:pt>
                <c:pt idx="126">
                  <c:v>4.5324836143466602E-14</c:v>
                </c:pt>
                <c:pt idx="127">
                  <c:v>4.5156197552615602E-14</c:v>
                </c:pt>
                <c:pt idx="128">
                  <c:v>4.4983152256700099E-14</c:v>
                </c:pt>
                <c:pt idx="129">
                  <c:v>4.4805876449282203E-14</c:v>
                </c:pt>
                <c:pt idx="130">
                  <c:v>4.4624541545722797E-14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D8B-4CB7-98FE-72A2EA6A81C0}"/>
            </c:ext>
          </c:extLst>
        </c:ser>
        <c:ser>
          <c:idx val="8"/>
          <c:order val="8"/>
          <c:tx>
            <c:strRef>
              <c:f>'DSGE HVD wFG'!$AH$1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wFG'!$AH$2:$AH$132</c:f>
              <c:numCache>
                <c:formatCode>0.0000</c:formatCode>
                <c:ptCount val="131"/>
                <c:pt idx="0">
                  <c:v>2.8537733392785758E-2</c:v>
                </c:pt>
                <c:pt idx="1">
                  <c:v>2.8175115676490045E-2</c:v>
                </c:pt>
                <c:pt idx="2">
                  <c:v>2.7817345433819279E-2</c:v>
                </c:pt>
                <c:pt idx="3">
                  <c:v>2.7464356510099725E-2</c:v>
                </c:pt>
                <c:pt idx="4">
                  <c:v>2.711608359770637E-2</c:v>
                </c:pt>
                <c:pt idx="5">
                  <c:v>2.677246222799759E-2</c:v>
                </c:pt>
                <c:pt idx="6">
                  <c:v>2.6433428763234457E-2</c:v>
                </c:pt>
                <c:pt idx="7">
                  <c:v>2.6098920388513951E-2</c:v>
                </c:pt>
                <c:pt idx="8">
                  <c:v>2.5768875103664182E-2</c:v>
                </c:pt>
                <c:pt idx="9">
                  <c:v>2.5443231715158346E-2</c:v>
                </c:pt>
                <c:pt idx="10">
                  <c:v>2.5121929828031929E-2</c:v>
                </c:pt>
                <c:pt idx="11">
                  <c:v>2.48049098377718E-2</c:v>
                </c:pt>
                <c:pt idx="12">
                  <c:v>2.4492112922267759E-2</c:v>
                </c:pt>
                <c:pt idx="13">
                  <c:v>2.4183481033681214E-2</c:v>
                </c:pt>
                <c:pt idx="14">
                  <c:v>2.3878956890406929E-2</c:v>
                </c:pt>
                <c:pt idx="15">
                  <c:v>2.3578483969014925E-2</c:v>
                </c:pt>
                <c:pt idx="16">
                  <c:v>2.328200649620257E-2</c:v>
                </c:pt>
                <c:pt idx="17">
                  <c:v>2.2989469440764604E-2</c:v>
                </c:pt>
                <c:pt idx="18">
                  <c:v>2.2700818505566017E-2</c:v>
                </c:pt>
                <c:pt idx="19">
                  <c:v>2.241600011957541E-2</c:v>
                </c:pt>
                <c:pt idx="20">
                  <c:v>2.2134961429869513E-2</c:v>
                </c:pt>
                <c:pt idx="21">
                  <c:v>2.1857650293724752E-2</c:v>
                </c:pt>
                <c:pt idx="22">
                  <c:v>2.158401527066648E-2</c:v>
                </c:pt>
                <c:pt idx="23">
                  <c:v>2.1314005614593352E-2</c:v>
                </c:pt>
                <c:pt idx="24">
                  <c:v>2.1047571265922348E-2</c:v>
                </c:pt>
                <c:pt idx="25">
                  <c:v>2.078466284374797E-2</c:v>
                </c:pt>
                <c:pt idx="26">
                  <c:v>2.0525231638067014E-2</c:v>
                </c:pt>
                <c:pt idx="27">
                  <c:v>2.0269229602009463E-2</c:v>
                </c:pt>
                <c:pt idx="28">
                  <c:v>2.0016609344117347E-2</c:v>
                </c:pt>
                <c:pt idx="29">
                  <c:v>1.9767324120682453E-2</c:v>
                </c:pt>
                <c:pt idx="30">
                  <c:v>1.952132782808081E-2</c:v>
                </c:pt>
                <c:pt idx="31">
                  <c:v>1.9278574995197209E-2</c:v>
                </c:pt>
                <c:pt idx="32">
                  <c:v>1.9039020775849819E-2</c:v>
                </c:pt>
                <c:pt idx="33">
                  <c:v>1.8802620941308638E-2</c:v>
                </c:pt>
                <c:pt idx="34">
                  <c:v>1.8569331872809482E-2</c:v>
                </c:pt>
                <c:pt idx="35">
                  <c:v>1.8339110554141152E-2</c:v>
                </c:pt>
                <c:pt idx="36">
                  <c:v>1.8111914564291721E-2</c:v>
                </c:pt>
                <c:pt idx="37">
                  <c:v>1.7887702070112959E-2</c:v>
                </c:pt>
                <c:pt idx="38">
                  <c:v>1.7666431819080914E-2</c:v>
                </c:pt>
                <c:pt idx="39">
                  <c:v>1.7448063132052258E-2</c:v>
                </c:pt>
                <c:pt idx="40">
                  <c:v>1.7232555896125459E-2</c:v>
                </c:pt>
                <c:pt idx="41">
                  <c:v>1.7019870557520193E-2</c:v>
                </c:pt>
                <c:pt idx="42">
                  <c:v>1.6809968114530793E-2</c:v>
                </c:pt>
                <c:pt idx="43">
                  <c:v>1.660281011053295E-2</c:v>
                </c:pt>
                <c:pt idx="44">
                  <c:v>1.6398358627036872E-2</c:v>
                </c:pt>
                <c:pt idx="45">
                  <c:v>1.6196576276807099E-2</c:v>
                </c:pt>
                <c:pt idx="46">
                  <c:v>1.5997426197029967E-2</c:v>
                </c:pt>
                <c:pt idx="47">
                  <c:v>1.5800872042561417E-2</c:v>
                </c:pt>
                <c:pt idx="48">
                  <c:v>1.5606877979198953E-2</c:v>
                </c:pt>
                <c:pt idx="49">
                  <c:v>1.5415408677053983E-2</c:v>
                </c:pt>
                <c:pt idx="50">
                  <c:v>1.5226429303944834E-2</c:v>
                </c:pt>
                <c:pt idx="51">
                  <c:v>1.5039905518872312E-2</c:v>
                </c:pt>
                <c:pt idx="52">
                  <c:v>1.4855803465555942E-2</c:v>
                </c:pt>
                <c:pt idx="53">
                  <c:v>1.467408976603489E-2</c:v>
                </c:pt>
                <c:pt idx="54">
                  <c:v>1.4494731514298607E-2</c:v>
                </c:pt>
                <c:pt idx="55">
                  <c:v>1.4317696270032647E-2</c:v>
                </c:pt>
                <c:pt idx="56">
                  <c:v>1.4142952052361145E-2</c:v>
                </c:pt>
                <c:pt idx="57">
                  <c:v>1.3970467333718093E-2</c:v>
                </c:pt>
                <c:pt idx="58">
                  <c:v>1.380021103372584E-2</c:v>
                </c:pt>
                <c:pt idx="59">
                  <c:v>1.3632152513204146E-2</c:v>
                </c:pt>
                <c:pt idx="60">
                  <c:v>1.3466261568131271E-2</c:v>
                </c:pt>
                <c:pt idx="61">
                  <c:v>1.3302508423788122E-2</c:v>
                </c:pt>
                <c:pt idx="62">
                  <c:v>1.3140863728888173E-2</c:v>
                </c:pt>
                <c:pt idx="63">
                  <c:v>1.2981298549793159E-2</c:v>
                </c:pt>
                <c:pt idx="64">
                  <c:v>1.2823784364793396E-2</c:v>
                </c:pt>
                <c:pt idx="65">
                  <c:v>1.26682930584572E-2</c:v>
                </c:pt>
                <c:pt idx="66">
                  <c:v>1.2514796916020678E-2</c:v>
                </c:pt>
                <c:pt idx="67">
                  <c:v>1.2363268617864746E-2</c:v>
                </c:pt>
                <c:pt idx="68">
                  <c:v>1.2213681234021511E-2</c:v>
                </c:pt>
                <c:pt idx="69">
                  <c:v>1.2066008218809753E-2</c:v>
                </c:pt>
                <c:pt idx="70">
                  <c:v>1.192022340542663E-2</c:v>
                </c:pt>
                <c:pt idx="71">
                  <c:v>1.1776301000704804E-2</c:v>
                </c:pt>
                <c:pt idx="72">
                  <c:v>1.163421557987596E-2</c:v>
                </c:pt>
                <c:pt idx="73">
                  <c:v>1.1493942081405103E-2</c:v>
                </c:pt>
                <c:pt idx="74">
                  <c:v>1.1355455801890631E-2</c:v>
                </c:pt>
                <c:pt idx="75">
                  <c:v>1.1218732391022153E-2</c:v>
                </c:pt>
                <c:pt idx="76">
                  <c:v>1.108374784660056E-2</c:v>
                </c:pt>
                <c:pt idx="77">
                  <c:v>1.0950478509617161E-2</c:v>
                </c:pt>
                <c:pt idx="78">
                  <c:v>1.0818901059393458E-2</c:v>
                </c:pt>
                <c:pt idx="79">
                  <c:v>1.068899250878024E-2</c:v>
                </c:pt>
                <c:pt idx="80">
                  <c:v>1.0560730199415917E-2</c:v>
                </c:pt>
                <c:pt idx="81">
                  <c:v>1.0434091797043989E-2</c:v>
                </c:pt>
                <c:pt idx="82">
                  <c:v>1.0309055286889354E-2</c:v>
                </c:pt>
                <c:pt idx="83">
                  <c:v>1.0185598969091412E-2</c:v>
                </c:pt>
                <c:pt idx="84">
                  <c:v>1.0063701454196964E-2</c:v>
                </c:pt>
                <c:pt idx="85">
                  <c:v>9.9433416587090383E-3</c:v>
                </c:pt>
                <c:pt idx="86">
                  <c:v>9.8244988006928029E-3</c:v>
                </c:pt>
                <c:pt idx="87">
                  <c:v>9.7071523954387982E-3</c:v>
                </c:pt>
                <c:pt idx="88">
                  <c:v>9.5912822511814658E-3</c:v>
                </c:pt>
                <c:pt idx="89">
                  <c:v>9.4768684648739183E-3</c:v>
                </c:pt>
                <c:pt idx="90">
                  <c:v>9.3638914180172207E-3</c:v>
                </c:pt>
                <c:pt idx="91">
                  <c:v>9.2523317725453844E-3</c:v>
                </c:pt>
                <c:pt idx="92">
                  <c:v>9.142170466763834E-3</c:v>
                </c:pt>
                <c:pt idx="93">
                  <c:v>9.0333887113420372E-3</c:v>
                </c:pt>
                <c:pt idx="94">
                  <c:v>8.9259679853597226E-3</c:v>
                </c:pt>
                <c:pt idx="95">
                  <c:v>8.8198900324053652E-3</c:v>
                </c:pt>
                <c:pt idx="96">
                  <c:v>8.7151368567277444E-3</c:v>
                </c:pt>
                <c:pt idx="97">
                  <c:v>8.6116907194390396E-3</c:v>
                </c:pt>
                <c:pt idx="98">
                  <c:v>8.5095341347693355E-3</c:v>
                </c:pt>
                <c:pt idx="99">
                  <c:v>8.4086498663721015E-3</c:v>
                </c:pt>
                <c:pt idx="100">
                  <c:v>8.3090209236803356E-3</c:v>
                </c:pt>
                <c:pt idx="101">
                  <c:v>8.2106305583121587E-3</c:v>
                </c:pt>
                <c:pt idx="102">
                  <c:v>8.1134622605263038E-3</c:v>
                </c:pt>
                <c:pt idx="103">
                  <c:v>8.0174997557261353E-3</c:v>
                </c:pt>
                <c:pt idx="104">
                  <c:v>7.9227270010124029E-3</c:v>
                </c:pt>
                <c:pt idx="105">
                  <c:v>7.8291281817836067E-3</c:v>
                </c:pt>
                <c:pt idx="106">
                  <c:v>7.7366877083840224E-3</c:v>
                </c:pt>
                <c:pt idx="107">
                  <c:v>7.6453902127984258E-3</c:v>
                </c:pt>
                <c:pt idx="108">
                  <c:v>7.5552205453932259E-3</c:v>
                </c:pt>
                <c:pt idx="109">
                  <c:v>7.4661637717034516E-3</c:v>
                </c:pt>
                <c:pt idx="110">
                  <c:v>7.3782051692652421E-3</c:v>
                </c:pt>
                <c:pt idx="111">
                  <c:v>7.2913302244929186E-3</c:v>
                </c:pt>
                <c:pt idx="112">
                  <c:v>7.2055246296006308E-3</c:v>
                </c:pt>
                <c:pt idx="113">
                  <c:v>7.1207742795676415E-3</c:v>
                </c:pt>
                <c:pt idx="114">
                  <c:v>7.0370652691469976E-3</c:v>
                </c:pt>
                <c:pt idx="115">
                  <c:v>6.9543838899171614E-3</c:v>
                </c:pt>
                <c:pt idx="116">
                  <c:v>6.8727166273755327E-3</c:v>
                </c:pt>
                <c:pt idx="117">
                  <c:v>6.7920501580742984E-3</c:v>
                </c:pt>
                <c:pt idx="118">
                  <c:v>6.7123713467971925E-3</c:v>
                </c:pt>
                <c:pt idx="119">
                  <c:v>6.633667243777174E-3</c:v>
                </c:pt>
                <c:pt idx="120">
                  <c:v>6.5559250819544716E-3</c:v>
                </c:pt>
                <c:pt idx="121">
                  <c:v>6.4791322742743006E-3</c:v>
                </c:pt>
                <c:pt idx="122">
                  <c:v>6.4032764110240545E-3</c:v>
                </c:pt>
                <c:pt idx="123">
                  <c:v>6.3283452572092062E-3</c:v>
                </c:pt>
                <c:pt idx="124">
                  <c:v>6.2543267499675353E-3</c:v>
                </c:pt>
                <c:pt idx="125">
                  <c:v>6.1812089960212252E-3</c:v>
                </c:pt>
                <c:pt idx="126">
                  <c:v>6.1089802691664599E-3</c:v>
                </c:pt>
                <c:pt idx="127">
                  <c:v>6.0376290077996846E-3</c:v>
                </c:pt>
                <c:pt idx="128">
                  <c:v>5.9671438124803368E-3</c:v>
                </c:pt>
                <c:pt idx="129">
                  <c:v>5.8975134435298483E-3</c:v>
                </c:pt>
                <c:pt idx="130">
                  <c:v>5.8287268186654681E-3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D8B-4CB7-98FE-72A2EA6A81C0}"/>
            </c:ext>
          </c:extLst>
        </c:ser>
        <c:ser>
          <c:idx val="9"/>
          <c:order val="9"/>
          <c:tx>
            <c:strRef>
              <c:f>'DSGE HVD wFG'!$AI$1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'DSGE HVD wFG'!$AI$2:$AI$132</c:f>
              <c:numCache>
                <c:formatCode>0.0000</c:formatCode>
                <c:ptCount val="131"/>
                <c:pt idx="0">
                  <c:v>0.3514761545479978</c:v>
                </c:pt>
                <c:pt idx="1">
                  <c:v>0.25186850602003252</c:v>
                </c:pt>
                <c:pt idx="2">
                  <c:v>1.6615982256771127E-2</c:v>
                </c:pt>
                <c:pt idx="3">
                  <c:v>-0.1599220522527173</c:v>
                </c:pt>
                <c:pt idx="4">
                  <c:v>-0.49242687931189211</c:v>
                </c:pt>
                <c:pt idx="5">
                  <c:v>-0.47539678581757816</c:v>
                </c:pt>
                <c:pt idx="6">
                  <c:v>-0.63918805529903944</c:v>
                </c:pt>
                <c:pt idx="7">
                  <c:v>-1.6704625677823177</c:v>
                </c:pt>
                <c:pt idx="8">
                  <c:v>-1.5393324849843317</c:v>
                </c:pt>
                <c:pt idx="9">
                  <c:v>-1.2082230735879875</c:v>
                </c:pt>
                <c:pt idx="10">
                  <c:v>-1.1317976375635392</c:v>
                </c:pt>
                <c:pt idx="11">
                  <c:v>-0.97113352136574149</c:v>
                </c:pt>
                <c:pt idx="12">
                  <c:v>-1.2301489533646717</c:v>
                </c:pt>
                <c:pt idx="13">
                  <c:v>-1.7888089840072974</c:v>
                </c:pt>
                <c:pt idx="14">
                  <c:v>-1.915760540881227</c:v>
                </c:pt>
                <c:pt idx="15">
                  <c:v>-1.8084537213804353</c:v>
                </c:pt>
                <c:pt idx="16">
                  <c:v>-1.600012557709545</c:v>
                </c:pt>
                <c:pt idx="17">
                  <c:v>-2.0840122473954112</c:v>
                </c:pt>
                <c:pt idx="18">
                  <c:v>-2.5673792508249669</c:v>
                </c:pt>
                <c:pt idx="19">
                  <c:v>-2.7116381173842599</c:v>
                </c:pt>
                <c:pt idx="20">
                  <c:v>-2.5206935019169006</c:v>
                </c:pt>
                <c:pt idx="21">
                  <c:v>-2.7564374464750285</c:v>
                </c:pt>
                <c:pt idx="22">
                  <c:v>-2.6645074976081844</c:v>
                </c:pt>
                <c:pt idx="23">
                  <c:v>-2.5420009291821941</c:v>
                </c:pt>
                <c:pt idx="24">
                  <c:v>-2.6045112109037891</c:v>
                </c:pt>
                <c:pt idx="25">
                  <c:v>-2.4546079213352994</c:v>
                </c:pt>
                <c:pt idx="26">
                  <c:v>-2.4635192089418028</c:v>
                </c:pt>
                <c:pt idx="27">
                  <c:v>-2.4649684857893752</c:v>
                </c:pt>
                <c:pt idx="28">
                  <c:v>-2.3512444900150329</c:v>
                </c:pt>
                <c:pt idx="29">
                  <c:v>-2.3382595717886927</c:v>
                </c:pt>
                <c:pt idx="30">
                  <c:v>-2.36781824407002</c:v>
                </c:pt>
                <c:pt idx="31">
                  <c:v>-2.4719241456598486</c:v>
                </c:pt>
                <c:pt idx="32">
                  <c:v>-2.4693079245249332</c:v>
                </c:pt>
                <c:pt idx="33">
                  <c:v>-2.3958301673466416</c:v>
                </c:pt>
                <c:pt idx="34">
                  <c:v>-2.5995542290152076</c:v>
                </c:pt>
                <c:pt idx="35">
                  <c:v>-2.5994898998285811</c:v>
                </c:pt>
                <c:pt idx="36">
                  <c:v>-2.7547289789553746</c:v>
                </c:pt>
                <c:pt idx="37">
                  <c:v>-2.5605516854796582</c:v>
                </c:pt>
                <c:pt idx="38">
                  <c:v>-2.4547579780787743</c:v>
                </c:pt>
                <c:pt idx="39">
                  <c:v>-2.2001651358593484</c:v>
                </c:pt>
                <c:pt idx="40">
                  <c:v>-2.070133720334483</c:v>
                </c:pt>
                <c:pt idx="41">
                  <c:v>-2.0231550843876391</c:v>
                </c:pt>
                <c:pt idx="42">
                  <c:v>-1.8781681732103044</c:v>
                </c:pt>
                <c:pt idx="43">
                  <c:v>-1.7305616663418402</c:v>
                </c:pt>
                <c:pt idx="44">
                  <c:v>-1.6297651747437703</c:v>
                </c:pt>
                <c:pt idx="45">
                  <c:v>-1.7635268056508278</c:v>
                </c:pt>
                <c:pt idx="46">
                  <c:v>-1.7242856942834057</c:v>
                </c:pt>
                <c:pt idx="47">
                  <c:v>-1.8406984805916826</c:v>
                </c:pt>
                <c:pt idx="48">
                  <c:v>-1.9027223300682667</c:v>
                </c:pt>
                <c:pt idx="49">
                  <c:v>-2.0182665610193142</c:v>
                </c:pt>
                <c:pt idx="50">
                  <c:v>-2.1219699379316572</c:v>
                </c:pt>
                <c:pt idx="51">
                  <c:v>-2.0355561661188322</c:v>
                </c:pt>
                <c:pt idx="52">
                  <c:v>-2.4520464592661586</c:v>
                </c:pt>
                <c:pt idx="53">
                  <c:v>-2.5119875117946733</c:v>
                </c:pt>
                <c:pt idx="54">
                  <c:v>-2.2438663080695673</c:v>
                </c:pt>
                <c:pt idx="55">
                  <c:v>-2.2132873756596294</c:v>
                </c:pt>
                <c:pt idx="56">
                  <c:v>-2.0650486503636811</c:v>
                </c:pt>
                <c:pt idx="57">
                  <c:v>-2.0655599727086269</c:v>
                </c:pt>
                <c:pt idx="58">
                  <c:v>-1.661179545082675</c:v>
                </c:pt>
                <c:pt idx="59">
                  <c:v>-1.8116027694022352</c:v>
                </c:pt>
                <c:pt idx="60">
                  <c:v>-1.6979196680774529</c:v>
                </c:pt>
                <c:pt idx="61">
                  <c:v>-1.1747132102985409</c:v>
                </c:pt>
                <c:pt idx="62">
                  <c:v>-1.2295111158431047</c:v>
                </c:pt>
                <c:pt idx="63">
                  <c:v>-0.93637783631222227</c:v>
                </c:pt>
                <c:pt idx="64">
                  <c:v>-0.47569121463305192</c:v>
                </c:pt>
                <c:pt idx="65">
                  <c:v>-0.44223984694772434</c:v>
                </c:pt>
                <c:pt idx="66">
                  <c:v>2.3851367174093779E-3</c:v>
                </c:pt>
                <c:pt idx="67">
                  <c:v>-0.12990721520664342</c:v>
                </c:pt>
                <c:pt idx="68">
                  <c:v>4.6876991655625866E-2</c:v>
                </c:pt>
                <c:pt idx="69">
                  <c:v>-0.33471717144378238</c:v>
                </c:pt>
                <c:pt idx="70">
                  <c:v>-0.57225742326919427</c:v>
                </c:pt>
                <c:pt idx="71">
                  <c:v>-0.57061468528216364</c:v>
                </c:pt>
                <c:pt idx="72">
                  <c:v>-0.56741554189406851</c:v>
                </c:pt>
                <c:pt idx="73">
                  <c:v>-0.56286971219190796</c:v>
                </c:pt>
                <c:pt idx="74">
                  <c:v>-0.55716986802481605</c:v>
                </c:pt>
                <c:pt idx="75">
                  <c:v>-0.55049177277193939</c:v>
                </c:pt>
                <c:pt idx="76">
                  <c:v>-0.54299469787033594</c:v>
                </c:pt>
                <c:pt idx="77">
                  <c:v>-0.53482206057826709</c:v>
                </c:pt>
                <c:pt idx="78">
                  <c:v>-0.5261022261627849</c:v>
                </c:pt>
                <c:pt idx="79">
                  <c:v>-0.51694942267053334</c:v>
                </c:pt>
                <c:pt idx="80">
                  <c:v>-0.50746472372135809</c:v>
                </c:pt>
                <c:pt idx="81">
                  <c:v>-0.49773706266642587</c:v>
                </c:pt>
                <c:pt idx="82">
                  <c:v>-0.48784424905271967</c:v>
                </c:pt>
                <c:pt idx="83">
                  <c:v>-0.47785396517286166</c:v>
                </c:pt>
                <c:pt idx="84">
                  <c:v>-0.46782472636640621</c:v>
                </c:pt>
                <c:pt idx="85">
                  <c:v>-0.45780679364689125</c:v>
                </c:pt>
                <c:pt idx="86">
                  <c:v>-0.44784303121451985</c:v>
                </c:pt>
                <c:pt idx="87">
                  <c:v>-0.43796970457532852</c:v>
                </c:pt>
                <c:pt idx="88">
                  <c:v>-0.42821721743780072</c:v>
                </c:pt>
                <c:pt idx="89">
                  <c:v>-0.41861078741082092</c:v>
                </c:pt>
                <c:pt idx="90">
                  <c:v>-0.4091710618890157</c:v>
                </c:pt>
                <c:pt idx="91">
                  <c:v>-0.39991467647714962</c:v>
                </c:pt>
                <c:pt idx="92">
                  <c:v>-0.39085475895631516</c:v>
                </c:pt>
                <c:pt idx="93">
                  <c:v>-0.38200138219959928</c:v>
                </c:pt>
                <c:pt idx="94">
                  <c:v>-0.37336196966116048</c:v>
                </c:pt>
                <c:pt idx="95">
                  <c:v>-0.36494165713637794</c:v>
                </c:pt>
                <c:pt idx="96">
                  <c:v>-0.35674361445974345</c:v>
                </c:pt>
                <c:pt idx="97">
                  <c:v>-0.34876933070081551</c:v>
                </c:pt>
                <c:pt idx="98">
                  <c:v>-0.34101886626070016</c:v>
                </c:pt>
                <c:pt idx="99">
                  <c:v>-0.33349107507984432</c:v>
                </c:pt>
                <c:pt idx="100">
                  <c:v>-0.32618379995667679</c:v>
                </c:pt>
                <c:pt idx="101">
                  <c:v>-0.31909404375595385</c:v>
                </c:pt>
                <c:pt idx="102">
                  <c:v>-0.31221811906354391</c:v>
                </c:pt>
                <c:pt idx="103">
                  <c:v>-0.3055517786261861</c:v>
                </c:pt>
                <c:pt idx="104">
                  <c:v>-0.2990903287045491</c:v>
                </c:pt>
                <c:pt idx="105">
                  <c:v>-0.29282872726818998</c:v>
                </c:pt>
                <c:pt idx="106">
                  <c:v>-0.28676166877341402</c:v>
                </c:pt>
                <c:pt idx="107">
                  <c:v>-0.28088365709055985</c:v>
                </c:pt>
                <c:pt idx="108">
                  <c:v>-0.27518906798594783</c:v>
                </c:pt>
                <c:pt idx="109">
                  <c:v>-0.26967220241580353</c:v>
                </c:pt>
                <c:pt idx="110">
                  <c:v>-0.26432733175441575</c:v>
                </c:pt>
                <c:pt idx="111">
                  <c:v>-0.25914873595599369</c:v>
                </c:pt>
                <c:pt idx="112">
                  <c:v>-0.25413073553866516</c:v>
                </c:pt>
                <c:pt idx="113">
                  <c:v>-0.24926771817871529</c:v>
                </c:pt>
                <c:pt idx="114">
                  <c:v>-0.24455416061313739</c:v>
                </c:pt>
                <c:pt idx="115">
                  <c:v>-0.23998464646763173</c:v>
                </c:pt>
                <c:pt idx="116">
                  <c:v>-0.23555388055487042</c:v>
                </c:pt>
                <c:pt idx="117">
                  <c:v>-0.23125670012319363</c:v>
                </c:pt>
                <c:pt idx="118">
                  <c:v>-0.22708808347835929</c:v>
                </c:pt>
                <c:pt idx="119">
                  <c:v>-0.22304315634967886</c:v>
                </c:pt>
                <c:pt idx="120">
                  <c:v>-0.21911719632641127</c:v>
                </c:pt>
                <c:pt idx="121">
                  <c:v>-0.2153056356498361</c:v>
                </c:pt>
                <c:pt idx="122">
                  <c:v>-0.21160406261077835</c:v>
                </c:pt>
                <c:pt idx="123">
                  <c:v>-0.20800822177060357</c:v>
                </c:pt>
                <c:pt idx="124">
                  <c:v>-0.20451401319585044</c:v>
                </c:pt>
                <c:pt idx="125">
                  <c:v>-0.20111749087196903</c:v>
                </c:pt>
                <c:pt idx="126">
                  <c:v>-0.19781486043987143</c:v>
                </c:pt>
                <c:pt idx="127">
                  <c:v>-0.19460247637992981</c:v>
                </c:pt>
                <c:pt idx="128">
                  <c:v>-0.19147683875114785</c:v>
                </c:pt>
                <c:pt idx="129">
                  <c:v>-0.18843458957852507</c:v>
                </c:pt>
                <c:pt idx="130">
                  <c:v>-0.18547250896858808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D8B-4CB7-98FE-72A2EA6A8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dateAx>
        <c:axId val="1190122384"/>
        <c:scaling>
          <c:orientation val="minMax"/>
          <c:max val="45536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802401664410174E-2"/>
          <c:y val="0.23627502623656962"/>
          <c:w val="0.88565822010303863"/>
          <c:h val="0.6430753217912725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'DSGE HVD wFG'!$Z$1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wFG'!$Z$2:$Z$132</c:f>
              <c:numCache>
                <c:formatCode>0.0000</c:formatCode>
                <c:ptCount val="131"/>
                <c:pt idx="0">
                  <c:v>-0.10116499029808</c:v>
                </c:pt>
                <c:pt idx="1">
                  <c:v>-9.1415602048891598E-2</c:v>
                </c:pt>
                <c:pt idx="2">
                  <c:v>-9.5807612147910698E-2</c:v>
                </c:pt>
                <c:pt idx="3">
                  <c:v>-9.28572460411968E-2</c:v>
                </c:pt>
                <c:pt idx="4">
                  <c:v>-9.4503573302483102E-2</c:v>
                </c:pt>
                <c:pt idx="5">
                  <c:v>-9.7453030409408406E-2</c:v>
                </c:pt>
                <c:pt idx="6">
                  <c:v>-8.2949480993659494E-2</c:v>
                </c:pt>
                <c:pt idx="7">
                  <c:v>-5.01476530084006E-2</c:v>
                </c:pt>
                <c:pt idx="8">
                  <c:v>-3.5773165114307497E-2</c:v>
                </c:pt>
                <c:pt idx="9">
                  <c:v>-2.4089109529469799E-2</c:v>
                </c:pt>
                <c:pt idx="10">
                  <c:v>-3.9925576677519101E-2</c:v>
                </c:pt>
                <c:pt idx="11">
                  <c:v>-2.7038449102135001E-2</c:v>
                </c:pt>
                <c:pt idx="12">
                  <c:v>-2.8494113734741599E-2</c:v>
                </c:pt>
                <c:pt idx="13">
                  <c:v>-2.82922007426669E-2</c:v>
                </c:pt>
                <c:pt idx="14">
                  <c:v>-1.9280872158649001E-2</c:v>
                </c:pt>
                <c:pt idx="15">
                  <c:v>-4.1303004539159603E-2</c:v>
                </c:pt>
                <c:pt idx="16">
                  <c:v>-5.8766053904821799E-2</c:v>
                </c:pt>
                <c:pt idx="17">
                  <c:v>-6.4203684109087805E-2</c:v>
                </c:pt>
                <c:pt idx="18">
                  <c:v>-8.6900799934183606E-2</c:v>
                </c:pt>
                <c:pt idx="19">
                  <c:v>-8.3203926639219203E-2</c:v>
                </c:pt>
                <c:pt idx="20">
                  <c:v>-8.1138714250120703E-2</c:v>
                </c:pt>
                <c:pt idx="21">
                  <c:v>-8.6544570595947307E-2</c:v>
                </c:pt>
                <c:pt idx="22">
                  <c:v>-9.3431333735875505E-2</c:v>
                </c:pt>
                <c:pt idx="23">
                  <c:v>-8.7928026169745002E-2</c:v>
                </c:pt>
                <c:pt idx="24">
                  <c:v>-0.10048847835562</c:v>
                </c:pt>
                <c:pt idx="25">
                  <c:v>-9.5000335052677701E-2</c:v>
                </c:pt>
                <c:pt idx="26">
                  <c:v>-9.9459504432794402E-2</c:v>
                </c:pt>
                <c:pt idx="27">
                  <c:v>-0.11045848026907</c:v>
                </c:pt>
                <c:pt idx="28">
                  <c:v>-0.12407675743687099</c:v>
                </c:pt>
                <c:pt idx="29">
                  <c:v>-0.11765066591697</c:v>
                </c:pt>
                <c:pt idx="30">
                  <c:v>-0.122205790077314</c:v>
                </c:pt>
                <c:pt idx="31">
                  <c:v>-0.12684931984071601</c:v>
                </c:pt>
                <c:pt idx="32">
                  <c:v>-0.123198816062282</c:v>
                </c:pt>
                <c:pt idx="33">
                  <c:v>-0.12668424897153499</c:v>
                </c:pt>
                <c:pt idx="34">
                  <c:v>-0.13477040855068201</c:v>
                </c:pt>
                <c:pt idx="35">
                  <c:v>-0.133004716171574</c:v>
                </c:pt>
                <c:pt idx="36">
                  <c:v>-0.13194735417491199</c:v>
                </c:pt>
                <c:pt idx="37">
                  <c:v>-0.14498140937162601</c:v>
                </c:pt>
                <c:pt idx="38">
                  <c:v>-0.14639908930706599</c:v>
                </c:pt>
                <c:pt idx="39">
                  <c:v>-0.14880179390116</c:v>
                </c:pt>
                <c:pt idx="40">
                  <c:v>-0.155620411539487</c:v>
                </c:pt>
                <c:pt idx="41">
                  <c:v>-0.15174884053153301</c:v>
                </c:pt>
                <c:pt idx="42">
                  <c:v>-0.15236736903801101</c:v>
                </c:pt>
                <c:pt idx="43">
                  <c:v>-0.15811855472518099</c:v>
                </c:pt>
                <c:pt idx="44">
                  <c:v>-0.15894250476521901</c:v>
                </c:pt>
                <c:pt idx="45">
                  <c:v>-0.154505222129946</c:v>
                </c:pt>
                <c:pt idx="46">
                  <c:v>-0.146252175261569</c:v>
                </c:pt>
                <c:pt idx="47">
                  <c:v>-0.14174911758501199</c:v>
                </c:pt>
                <c:pt idx="48">
                  <c:v>-0.127167986116826</c:v>
                </c:pt>
                <c:pt idx="49">
                  <c:v>-0.14356819057544701</c:v>
                </c:pt>
                <c:pt idx="50">
                  <c:v>-0.14360995690214901</c:v>
                </c:pt>
                <c:pt idx="51">
                  <c:v>-0.135974576005187</c:v>
                </c:pt>
                <c:pt idx="52">
                  <c:v>-0.14070548318876799</c:v>
                </c:pt>
                <c:pt idx="53">
                  <c:v>-0.14597519741200499</c:v>
                </c:pt>
                <c:pt idx="54">
                  <c:v>-0.15723250297962801</c:v>
                </c:pt>
                <c:pt idx="55">
                  <c:v>-0.14900861625697101</c:v>
                </c:pt>
                <c:pt idx="56">
                  <c:v>-0.17723473717681201</c:v>
                </c:pt>
                <c:pt idx="57">
                  <c:v>-0.21742854947951701</c:v>
                </c:pt>
                <c:pt idx="58">
                  <c:v>-0.20354087391530101</c:v>
                </c:pt>
                <c:pt idx="59">
                  <c:v>-0.18437691906169901</c:v>
                </c:pt>
                <c:pt idx="60">
                  <c:v>-0.182100768215638</c:v>
                </c:pt>
                <c:pt idx="61">
                  <c:v>-0.18647299575634599</c:v>
                </c:pt>
                <c:pt idx="62">
                  <c:v>-0.17668812436853101</c:v>
                </c:pt>
                <c:pt idx="63">
                  <c:v>-0.177210965600924</c:v>
                </c:pt>
                <c:pt idx="64">
                  <c:v>-0.177323933130202</c:v>
                </c:pt>
                <c:pt idx="65">
                  <c:v>-0.18290673431329299</c:v>
                </c:pt>
                <c:pt idx="66">
                  <c:v>-0.17327065089414501</c:v>
                </c:pt>
                <c:pt idx="67">
                  <c:v>-0.173017359007167</c:v>
                </c:pt>
                <c:pt idx="68">
                  <c:v>-0.18225651324893299</c:v>
                </c:pt>
                <c:pt idx="69">
                  <c:v>-0.18375688302281101</c:v>
                </c:pt>
                <c:pt idx="70">
                  <c:v>-0.19188343666194799</c:v>
                </c:pt>
                <c:pt idx="71">
                  <c:v>-0.189659205835919</c:v>
                </c:pt>
                <c:pt idx="72">
                  <c:v>-0.18744074218276599</c:v>
                </c:pt>
                <c:pt idx="73">
                  <c:v>-0.18523233876197001</c:v>
                </c:pt>
                <c:pt idx="74">
                  <c:v>-0.18303739874705399</c:v>
                </c:pt>
                <c:pt idx="75">
                  <c:v>-0.18085860840628001</c:v>
                </c:pt>
                <c:pt idx="76">
                  <c:v>-0.178698076126418</c:v>
                </c:pt>
                <c:pt idx="77">
                  <c:v>-0.17655744421438699</c:v>
                </c:pt>
                <c:pt idx="78">
                  <c:v>-0.17443797886708901</c:v>
                </c:pt>
                <c:pt idx="79">
                  <c:v>-0.17234064262458201</c:v>
                </c:pt>
                <c:pt idx="80">
                  <c:v>-0.17026615276201701</c:v>
                </c:pt>
                <c:pt idx="81">
                  <c:v>-0.16821502838812399</c:v>
                </c:pt>
                <c:pt idx="82">
                  <c:v>-0.166187628467965</c:v>
                </c:pt>
                <c:pt idx="83">
                  <c:v>-0.164184182547572</c:v>
                </c:pt>
                <c:pt idx="84">
                  <c:v>-0.162204815605898</c:v>
                </c:pt>
                <c:pt idx="85">
                  <c:v>-0.16024956817757599</c:v>
                </c:pt>
                <c:pt idx="86">
                  <c:v>-0.15831841266427499</c:v>
                </c:pt>
                <c:pt idx="87">
                  <c:v>-0.15641126657162599</c:v>
                </c:pt>
                <c:pt idx="88">
                  <c:v>-0.15452800326388699</c:v>
                </c:pt>
                <c:pt idx="89">
                  <c:v>-0.15266846071241899</c:v>
                </c:pt>
                <c:pt idx="90">
                  <c:v>-0.150832448620983</c:v>
                </c:pt>
                <c:pt idx="91">
                  <c:v>-0.14901975423622199</c:v>
                </c:pt>
                <c:pt idx="92">
                  <c:v>-0.147230147091792</c:v>
                </c:pt>
                <c:pt idx="93">
                  <c:v>-0.14546338288652</c:v>
                </c:pt>
                <c:pt idx="94">
                  <c:v>-0.143719206658318</c:v>
                </c:pt>
                <c:pt idx="95">
                  <c:v>-0.141997355384547</c:v>
                </c:pt>
                <c:pt idx="96">
                  <c:v>-0.14029756011455399</c:v>
                </c:pt>
                <c:pt idx="97">
                  <c:v>-0.13861954771996701</c:v>
                </c:pt>
                <c:pt idx="98">
                  <c:v>-0.136963042332194</c:v>
                </c:pt>
                <c:pt idx="99">
                  <c:v>-0.13532776652346701</c:v>
                </c:pt>
                <c:pt idx="100">
                  <c:v>-0.133713442277271</c:v>
                </c:pt>
                <c:pt idx="101">
                  <c:v>-0.132119791785477</c:v>
                </c:pt>
                <c:pt idx="102">
                  <c:v>-0.13054653810261299</c:v>
                </c:pt>
                <c:pt idx="103">
                  <c:v>-0.12899340568215101</c:v>
                </c:pt>
                <c:pt idx="104">
                  <c:v>-0.127460120815165</c:v>
                </c:pt>
                <c:pt idx="105">
                  <c:v>-0.12594641198804701</c:v>
                </c:pt>
                <c:pt idx="106">
                  <c:v>-0.124452010173002</c:v>
                </c:pt>
                <c:pt idx="107">
                  <c:v>-0.122976649062614</c:v>
                </c:pt>
                <c:pt idx="108">
                  <c:v>-0.121520065257797</c:v>
                </c:pt>
                <c:pt idx="109">
                  <c:v>-0.120081998416828</c:v>
                </c:pt>
                <c:pt idx="110">
                  <c:v>-0.11866219137185401</c:v>
                </c:pt>
                <c:pt idx="111">
                  <c:v>-0.11726039021816299</c:v>
                </c:pt>
                <c:pt idx="112">
                  <c:v>-0.115876344380642</c:v>
                </c:pt>
                <c:pt idx="113">
                  <c:v>-0.114509806661082</c:v>
                </c:pt>
                <c:pt idx="114">
                  <c:v>-0.113160533269432</c:v>
                </c:pt>
                <c:pt idx="115">
                  <c:v>-0.111828283841561</c:v>
                </c:pt>
                <c:pt idx="116">
                  <c:v>-0.110512821445699</c:v>
                </c:pt>
                <c:pt idx="117">
                  <c:v>-0.109213912579381</c:v>
                </c:pt>
                <c:pt idx="118">
                  <c:v>-0.107931327158433</c:v>
                </c:pt>
                <c:pt idx="119">
                  <c:v>-0.106664838499288</c:v>
                </c:pt>
                <c:pt idx="120">
                  <c:v>-0.10541422329575099</c:v>
                </c:pt>
                <c:pt idx="121">
                  <c:v>-0.104179261591118</c:v>
                </c:pt>
                <c:pt idx="122">
                  <c:v>-0.102959736746475</c:v>
                </c:pt>
                <c:pt idx="123">
                  <c:v>-0.10175543540582301</c:v>
                </c:pt>
                <c:pt idx="124">
                  <c:v>-0.100566147458614</c:v>
                </c:pt>
                <c:pt idx="125">
                  <c:v>-9.9391666000196305E-2</c:v>
                </c:pt>
                <c:pt idx="126">
                  <c:v>-9.8231787290570194E-2</c:v>
                </c:pt>
                <c:pt idx="127">
                  <c:v>-9.7086310711829896E-2</c:v>
                </c:pt>
                <c:pt idx="128">
                  <c:v>-9.5955038724581804E-2</c:v>
                </c:pt>
                <c:pt idx="129">
                  <c:v>-9.4837776823610997E-2</c:v>
                </c:pt>
                <c:pt idx="130">
                  <c:v>-9.3734333493014105E-2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D8-449D-80F4-D20D5E0BB8F8}"/>
            </c:ext>
          </c:extLst>
        </c:ser>
        <c:ser>
          <c:idx val="1"/>
          <c:order val="1"/>
          <c:tx>
            <c:strRef>
              <c:f>'DSGE HVD wFG'!$AA$1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wFG'!$AA$2:$AA$132</c:f>
              <c:numCache>
                <c:formatCode>0.0000</c:formatCode>
                <c:ptCount val="131"/>
                <c:pt idx="0">
                  <c:v>-0.14808542456621801</c:v>
                </c:pt>
                <c:pt idx="1">
                  <c:v>-0.16817797066353801</c:v>
                </c:pt>
                <c:pt idx="2">
                  <c:v>-0.33979271461635702</c:v>
                </c:pt>
                <c:pt idx="3">
                  <c:v>-0.47721599214238702</c:v>
                </c:pt>
                <c:pt idx="4">
                  <c:v>-0.63793934161025601</c:v>
                </c:pt>
                <c:pt idx="5">
                  <c:v>-0.60173872227559899</c:v>
                </c:pt>
                <c:pt idx="6">
                  <c:v>-0.71012196680319895</c:v>
                </c:pt>
                <c:pt idx="7">
                  <c:v>-1.3069466116369099</c:v>
                </c:pt>
                <c:pt idx="8">
                  <c:v>-1.0855520118558799</c:v>
                </c:pt>
                <c:pt idx="9">
                  <c:v>-0.87630026865846899</c:v>
                </c:pt>
                <c:pt idx="10">
                  <c:v>-0.66815747751135102</c:v>
                </c:pt>
                <c:pt idx="11">
                  <c:v>-0.58178558866152896</c:v>
                </c:pt>
                <c:pt idx="12">
                  <c:v>-0.48620875558308602</c:v>
                </c:pt>
                <c:pt idx="13">
                  <c:v>-0.640383925170946</c:v>
                </c:pt>
                <c:pt idx="14">
                  <c:v>-0.70215744037565397</c:v>
                </c:pt>
                <c:pt idx="15">
                  <c:v>-0.67840625215024497</c:v>
                </c:pt>
                <c:pt idx="16">
                  <c:v>-0.51321703243347105</c:v>
                </c:pt>
                <c:pt idx="17">
                  <c:v>-0.66377755849394904</c:v>
                </c:pt>
                <c:pt idx="18">
                  <c:v>-0.85099195434994901</c:v>
                </c:pt>
                <c:pt idx="19">
                  <c:v>-0.85369932669293103</c:v>
                </c:pt>
                <c:pt idx="20">
                  <c:v>-0.83168688383171596</c:v>
                </c:pt>
                <c:pt idx="21">
                  <c:v>-0.91228283520751197</c:v>
                </c:pt>
                <c:pt idx="22">
                  <c:v>-0.82773010770516697</c:v>
                </c:pt>
                <c:pt idx="23">
                  <c:v>-0.83546715004463301</c:v>
                </c:pt>
                <c:pt idx="24">
                  <c:v>-0.83427278019528905</c:v>
                </c:pt>
                <c:pt idx="25">
                  <c:v>-0.81569416031677799</c:v>
                </c:pt>
                <c:pt idx="26">
                  <c:v>-0.77734899788628598</c:v>
                </c:pt>
                <c:pt idx="27">
                  <c:v>-0.76365399612470897</c:v>
                </c:pt>
                <c:pt idx="28">
                  <c:v>-0.72984968092035296</c:v>
                </c:pt>
                <c:pt idx="29">
                  <c:v>-0.74516318341305898</c:v>
                </c:pt>
                <c:pt idx="30">
                  <c:v>-0.79292065503802001</c:v>
                </c:pt>
                <c:pt idx="31">
                  <c:v>-0.88704236973166894</c:v>
                </c:pt>
                <c:pt idx="32">
                  <c:v>-0.95276737021667901</c:v>
                </c:pt>
                <c:pt idx="33">
                  <c:v>-0.97219316774667297</c:v>
                </c:pt>
                <c:pt idx="34">
                  <c:v>-1.11634732833506</c:v>
                </c:pt>
                <c:pt idx="35">
                  <c:v>-1.1033280133183101</c:v>
                </c:pt>
                <c:pt idx="36">
                  <c:v>-1.2599329042393499</c:v>
                </c:pt>
                <c:pt idx="37">
                  <c:v>-1.12437643140966</c:v>
                </c:pt>
                <c:pt idx="38">
                  <c:v>-1.0832642945775699</c:v>
                </c:pt>
                <c:pt idx="39">
                  <c:v>-0.93414742720614596</c:v>
                </c:pt>
                <c:pt idx="40">
                  <c:v>-0.83224877818954501</c:v>
                </c:pt>
                <c:pt idx="41">
                  <c:v>-0.79859986214712597</c:v>
                </c:pt>
                <c:pt idx="42">
                  <c:v>-0.71677423421539199</c:v>
                </c:pt>
                <c:pt idx="43">
                  <c:v>-0.62396588878066295</c:v>
                </c:pt>
                <c:pt idx="44">
                  <c:v>-0.53588973528596895</c:v>
                </c:pt>
                <c:pt idx="45">
                  <c:v>-0.58714840279428504</c:v>
                </c:pt>
                <c:pt idx="46">
                  <c:v>-0.56143841932122895</c:v>
                </c:pt>
                <c:pt idx="47">
                  <c:v>-0.61139699285145899</c:v>
                </c:pt>
                <c:pt idx="48">
                  <c:v>-0.65580593873903803</c:v>
                </c:pt>
                <c:pt idx="49">
                  <c:v>-0.67390626051545099</c:v>
                </c:pt>
                <c:pt idx="50">
                  <c:v>-0.67461405975975197</c:v>
                </c:pt>
                <c:pt idx="51">
                  <c:v>-0.61580943525124399</c:v>
                </c:pt>
                <c:pt idx="52">
                  <c:v>-0.82818985368917697</c:v>
                </c:pt>
                <c:pt idx="53">
                  <c:v>-0.89960537957736797</c:v>
                </c:pt>
                <c:pt idx="54">
                  <c:v>-0.76223677357929298</c:v>
                </c:pt>
                <c:pt idx="55">
                  <c:v>-0.67657394850098895</c:v>
                </c:pt>
                <c:pt idx="56">
                  <c:v>-0.54943673284987704</c:v>
                </c:pt>
                <c:pt idx="57">
                  <c:v>-0.49451860889835803</c:v>
                </c:pt>
                <c:pt idx="58">
                  <c:v>-0.357021753687077</c:v>
                </c:pt>
                <c:pt idx="59">
                  <c:v>-0.40926937205261998</c:v>
                </c:pt>
                <c:pt idx="60">
                  <c:v>-0.50853150992892704</c:v>
                </c:pt>
                <c:pt idx="61">
                  <c:v>-0.28091443540622302</c:v>
                </c:pt>
                <c:pt idx="62">
                  <c:v>-0.29000435859491802</c:v>
                </c:pt>
                <c:pt idx="63">
                  <c:v>-0.171490970456812</c:v>
                </c:pt>
                <c:pt idx="64">
                  <c:v>-0.15413710853983001</c:v>
                </c:pt>
                <c:pt idx="65">
                  <c:v>-0.17310101550182999</c:v>
                </c:pt>
                <c:pt idx="66">
                  <c:v>2.76898209863315E-2</c:v>
                </c:pt>
                <c:pt idx="67">
                  <c:v>1.28054676815732E-2</c:v>
                </c:pt>
                <c:pt idx="68">
                  <c:v>-2.24714031504188E-2</c:v>
                </c:pt>
                <c:pt idx="69">
                  <c:v>-9.4500506641697096E-2</c:v>
                </c:pt>
                <c:pt idx="70">
                  <c:v>-0.154932393131886</c:v>
                </c:pt>
                <c:pt idx="71">
                  <c:v>-0.153383566285893</c:v>
                </c:pt>
                <c:pt idx="72">
                  <c:v>-0.15184998866115601</c:v>
                </c:pt>
                <c:pt idx="73">
                  <c:v>-0.15033162272271899</c:v>
                </c:pt>
                <c:pt idx="74">
                  <c:v>-0.14882837602829399</c:v>
                </c:pt>
                <c:pt idx="75">
                  <c:v>-0.14734012836264701</c:v>
                </c:pt>
                <c:pt idx="76">
                  <c:v>-0.14586674581582701</c:v>
                </c:pt>
                <c:pt idx="77">
                  <c:v>-0.144408088083988</c:v>
                </c:pt>
                <c:pt idx="78">
                  <c:v>-0.14296401225210301</c:v>
                </c:pt>
                <c:pt idx="79">
                  <c:v>-0.14153437475050601</c:v>
                </c:pt>
                <c:pt idx="80">
                  <c:v>-0.14011903236352799</c:v>
                </c:pt>
                <c:pt idx="81">
                  <c:v>-0.13871784274614599</c:v>
                </c:pt>
                <c:pt idx="82">
                  <c:v>-0.137330664685302</c:v>
                </c:pt>
                <c:pt idx="83">
                  <c:v>-0.13595735822876101</c:v>
                </c:pt>
                <c:pt idx="84">
                  <c:v>-0.13459778474526399</c:v>
                </c:pt>
                <c:pt idx="85">
                  <c:v>-0.133251806949094</c:v>
                </c:pt>
                <c:pt idx="86">
                  <c:v>-0.13191928890622501</c:v>
                </c:pt>
                <c:pt idx="87">
                  <c:v>-0.13060009603098099</c:v>
                </c:pt>
                <c:pt idx="88">
                  <c:v>-0.12929409507784501</c:v>
                </c:pt>
                <c:pt idx="89">
                  <c:v>-0.12800115413079</c:v>
                </c:pt>
                <c:pt idx="90">
                  <c:v>-0.12672114259141601</c:v>
                </c:pt>
                <c:pt idx="91">
                  <c:v>-0.12545393116650499</c:v>
                </c:pt>
                <c:pt idx="92">
                  <c:v>-0.124199391855361</c:v>
                </c:pt>
                <c:pt idx="93">
                  <c:v>-0.122957397937077</c:v>
                </c:pt>
                <c:pt idx="94">
                  <c:v>-0.121727823957847</c:v>
                </c:pt>
                <c:pt idx="95">
                  <c:v>-0.12051054571834099</c:v>
                </c:pt>
                <c:pt idx="96">
                  <c:v>-0.11930544026119599</c:v>
                </c:pt>
                <c:pt idx="97">
                  <c:v>-0.11811238585860299</c:v>
                </c:pt>
                <c:pt idx="98">
                  <c:v>-0.116931262000028</c:v>
                </c:pt>
                <c:pt idx="99">
                  <c:v>-0.11576194938003299</c:v>
                </c:pt>
                <c:pt idx="100">
                  <c:v>-0.11460432988623501</c:v>
                </c:pt>
                <c:pt idx="101">
                  <c:v>-0.113458286587374</c:v>
                </c:pt>
                <c:pt idx="102">
                  <c:v>-0.11232370372150099</c:v>
                </c:pt>
                <c:pt idx="103">
                  <c:v>-0.111200466684287</c:v>
                </c:pt>
                <c:pt idx="104">
                  <c:v>-0.110088462017444</c:v>
                </c:pt>
                <c:pt idx="105">
                  <c:v>-0.10898757739727</c:v>
                </c:pt>
                <c:pt idx="106">
                  <c:v>-0.107897701623297</c:v>
                </c:pt>
                <c:pt idx="107">
                  <c:v>-0.106818724607064</c:v>
                </c:pt>
                <c:pt idx="108">
                  <c:v>-0.105750537360993</c:v>
                </c:pt>
                <c:pt idx="109">
                  <c:v>-0.104693031987383</c:v>
                </c:pt>
                <c:pt idx="110">
                  <c:v>-0.10364610166751</c:v>
                </c:pt>
                <c:pt idx="111">
                  <c:v>-0.102609640650835</c:v>
                </c:pt>
                <c:pt idx="112">
                  <c:v>-0.101583544244326</c:v>
                </c:pt>
                <c:pt idx="113">
                  <c:v>-0.100567708801883</c:v>
                </c:pt>
                <c:pt idx="114">
                  <c:v>-9.9562031713864602E-2</c:v>
                </c:pt>
                <c:pt idx="115">
                  <c:v>-9.8566411396725895E-2</c:v>
                </c:pt>
                <c:pt idx="116">
                  <c:v>-9.7580747282758701E-2</c:v>
                </c:pt>
                <c:pt idx="117">
                  <c:v>-9.6604939809931095E-2</c:v>
                </c:pt>
                <c:pt idx="118">
                  <c:v>-9.5638890411831795E-2</c:v>
                </c:pt>
                <c:pt idx="119">
                  <c:v>-9.4682501507713498E-2</c:v>
                </c:pt>
                <c:pt idx="120">
                  <c:v>-9.3735676492636394E-2</c:v>
                </c:pt>
                <c:pt idx="121">
                  <c:v>-9.2798319727709994E-2</c:v>
                </c:pt>
                <c:pt idx="122">
                  <c:v>-9.1870336530432903E-2</c:v>
                </c:pt>
                <c:pt idx="123">
                  <c:v>-9.0951633165128595E-2</c:v>
                </c:pt>
                <c:pt idx="124">
                  <c:v>-9.0042116833477306E-2</c:v>
                </c:pt>
                <c:pt idx="125">
                  <c:v>-8.9141695665142601E-2</c:v>
                </c:pt>
                <c:pt idx="126">
                  <c:v>-8.8250278708491101E-2</c:v>
                </c:pt>
                <c:pt idx="127">
                  <c:v>-8.7367775921406293E-2</c:v>
                </c:pt>
                <c:pt idx="128">
                  <c:v>-8.6494098162192196E-2</c:v>
                </c:pt>
                <c:pt idx="129">
                  <c:v>-8.5629157180570306E-2</c:v>
                </c:pt>
                <c:pt idx="130">
                  <c:v>-8.4772865608764597E-2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D8-449D-80F4-D20D5E0BB8F8}"/>
            </c:ext>
          </c:extLst>
        </c:ser>
        <c:ser>
          <c:idx val="2"/>
          <c:order val="2"/>
          <c:tx>
            <c:strRef>
              <c:f>'DSGE HVD wFG'!$AB$1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wFG'!$AB$2:$AB$132</c:f>
              <c:numCache>
                <c:formatCode>0.0000</c:formatCode>
                <c:ptCount val="131"/>
                <c:pt idx="0">
                  <c:v>0.49991387508665402</c:v>
                </c:pt>
                <c:pt idx="1">
                  <c:v>0.55181563496361996</c:v>
                </c:pt>
                <c:pt idx="2">
                  <c:v>0.56002226080116702</c:v>
                </c:pt>
                <c:pt idx="3">
                  <c:v>0.53555175219462903</c:v>
                </c:pt>
                <c:pt idx="4">
                  <c:v>0.48092882731752601</c:v>
                </c:pt>
                <c:pt idx="5">
                  <c:v>0.51265011203107302</c:v>
                </c:pt>
                <c:pt idx="6">
                  <c:v>0.482826613552436</c:v>
                </c:pt>
                <c:pt idx="7">
                  <c:v>0.18081284878985401</c:v>
                </c:pt>
                <c:pt idx="8">
                  <c:v>0.23032624202458099</c:v>
                </c:pt>
                <c:pt idx="9">
                  <c:v>0.24041405514629799</c:v>
                </c:pt>
                <c:pt idx="10">
                  <c:v>0.19466108133605001</c:v>
                </c:pt>
                <c:pt idx="11">
                  <c:v>0.15426066736204899</c:v>
                </c:pt>
                <c:pt idx="12">
                  <c:v>9.5901011351545204E-2</c:v>
                </c:pt>
                <c:pt idx="13">
                  <c:v>-0.15320738753542701</c:v>
                </c:pt>
                <c:pt idx="14">
                  <c:v>-0.18872773973873899</c:v>
                </c:pt>
                <c:pt idx="15">
                  <c:v>-0.17135993149501</c:v>
                </c:pt>
                <c:pt idx="16">
                  <c:v>-0.16770908393975201</c:v>
                </c:pt>
                <c:pt idx="17">
                  <c:v>-0.26294852069524499</c:v>
                </c:pt>
                <c:pt idx="18">
                  <c:v>-0.42649476645304502</c:v>
                </c:pt>
                <c:pt idx="19">
                  <c:v>-0.40323598286951901</c:v>
                </c:pt>
                <c:pt idx="20">
                  <c:v>-0.45546684473196097</c:v>
                </c:pt>
                <c:pt idx="21">
                  <c:v>-0.46567873466017501</c:v>
                </c:pt>
                <c:pt idx="22">
                  <c:v>-0.50848157933904603</c:v>
                </c:pt>
                <c:pt idx="23">
                  <c:v>-0.52003960568431895</c:v>
                </c:pt>
                <c:pt idx="24">
                  <c:v>-0.467456678300393</c:v>
                </c:pt>
                <c:pt idx="25">
                  <c:v>-0.39843797107590101</c:v>
                </c:pt>
                <c:pt idx="26">
                  <c:v>-0.43271204947258002</c:v>
                </c:pt>
                <c:pt idx="27">
                  <c:v>-0.38715663446493698</c:v>
                </c:pt>
                <c:pt idx="28">
                  <c:v>-0.39725795766882199</c:v>
                </c:pt>
                <c:pt idx="29">
                  <c:v>-0.376128980011809</c:v>
                </c:pt>
                <c:pt idx="30">
                  <c:v>-0.36058546645293399</c:v>
                </c:pt>
                <c:pt idx="31">
                  <c:v>-0.39777607549070698</c:v>
                </c:pt>
                <c:pt idx="32">
                  <c:v>-0.42348341441113402</c:v>
                </c:pt>
                <c:pt idx="33">
                  <c:v>-0.40195218199766602</c:v>
                </c:pt>
                <c:pt idx="34">
                  <c:v>-0.442634854941513</c:v>
                </c:pt>
                <c:pt idx="35">
                  <c:v>-0.45807815884756897</c:v>
                </c:pt>
                <c:pt idx="36">
                  <c:v>-0.46526367204682401</c:v>
                </c:pt>
                <c:pt idx="37">
                  <c:v>-0.428891193222874</c:v>
                </c:pt>
                <c:pt idx="38">
                  <c:v>-0.384407744894182</c:v>
                </c:pt>
                <c:pt idx="39">
                  <c:v>-0.32365282323799499</c:v>
                </c:pt>
                <c:pt idx="40">
                  <c:v>-0.30069155474305698</c:v>
                </c:pt>
                <c:pt idx="41">
                  <c:v>-0.31058661660043202</c:v>
                </c:pt>
                <c:pt idx="42">
                  <c:v>-0.32079100944390998</c:v>
                </c:pt>
                <c:pt idx="43">
                  <c:v>-0.34195585541617102</c:v>
                </c:pt>
                <c:pt idx="44">
                  <c:v>-0.34233077060443001</c:v>
                </c:pt>
                <c:pt idx="45">
                  <c:v>-0.3619735452981</c:v>
                </c:pt>
                <c:pt idx="46">
                  <c:v>-0.378408071559379</c:v>
                </c:pt>
                <c:pt idx="47">
                  <c:v>-0.42936541839826098</c:v>
                </c:pt>
                <c:pt idx="48">
                  <c:v>-0.503168187816739</c:v>
                </c:pt>
                <c:pt idx="49">
                  <c:v>-0.51262041959164695</c:v>
                </c:pt>
                <c:pt idx="50">
                  <c:v>-0.51710266353459899</c:v>
                </c:pt>
                <c:pt idx="51">
                  <c:v>-0.53133953832335901</c:v>
                </c:pt>
                <c:pt idx="52">
                  <c:v>-0.65634565566833103</c:v>
                </c:pt>
                <c:pt idx="53">
                  <c:v>-0.71173025959106195</c:v>
                </c:pt>
                <c:pt idx="54">
                  <c:v>-0.756876861060503</c:v>
                </c:pt>
                <c:pt idx="55">
                  <c:v>-0.79308256715760805</c:v>
                </c:pt>
                <c:pt idx="56">
                  <c:v>-0.69420756494740299</c:v>
                </c:pt>
                <c:pt idx="57">
                  <c:v>-0.66875265851152899</c:v>
                </c:pt>
                <c:pt idx="58">
                  <c:v>-0.49208540065170803</c:v>
                </c:pt>
                <c:pt idx="59">
                  <c:v>-0.49051648935910103</c:v>
                </c:pt>
                <c:pt idx="60">
                  <c:v>-0.38741366169684799</c:v>
                </c:pt>
                <c:pt idx="61">
                  <c:v>-6.33510770980657E-2</c:v>
                </c:pt>
                <c:pt idx="62">
                  <c:v>-3.86112704935231E-2</c:v>
                </c:pt>
                <c:pt idx="63">
                  <c:v>0.15090416471766099</c:v>
                </c:pt>
                <c:pt idx="64">
                  <c:v>0.18346758395021501</c:v>
                </c:pt>
                <c:pt idx="65">
                  <c:v>0.232561079504427</c:v>
                </c:pt>
                <c:pt idx="66">
                  <c:v>0.38188857174816698</c:v>
                </c:pt>
                <c:pt idx="67">
                  <c:v>0.35780253944451301</c:v>
                </c:pt>
                <c:pt idx="68">
                  <c:v>0.37466533133736102</c:v>
                </c:pt>
                <c:pt idx="69">
                  <c:v>0.31979034430031</c:v>
                </c:pt>
                <c:pt idx="70">
                  <c:v>0.273651245990018</c:v>
                </c:pt>
                <c:pt idx="71">
                  <c:v>0.27070547089783797</c:v>
                </c:pt>
                <c:pt idx="72">
                  <c:v>0.26785264575203499</c:v>
                </c:pt>
                <c:pt idx="73">
                  <c:v>0.26507257694067898</c:v>
                </c:pt>
                <c:pt idx="74">
                  <c:v>0.26235111769576502</c:v>
                </c:pt>
                <c:pt idx="75">
                  <c:v>0.25967833422632902</c:v>
                </c:pt>
                <c:pt idx="76">
                  <c:v>0.25704722825551202</c:v>
                </c:pt>
                <c:pt idx="77">
                  <c:v>0.25445284714364202</c:v>
                </c:pt>
                <c:pt idx="78">
                  <c:v>0.25189166400024998</c:v>
                </c:pt>
                <c:pt idx="79">
                  <c:v>0.24936114586800001</c:v>
                </c:pt>
                <c:pt idx="80">
                  <c:v>0.246859452915867</c:v>
                </c:pt>
                <c:pt idx="81">
                  <c:v>0.24438522889223999</c:v>
                </c:pt>
                <c:pt idx="82">
                  <c:v>0.241937455148929</c:v>
                </c:pt>
                <c:pt idx="83">
                  <c:v>0.23951534894815801</c:v>
                </c:pt>
                <c:pt idx="84">
                  <c:v>0.23711829261675599</c:v>
                </c:pt>
                <c:pt idx="85">
                  <c:v>0.2347457841883</c:v>
                </c:pt>
                <c:pt idx="86">
                  <c:v>0.23239740301363901</c:v>
                </c:pt>
                <c:pt idx="87">
                  <c:v>0.23007278579832999</c:v>
                </c:pt>
                <c:pt idx="88">
                  <c:v>0.22777160990343401</c:v>
                </c:pt>
                <c:pt idx="89">
                  <c:v>0.22549358170598199</c:v>
                </c:pt>
                <c:pt idx="90">
                  <c:v>0.22323842848401701</c:v>
                </c:pt>
                <c:pt idx="91">
                  <c:v>0.22100589275690799</c:v>
                </c:pt>
                <c:pt idx="92">
                  <c:v>0.218795728336038</c:v>
                </c:pt>
                <c:pt idx="93">
                  <c:v>0.21660769756700901</c:v>
                </c:pt>
                <c:pt idx="94">
                  <c:v>0.21444156940189299</c:v>
                </c:pt>
                <c:pt idx="95">
                  <c:v>0.212297118049775</c:v>
                </c:pt>
                <c:pt idx="96">
                  <c:v>0.210174122030171</c:v>
                </c:pt>
                <c:pt idx="97">
                  <c:v>0.20807236350717501</c:v>
                </c:pt>
                <c:pt idx="98">
                  <c:v>0.20599162781920399</c:v>
                </c:pt>
                <c:pt idx="99">
                  <c:v>0.203931703145073</c:v>
                </c:pt>
                <c:pt idx="100">
                  <c:v>0.20189238026508799</c:v>
                </c:pt>
                <c:pt idx="101">
                  <c:v>0.19987345238840201</c:v>
                </c:pt>
                <c:pt idx="102">
                  <c:v>0.19787471502658199</c:v>
                </c:pt>
                <c:pt idx="103">
                  <c:v>0.195895965899436</c:v>
                </c:pt>
                <c:pt idx="104">
                  <c:v>0.19393700486336499</c:v>
                </c:pt>
                <c:pt idx="105">
                  <c:v>0.191997633855472</c:v>
                </c:pt>
                <c:pt idx="106">
                  <c:v>0.19007765684870601</c:v>
                </c:pt>
                <c:pt idx="107">
                  <c:v>0.18817687981475001</c:v>
                </c:pt>
                <c:pt idx="108">
                  <c:v>0.18629511069235999</c:v>
                </c:pt>
                <c:pt idx="109">
                  <c:v>0.18443215935957299</c:v>
                </c:pt>
                <c:pt idx="110">
                  <c:v>0.182587837608642</c:v>
                </c:pt>
                <c:pt idx="111">
                  <c:v>0.180761959122958</c:v>
                </c:pt>
                <c:pt idx="112">
                  <c:v>0.178954339455383</c:v>
                </c:pt>
                <c:pt idx="113">
                  <c:v>0.17716479600764801</c:v>
                </c:pt>
                <c:pt idx="114">
                  <c:v>0.175393148010526</c:v>
                </c:pt>
                <c:pt idx="115">
                  <c:v>0.173639216504616</c:v>
                </c:pt>
                <c:pt idx="116">
                  <c:v>0.17190282432159401</c:v>
                </c:pt>
                <c:pt idx="117">
                  <c:v>0.17018379606585601</c:v>
                </c:pt>
                <c:pt idx="118">
                  <c:v>0.16848195809647501</c:v>
                </c:pt>
                <c:pt idx="119">
                  <c:v>0.16679713850943401</c:v>
                </c:pt>
                <c:pt idx="120">
                  <c:v>0.165129167120107</c:v>
                </c:pt>
                <c:pt idx="121">
                  <c:v>0.16347787544595799</c:v>
                </c:pt>
                <c:pt idx="122">
                  <c:v>0.16184309668944399</c:v>
                </c:pt>
                <c:pt idx="123">
                  <c:v>0.16022466572111899</c:v>
                </c:pt>
                <c:pt idx="124">
                  <c:v>0.158622419062912</c:v>
                </c:pt>
                <c:pt idx="125">
                  <c:v>0.15703619487158799</c:v>
                </c:pt>
                <c:pt idx="126">
                  <c:v>0.155465832922389</c:v>
                </c:pt>
                <c:pt idx="127">
                  <c:v>0.15391117459282799</c:v>
                </c:pt>
                <c:pt idx="128">
                  <c:v>0.15237206284666499</c:v>
                </c:pt>
                <c:pt idx="129">
                  <c:v>0.150848342218035</c:v>
                </c:pt>
                <c:pt idx="130">
                  <c:v>0.14933985879574099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D8-449D-80F4-D20D5E0BB8F8}"/>
            </c:ext>
          </c:extLst>
        </c:ser>
        <c:ser>
          <c:idx val="3"/>
          <c:order val="3"/>
          <c:tx>
            <c:strRef>
              <c:f>'DSGE HVD wFG'!$AC$1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wFG'!$AC$2:$AC$132</c:f>
              <c:numCache>
                <c:formatCode>0.0000</c:formatCode>
                <c:ptCount val="131"/>
                <c:pt idx="0">
                  <c:v>0.14174747462929421</c:v>
                </c:pt>
                <c:pt idx="1">
                  <c:v>-1.2256043618187995E-2</c:v>
                </c:pt>
                <c:pt idx="2">
                  <c:v>-2.8311232881046977E-2</c:v>
                </c:pt>
                <c:pt idx="3">
                  <c:v>1.3142413695929889E-3</c:v>
                </c:pt>
                <c:pt idx="4">
                  <c:v>-0.106526205615807</c:v>
                </c:pt>
                <c:pt idx="5">
                  <c:v>-0.15123249734485503</c:v>
                </c:pt>
                <c:pt idx="6">
                  <c:v>-0.19968180058891399</c:v>
                </c:pt>
                <c:pt idx="7">
                  <c:v>-0.34549921407678896</c:v>
                </c:pt>
                <c:pt idx="8">
                  <c:v>-0.36687724918336501</c:v>
                </c:pt>
                <c:pt idx="9">
                  <c:v>-0.31115497929146302</c:v>
                </c:pt>
                <c:pt idx="10">
                  <c:v>-0.39119119715128903</c:v>
                </c:pt>
                <c:pt idx="11">
                  <c:v>-0.35921643821987537</c:v>
                </c:pt>
                <c:pt idx="12">
                  <c:v>-0.5695642251534826</c:v>
                </c:pt>
                <c:pt idx="13">
                  <c:v>-0.78815329833234438</c:v>
                </c:pt>
                <c:pt idx="14">
                  <c:v>-0.74326712803202855</c:v>
                </c:pt>
                <c:pt idx="15">
                  <c:v>-0.73073948027805125</c:v>
                </c:pt>
                <c:pt idx="16">
                  <c:v>-0.61007997507121592</c:v>
                </c:pt>
                <c:pt idx="17">
                  <c:v>-0.91096044168487811</c:v>
                </c:pt>
                <c:pt idx="18">
                  <c:v>-1.088741870778354</c:v>
                </c:pt>
                <c:pt idx="19">
                  <c:v>-1.2389028128153825</c:v>
                </c:pt>
                <c:pt idx="20">
                  <c:v>-1.0413358279677789</c:v>
                </c:pt>
                <c:pt idx="21">
                  <c:v>-1.184875443374406</c:v>
                </c:pt>
                <c:pt idx="22">
                  <c:v>-1.1096792372860791</c:v>
                </c:pt>
                <c:pt idx="23">
                  <c:v>-0.98769031540387664</c:v>
                </c:pt>
                <c:pt idx="24">
                  <c:v>-1.1222142364459959</c:v>
                </c:pt>
                <c:pt idx="25">
                  <c:v>-1.0972292708273741</c:v>
                </c:pt>
                <c:pt idx="26">
                  <c:v>-1.1397051995908891</c:v>
                </c:pt>
                <c:pt idx="27">
                  <c:v>-1.1869692436617501</c:v>
                </c:pt>
                <c:pt idx="28">
                  <c:v>-1.0976597120325859</c:v>
                </c:pt>
                <c:pt idx="29">
                  <c:v>-1.122162629539925</c:v>
                </c:pt>
                <c:pt idx="30">
                  <c:v>-1.120717187645379</c:v>
                </c:pt>
                <c:pt idx="31">
                  <c:v>-1.0615917340602941</c:v>
                </c:pt>
                <c:pt idx="32">
                  <c:v>-0.98248228688612704</c:v>
                </c:pt>
                <c:pt idx="33">
                  <c:v>-0.90446636291143401</c:v>
                </c:pt>
                <c:pt idx="34">
                  <c:v>-0.91735858171848694</c:v>
                </c:pt>
                <c:pt idx="35">
                  <c:v>-0.90141664316708803</c:v>
                </c:pt>
                <c:pt idx="36">
                  <c:v>-0.88201065201247797</c:v>
                </c:pt>
                <c:pt idx="37">
                  <c:v>-0.87615761412619109</c:v>
                </c:pt>
                <c:pt idx="38">
                  <c:v>-0.86462818276375397</c:v>
                </c:pt>
                <c:pt idx="39">
                  <c:v>-0.83927801338526908</c:v>
                </c:pt>
                <c:pt idx="40">
                  <c:v>-0.81488493968489095</c:v>
                </c:pt>
                <c:pt idx="41">
                  <c:v>-0.80950697283804707</c:v>
                </c:pt>
                <c:pt idx="42">
                  <c:v>-0.72318889371524997</c:v>
                </c:pt>
                <c:pt idx="43">
                  <c:v>-0.66232093251957402</c:v>
                </c:pt>
                <c:pt idx="44">
                  <c:v>-0.65259652621867803</c:v>
                </c:pt>
                <c:pt idx="45">
                  <c:v>-0.71045933342201695</c:v>
                </c:pt>
                <c:pt idx="46">
                  <c:v>-0.67311331205241098</c:v>
                </c:pt>
                <c:pt idx="47">
                  <c:v>-0.68324357876195596</c:v>
                </c:pt>
                <c:pt idx="48">
                  <c:v>-0.64794068647212899</c:v>
                </c:pt>
                <c:pt idx="49">
                  <c:v>-0.72998640719088592</c:v>
                </c:pt>
                <c:pt idx="50">
                  <c:v>-0.78282167287874294</c:v>
                </c:pt>
                <c:pt idx="51">
                  <c:v>-0.69673650296939904</c:v>
                </c:pt>
                <c:pt idx="52">
                  <c:v>-0.75372334597381008</c:v>
                </c:pt>
                <c:pt idx="53">
                  <c:v>-0.74204654744163301</c:v>
                </c:pt>
                <c:pt idx="54">
                  <c:v>-0.58645163974341796</c:v>
                </c:pt>
                <c:pt idx="55">
                  <c:v>-0.672036825693757</c:v>
                </c:pt>
                <c:pt idx="56">
                  <c:v>-0.62891989981709706</c:v>
                </c:pt>
                <c:pt idx="57">
                  <c:v>-0.56124907435742499</c:v>
                </c:pt>
                <c:pt idx="58">
                  <c:v>-0.56954847186452695</c:v>
                </c:pt>
                <c:pt idx="59">
                  <c:v>-0.67048084740589198</c:v>
                </c:pt>
                <c:pt idx="60">
                  <c:v>-0.69199188579696502</c:v>
                </c:pt>
                <c:pt idx="61">
                  <c:v>-0.73489057729384299</c:v>
                </c:pt>
                <c:pt idx="62">
                  <c:v>-0.79526525271300497</c:v>
                </c:pt>
                <c:pt idx="63">
                  <c:v>-0.83020818424660603</c:v>
                </c:pt>
                <c:pt idx="64">
                  <c:v>-0.45288331177883601</c:v>
                </c:pt>
                <c:pt idx="65">
                  <c:v>-0.50497308092113402</c:v>
                </c:pt>
                <c:pt idx="66">
                  <c:v>-0.38605859299916101</c:v>
                </c:pt>
                <c:pt idx="67">
                  <c:v>-0.45941468210295899</c:v>
                </c:pt>
                <c:pt idx="68">
                  <c:v>-0.28623853112405462</c:v>
                </c:pt>
                <c:pt idx="69">
                  <c:v>-0.47258862522245998</c:v>
                </c:pt>
                <c:pt idx="70">
                  <c:v>-0.57707536710169505</c:v>
                </c:pt>
                <c:pt idx="71">
                  <c:v>-0.56631417583312293</c:v>
                </c:pt>
                <c:pt idx="72">
                  <c:v>-0.55520939790426604</c:v>
                </c:pt>
                <c:pt idx="73">
                  <c:v>-0.54383310658359796</c:v>
                </c:pt>
                <c:pt idx="74">
                  <c:v>-0.53225580163382591</c:v>
                </c:pt>
                <c:pt idx="75">
                  <c:v>-0.52054450892094706</c:v>
                </c:pt>
                <c:pt idx="76">
                  <c:v>-0.50876156136241402</c:v>
                </c:pt>
                <c:pt idx="77">
                  <c:v>-0.49696388676038505</c:v>
                </c:pt>
                <c:pt idx="78">
                  <c:v>-0.48520266770722098</c:v>
                </c:pt>
                <c:pt idx="79">
                  <c:v>-0.47352326986826399</c:v>
                </c:pt>
                <c:pt idx="80">
                  <c:v>-0.461965359322696</c:v>
                </c:pt>
                <c:pt idx="81">
                  <c:v>-0.45056314869154501</c:v>
                </c:pt>
                <c:pt idx="82">
                  <c:v>-0.43934572662563398</c:v>
                </c:pt>
                <c:pt idx="83">
                  <c:v>-0.42833743675614799</c:v>
                </c:pt>
                <c:pt idx="84">
                  <c:v>-0.41755828113266402</c:v>
                </c:pt>
                <c:pt idx="85">
                  <c:v>-0.407024330047146</c:v>
                </c:pt>
                <c:pt idx="86">
                  <c:v>-0.39674812541020399</c:v>
                </c:pt>
                <c:pt idx="87">
                  <c:v>-0.38673906885759701</c:v>
                </c:pt>
                <c:pt idx="88">
                  <c:v>-0.37700378879683505</c:v>
                </c:pt>
                <c:pt idx="89">
                  <c:v>-0.367546482873645</c:v>
                </c:pt>
                <c:pt idx="90">
                  <c:v>-0.35836923401745302</c:v>
                </c:pt>
                <c:pt idx="91">
                  <c:v>-0.34947229944882496</c:v>
                </c:pt>
                <c:pt idx="92">
                  <c:v>-0.34085437290573101</c:v>
                </c:pt>
                <c:pt idx="93">
                  <c:v>-0.332512820952376</c:v>
                </c:pt>
                <c:pt idx="94">
                  <c:v>-0.32444389463881801</c:v>
                </c:pt>
                <c:pt idx="95">
                  <c:v>-0.316642918032075</c:v>
                </c:pt>
                <c:pt idx="96">
                  <c:v>-0.30910445527890201</c:v>
                </c:pt>
                <c:pt idx="97">
                  <c:v>-0.30182245791717599</c:v>
                </c:pt>
                <c:pt idx="98">
                  <c:v>-0.29479039414996061</c:v>
                </c:pt>
                <c:pt idx="99">
                  <c:v>-0.28800136175181013</c:v>
                </c:pt>
                <c:pt idx="100">
                  <c:v>-0.28144818620395878</c:v>
                </c:pt>
                <c:pt idx="101">
                  <c:v>-0.27512350556414572</c:v>
                </c:pt>
                <c:pt idx="102">
                  <c:v>-0.26901984347539687</c:v>
                </c:pt>
                <c:pt idx="103">
                  <c:v>-0.26312967161173351</c:v>
                </c:pt>
                <c:pt idx="104">
                  <c:v>-0.25744546275163938</c:v>
                </c:pt>
                <c:pt idx="105">
                  <c:v>-0.25195973556495721</c:v>
                </c:pt>
                <c:pt idx="106">
                  <c:v>-0.24666509209772519</c:v>
                </c:pt>
                <c:pt idx="107">
                  <c:v>-0.2415542488436255</c:v>
                </c:pt>
                <c:pt idx="108">
                  <c:v>-0.2366200622008974</c:v>
                </c:pt>
                <c:pt idx="109">
                  <c:v>-0.23185554903024111</c:v>
                </c:pt>
                <c:pt idx="110">
                  <c:v>-0.2272539029524844</c:v>
                </c:pt>
                <c:pt idx="111">
                  <c:v>-0.22280850695458659</c:v>
                </c:pt>
                <c:pt idx="112">
                  <c:v>-0.21851294280862479</c:v>
                </c:pt>
                <c:pt idx="113">
                  <c:v>-0.21436099775052758</c:v>
                </c:pt>
                <c:pt idx="114">
                  <c:v>-0.21034666881308289</c:v>
                </c:pt>
                <c:pt idx="115">
                  <c:v>-0.20646416516079361</c:v>
                </c:pt>
                <c:pt idx="116">
                  <c:v>-0.20270790873206382</c:v>
                </c:pt>
                <c:pt idx="117">
                  <c:v>-0.1990725334565723</c:v>
                </c:pt>
                <c:pt idx="118">
                  <c:v>-0.1955528832821628</c:v>
                </c:pt>
                <c:pt idx="119">
                  <c:v>-0.19214400921575042</c:v>
                </c:pt>
                <c:pt idx="120">
                  <c:v>-0.18884116555627631</c:v>
                </c:pt>
                <c:pt idx="121">
                  <c:v>-0.1856398054742637</c:v>
                </c:pt>
                <c:pt idx="122">
                  <c:v>-0.1825355760718447</c:v>
                </c:pt>
                <c:pt idx="123">
                  <c:v>-0.17952431303878569</c:v>
                </c:pt>
                <c:pt idx="124">
                  <c:v>-0.17660203500394531</c:v>
                </c:pt>
                <c:pt idx="125">
                  <c:v>-0.1737649376674294</c:v>
                </c:pt>
                <c:pt idx="126">
                  <c:v>-0.17100938778624761</c:v>
                </c:pt>
                <c:pt idx="127">
                  <c:v>-0.16833191707537562</c:v>
                </c:pt>
                <c:pt idx="128">
                  <c:v>-0.16572921607659871</c:v>
                </c:pt>
                <c:pt idx="129">
                  <c:v>-0.1631981280391688</c:v>
                </c:pt>
                <c:pt idx="130">
                  <c:v>-0.16073564284903361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D8-449D-80F4-D20D5E0BB8F8}"/>
            </c:ext>
          </c:extLst>
        </c:ser>
        <c:ser>
          <c:idx val="4"/>
          <c:order val="4"/>
          <c:tx>
            <c:strRef>
              <c:f>'DSGE HVD wFG'!$AD$1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wFG'!$AD$2:$AD$132</c:f>
              <c:numCache>
                <c:formatCode>0.0000</c:formatCode>
                <c:ptCount val="131"/>
                <c:pt idx="0">
                  <c:v>-2.343352467547E-2</c:v>
                </c:pt>
                <c:pt idx="1">
                  <c:v>-1.7256471294960898E-2</c:v>
                </c:pt>
                <c:pt idx="2">
                  <c:v>-5.1006151755923997E-2</c:v>
                </c:pt>
                <c:pt idx="3">
                  <c:v>-8.5101433642590804E-2</c:v>
                </c:pt>
                <c:pt idx="4">
                  <c:v>-9.8599139881687101E-2</c:v>
                </c:pt>
                <c:pt idx="5">
                  <c:v>-0.100503109065549</c:v>
                </c:pt>
                <c:pt idx="6">
                  <c:v>-9.9811080389714493E-2</c:v>
                </c:pt>
                <c:pt idx="7">
                  <c:v>-0.17998263684848601</c:v>
                </c:pt>
                <c:pt idx="8">
                  <c:v>-0.228412744086056</c:v>
                </c:pt>
                <c:pt idx="9">
                  <c:v>-0.157732681028249</c:v>
                </c:pt>
                <c:pt idx="10">
                  <c:v>-6.1837082560996501E-2</c:v>
                </c:pt>
                <c:pt idx="11">
                  <c:v>1.94376392961126E-4</c:v>
                </c:pt>
                <c:pt idx="12">
                  <c:v>-2.2461200865772E-2</c:v>
                </c:pt>
                <c:pt idx="13">
                  <c:v>2.39212531687522E-2</c:v>
                </c:pt>
                <c:pt idx="14">
                  <c:v>-3.2718492765900699E-2</c:v>
                </c:pt>
                <c:pt idx="15">
                  <c:v>1.13560930928052E-2</c:v>
                </c:pt>
                <c:pt idx="16">
                  <c:v>-1.7824100309387001E-2</c:v>
                </c:pt>
                <c:pt idx="17">
                  <c:v>3.32736995985526E-2</c:v>
                </c:pt>
                <c:pt idx="18">
                  <c:v>6.3751313247036007E-2</c:v>
                </c:pt>
                <c:pt idx="19">
                  <c:v>2.6030734663384E-2</c:v>
                </c:pt>
                <c:pt idx="20">
                  <c:v>3.4973103966933101E-2</c:v>
                </c:pt>
                <c:pt idx="21">
                  <c:v>3.2918110871365598E-2</c:v>
                </c:pt>
                <c:pt idx="22">
                  <c:v>2.10232468627733E-2</c:v>
                </c:pt>
                <c:pt idx="23">
                  <c:v>4.4604313872376199E-2</c:v>
                </c:pt>
                <c:pt idx="24">
                  <c:v>5.9427910575460201E-2</c:v>
                </c:pt>
                <c:pt idx="25">
                  <c:v>6.7178437172280697E-2</c:v>
                </c:pt>
                <c:pt idx="26">
                  <c:v>8.8510750032914004E-2</c:v>
                </c:pt>
                <c:pt idx="27">
                  <c:v>8.55751031330238E-2</c:v>
                </c:pt>
                <c:pt idx="28">
                  <c:v>9.2730713974741599E-2</c:v>
                </c:pt>
                <c:pt idx="29">
                  <c:v>9.8668435884457603E-2</c:v>
                </c:pt>
                <c:pt idx="30">
                  <c:v>8.7895204086533299E-2</c:v>
                </c:pt>
                <c:pt idx="31">
                  <c:v>4.81651994883113E-2</c:v>
                </c:pt>
                <c:pt idx="32">
                  <c:v>4.2675092088514797E-2</c:v>
                </c:pt>
                <c:pt idx="33">
                  <c:v>3.1196392626740999E-2</c:v>
                </c:pt>
                <c:pt idx="34">
                  <c:v>1.2887355722566199E-2</c:v>
                </c:pt>
                <c:pt idx="35">
                  <c:v>-9.8239354586208295E-3</c:v>
                </c:pt>
                <c:pt idx="36">
                  <c:v>-2.2938741565291399E-2</c:v>
                </c:pt>
                <c:pt idx="37">
                  <c:v>1.52694929428106E-2</c:v>
                </c:pt>
                <c:pt idx="38">
                  <c:v>2.4889234861636599E-2</c:v>
                </c:pt>
                <c:pt idx="39">
                  <c:v>4.0817602844639103E-2</c:v>
                </c:pt>
                <c:pt idx="40">
                  <c:v>3.8768377305605901E-2</c:v>
                </c:pt>
                <c:pt idx="41">
                  <c:v>4.3764540903195898E-2</c:v>
                </c:pt>
                <c:pt idx="42">
                  <c:v>3.5917425815295098E-2</c:v>
                </c:pt>
                <c:pt idx="43">
                  <c:v>4.3094342964824797E-2</c:v>
                </c:pt>
                <c:pt idx="44">
                  <c:v>4.2305393891680601E-2</c:v>
                </c:pt>
                <c:pt idx="45">
                  <c:v>2.6059590782198699E-2</c:v>
                </c:pt>
                <c:pt idx="46">
                  <c:v>1.1674742600136E-2</c:v>
                </c:pt>
                <c:pt idx="47">
                  <c:v>-1.1751911728982299E-3</c:v>
                </c:pt>
                <c:pt idx="48">
                  <c:v>-3.6156992360162499E-3</c:v>
                </c:pt>
                <c:pt idx="49">
                  <c:v>8.8174179537818705E-3</c:v>
                </c:pt>
                <c:pt idx="50">
                  <c:v>-1.1335063944641399E-2</c:v>
                </c:pt>
                <c:pt idx="51">
                  <c:v>-3.6812328347410897E-2</c:v>
                </c:pt>
                <c:pt idx="52">
                  <c:v>-4.3387879872656E-2</c:v>
                </c:pt>
                <c:pt idx="53">
                  <c:v>-4.1064196067013198E-2</c:v>
                </c:pt>
                <c:pt idx="54">
                  <c:v>6.6234981521532598E-3</c:v>
                </c:pt>
                <c:pt idx="55">
                  <c:v>4.4418893885012703E-2</c:v>
                </c:pt>
                <c:pt idx="56">
                  <c:v>-9.4263462583822101E-4</c:v>
                </c:pt>
                <c:pt idx="57">
                  <c:v>-6.5658593233314702E-2</c:v>
                </c:pt>
                <c:pt idx="58">
                  <c:v>-4.3690376227012502E-2</c:v>
                </c:pt>
                <c:pt idx="59">
                  <c:v>-5.8323422634952403E-2</c:v>
                </c:pt>
                <c:pt idx="60">
                  <c:v>-1.8182181828015599E-2</c:v>
                </c:pt>
                <c:pt idx="61">
                  <c:v>-5.5865439249847798E-2</c:v>
                </c:pt>
                <c:pt idx="62">
                  <c:v>-7.6108775763447503E-2</c:v>
                </c:pt>
                <c:pt idx="63">
                  <c:v>-8.5434899795986702E-2</c:v>
                </c:pt>
                <c:pt idx="64">
                  <c:v>-7.1398242008570798E-2</c:v>
                </c:pt>
                <c:pt idx="65">
                  <c:v>-3.4379977701879803E-2</c:v>
                </c:pt>
                <c:pt idx="66">
                  <c:v>-5.2776747097178701E-2</c:v>
                </c:pt>
                <c:pt idx="67">
                  <c:v>-4.5924833188823497E-2</c:v>
                </c:pt>
                <c:pt idx="68">
                  <c:v>-1.35602103590377E-2</c:v>
                </c:pt>
                <c:pt idx="69">
                  <c:v>-2.7945953294800301E-2</c:v>
                </c:pt>
                <c:pt idx="70">
                  <c:v>-2.9170070590070301E-2</c:v>
                </c:pt>
                <c:pt idx="71">
                  <c:v>-3.3458911614965697E-2</c:v>
                </c:pt>
                <c:pt idx="72">
                  <c:v>-3.7167146911832802E-2</c:v>
                </c:pt>
                <c:pt idx="73">
                  <c:v>-4.0344708865340598E-2</c:v>
                </c:pt>
                <c:pt idx="74">
                  <c:v>-4.3040141884107597E-2</c:v>
                </c:pt>
                <c:pt idx="75">
                  <c:v>-4.5299844015065399E-2</c:v>
                </c:pt>
                <c:pt idx="76">
                  <c:v>-4.7167583845686298E-2</c:v>
                </c:pt>
                <c:pt idx="77">
                  <c:v>-4.86842228078187E-2</c:v>
                </c:pt>
                <c:pt idx="78">
                  <c:v>-4.9887588776409399E-2</c:v>
                </c:pt>
                <c:pt idx="79">
                  <c:v>-5.0812459256178097E-2</c:v>
                </c:pt>
                <c:pt idx="80">
                  <c:v>-5.1490622174020603E-2</c:v>
                </c:pt>
                <c:pt idx="81">
                  <c:v>-5.1950989904456402E-2</c:v>
                </c:pt>
                <c:pt idx="82">
                  <c:v>-5.2219748094377398E-2</c:v>
                </c:pt>
                <c:pt idx="83">
                  <c:v>-5.2320525474556699E-2</c:v>
                </c:pt>
                <c:pt idx="84">
                  <c:v>-5.2274574428617201E-2</c:v>
                </c:pt>
                <c:pt idx="85">
                  <c:v>-5.2100954857201003E-2</c:v>
                </c:pt>
                <c:pt idx="86">
                  <c:v>-5.1816716001492298E-2</c:v>
                </c:pt>
                <c:pt idx="87">
                  <c:v>-5.1437072514890797E-2</c:v>
                </c:pt>
                <c:pt idx="88">
                  <c:v>-5.0975572304267698E-2</c:v>
                </c:pt>
                <c:pt idx="89">
                  <c:v>-5.04442545894591E-2</c:v>
                </c:pt>
                <c:pt idx="90">
                  <c:v>-4.98537973197151E-2</c:v>
                </c:pt>
                <c:pt idx="91">
                  <c:v>-4.9213653592448697E-2</c:v>
                </c:pt>
                <c:pt idx="92">
                  <c:v>-4.8532177084998303E-2</c:v>
                </c:pt>
                <c:pt idx="93">
                  <c:v>-4.78167367673E-2</c:v>
                </c:pt>
                <c:pt idx="94">
                  <c:v>-4.7073821338242297E-2</c:v>
                </c:pt>
                <c:pt idx="95">
                  <c:v>-4.6309133941196602E-2</c:v>
                </c:pt>
                <c:pt idx="96">
                  <c:v>-4.5527677780493402E-2</c:v>
                </c:pt>
                <c:pt idx="97">
                  <c:v>-4.47338332925762E-2</c:v>
                </c:pt>
                <c:pt idx="98">
                  <c:v>-4.3931427532615003E-2</c:v>
                </c:pt>
                <c:pt idx="99">
                  <c:v>-4.3123796426658298E-2</c:v>
                </c:pt>
                <c:pt idx="100">
                  <c:v>-4.23138405164857E-2</c:v>
                </c:pt>
                <c:pt idx="101">
                  <c:v>-4.1504074793300601E-2</c:v>
                </c:pt>
                <c:pt idx="102">
                  <c:v>-4.0696673180439701E-2</c:v>
                </c:pt>
                <c:pt idx="103">
                  <c:v>-3.9893508186651203E-2</c:v>
                </c:pt>
                <c:pt idx="104">
                  <c:v>-3.90961862119414E-2</c:v>
                </c:pt>
                <c:pt idx="105">
                  <c:v>-3.8306078948688697E-2</c:v>
                </c:pt>
                <c:pt idx="106">
                  <c:v>-3.7524351282554699E-2</c:v>
                </c:pt>
                <c:pt idx="107">
                  <c:v>-3.6751986061239403E-2</c:v>
                </c:pt>
                <c:pt idx="108">
                  <c:v>-3.59898060647076E-2</c:v>
                </c:pt>
                <c:pt idx="109">
                  <c:v>-3.5238493478352798E-2</c:v>
                </c:pt>
                <c:pt idx="110">
                  <c:v>-3.4498607140766503E-2</c:v>
                </c:pt>
                <c:pt idx="111">
                  <c:v>-3.3770597810344097E-2</c:v>
                </c:pt>
                <c:pt idx="112">
                  <c:v>-3.3054821669844699E-2</c:v>
                </c:pt>
                <c:pt idx="113">
                  <c:v>-3.2351552265130597E-2</c:v>
                </c:pt>
                <c:pt idx="114">
                  <c:v>-3.1660991053535897E-2</c:v>
                </c:pt>
                <c:pt idx="115">
                  <c:v>-3.0983276718518901E-2</c:v>
                </c:pt>
                <c:pt idx="116">
                  <c:v>-3.0318493390289199E-2</c:v>
                </c:pt>
                <c:pt idx="117">
                  <c:v>-2.9666677896852199E-2</c:v>
                </c:pt>
                <c:pt idx="118">
                  <c:v>-2.9027826156203598E-2</c:v>
                </c:pt>
                <c:pt idx="119">
                  <c:v>-2.8401898808132299E-2</c:v>
                </c:pt>
                <c:pt idx="120">
                  <c:v>-2.7788826173108499E-2</c:v>
                </c:pt>
                <c:pt idx="121">
                  <c:v>-2.7188512615912399E-2</c:v>
                </c:pt>
                <c:pt idx="122">
                  <c:v>-2.6600840382909399E-2</c:v>
                </c:pt>
                <c:pt idx="123">
                  <c:v>-2.60256729740709E-2</c:v>
                </c:pt>
                <c:pt idx="124">
                  <c:v>-2.54628581038931E-2</c:v>
                </c:pt>
                <c:pt idx="125">
                  <c:v>-2.4912230299187502E-2</c:v>
                </c:pt>
                <c:pt idx="126">
                  <c:v>-2.4373613176223101E-2</c:v>
                </c:pt>
                <c:pt idx="127">
                  <c:v>-2.3846821434824601E-2</c:v>
                </c:pt>
                <c:pt idx="128">
                  <c:v>-2.3331662602699699E-2</c:v>
                </c:pt>
                <c:pt idx="129">
                  <c:v>-2.2827938559430098E-2</c:v>
                </c:pt>
                <c:pt idx="130">
                  <c:v>-2.2335446866154501E-2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D8-449D-80F4-D20D5E0BB8F8}"/>
            </c:ext>
          </c:extLst>
        </c:ser>
        <c:ser>
          <c:idx val="5"/>
          <c:order val="5"/>
          <c:tx>
            <c:strRef>
              <c:f>'DSGE HVD wFG'!$AE$1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wFG'!$AE$2:$AE$132</c:f>
              <c:numCache>
                <c:formatCode>0.0000</c:formatCode>
                <c:ptCount val="131"/>
                <c:pt idx="0">
                  <c:v>-4.6038989020964899E-2</c:v>
                </c:pt>
                <c:pt idx="1">
                  <c:v>-3.9016156994497099E-2</c:v>
                </c:pt>
                <c:pt idx="2">
                  <c:v>-5.63059125769753E-2</c:v>
                </c:pt>
                <c:pt idx="3">
                  <c:v>-6.9077730500863396E-2</c:v>
                </c:pt>
                <c:pt idx="4">
                  <c:v>-6.2903529816891096E-2</c:v>
                </c:pt>
                <c:pt idx="5">
                  <c:v>-6.3892000981238303E-2</c:v>
                </c:pt>
                <c:pt idx="6">
                  <c:v>-5.5883768839224197E-2</c:v>
                </c:pt>
                <c:pt idx="7">
                  <c:v>5.2017786098958298E-3</c:v>
                </c:pt>
                <c:pt idx="8">
                  <c:v>-7.8812431872975305E-2</c:v>
                </c:pt>
                <c:pt idx="9">
                  <c:v>-0.104803321941799</c:v>
                </c:pt>
                <c:pt idx="10">
                  <c:v>-0.190469314826472</c:v>
                </c:pt>
                <c:pt idx="11">
                  <c:v>-0.18235299897498999</c:v>
                </c:pt>
                <c:pt idx="12">
                  <c:v>-0.24381378230140999</c:v>
                </c:pt>
                <c:pt idx="13">
                  <c:v>-0.22687690642835501</c:v>
                </c:pt>
                <c:pt idx="14">
                  <c:v>-0.25348782470067199</c:v>
                </c:pt>
                <c:pt idx="15">
                  <c:v>-0.22157962997979899</c:v>
                </c:pt>
                <c:pt idx="16">
                  <c:v>-0.255698318547109</c:v>
                </c:pt>
                <c:pt idx="17">
                  <c:v>-0.23838521145157801</c:v>
                </c:pt>
                <c:pt idx="18">
                  <c:v>-0.200701991062048</c:v>
                </c:pt>
                <c:pt idx="19">
                  <c:v>-0.18104280315018001</c:v>
                </c:pt>
                <c:pt idx="20">
                  <c:v>-0.168173296532138</c:v>
                </c:pt>
                <c:pt idx="21">
                  <c:v>-0.16183162380209101</c:v>
                </c:pt>
                <c:pt idx="22">
                  <c:v>-0.16779250167547</c:v>
                </c:pt>
                <c:pt idx="23">
                  <c:v>-0.17679415136660401</c:v>
                </c:pt>
                <c:pt idx="24">
                  <c:v>-0.16055451944788801</c:v>
                </c:pt>
                <c:pt idx="25">
                  <c:v>-0.13620928407861299</c:v>
                </c:pt>
                <c:pt idx="26">
                  <c:v>-0.123329439230251</c:v>
                </c:pt>
                <c:pt idx="27">
                  <c:v>-0.12257446400395899</c:v>
                </c:pt>
                <c:pt idx="28">
                  <c:v>-0.115147705275277</c:v>
                </c:pt>
                <c:pt idx="29">
                  <c:v>-9.5589872912087398E-2</c:v>
                </c:pt>
                <c:pt idx="30">
                  <c:v>-7.8805676771005306E-2</c:v>
                </c:pt>
                <c:pt idx="31">
                  <c:v>-6.6108421019990704E-2</c:v>
                </c:pt>
                <c:pt idx="32">
                  <c:v>-4.9090149813096298E-2</c:v>
                </c:pt>
                <c:pt idx="33">
                  <c:v>-4.0533219287402597E-2</c:v>
                </c:pt>
                <c:pt idx="34">
                  <c:v>-1.98997430648617E-2</c:v>
                </c:pt>
                <c:pt idx="35">
                  <c:v>-1.2177543419582101E-2</c:v>
                </c:pt>
                <c:pt idx="36">
                  <c:v>-1.07475694808329E-2</c:v>
                </c:pt>
                <c:pt idx="37">
                  <c:v>-1.9302232362252002E-2</c:v>
                </c:pt>
                <c:pt idx="38">
                  <c:v>-1.8614333216942301E-2</c:v>
                </c:pt>
                <c:pt idx="39">
                  <c:v>-1.2550744105492199E-2</c:v>
                </c:pt>
                <c:pt idx="40">
                  <c:v>-2.2688969379257198E-2</c:v>
                </c:pt>
                <c:pt idx="41">
                  <c:v>-1.34972037312406E-2</c:v>
                </c:pt>
                <c:pt idx="42">
                  <c:v>-1.7774060727591402E-2</c:v>
                </c:pt>
                <c:pt idx="43">
                  <c:v>-3.8975879756323198E-3</c:v>
                </c:pt>
                <c:pt idx="44">
                  <c:v>1.2906096117853E-3</c:v>
                </c:pt>
                <c:pt idx="45">
                  <c:v>8.3035309344911892E-3</c:v>
                </c:pt>
                <c:pt idx="46">
                  <c:v>7.2541151139920599E-3</c:v>
                </c:pt>
                <c:pt idx="47">
                  <c:v>1.0430946135317601E-2</c:v>
                </c:pt>
                <c:pt idx="48">
                  <c:v>1.9369290333258401E-2</c:v>
                </c:pt>
                <c:pt idx="49">
                  <c:v>1.7581890223256201E-2</c:v>
                </c:pt>
                <c:pt idx="50">
                  <c:v>-7.7129502157431097E-3</c:v>
                </c:pt>
                <c:pt idx="51">
                  <c:v>-3.3923690741129997E-2</c:v>
                </c:pt>
                <c:pt idx="52">
                  <c:v>-4.4550044338998E-2</c:v>
                </c:pt>
                <c:pt idx="53">
                  <c:v>1.3759978528344799E-2</c:v>
                </c:pt>
                <c:pt idx="54">
                  <c:v>-2.1867603732011799E-3</c:v>
                </c:pt>
                <c:pt idx="55">
                  <c:v>1.8677991794626599E-2</c:v>
                </c:pt>
                <c:pt idx="56">
                  <c:v>-2.8450032999036399E-2</c:v>
                </c:pt>
                <c:pt idx="57">
                  <c:v>-7.1922955562220003E-2</c:v>
                </c:pt>
                <c:pt idx="58">
                  <c:v>-9.0928797707925096E-3</c:v>
                </c:pt>
                <c:pt idx="59">
                  <c:v>-1.2267871401191E-2</c:v>
                </c:pt>
                <c:pt idx="60">
                  <c:v>7.6834077820794697E-2</c:v>
                </c:pt>
                <c:pt idx="61">
                  <c:v>0.13347880608198201</c:v>
                </c:pt>
                <c:pt idx="62">
                  <c:v>0.13402580236141701</c:v>
                </c:pt>
                <c:pt idx="63">
                  <c:v>0.16408172052063699</c:v>
                </c:pt>
                <c:pt idx="64">
                  <c:v>0.183760012509363</c:v>
                </c:pt>
                <c:pt idx="65">
                  <c:v>0.207891588927512</c:v>
                </c:pt>
                <c:pt idx="66">
                  <c:v>0.192397938057358</c:v>
                </c:pt>
                <c:pt idx="67">
                  <c:v>0.165478383348337</c:v>
                </c:pt>
                <c:pt idx="68">
                  <c:v>0.164524636966671</c:v>
                </c:pt>
                <c:pt idx="69">
                  <c:v>0.112218444218849</c:v>
                </c:pt>
                <c:pt idx="70">
                  <c:v>9.5232374820941906E-2</c:v>
                </c:pt>
                <c:pt idx="71">
                  <c:v>8.9719402389175099E-2</c:v>
                </c:pt>
                <c:pt idx="72">
                  <c:v>8.4764872434021296E-2</c:v>
                </c:pt>
                <c:pt idx="73">
                  <c:v>8.0305545719614804E-2</c:v>
                </c:pt>
                <c:pt idx="74">
                  <c:v>7.6285276770788196E-2</c:v>
                </c:pt>
                <c:pt idx="75">
                  <c:v>7.2654250315626695E-2</c:v>
                </c:pt>
                <c:pt idx="76">
                  <c:v>6.9368293177873797E-2</c:v>
                </c:pt>
                <c:pt idx="77">
                  <c:v>6.6388255635028606E-2</c:v>
                </c:pt>
                <c:pt idx="78">
                  <c:v>6.3679456380369495E-2</c:v>
                </c:pt>
                <c:pt idx="79">
                  <c:v>6.1211185452191202E-2</c:v>
                </c:pt>
                <c:pt idx="80">
                  <c:v>5.8956259785594697E-2</c:v>
                </c:pt>
                <c:pt idx="81">
                  <c:v>5.6890626374534903E-2</c:v>
                </c:pt>
                <c:pt idx="82">
                  <c:v>5.4993008384713001E-2</c:v>
                </c:pt>
                <c:pt idx="83">
                  <c:v>5.3244589916898698E-2</c:v>
                </c:pt>
                <c:pt idx="84">
                  <c:v>5.16287354750554E-2</c:v>
                </c:pt>
                <c:pt idx="85">
                  <c:v>5.0130740537087402E-2</c:v>
                </c:pt>
                <c:pt idx="86">
                  <c:v>4.8737609953314803E-2</c:v>
                </c:pt>
                <c:pt idx="87">
                  <c:v>4.7437861205966998E-2</c:v>
                </c:pt>
                <c:pt idx="88">
                  <c:v>4.6221349850387498E-2</c:v>
                </c:pt>
                <c:pt idx="89">
                  <c:v>4.5079114724604602E-2</c:v>
                </c:pt>
                <c:pt idx="90">
                  <c:v>4.4003240758485003E-2</c:v>
                </c:pt>
                <c:pt idx="91">
                  <c:v>4.2986737437364898E-2</c:v>
                </c:pt>
                <c:pt idx="92">
                  <c:v>4.2023431178732099E-2</c:v>
                </c:pt>
                <c:pt idx="93">
                  <c:v>4.1107870065289001E-2</c:v>
                </c:pt>
                <c:pt idx="94">
                  <c:v>4.0235239544777902E-2</c:v>
                </c:pt>
                <c:pt idx="95">
                  <c:v>3.9401287857566698E-2</c:v>
                </c:pt>
                <c:pt idx="96">
                  <c:v>3.86022600884681E-2</c:v>
                </c:pt>
                <c:pt idx="97">
                  <c:v>3.7834839860857103E-2</c:v>
                </c:pt>
                <c:pt idx="98">
                  <c:v>3.7096097800088199E-2</c:v>
                </c:pt>
                <c:pt idx="99">
                  <c:v>3.6383445990642797E-2</c:v>
                </c:pt>
                <c:pt idx="100">
                  <c:v>3.5694597738468697E-2</c:v>
                </c:pt>
                <c:pt idx="101">
                  <c:v>3.5027532027592297E-2</c:v>
                </c:pt>
                <c:pt idx="102">
                  <c:v>3.4380462129260998E-2</c:v>
                </c:pt>
                <c:pt idx="103">
                  <c:v>3.3751807883436902E-2</c:v>
                </c:pt>
                <c:pt idx="104">
                  <c:v>3.3140171227225297E-2</c:v>
                </c:pt>
                <c:pt idx="105">
                  <c:v>3.2544314593479097E-2</c:v>
                </c:pt>
                <c:pt idx="106">
                  <c:v>3.1963141846036297E-2</c:v>
                </c:pt>
                <c:pt idx="107">
                  <c:v>3.1395681456395999E-2</c:v>
                </c:pt>
                <c:pt idx="108">
                  <c:v>3.0841071660655101E-2</c:v>
                </c:pt>
                <c:pt idx="109">
                  <c:v>3.02985473656858E-2</c:v>
                </c:pt>
                <c:pt idx="110">
                  <c:v>2.97674286002526E-2</c:v>
                </c:pt>
                <c:pt idx="111">
                  <c:v>2.9247110330444599E-2</c:v>
                </c:pt>
                <c:pt idx="112">
                  <c:v>2.87370534797491E-2</c:v>
                </c:pt>
                <c:pt idx="113">
                  <c:v>2.8236777012652401E-2</c:v>
                </c:pt>
                <c:pt idx="114">
                  <c:v>2.77458509570651E-2</c:v>
                </c:pt>
                <c:pt idx="115">
                  <c:v>2.72638902553945E-2</c:v>
                </c:pt>
                <c:pt idx="116">
                  <c:v>2.6790549346930599E-2</c:v>
                </c:pt>
                <c:pt idx="117">
                  <c:v>2.6325517395572401E-2</c:v>
                </c:pt>
                <c:pt idx="118">
                  <c:v>2.58685140869594E-2</c:v>
                </c:pt>
                <c:pt idx="119">
                  <c:v>2.54192859279538E-2</c:v>
                </c:pt>
                <c:pt idx="120">
                  <c:v>2.4977602989258999E-2</c:v>
                </c:pt>
                <c:pt idx="121">
                  <c:v>2.4543256038895199E-2</c:v>
                </c:pt>
                <c:pt idx="122">
                  <c:v>2.4116054020375099E-2</c:v>
                </c:pt>
                <c:pt idx="123">
                  <c:v>2.3695821834835901E-2</c:v>
                </c:pt>
                <c:pt idx="124">
                  <c:v>2.3282398391159202E-2</c:v>
                </c:pt>
                <c:pt idx="125">
                  <c:v>2.2875634892336998E-2</c:v>
                </c:pt>
                <c:pt idx="126">
                  <c:v>2.24753933300646E-2</c:v>
                </c:pt>
                <c:pt idx="127">
                  <c:v>2.20815451628384E-2</c:v>
                </c:pt>
                <c:pt idx="128">
                  <c:v>2.16939701557387E-2</c:v>
                </c:pt>
                <c:pt idx="129">
                  <c:v>2.1312555362649799E-2</c:v>
                </c:pt>
                <c:pt idx="130">
                  <c:v>2.09371942339318E-2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D8-449D-80F4-D20D5E0BB8F8}"/>
            </c:ext>
          </c:extLst>
        </c:ser>
        <c:ser>
          <c:idx val="6"/>
          <c:order val="6"/>
          <c:tx>
            <c:strRef>
              <c:f>'DSGE HVD wFG'!$AF$1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wFG'!$AF$2:$AF$132</c:f>
              <c:numCache>
                <c:formatCode>0.0000</c:formatCode>
                <c:ptCount val="131"/>
                <c:pt idx="0">
                  <c:v>3.8359980442891401E-16</c:v>
                </c:pt>
                <c:pt idx="1">
                  <c:v>5.4879434627052497E-16</c:v>
                </c:pt>
                <c:pt idx="2">
                  <c:v>2.5037010554592901E-16</c:v>
                </c:pt>
                <c:pt idx="3">
                  <c:v>-2.6306487630997802E-16</c:v>
                </c:pt>
                <c:pt idx="4">
                  <c:v>1.47120079540184E-17</c:v>
                </c:pt>
                <c:pt idx="5">
                  <c:v>1.28587845422192E-16</c:v>
                </c:pt>
                <c:pt idx="6">
                  <c:v>-4.3849619980996501E-16</c:v>
                </c:pt>
                <c:pt idx="7">
                  <c:v>1.6922842930974801E-15</c:v>
                </c:pt>
                <c:pt idx="8">
                  <c:v>1.9281286187395E-15</c:v>
                </c:pt>
                <c:pt idx="9">
                  <c:v>1.7068415980213701E-15</c:v>
                </c:pt>
                <c:pt idx="10">
                  <c:v>1.5949460666182599E-15</c:v>
                </c:pt>
                <c:pt idx="11">
                  <c:v>3.2339766918551799E-16</c:v>
                </c:pt>
                <c:pt idx="12">
                  <c:v>4.29296942041903E-16</c:v>
                </c:pt>
                <c:pt idx="13">
                  <c:v>5.8130182106596099E-16</c:v>
                </c:pt>
                <c:pt idx="14">
                  <c:v>9.4034412713698303E-16</c:v>
                </c:pt>
                <c:pt idx="15">
                  <c:v>2.9945298170541502E-17</c:v>
                </c:pt>
                <c:pt idx="16">
                  <c:v>-2.6544696605558401E-16</c:v>
                </c:pt>
                <c:pt idx="17">
                  <c:v>-1.3348807338964999E-15</c:v>
                </c:pt>
                <c:pt idx="18">
                  <c:v>-1.51064288775646E-15</c:v>
                </c:pt>
                <c:pt idx="19">
                  <c:v>-1.3414644586246899E-15</c:v>
                </c:pt>
                <c:pt idx="20">
                  <c:v>-2.4848228021115301E-15</c:v>
                </c:pt>
                <c:pt idx="21">
                  <c:v>-2.2305881443885399E-15</c:v>
                </c:pt>
                <c:pt idx="22">
                  <c:v>-2.2150346629327699E-15</c:v>
                </c:pt>
                <c:pt idx="23">
                  <c:v>-2.2146122261473598E-15</c:v>
                </c:pt>
                <c:pt idx="24">
                  <c:v>-2.60156423178714E-15</c:v>
                </c:pt>
                <c:pt idx="25">
                  <c:v>-2.3095901050375302E-15</c:v>
                </c:pt>
                <c:pt idx="26">
                  <c:v>-3.1245184586860102E-15</c:v>
                </c:pt>
                <c:pt idx="27">
                  <c:v>-3.6928666610898597E-15</c:v>
                </c:pt>
                <c:pt idx="28">
                  <c:v>-3.25020582270169E-15</c:v>
                </c:pt>
                <c:pt idx="29">
                  <c:v>-4.1044178198248501E-15</c:v>
                </c:pt>
                <c:pt idx="30">
                  <c:v>-4.3259702029358401E-15</c:v>
                </c:pt>
                <c:pt idx="31">
                  <c:v>-3.8045495914073499E-15</c:v>
                </c:pt>
                <c:pt idx="32">
                  <c:v>-3.16563916966231E-15</c:v>
                </c:pt>
                <c:pt idx="33">
                  <c:v>-4.4773785621788903E-15</c:v>
                </c:pt>
                <c:pt idx="34">
                  <c:v>-4.1984328628498603E-15</c:v>
                </c:pt>
                <c:pt idx="35">
                  <c:v>-3.8171753544476604E-15</c:v>
                </c:pt>
                <c:pt idx="36">
                  <c:v>-4.0936819320477097E-15</c:v>
                </c:pt>
                <c:pt idx="37">
                  <c:v>-5.5993200431517601E-15</c:v>
                </c:pt>
                <c:pt idx="38">
                  <c:v>-5.3593155067733401E-15</c:v>
                </c:pt>
                <c:pt idx="39">
                  <c:v>-5.4778526988335303E-15</c:v>
                </c:pt>
                <c:pt idx="40">
                  <c:v>-5.8293455364732001E-15</c:v>
                </c:pt>
                <c:pt idx="41">
                  <c:v>-5.3166670514298398E-15</c:v>
                </c:pt>
                <c:pt idx="42">
                  <c:v>-5.4386195983887604E-15</c:v>
                </c:pt>
                <c:pt idx="43">
                  <c:v>-6.0128059019120702E-15</c:v>
                </c:pt>
                <c:pt idx="44">
                  <c:v>-6.8795978121033899E-15</c:v>
                </c:pt>
                <c:pt idx="45">
                  <c:v>-7.2918554582758705E-15</c:v>
                </c:pt>
                <c:pt idx="46">
                  <c:v>-6.73147316395779E-15</c:v>
                </c:pt>
                <c:pt idx="47">
                  <c:v>-7.1383372622096306E-15</c:v>
                </c:pt>
                <c:pt idx="48">
                  <c:v>-6.7045645061351797E-15</c:v>
                </c:pt>
                <c:pt idx="49">
                  <c:v>-7.1702808043328304E-15</c:v>
                </c:pt>
                <c:pt idx="50">
                  <c:v>-7.0854510106694004E-15</c:v>
                </c:pt>
                <c:pt idx="51">
                  <c:v>-6.8489265443147202E-15</c:v>
                </c:pt>
                <c:pt idx="52">
                  <c:v>-7.1425610309918408E-15</c:v>
                </c:pt>
                <c:pt idx="53">
                  <c:v>-4.5013732369686302E-15</c:v>
                </c:pt>
                <c:pt idx="54">
                  <c:v>-7.6421999786640398E-15</c:v>
                </c:pt>
                <c:pt idx="55">
                  <c:v>-7.3952964073849608E-15</c:v>
                </c:pt>
                <c:pt idx="56">
                  <c:v>-9.8280855959158793E-15</c:v>
                </c:pt>
                <c:pt idx="57">
                  <c:v>-1.3036399749259299E-14</c:v>
                </c:pt>
                <c:pt idx="58">
                  <c:v>-1.44572534728109E-14</c:v>
                </c:pt>
                <c:pt idx="59">
                  <c:v>-1.6071938190224899E-14</c:v>
                </c:pt>
                <c:pt idx="60">
                  <c:v>-1.84761899386877E-14</c:v>
                </c:pt>
                <c:pt idx="61">
                  <c:v>-2.0291502401997101E-14</c:v>
                </c:pt>
                <c:pt idx="62">
                  <c:v>-2.0391414134976199E-14</c:v>
                </c:pt>
                <c:pt idx="63">
                  <c:v>-2.1164890859327999E-14</c:v>
                </c:pt>
                <c:pt idx="64">
                  <c:v>-2.2137445958048002E-14</c:v>
                </c:pt>
                <c:pt idx="65">
                  <c:v>-2.1880191541809701E-14</c:v>
                </c:pt>
                <c:pt idx="66">
                  <c:v>-2.17227009755139E-14</c:v>
                </c:pt>
                <c:pt idx="67">
                  <c:v>-2.1076980258482201E-14</c:v>
                </c:pt>
                <c:pt idx="68">
                  <c:v>-2.2486432440819001E-14</c:v>
                </c:pt>
                <c:pt idx="69">
                  <c:v>-2.24107890511158E-14</c:v>
                </c:pt>
                <c:pt idx="70">
                  <c:v>-2.21469824987669E-14</c:v>
                </c:pt>
                <c:pt idx="71">
                  <c:v>-2.1803529188159499E-14</c:v>
                </c:pt>
                <c:pt idx="72">
                  <c:v>-2.1450908426621399E-14</c:v>
                </c:pt>
                <c:pt idx="73">
                  <c:v>-2.1090147215265301E-14</c:v>
                </c:pt>
                <c:pt idx="74">
                  <c:v>-2.0722079366089401E-14</c:v>
                </c:pt>
                <c:pt idx="75">
                  <c:v>-2.0347420300364899E-14</c:v>
                </c:pt>
                <c:pt idx="76">
                  <c:v>-1.99668230430521E-14</c:v>
                </c:pt>
                <c:pt idx="77">
                  <c:v>-1.9580918139271899E-14</c:v>
                </c:pt>
                <c:pt idx="78">
                  <c:v>-1.9190340222849801E-14</c:v>
                </c:pt>
                <c:pt idx="79">
                  <c:v>-1.8795743823561999E-14</c:v>
                </c:pt>
                <c:pt idx="80">
                  <c:v>-1.8397810767058701E-14</c:v>
                </c:pt>
                <c:pt idx="81">
                  <c:v>-1.79972512418824E-14</c:v>
                </c:pt>
                <c:pt idx="82">
                  <c:v>-1.7594800311552099E-14</c:v>
                </c:pt>
                <c:pt idx="83">
                  <c:v>-1.7191211356912001E-14</c:v>
                </c:pt>
                <c:pt idx="84">
                  <c:v>-1.67872476581987E-14</c:v>
                </c:pt>
                <c:pt idx="85">
                  <c:v>-1.6383673075577299E-14</c:v>
                </c:pt>
                <c:pt idx="86">
                  <c:v>-1.5981242565364102E-14</c:v>
                </c:pt>
                <c:pt idx="87">
                  <c:v>-1.5580693078139001E-14</c:v>
                </c:pt>
                <c:pt idx="88">
                  <c:v>-1.5182735223931801E-14</c:v>
                </c:pt>
                <c:pt idx="89">
                  <c:v>-1.47880459568759E-14</c:v>
                </c:pt>
                <c:pt idx="90">
                  <c:v>-1.4397262424662201E-14</c:v>
                </c:pt>
                <c:pt idx="91">
                  <c:v>-1.4010977043921801E-14</c:v>
                </c:pt>
                <c:pt idx="92">
                  <c:v>-1.3629733798303499E-14</c:v>
                </c:pt>
                <c:pt idx="93">
                  <c:v>-1.3254025708554E-14</c:v>
                </c:pt>
                <c:pt idx="94">
                  <c:v>-1.28842933905536E-14</c:v>
                </c:pt>
                <c:pt idx="95">
                  <c:v>-1.25209245954693E-14</c:v>
                </c:pt>
                <c:pt idx="96">
                  <c:v>-1.2164254613669E-14</c:v>
                </c:pt>
                <c:pt idx="97">
                  <c:v>-1.18145674188064E-14</c:v>
                </c:pt>
                <c:pt idx="98">
                  <c:v>-1.14720974288176E-14</c:v>
                </c:pt>
                <c:pt idx="99">
                  <c:v>-1.11370317650156E-14</c:v>
                </c:pt>
                <c:pt idx="100">
                  <c:v>-1.0809512897829999E-14</c:v>
                </c:pt>
                <c:pt idx="101">
                  <c:v>-1.04896415770235E-14</c:v>
                </c:pt>
                <c:pt idx="102">
                  <c:v>-1.0177479954645999E-14</c:v>
                </c:pt>
                <c:pt idx="103">
                  <c:v>-9.8730548199334695E-15</c:v>
                </c:pt>
                <c:pt idx="104">
                  <c:v>-9.5763608763496699E-15</c:v>
                </c:pt>
                <c:pt idx="105">
                  <c:v>-9.2873640016545604E-15</c:v>
                </c:pt>
                <c:pt idx="106">
                  <c:v>-9.0060044420000992E-15</c:v>
                </c:pt>
                <c:pt idx="107">
                  <c:v>-8.7321999004431893E-15</c:v>
                </c:pt>
                <c:pt idx="108">
                  <c:v>-8.4658484888105401E-15</c:v>
                </c:pt>
                <c:pt idx="109">
                  <c:v>-8.2068315195043001E-15</c:v>
                </c:pt>
                <c:pt idx="110">
                  <c:v>-7.9550161205838497E-15</c:v>
                </c:pt>
                <c:pt idx="111">
                  <c:v>-7.7102576633148302E-15</c:v>
                </c:pt>
                <c:pt idx="112">
                  <c:v>-7.4724019963809903E-15</c:v>
                </c:pt>
                <c:pt idx="113">
                  <c:v>-7.2412874851599402E-15</c:v>
                </c:pt>
                <c:pt idx="114">
                  <c:v>-7.0167468579333399E-15</c:v>
                </c:pt>
                <c:pt idx="115">
                  <c:v>-6.7986088637060303E-15</c:v>
                </c:pt>
                <c:pt idx="116">
                  <c:v>-6.5866997485148403E-15</c:v>
                </c:pt>
                <c:pt idx="117">
                  <c:v>-6.3808445587893696E-15</c:v>
                </c:pt>
                <c:pt idx="118">
                  <c:v>-6.1808682815498302E-15</c:v>
                </c:pt>
                <c:pt idx="119">
                  <c:v>-5.9865968320567202E-15</c:v>
                </c:pt>
                <c:pt idx="120">
                  <c:v>-5.7978579000229198E-15</c:v>
                </c:pt>
                <c:pt idx="121">
                  <c:v>-5.6144816657157597E-15</c:v>
                </c:pt>
                <c:pt idx="122">
                  <c:v>-5.4363013972645398E-15</c:v>
                </c:pt>
                <c:pt idx="123">
                  <c:v>-5.2631539402921101E-15</c:v>
                </c:pt>
                <c:pt idx="124">
                  <c:v>-5.0948801106463197E-15</c:v>
                </c:pt>
                <c:pt idx="125">
                  <c:v>-4.9313250005529297E-15</c:v>
                </c:pt>
                <c:pt idx="126">
                  <c:v>-4.7723382079753302E-15</c:v>
                </c:pt>
                <c:pt idx="127">
                  <c:v>-4.6177739983728499E-15</c:v>
                </c:pt>
                <c:pt idx="128">
                  <c:v>-4.46749140742063E-15</c:v>
                </c:pt>
                <c:pt idx="129">
                  <c:v>-4.32135429260645E-15</c:v>
                </c:pt>
                <c:pt idx="130">
                  <c:v>-4.17923134096909E-15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D8-449D-80F4-D20D5E0BB8F8}"/>
            </c:ext>
          </c:extLst>
        </c:ser>
        <c:ser>
          <c:idx val="7"/>
          <c:order val="7"/>
          <c:tx>
            <c:strRef>
              <c:f>'DSGE HVD wFG'!$AG$1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wFG'!$AG$2:$AG$132</c:f>
              <c:numCache>
                <c:formatCode>0.0000</c:formatCode>
                <c:ptCount val="131"/>
                <c:pt idx="0">
                  <c:v>-3.6594233313568802E-15</c:v>
                </c:pt>
                <c:pt idx="1">
                  <c:v>-2.4440354632060701E-15</c:v>
                </c:pt>
                <c:pt idx="2">
                  <c:v>-1.4001092115681899E-15</c:v>
                </c:pt>
                <c:pt idx="3">
                  <c:v>-7.9837505956695004E-16</c:v>
                </c:pt>
                <c:pt idx="4">
                  <c:v>-1.49659762326061E-16</c:v>
                </c:pt>
                <c:pt idx="5">
                  <c:v>9.4075693347449101E-16</c:v>
                </c:pt>
                <c:pt idx="6">
                  <c:v>1.76077486348156E-15</c:v>
                </c:pt>
                <c:pt idx="7">
                  <c:v>2.3099358154234702E-15</c:v>
                </c:pt>
                <c:pt idx="8">
                  <c:v>4.61746737370402E-15</c:v>
                </c:pt>
                <c:pt idx="9">
                  <c:v>4.4703200978657002E-15</c:v>
                </c:pt>
                <c:pt idx="10">
                  <c:v>4.8995216364697702E-15</c:v>
                </c:pt>
                <c:pt idx="11">
                  <c:v>5.509701977865E-15</c:v>
                </c:pt>
                <c:pt idx="12">
                  <c:v>7.0121020189308404E-15</c:v>
                </c:pt>
                <c:pt idx="13">
                  <c:v>7.6845370628177707E-15</c:v>
                </c:pt>
                <c:pt idx="14">
                  <c:v>8.4771861144891194E-15</c:v>
                </c:pt>
                <c:pt idx="15">
                  <c:v>9.4410290562619697E-15</c:v>
                </c:pt>
                <c:pt idx="16">
                  <c:v>9.6208028431271392E-15</c:v>
                </c:pt>
                <c:pt idx="17">
                  <c:v>1.1060741227392201E-14</c:v>
                </c:pt>
                <c:pt idx="18">
                  <c:v>1.1936811150279201E-14</c:v>
                </c:pt>
                <c:pt idx="19">
                  <c:v>1.3766677851375599E-14</c:v>
                </c:pt>
                <c:pt idx="20">
                  <c:v>1.3954166710326999E-14</c:v>
                </c:pt>
                <c:pt idx="21">
                  <c:v>1.4744143196458299E-14</c:v>
                </c:pt>
                <c:pt idx="22">
                  <c:v>1.5907837335826399E-14</c:v>
                </c:pt>
                <c:pt idx="23">
                  <c:v>1.5774363853769001E-14</c:v>
                </c:pt>
                <c:pt idx="24">
                  <c:v>1.74047206256603E-14</c:v>
                </c:pt>
                <c:pt idx="25">
                  <c:v>1.8229757166513398E-14</c:v>
                </c:pt>
                <c:pt idx="26">
                  <c:v>1.95100390744406E-14</c:v>
                </c:pt>
                <c:pt idx="27">
                  <c:v>2.0401116122654499E-14</c:v>
                </c:pt>
                <c:pt idx="28">
                  <c:v>2.06148900568879E-14</c:v>
                </c:pt>
                <c:pt idx="29">
                  <c:v>2.19055508323665E-14</c:v>
                </c:pt>
                <c:pt idx="30">
                  <c:v>2.2851239009496301E-14</c:v>
                </c:pt>
                <c:pt idx="31">
                  <c:v>2.33589691384261E-14</c:v>
                </c:pt>
                <c:pt idx="32">
                  <c:v>2.3591558580295401E-14</c:v>
                </c:pt>
                <c:pt idx="33">
                  <c:v>2.3974305600054601E-14</c:v>
                </c:pt>
                <c:pt idx="34">
                  <c:v>2.4475179376844001E-14</c:v>
                </c:pt>
                <c:pt idx="35">
                  <c:v>2.5278088427139501E-14</c:v>
                </c:pt>
                <c:pt idx="36">
                  <c:v>2.5950379497952499E-14</c:v>
                </c:pt>
                <c:pt idx="37">
                  <c:v>2.6751144559874999E-14</c:v>
                </c:pt>
                <c:pt idx="38">
                  <c:v>2.75396532514738E-14</c:v>
                </c:pt>
                <c:pt idx="39">
                  <c:v>2.804191438763E-14</c:v>
                </c:pt>
                <c:pt idx="40">
                  <c:v>2.8492063724448899E-14</c:v>
                </c:pt>
                <c:pt idx="41">
                  <c:v>2.9042770837043502E-14</c:v>
                </c:pt>
                <c:pt idx="42">
                  <c:v>2.9306772659770202E-14</c:v>
                </c:pt>
                <c:pt idx="43">
                  <c:v>2.9480340649216501E-14</c:v>
                </c:pt>
                <c:pt idx="44">
                  <c:v>2.9965207693004399E-14</c:v>
                </c:pt>
                <c:pt idx="45">
                  <c:v>3.0636010615200998E-14</c:v>
                </c:pt>
                <c:pt idx="46">
                  <c:v>3.1091450751650899E-14</c:v>
                </c:pt>
                <c:pt idx="47">
                  <c:v>3.17374978587907E-14</c:v>
                </c:pt>
                <c:pt idx="48">
                  <c:v>3.1345214412574699E-14</c:v>
                </c:pt>
                <c:pt idx="49">
                  <c:v>3.1919387436701401E-14</c:v>
                </c:pt>
                <c:pt idx="50">
                  <c:v>3.2601781178525902E-14</c:v>
                </c:pt>
                <c:pt idx="51">
                  <c:v>3.2468454578501603E-14</c:v>
                </c:pt>
                <c:pt idx="52">
                  <c:v>3.24591065324231E-14</c:v>
                </c:pt>
                <c:pt idx="53">
                  <c:v>3.2212548942759802E-14</c:v>
                </c:pt>
                <c:pt idx="54">
                  <c:v>3.21265570237615E-14</c:v>
                </c:pt>
                <c:pt idx="55">
                  <c:v>3.1341951615385499E-14</c:v>
                </c:pt>
                <c:pt idx="56">
                  <c:v>3.1660426578401998E-14</c:v>
                </c:pt>
                <c:pt idx="57">
                  <c:v>3.15830022601922E-14</c:v>
                </c:pt>
                <c:pt idx="58">
                  <c:v>3.1756248562054997E-14</c:v>
                </c:pt>
                <c:pt idx="59">
                  <c:v>3.20289125928848E-14</c:v>
                </c:pt>
                <c:pt idx="60">
                  <c:v>3.3038815873052397E-14</c:v>
                </c:pt>
                <c:pt idx="61">
                  <c:v>3.4708802506276299E-14</c:v>
                </c:pt>
                <c:pt idx="62">
                  <c:v>3.53663045251247E-14</c:v>
                </c:pt>
                <c:pt idx="63">
                  <c:v>3.6583290247098298E-14</c:v>
                </c:pt>
                <c:pt idx="64">
                  <c:v>3.7595622885945201E-14</c:v>
                </c:pt>
                <c:pt idx="65">
                  <c:v>3.8086657234101801E-14</c:v>
                </c:pt>
                <c:pt idx="66">
                  <c:v>3.8660207282593803E-14</c:v>
                </c:pt>
                <c:pt idx="67">
                  <c:v>3.9154078594620997E-14</c:v>
                </c:pt>
                <c:pt idx="68">
                  <c:v>3.8939821739521199E-14</c:v>
                </c:pt>
                <c:pt idx="69">
                  <c:v>3.9698738026061002E-14</c:v>
                </c:pt>
                <c:pt idx="70">
                  <c:v>4.0537499580228702E-14</c:v>
                </c:pt>
                <c:pt idx="71">
                  <c:v>4.0999910242542599E-14</c:v>
                </c:pt>
                <c:pt idx="72">
                  <c:v>4.1442486555669701E-14</c:v>
                </c:pt>
                <c:pt idx="73">
                  <c:v>4.18659795462736E-14</c:v>
                </c:pt>
                <c:pt idx="74">
                  <c:v>4.2271066709581498E-14</c:v>
                </c:pt>
                <c:pt idx="75">
                  <c:v>4.2658349666420402E-14</c:v>
                </c:pt>
                <c:pt idx="76">
                  <c:v>4.30283563961805E-14</c:v>
                </c:pt>
                <c:pt idx="77">
                  <c:v>4.3381546548681398E-14</c:v>
                </c:pt>
                <c:pt idx="78">
                  <c:v>4.3718318660099597E-14</c:v>
                </c:pt>
                <c:pt idx="79">
                  <c:v>4.4039018373036899E-14</c:v>
                </c:pt>
                <c:pt idx="80">
                  <c:v>4.4343946990084498E-14</c:v>
                </c:pt>
                <c:pt idx="81">
                  <c:v>4.4633369877675297E-14</c:v>
                </c:pt>
                <c:pt idx="82">
                  <c:v>4.49075243873945E-14</c:v>
                </c:pt>
                <c:pt idx="83">
                  <c:v>4.5166627080318902E-14</c:v>
                </c:pt>
                <c:pt idx="84">
                  <c:v>4.54108801313141E-14</c:v>
                </c:pt>
                <c:pt idx="85">
                  <c:v>4.5640476859126997E-14</c:v>
                </c:pt>
                <c:pt idx="86">
                  <c:v>4.5855606378661699E-14</c:v>
                </c:pt>
                <c:pt idx="87">
                  <c:v>4.6056457407609998E-14</c:v>
                </c:pt>
                <c:pt idx="88">
                  <c:v>4.6243221283694697E-14</c:v>
                </c:pt>
                <c:pt idx="89">
                  <c:v>4.64160942637587E-14</c:v>
                </c:pt>
                <c:pt idx="90">
                  <c:v>4.6575279183945898E-14</c:v>
                </c:pt>
                <c:pt idx="91">
                  <c:v>4.6720986563031802E-14</c:v>
                </c:pt>
                <c:pt idx="92">
                  <c:v>4.6853435229995102E-14</c:v>
                </c:pt>
                <c:pt idx="93">
                  <c:v>4.6972852553310199E-14</c:v>
                </c:pt>
                <c:pt idx="94">
                  <c:v>4.7079474344075E-14</c:v>
                </c:pt>
                <c:pt idx="95">
                  <c:v>4.7173544498667297E-14</c:v>
                </c:pt>
                <c:pt idx="96">
                  <c:v>4.7255314439659102E-14</c:v>
                </c:pt>
                <c:pt idx="97">
                  <c:v>4.7325042406611798E-14</c:v>
                </c:pt>
                <c:pt idx="98">
                  <c:v>4.7382992641400701E-14</c:v>
                </c:pt>
                <c:pt idx="99">
                  <c:v>4.7429434506080102E-14</c:v>
                </c:pt>
                <c:pt idx="100">
                  <c:v>4.7464641565112302E-14</c:v>
                </c:pt>
                <c:pt idx="101">
                  <c:v>4.74888906581438E-14</c:v>
                </c:pt>
                <c:pt idx="102">
                  <c:v>4.75024609844406E-14</c:v>
                </c:pt>
                <c:pt idx="103">
                  <c:v>4.7505633215601203E-14</c:v>
                </c:pt>
                <c:pt idx="104">
                  <c:v>4.7498688649253902E-14</c:v>
                </c:pt>
                <c:pt idx="105">
                  <c:v>4.7481908413064402E-14</c:v>
                </c:pt>
                <c:pt idx="106">
                  <c:v>4.7455572725510303E-14</c:v>
                </c:pt>
                <c:pt idx="107">
                  <c:v>4.7419960217473801E-14</c:v>
                </c:pt>
                <c:pt idx="108">
                  <c:v>4.7375347316712603E-14</c:v>
                </c:pt>
                <c:pt idx="109">
                  <c:v>4.7322007695654199E-14</c:v>
                </c:pt>
                <c:pt idx="110">
                  <c:v>4.7260211781670399E-14</c:v>
                </c:pt>
                <c:pt idx="111">
                  <c:v>4.7190226327981602E-14</c:v>
                </c:pt>
                <c:pt idx="112">
                  <c:v>4.71123140425847E-14</c:v>
                </c:pt>
                <c:pt idx="113">
                  <c:v>4.7026733272043199E-14</c:v>
                </c:pt>
                <c:pt idx="114">
                  <c:v>4.6933737736606801E-14</c:v>
                </c:pt>
                <c:pt idx="115">
                  <c:v>4.6833576312889101E-14</c:v>
                </c:pt>
                <c:pt idx="116">
                  <c:v>4.6726492860226003E-14</c:v>
                </c:pt>
                <c:pt idx="117">
                  <c:v>4.6612726086815699E-14</c:v>
                </c:pt>
                <c:pt idx="118">
                  <c:v>4.6492509451801102E-14</c:v>
                </c:pt>
                <c:pt idx="119">
                  <c:v>4.6366071099570102E-14</c:v>
                </c:pt>
                <c:pt idx="120">
                  <c:v>4.6233633822712503E-14</c:v>
                </c:pt>
                <c:pt idx="121">
                  <c:v>4.6095415050259097E-14</c:v>
                </c:pt>
                <c:pt idx="122">
                  <c:v>4.5951626858045799E-14</c:v>
                </c:pt>
                <c:pt idx="123">
                  <c:v>4.5802475998265497E-14</c:v>
                </c:pt>
                <c:pt idx="124">
                  <c:v>4.5648163945507302E-14</c:v>
                </c:pt>
                <c:pt idx="125">
                  <c:v>4.5488886956807002E-14</c:v>
                </c:pt>
                <c:pt idx="126">
                  <c:v>4.5324836143466602E-14</c:v>
                </c:pt>
                <c:pt idx="127">
                  <c:v>4.5156197552615602E-14</c:v>
                </c:pt>
                <c:pt idx="128">
                  <c:v>4.4983152256700099E-14</c:v>
                </c:pt>
                <c:pt idx="129">
                  <c:v>4.4805876449282203E-14</c:v>
                </c:pt>
                <c:pt idx="130">
                  <c:v>4.4624541545722797E-14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4D8-449D-80F4-D20D5E0BB8F8}"/>
            </c:ext>
          </c:extLst>
        </c:ser>
        <c:ser>
          <c:idx val="8"/>
          <c:order val="8"/>
          <c:tx>
            <c:strRef>
              <c:f>'DSGE HVD wFG'!$AH$1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wFG'!$AH$2:$AH$132</c:f>
              <c:numCache>
                <c:formatCode>0.0000</c:formatCode>
                <c:ptCount val="131"/>
                <c:pt idx="0">
                  <c:v>2.8537733392785758E-2</c:v>
                </c:pt>
                <c:pt idx="1">
                  <c:v>2.8175115676490045E-2</c:v>
                </c:pt>
                <c:pt idx="2">
                  <c:v>2.7817345433819279E-2</c:v>
                </c:pt>
                <c:pt idx="3">
                  <c:v>2.7464356510099725E-2</c:v>
                </c:pt>
                <c:pt idx="4">
                  <c:v>2.711608359770637E-2</c:v>
                </c:pt>
                <c:pt idx="5">
                  <c:v>2.677246222799759E-2</c:v>
                </c:pt>
                <c:pt idx="6">
                  <c:v>2.6433428763234457E-2</c:v>
                </c:pt>
                <c:pt idx="7">
                  <c:v>2.6098920388513951E-2</c:v>
                </c:pt>
                <c:pt idx="8">
                  <c:v>2.5768875103664182E-2</c:v>
                </c:pt>
                <c:pt idx="9">
                  <c:v>2.5443231715158346E-2</c:v>
                </c:pt>
                <c:pt idx="10">
                  <c:v>2.5121929828031929E-2</c:v>
                </c:pt>
                <c:pt idx="11">
                  <c:v>2.48049098377718E-2</c:v>
                </c:pt>
                <c:pt idx="12">
                  <c:v>2.4492112922267759E-2</c:v>
                </c:pt>
                <c:pt idx="13">
                  <c:v>2.4183481033681214E-2</c:v>
                </c:pt>
                <c:pt idx="14">
                  <c:v>2.3878956890406929E-2</c:v>
                </c:pt>
                <c:pt idx="15">
                  <c:v>2.3578483969014925E-2</c:v>
                </c:pt>
                <c:pt idx="16">
                  <c:v>2.328200649620257E-2</c:v>
                </c:pt>
                <c:pt idx="17">
                  <c:v>2.2989469440764604E-2</c:v>
                </c:pt>
                <c:pt idx="18">
                  <c:v>2.2700818505566017E-2</c:v>
                </c:pt>
                <c:pt idx="19">
                  <c:v>2.241600011957541E-2</c:v>
                </c:pt>
                <c:pt idx="20">
                  <c:v>2.2134961429869513E-2</c:v>
                </c:pt>
                <c:pt idx="21">
                  <c:v>2.1857650293724752E-2</c:v>
                </c:pt>
                <c:pt idx="22">
                  <c:v>2.158401527066648E-2</c:v>
                </c:pt>
                <c:pt idx="23">
                  <c:v>2.1314005614593352E-2</c:v>
                </c:pt>
                <c:pt idx="24">
                  <c:v>2.1047571265922348E-2</c:v>
                </c:pt>
                <c:pt idx="25">
                  <c:v>2.078466284374797E-2</c:v>
                </c:pt>
                <c:pt idx="26">
                  <c:v>2.0525231638067014E-2</c:v>
                </c:pt>
                <c:pt idx="27">
                  <c:v>2.0269229602009463E-2</c:v>
                </c:pt>
                <c:pt idx="28">
                  <c:v>2.0016609344117347E-2</c:v>
                </c:pt>
                <c:pt idx="29">
                  <c:v>1.9767324120682453E-2</c:v>
                </c:pt>
                <c:pt idx="30">
                  <c:v>1.952132782808081E-2</c:v>
                </c:pt>
                <c:pt idx="31">
                  <c:v>1.9278574995197209E-2</c:v>
                </c:pt>
                <c:pt idx="32">
                  <c:v>1.9039020775849819E-2</c:v>
                </c:pt>
                <c:pt idx="33">
                  <c:v>1.8802620941308638E-2</c:v>
                </c:pt>
                <c:pt idx="34">
                  <c:v>1.8569331872809482E-2</c:v>
                </c:pt>
                <c:pt idx="35">
                  <c:v>1.8339110554141152E-2</c:v>
                </c:pt>
                <c:pt idx="36">
                  <c:v>1.8111914564291721E-2</c:v>
                </c:pt>
                <c:pt idx="37">
                  <c:v>1.7887702070112959E-2</c:v>
                </c:pt>
                <c:pt idx="38">
                  <c:v>1.7666431819080914E-2</c:v>
                </c:pt>
                <c:pt idx="39">
                  <c:v>1.7448063132052258E-2</c:v>
                </c:pt>
                <c:pt idx="40">
                  <c:v>1.7232555896125459E-2</c:v>
                </c:pt>
                <c:pt idx="41">
                  <c:v>1.7019870557520193E-2</c:v>
                </c:pt>
                <c:pt idx="42">
                  <c:v>1.6809968114530793E-2</c:v>
                </c:pt>
                <c:pt idx="43">
                  <c:v>1.660281011053295E-2</c:v>
                </c:pt>
                <c:pt idx="44">
                  <c:v>1.6398358627036872E-2</c:v>
                </c:pt>
                <c:pt idx="45">
                  <c:v>1.6196576276807099E-2</c:v>
                </c:pt>
                <c:pt idx="46">
                  <c:v>1.5997426197029967E-2</c:v>
                </c:pt>
                <c:pt idx="47">
                  <c:v>1.5800872042561417E-2</c:v>
                </c:pt>
                <c:pt idx="48">
                  <c:v>1.5606877979198953E-2</c:v>
                </c:pt>
                <c:pt idx="49">
                  <c:v>1.5415408677053983E-2</c:v>
                </c:pt>
                <c:pt idx="50">
                  <c:v>1.5226429303944834E-2</c:v>
                </c:pt>
                <c:pt idx="51">
                  <c:v>1.5039905518872312E-2</c:v>
                </c:pt>
                <c:pt idx="52">
                  <c:v>1.4855803465555942E-2</c:v>
                </c:pt>
                <c:pt idx="53">
                  <c:v>1.467408976603489E-2</c:v>
                </c:pt>
                <c:pt idx="54">
                  <c:v>1.4494731514298607E-2</c:v>
                </c:pt>
                <c:pt idx="55">
                  <c:v>1.4317696270032647E-2</c:v>
                </c:pt>
                <c:pt idx="56">
                  <c:v>1.4142952052361145E-2</c:v>
                </c:pt>
                <c:pt idx="57">
                  <c:v>1.3970467333718093E-2</c:v>
                </c:pt>
                <c:pt idx="58">
                  <c:v>1.380021103372584E-2</c:v>
                </c:pt>
                <c:pt idx="59">
                  <c:v>1.3632152513204146E-2</c:v>
                </c:pt>
                <c:pt idx="60">
                  <c:v>1.3466261568131271E-2</c:v>
                </c:pt>
                <c:pt idx="61">
                  <c:v>1.3302508423788122E-2</c:v>
                </c:pt>
                <c:pt idx="62">
                  <c:v>1.3140863728888173E-2</c:v>
                </c:pt>
                <c:pt idx="63">
                  <c:v>1.2981298549793159E-2</c:v>
                </c:pt>
                <c:pt idx="64">
                  <c:v>1.2823784364793396E-2</c:v>
                </c:pt>
                <c:pt idx="65">
                  <c:v>1.26682930584572E-2</c:v>
                </c:pt>
                <c:pt idx="66">
                  <c:v>1.2514796916020678E-2</c:v>
                </c:pt>
                <c:pt idx="67">
                  <c:v>1.2363268617864746E-2</c:v>
                </c:pt>
                <c:pt idx="68">
                  <c:v>1.2213681234021511E-2</c:v>
                </c:pt>
                <c:pt idx="69">
                  <c:v>1.2066008218809753E-2</c:v>
                </c:pt>
                <c:pt idx="70">
                  <c:v>1.192022340542663E-2</c:v>
                </c:pt>
                <c:pt idx="71">
                  <c:v>1.1776301000704804E-2</c:v>
                </c:pt>
                <c:pt idx="72">
                  <c:v>1.163421557987596E-2</c:v>
                </c:pt>
                <c:pt idx="73">
                  <c:v>1.1493942081405103E-2</c:v>
                </c:pt>
                <c:pt idx="74">
                  <c:v>1.1355455801890631E-2</c:v>
                </c:pt>
                <c:pt idx="75">
                  <c:v>1.1218732391022153E-2</c:v>
                </c:pt>
                <c:pt idx="76">
                  <c:v>1.108374784660056E-2</c:v>
                </c:pt>
                <c:pt idx="77">
                  <c:v>1.0950478509617161E-2</c:v>
                </c:pt>
                <c:pt idx="78">
                  <c:v>1.0818901059393458E-2</c:v>
                </c:pt>
                <c:pt idx="79">
                  <c:v>1.068899250878024E-2</c:v>
                </c:pt>
                <c:pt idx="80">
                  <c:v>1.0560730199415917E-2</c:v>
                </c:pt>
                <c:pt idx="81">
                  <c:v>1.0434091797043989E-2</c:v>
                </c:pt>
                <c:pt idx="82">
                  <c:v>1.0309055286889354E-2</c:v>
                </c:pt>
                <c:pt idx="83">
                  <c:v>1.0185598969091412E-2</c:v>
                </c:pt>
                <c:pt idx="84">
                  <c:v>1.0063701454196964E-2</c:v>
                </c:pt>
                <c:pt idx="85">
                  <c:v>9.9433416587090383E-3</c:v>
                </c:pt>
                <c:pt idx="86">
                  <c:v>9.8244988006928029E-3</c:v>
                </c:pt>
                <c:pt idx="87">
                  <c:v>9.7071523954387982E-3</c:v>
                </c:pt>
                <c:pt idx="88">
                  <c:v>9.5912822511814658E-3</c:v>
                </c:pt>
                <c:pt idx="89">
                  <c:v>9.4768684648739183E-3</c:v>
                </c:pt>
                <c:pt idx="90">
                  <c:v>9.3638914180172207E-3</c:v>
                </c:pt>
                <c:pt idx="91">
                  <c:v>9.2523317725453844E-3</c:v>
                </c:pt>
                <c:pt idx="92">
                  <c:v>9.142170466763834E-3</c:v>
                </c:pt>
                <c:pt idx="93">
                  <c:v>9.0333887113420372E-3</c:v>
                </c:pt>
                <c:pt idx="94">
                  <c:v>8.9259679853597226E-3</c:v>
                </c:pt>
                <c:pt idx="95">
                  <c:v>8.8198900324053652E-3</c:v>
                </c:pt>
                <c:pt idx="96">
                  <c:v>8.7151368567277444E-3</c:v>
                </c:pt>
                <c:pt idx="97">
                  <c:v>8.6116907194390396E-3</c:v>
                </c:pt>
                <c:pt idx="98">
                  <c:v>8.5095341347693355E-3</c:v>
                </c:pt>
                <c:pt idx="99">
                  <c:v>8.4086498663721015E-3</c:v>
                </c:pt>
                <c:pt idx="100">
                  <c:v>8.3090209236803356E-3</c:v>
                </c:pt>
                <c:pt idx="101">
                  <c:v>8.2106305583121587E-3</c:v>
                </c:pt>
                <c:pt idx="102">
                  <c:v>8.1134622605263038E-3</c:v>
                </c:pt>
                <c:pt idx="103">
                  <c:v>8.0174997557261353E-3</c:v>
                </c:pt>
                <c:pt idx="104">
                  <c:v>7.9227270010124029E-3</c:v>
                </c:pt>
                <c:pt idx="105">
                  <c:v>7.8291281817836067E-3</c:v>
                </c:pt>
                <c:pt idx="106">
                  <c:v>7.7366877083840224E-3</c:v>
                </c:pt>
                <c:pt idx="107">
                  <c:v>7.6453902127984258E-3</c:v>
                </c:pt>
                <c:pt idx="108">
                  <c:v>7.5552205453932259E-3</c:v>
                </c:pt>
                <c:pt idx="109">
                  <c:v>7.4661637717034516E-3</c:v>
                </c:pt>
                <c:pt idx="110">
                  <c:v>7.3782051692652421E-3</c:v>
                </c:pt>
                <c:pt idx="111">
                  <c:v>7.2913302244929186E-3</c:v>
                </c:pt>
                <c:pt idx="112">
                  <c:v>7.2055246296006308E-3</c:v>
                </c:pt>
                <c:pt idx="113">
                  <c:v>7.1207742795676415E-3</c:v>
                </c:pt>
                <c:pt idx="114">
                  <c:v>7.0370652691469976E-3</c:v>
                </c:pt>
                <c:pt idx="115">
                  <c:v>6.9543838899171614E-3</c:v>
                </c:pt>
                <c:pt idx="116">
                  <c:v>6.8727166273755327E-3</c:v>
                </c:pt>
                <c:pt idx="117">
                  <c:v>6.7920501580742984E-3</c:v>
                </c:pt>
                <c:pt idx="118">
                  <c:v>6.7123713467971925E-3</c:v>
                </c:pt>
                <c:pt idx="119">
                  <c:v>6.633667243777174E-3</c:v>
                </c:pt>
                <c:pt idx="120">
                  <c:v>6.5559250819544716E-3</c:v>
                </c:pt>
                <c:pt idx="121">
                  <c:v>6.4791322742743006E-3</c:v>
                </c:pt>
                <c:pt idx="122">
                  <c:v>6.4032764110240545E-3</c:v>
                </c:pt>
                <c:pt idx="123">
                  <c:v>6.3283452572092062E-3</c:v>
                </c:pt>
                <c:pt idx="124">
                  <c:v>6.2543267499675353E-3</c:v>
                </c:pt>
                <c:pt idx="125">
                  <c:v>6.1812089960212252E-3</c:v>
                </c:pt>
                <c:pt idx="126">
                  <c:v>6.1089802691664599E-3</c:v>
                </c:pt>
                <c:pt idx="127">
                  <c:v>6.0376290077996846E-3</c:v>
                </c:pt>
                <c:pt idx="128">
                  <c:v>5.9671438124803368E-3</c:v>
                </c:pt>
                <c:pt idx="129">
                  <c:v>5.8975134435298483E-3</c:v>
                </c:pt>
                <c:pt idx="130">
                  <c:v>5.8287268186654681E-3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4D8-449D-80F4-D20D5E0BB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lineChart>
        <c:grouping val="standard"/>
        <c:varyColors val="0"/>
        <c:ser>
          <c:idx val="9"/>
          <c:order val="9"/>
          <c:tx>
            <c:strRef>
              <c:f>'DSGE HVD wFG'!$AI$1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'DSGE HVD wFG'!$AI$2:$AI$132</c:f>
              <c:numCache>
                <c:formatCode>0.0000</c:formatCode>
                <c:ptCount val="131"/>
                <c:pt idx="0">
                  <c:v>0.3514761545479978</c:v>
                </c:pt>
                <c:pt idx="1">
                  <c:v>0.25186850602003252</c:v>
                </c:pt>
                <c:pt idx="2">
                  <c:v>1.6615982256771127E-2</c:v>
                </c:pt>
                <c:pt idx="3">
                  <c:v>-0.1599220522527173</c:v>
                </c:pt>
                <c:pt idx="4">
                  <c:v>-0.49242687931189211</c:v>
                </c:pt>
                <c:pt idx="5">
                  <c:v>-0.47539678581757816</c:v>
                </c:pt>
                <c:pt idx="6">
                  <c:v>-0.63918805529903944</c:v>
                </c:pt>
                <c:pt idx="7">
                  <c:v>-1.6704625677823177</c:v>
                </c:pt>
                <c:pt idx="8">
                  <c:v>-1.5393324849843317</c:v>
                </c:pt>
                <c:pt idx="9">
                  <c:v>-1.2082230735879875</c:v>
                </c:pt>
                <c:pt idx="10">
                  <c:v>-1.1317976375635392</c:v>
                </c:pt>
                <c:pt idx="11">
                  <c:v>-0.97113352136574149</c:v>
                </c:pt>
                <c:pt idx="12">
                  <c:v>-1.2301489533646717</c:v>
                </c:pt>
                <c:pt idx="13">
                  <c:v>-1.7888089840072974</c:v>
                </c:pt>
                <c:pt idx="14">
                  <c:v>-1.915760540881227</c:v>
                </c:pt>
                <c:pt idx="15">
                  <c:v>-1.8084537213804353</c:v>
                </c:pt>
                <c:pt idx="16">
                  <c:v>-1.600012557709545</c:v>
                </c:pt>
                <c:pt idx="17">
                  <c:v>-2.0840122473954112</c:v>
                </c:pt>
                <c:pt idx="18">
                  <c:v>-2.5673792508249669</c:v>
                </c:pt>
                <c:pt idx="19">
                  <c:v>-2.7116381173842599</c:v>
                </c:pt>
                <c:pt idx="20">
                  <c:v>-2.5206935019169006</c:v>
                </c:pt>
                <c:pt idx="21">
                  <c:v>-2.7564374464750285</c:v>
                </c:pt>
                <c:pt idx="22">
                  <c:v>-2.6645074976081844</c:v>
                </c:pt>
                <c:pt idx="23">
                  <c:v>-2.5420009291821941</c:v>
                </c:pt>
                <c:pt idx="24">
                  <c:v>-2.6045112109037891</c:v>
                </c:pt>
                <c:pt idx="25">
                  <c:v>-2.4546079213352994</c:v>
                </c:pt>
                <c:pt idx="26">
                  <c:v>-2.4635192089418028</c:v>
                </c:pt>
                <c:pt idx="27">
                  <c:v>-2.4649684857893752</c:v>
                </c:pt>
                <c:pt idx="28">
                  <c:v>-2.3512444900150329</c:v>
                </c:pt>
                <c:pt idx="29">
                  <c:v>-2.3382595717886927</c:v>
                </c:pt>
                <c:pt idx="30">
                  <c:v>-2.36781824407002</c:v>
                </c:pt>
                <c:pt idx="31">
                  <c:v>-2.4719241456598486</c:v>
                </c:pt>
                <c:pt idx="32">
                  <c:v>-2.4693079245249332</c:v>
                </c:pt>
                <c:pt idx="33">
                  <c:v>-2.3958301673466416</c:v>
                </c:pt>
                <c:pt idx="34">
                  <c:v>-2.5995542290152076</c:v>
                </c:pt>
                <c:pt idx="35">
                  <c:v>-2.5994898998285811</c:v>
                </c:pt>
                <c:pt idx="36">
                  <c:v>-2.7547289789553746</c:v>
                </c:pt>
                <c:pt idx="37">
                  <c:v>-2.5605516854796582</c:v>
                </c:pt>
                <c:pt idx="38">
                  <c:v>-2.4547579780787743</c:v>
                </c:pt>
                <c:pt idx="39">
                  <c:v>-2.2001651358593484</c:v>
                </c:pt>
                <c:pt idx="40">
                  <c:v>-2.070133720334483</c:v>
                </c:pt>
                <c:pt idx="41">
                  <c:v>-2.0231550843876391</c:v>
                </c:pt>
                <c:pt idx="42">
                  <c:v>-1.8781681732103044</c:v>
                </c:pt>
                <c:pt idx="43">
                  <c:v>-1.7305616663418402</c:v>
                </c:pt>
                <c:pt idx="44">
                  <c:v>-1.6297651747437703</c:v>
                </c:pt>
                <c:pt idx="45">
                  <c:v>-1.7635268056508278</c:v>
                </c:pt>
                <c:pt idx="46">
                  <c:v>-1.7242856942834057</c:v>
                </c:pt>
                <c:pt idx="47">
                  <c:v>-1.8406984805916826</c:v>
                </c:pt>
                <c:pt idx="48">
                  <c:v>-1.9027223300682667</c:v>
                </c:pt>
                <c:pt idx="49">
                  <c:v>-2.0182665610193142</c:v>
                </c:pt>
                <c:pt idx="50">
                  <c:v>-2.1219699379316572</c:v>
                </c:pt>
                <c:pt idx="51">
                  <c:v>-2.0355561661188322</c:v>
                </c:pt>
                <c:pt idx="52">
                  <c:v>-2.4520464592661586</c:v>
                </c:pt>
                <c:pt idx="53">
                  <c:v>-2.5119875117946733</c:v>
                </c:pt>
                <c:pt idx="54">
                  <c:v>-2.2438663080695673</c:v>
                </c:pt>
                <c:pt idx="55">
                  <c:v>-2.2132873756596294</c:v>
                </c:pt>
                <c:pt idx="56">
                  <c:v>-2.0650486503636811</c:v>
                </c:pt>
                <c:pt idx="57">
                  <c:v>-2.0655599727086269</c:v>
                </c:pt>
                <c:pt idx="58">
                  <c:v>-1.661179545082675</c:v>
                </c:pt>
                <c:pt idx="59">
                  <c:v>-1.8116027694022352</c:v>
                </c:pt>
                <c:pt idx="60">
                  <c:v>-1.6979196680774529</c:v>
                </c:pt>
                <c:pt idx="61">
                  <c:v>-1.1747132102985409</c:v>
                </c:pt>
                <c:pt idx="62">
                  <c:v>-1.2295111158431047</c:v>
                </c:pt>
                <c:pt idx="63">
                  <c:v>-0.93637783631222227</c:v>
                </c:pt>
                <c:pt idx="64">
                  <c:v>-0.47569121463305192</c:v>
                </c:pt>
                <c:pt idx="65">
                  <c:v>-0.44223984694772434</c:v>
                </c:pt>
                <c:pt idx="66">
                  <c:v>2.3851367174093779E-3</c:v>
                </c:pt>
                <c:pt idx="67">
                  <c:v>-0.12990721520664342</c:v>
                </c:pt>
                <c:pt idx="68">
                  <c:v>4.6876991655625866E-2</c:v>
                </c:pt>
                <c:pt idx="69">
                  <c:v>-0.33471717144378238</c:v>
                </c:pt>
                <c:pt idx="70">
                  <c:v>-0.57225742326919427</c:v>
                </c:pt>
                <c:pt idx="71">
                  <c:v>-0.57061468528216364</c:v>
                </c:pt>
                <c:pt idx="72">
                  <c:v>-0.56741554189406851</c:v>
                </c:pt>
                <c:pt idx="73">
                  <c:v>-0.56286971219190796</c:v>
                </c:pt>
                <c:pt idx="74">
                  <c:v>-0.55716986802481605</c:v>
                </c:pt>
                <c:pt idx="75">
                  <c:v>-0.55049177277193939</c:v>
                </c:pt>
                <c:pt idx="76">
                  <c:v>-0.54299469787033594</c:v>
                </c:pt>
                <c:pt idx="77">
                  <c:v>-0.53482206057826709</c:v>
                </c:pt>
                <c:pt idx="78">
                  <c:v>-0.5261022261627849</c:v>
                </c:pt>
                <c:pt idx="79">
                  <c:v>-0.51694942267053334</c:v>
                </c:pt>
                <c:pt idx="80">
                  <c:v>-0.50746472372135809</c:v>
                </c:pt>
                <c:pt idx="81">
                  <c:v>-0.49773706266642587</c:v>
                </c:pt>
                <c:pt idx="82">
                  <c:v>-0.48784424905271967</c:v>
                </c:pt>
                <c:pt idx="83">
                  <c:v>-0.47785396517286166</c:v>
                </c:pt>
                <c:pt idx="84">
                  <c:v>-0.46782472636640621</c:v>
                </c:pt>
                <c:pt idx="85">
                  <c:v>-0.45780679364689125</c:v>
                </c:pt>
                <c:pt idx="86">
                  <c:v>-0.44784303121451985</c:v>
                </c:pt>
                <c:pt idx="87">
                  <c:v>-0.43796970457532852</c:v>
                </c:pt>
                <c:pt idx="88">
                  <c:v>-0.42821721743780072</c:v>
                </c:pt>
                <c:pt idx="89">
                  <c:v>-0.41861078741082092</c:v>
                </c:pt>
                <c:pt idx="90">
                  <c:v>-0.4091710618890157</c:v>
                </c:pt>
                <c:pt idx="91">
                  <c:v>-0.39991467647714962</c:v>
                </c:pt>
                <c:pt idx="92">
                  <c:v>-0.39085475895631516</c:v>
                </c:pt>
                <c:pt idx="93">
                  <c:v>-0.38200138219959928</c:v>
                </c:pt>
                <c:pt idx="94">
                  <c:v>-0.37336196966116048</c:v>
                </c:pt>
                <c:pt idx="95">
                  <c:v>-0.36494165713637794</c:v>
                </c:pt>
                <c:pt idx="96">
                  <c:v>-0.35674361445974345</c:v>
                </c:pt>
                <c:pt idx="97">
                  <c:v>-0.34876933070081551</c:v>
                </c:pt>
                <c:pt idx="98">
                  <c:v>-0.34101886626070016</c:v>
                </c:pt>
                <c:pt idx="99">
                  <c:v>-0.33349107507984432</c:v>
                </c:pt>
                <c:pt idx="100">
                  <c:v>-0.32618379995667679</c:v>
                </c:pt>
                <c:pt idx="101">
                  <c:v>-0.31909404375595385</c:v>
                </c:pt>
                <c:pt idx="102">
                  <c:v>-0.31221811906354391</c:v>
                </c:pt>
                <c:pt idx="103">
                  <c:v>-0.3055517786261861</c:v>
                </c:pt>
                <c:pt idx="104">
                  <c:v>-0.2990903287045491</c:v>
                </c:pt>
                <c:pt idx="105">
                  <c:v>-0.29282872726818998</c:v>
                </c:pt>
                <c:pt idx="106">
                  <c:v>-0.28676166877341402</c:v>
                </c:pt>
                <c:pt idx="107">
                  <c:v>-0.28088365709055985</c:v>
                </c:pt>
                <c:pt idx="108">
                  <c:v>-0.27518906798594783</c:v>
                </c:pt>
                <c:pt idx="109">
                  <c:v>-0.26967220241580353</c:v>
                </c:pt>
                <c:pt idx="110">
                  <c:v>-0.26432733175441575</c:v>
                </c:pt>
                <c:pt idx="111">
                  <c:v>-0.25914873595599369</c:v>
                </c:pt>
                <c:pt idx="112">
                  <c:v>-0.25413073553866516</c:v>
                </c:pt>
                <c:pt idx="113">
                  <c:v>-0.24926771817871529</c:v>
                </c:pt>
                <c:pt idx="114">
                  <c:v>-0.24455416061313739</c:v>
                </c:pt>
                <c:pt idx="115">
                  <c:v>-0.23998464646763173</c:v>
                </c:pt>
                <c:pt idx="116">
                  <c:v>-0.23555388055487042</c:v>
                </c:pt>
                <c:pt idx="117">
                  <c:v>-0.23125670012319363</c:v>
                </c:pt>
                <c:pt idx="118">
                  <c:v>-0.22708808347835929</c:v>
                </c:pt>
                <c:pt idx="119">
                  <c:v>-0.22304315634967886</c:v>
                </c:pt>
                <c:pt idx="120">
                  <c:v>-0.21911719632641127</c:v>
                </c:pt>
                <c:pt idx="121">
                  <c:v>-0.2153056356498361</c:v>
                </c:pt>
                <c:pt idx="122">
                  <c:v>-0.21160406261077835</c:v>
                </c:pt>
                <c:pt idx="123">
                  <c:v>-0.20800822177060357</c:v>
                </c:pt>
                <c:pt idx="124">
                  <c:v>-0.20451401319585044</c:v>
                </c:pt>
                <c:pt idx="125">
                  <c:v>-0.20111749087196903</c:v>
                </c:pt>
                <c:pt idx="126">
                  <c:v>-0.19781486043987143</c:v>
                </c:pt>
                <c:pt idx="127">
                  <c:v>-0.19460247637992981</c:v>
                </c:pt>
                <c:pt idx="128">
                  <c:v>-0.19147683875114785</c:v>
                </c:pt>
                <c:pt idx="129">
                  <c:v>-0.18843458957852507</c:v>
                </c:pt>
                <c:pt idx="130">
                  <c:v>-0.18547250896858808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4D8-449D-80F4-D20D5E0BB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843279"/>
        <c:axId val="1698837999"/>
      </c:lineChart>
      <c:dateAx>
        <c:axId val="1190122384"/>
        <c:scaling>
          <c:orientation val="minMax"/>
          <c:max val="45658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valAx>
        <c:axId val="16988379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698843279"/>
        <c:crosses val="autoZero"/>
        <c:crossBetween val="between"/>
      </c:valAx>
      <c:catAx>
        <c:axId val="1698843279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majorTickMark val="out"/>
        <c:minorTickMark val="none"/>
        <c:tickLblPos val="nextTo"/>
        <c:crossAx val="1698837999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8.2205048273724643E-2"/>
          <c:y val="9.6674400618716166E-3"/>
          <c:w val="0.83558974786636886"/>
          <c:h val="0.2254492695373635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'DSGE HVD woFG'!$Z$1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woFG'!$Z$2:$Z$132</c:f>
              <c:numCache>
                <c:formatCode>0.0000</c:formatCode>
                <c:ptCount val="131"/>
                <c:pt idx="0">
                  <c:v>-9.9978563028760903E-2</c:v>
                </c:pt>
                <c:pt idx="1">
                  <c:v>-9.0493735072627104E-2</c:v>
                </c:pt>
                <c:pt idx="2">
                  <c:v>-9.5177672176048805E-2</c:v>
                </c:pt>
                <c:pt idx="3">
                  <c:v>-9.2548084284100995E-2</c:v>
                </c:pt>
                <c:pt idx="4">
                  <c:v>-9.4542247696871196E-2</c:v>
                </c:pt>
                <c:pt idx="5">
                  <c:v>-9.7854644907691302E-2</c:v>
                </c:pt>
                <c:pt idx="6">
                  <c:v>-8.3694545503773005E-2</c:v>
                </c:pt>
                <c:pt idx="7">
                  <c:v>-5.1162173705283698E-2</c:v>
                </c:pt>
                <c:pt idx="8">
                  <c:v>-3.7464436438336302E-2</c:v>
                </c:pt>
                <c:pt idx="9">
                  <c:v>-2.64737763419211E-2</c:v>
                </c:pt>
                <c:pt idx="10">
                  <c:v>-4.33175668424031E-2</c:v>
                </c:pt>
                <c:pt idx="11">
                  <c:v>-3.0099007684472E-2</c:v>
                </c:pt>
                <c:pt idx="12">
                  <c:v>-3.1649797445328302E-2</c:v>
                </c:pt>
                <c:pt idx="13">
                  <c:v>-3.1615645625158999E-2</c:v>
                </c:pt>
                <c:pt idx="14">
                  <c:v>-2.1774607847629E-2</c:v>
                </c:pt>
                <c:pt idx="15">
                  <c:v>-4.3319194618868302E-2</c:v>
                </c:pt>
                <c:pt idx="16">
                  <c:v>-6.0369892570148201E-2</c:v>
                </c:pt>
                <c:pt idx="17">
                  <c:v>-6.5645686375101805E-2</c:v>
                </c:pt>
                <c:pt idx="18">
                  <c:v>-8.7670251988722997E-2</c:v>
                </c:pt>
                <c:pt idx="19">
                  <c:v>-8.3000839878612606E-2</c:v>
                </c:pt>
                <c:pt idx="20">
                  <c:v>-8.0661363496129707E-2</c:v>
                </c:pt>
                <c:pt idx="21">
                  <c:v>-8.5178942393604504E-2</c:v>
                </c:pt>
                <c:pt idx="22">
                  <c:v>-9.1634835600739303E-2</c:v>
                </c:pt>
                <c:pt idx="23">
                  <c:v>-8.5820764811643899E-2</c:v>
                </c:pt>
                <c:pt idx="24">
                  <c:v>-9.7468929113137898E-2</c:v>
                </c:pt>
                <c:pt idx="25">
                  <c:v>-9.1119812649056206E-2</c:v>
                </c:pt>
                <c:pt idx="26">
                  <c:v>-9.5154334832446896E-2</c:v>
                </c:pt>
                <c:pt idx="27">
                  <c:v>-0.105457437300936</c:v>
                </c:pt>
                <c:pt idx="28">
                  <c:v>-0.11834689783023999</c:v>
                </c:pt>
                <c:pt idx="29">
                  <c:v>-0.111275213585285</c:v>
                </c:pt>
                <c:pt idx="30">
                  <c:v>-0.11510662483526</c:v>
                </c:pt>
                <c:pt idx="31">
                  <c:v>-0.119160945552541</c:v>
                </c:pt>
                <c:pt idx="32">
                  <c:v>-0.11487555311808401</c:v>
                </c:pt>
                <c:pt idx="33">
                  <c:v>-0.117953135471455</c:v>
                </c:pt>
                <c:pt idx="34">
                  <c:v>-0.125597913387717</c:v>
                </c:pt>
                <c:pt idx="35">
                  <c:v>-0.123385816084379</c:v>
                </c:pt>
                <c:pt idx="36">
                  <c:v>-0.121891486435752</c:v>
                </c:pt>
                <c:pt idx="37">
                  <c:v>-0.13450480537767101</c:v>
                </c:pt>
                <c:pt idx="38">
                  <c:v>-0.13551749456593401</c:v>
                </c:pt>
                <c:pt idx="39">
                  <c:v>-0.137526326878601</c:v>
                </c:pt>
                <c:pt idx="40">
                  <c:v>-0.14395711345797599</c:v>
                </c:pt>
                <c:pt idx="41">
                  <c:v>-0.13970082214060001</c:v>
                </c:pt>
                <c:pt idx="42">
                  <c:v>-0.13993463027939801</c:v>
                </c:pt>
                <c:pt idx="43">
                  <c:v>-0.145297829673565</c:v>
                </c:pt>
                <c:pt idx="44">
                  <c:v>-0.14572709304308201</c:v>
                </c:pt>
                <c:pt idx="45">
                  <c:v>-0.140884736426341</c:v>
                </c:pt>
                <c:pt idx="46">
                  <c:v>-0.132211963967964</c:v>
                </c:pt>
                <c:pt idx="47">
                  <c:v>-0.127272466619057</c:v>
                </c:pt>
                <c:pt idx="48">
                  <c:v>-0.11222825198620601</c:v>
                </c:pt>
                <c:pt idx="49">
                  <c:v>-0.12812934126296899</c:v>
                </c:pt>
                <c:pt idx="50">
                  <c:v>-0.127618424958238</c:v>
                </c:pt>
                <c:pt idx="51">
                  <c:v>-0.119345877141045</c:v>
                </c:pt>
                <c:pt idx="52">
                  <c:v>-0.123927026317042</c:v>
                </c:pt>
                <c:pt idx="53">
                  <c:v>-0.12956773130857499</c:v>
                </c:pt>
                <c:pt idx="54">
                  <c:v>-0.139563165806877</c:v>
                </c:pt>
                <c:pt idx="55">
                  <c:v>-0.13096935159433601</c:v>
                </c:pt>
                <c:pt idx="56">
                  <c:v>-0.158504681285563</c:v>
                </c:pt>
                <c:pt idx="57">
                  <c:v>-0.198087475570313</c:v>
                </c:pt>
                <c:pt idx="58">
                  <c:v>-0.18253860796940199</c:v>
                </c:pt>
                <c:pt idx="59">
                  <c:v>-0.16361501281638</c:v>
                </c:pt>
                <c:pt idx="60">
                  <c:v>-0.16081164147108001</c:v>
                </c:pt>
                <c:pt idx="61">
                  <c:v>-0.16413371141581501</c:v>
                </c:pt>
                <c:pt idx="62">
                  <c:v>-0.15489273699270001</c:v>
                </c:pt>
                <c:pt idx="63">
                  <c:v>-0.154920537043373</c:v>
                </c:pt>
                <c:pt idx="64">
                  <c:v>-0.15587828197259501</c:v>
                </c:pt>
                <c:pt idx="65">
                  <c:v>-0.161835902942537</c:v>
                </c:pt>
                <c:pt idx="66">
                  <c:v>-0.15250710932225001</c:v>
                </c:pt>
                <c:pt idx="67">
                  <c:v>-0.15286543478265999</c:v>
                </c:pt>
                <c:pt idx="68">
                  <c:v>-0.16249663397403899</c:v>
                </c:pt>
                <c:pt idx="69">
                  <c:v>-0.16478724063563199</c:v>
                </c:pt>
                <c:pt idx="70">
                  <c:v>-0.17306390857123399</c:v>
                </c:pt>
                <c:pt idx="71">
                  <c:v>-0.17107207284220799</c:v>
                </c:pt>
                <c:pt idx="72">
                  <c:v>-0.169082893810171</c:v>
                </c:pt>
                <c:pt idx="73">
                  <c:v>-0.16710071510637101</c:v>
                </c:pt>
                <c:pt idx="74">
                  <c:v>-0.16512898712159799</c:v>
                </c:pt>
                <c:pt idx="75">
                  <c:v>-0.16317044078583001</c:v>
                </c:pt>
                <c:pt idx="76">
                  <c:v>-0.16122722719916599</c:v>
                </c:pt>
                <c:pt idx="77">
                  <c:v>-0.15930102989144601</c:v>
                </c:pt>
                <c:pt idx="78">
                  <c:v>-0.15739315513441801</c:v>
                </c:pt>
                <c:pt idx="79">
                  <c:v>-0.15550460464795399</c:v>
                </c:pt>
                <c:pt idx="80">
                  <c:v>-0.153636134176447</c:v>
                </c:pt>
                <c:pt idx="81">
                  <c:v>-0.151788300719332</c:v>
                </c:pt>
                <c:pt idx="82">
                  <c:v>-0.14996150064613001</c:v>
                </c:pt>
                <c:pt idx="83">
                  <c:v>-0.14815600048344599</c:v>
                </c:pt>
                <c:pt idx="84">
                  <c:v>-0.14637196180700901</c:v>
                </c:pt>
                <c:pt idx="85">
                  <c:v>-0.144609461388153</c:v>
                </c:pt>
                <c:pt idx="86">
                  <c:v>-0.142868507517043</c:v>
                </c:pt>
                <c:pt idx="87">
                  <c:v>-0.14114905324313001</c:v>
                </c:pt>
                <c:pt idx="88">
                  <c:v>-0.13945100712762801</c:v>
                </c:pt>
                <c:pt idx="89">
                  <c:v>-0.137774241986069</c:v>
                </c:pt>
                <c:pt idx="90">
                  <c:v>-0.13611860200543899</c:v>
                </c:pt>
                <c:pt idx="91">
                  <c:v>-0.13448390854536399</c:v>
                </c:pt>
                <c:pt idx="92">
                  <c:v>-0.13286996487257799</c:v>
                </c:pt>
                <c:pt idx="93">
                  <c:v>-0.131276560029635</c:v>
                </c:pt>
                <c:pt idx="94">
                  <c:v>-0.12970347199997501</c:v>
                </c:pt>
                <c:pt idx="95">
                  <c:v>-0.12815047030029</c:v>
                </c:pt>
                <c:pt idx="96">
                  <c:v>-0.12661731810605401</c:v>
                </c:pt>
                <c:pt idx="97">
                  <c:v>-0.12510377399591399</c:v>
                </c:pt>
                <c:pt idx="98">
                  <c:v>-0.12360959338437801</c:v>
                </c:pt>
                <c:pt idx="99">
                  <c:v>-0.122134529699154</c:v>
                </c:pt>
                <c:pt idx="100">
                  <c:v>-0.12067833534892999</c:v>
                </c:pt>
                <c:pt idx="101">
                  <c:v>-0.11924076251886</c:v>
                </c:pt>
                <c:pt idx="102">
                  <c:v>-0.11782156382412599</c:v>
                </c:pt>
                <c:pt idx="103">
                  <c:v>-0.116420492846368</c:v>
                </c:pt>
                <c:pt idx="104">
                  <c:v>-0.115037304573281</c:v>
                </c:pt>
                <c:pt idx="105">
                  <c:v>-0.11367175575796901</c:v>
                </c:pt>
                <c:pt idx="106">
                  <c:v>-0.112323605211718</c:v>
                </c:pt>
                <c:pt idx="107">
                  <c:v>-0.110992614041399</c:v>
                </c:pt>
                <c:pt idx="108">
                  <c:v>-0.10967854584075599</c:v>
                </c:pt>
                <c:pt idx="109">
                  <c:v>-0.108381166843209</c:v>
                </c:pt>
                <c:pt idx="110">
                  <c:v>-0.10710024604250699</c:v>
                </c:pt>
                <c:pt idx="111">
                  <c:v>-0.105835555286471</c:v>
                </c:pt>
                <c:pt idx="112">
                  <c:v>-0.104586869348192</c:v>
                </c:pt>
                <c:pt idx="113">
                  <c:v>-0.103353965978325</c:v>
                </c:pt>
                <c:pt idx="114">
                  <c:v>-0.102136625941502</c:v>
                </c:pt>
                <c:pt idx="115">
                  <c:v>-0.100934633039429</c:v>
                </c:pt>
                <c:pt idx="116">
                  <c:v>-9.9747774122779895E-2</c:v>
                </c:pt>
                <c:pt idx="117">
                  <c:v>-9.8575839093689804E-2</c:v>
                </c:pt>
                <c:pt idx="118">
                  <c:v>-9.7418620900366695E-2</c:v>
                </c:pt>
                <c:pt idx="119">
                  <c:v>-9.6275915525084799E-2</c:v>
                </c:pt>
                <c:pt idx="120">
                  <c:v>-9.5147521966648496E-2</c:v>
                </c:pt>
                <c:pt idx="121">
                  <c:v>-9.4033242218240803E-2</c:v>
                </c:pt>
                <c:pt idx="122">
                  <c:v>-9.2932881241433299E-2</c:v>
                </c:pt>
                <c:pt idx="123">
                  <c:v>-9.18462469370179E-2</c:v>
                </c:pt>
                <c:pt idx="124">
                  <c:v>-9.0773150113225606E-2</c:v>
                </c:pt>
                <c:pt idx="125">
                  <c:v>-8.9713404451810905E-2</c:v>
                </c:pt>
                <c:pt idx="126">
                  <c:v>-8.8666826472412294E-2</c:v>
                </c:pt>
                <c:pt idx="127">
                  <c:v>-8.76332354955391E-2</c:v>
                </c:pt>
                <c:pt idx="128">
                  <c:v>-8.6612453604484593E-2</c:v>
                </c:pt>
                <c:pt idx="129">
                  <c:v>-8.5604305606420295E-2</c:v>
                </c:pt>
                <c:pt idx="130">
                  <c:v>-8.4608618992893E-2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8-42EC-8B07-26162C01919B}"/>
            </c:ext>
          </c:extLst>
        </c:ser>
        <c:ser>
          <c:idx val="1"/>
          <c:order val="1"/>
          <c:tx>
            <c:strRef>
              <c:f>'DSGE HVD woFG'!$AA$1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woFG'!$AA$2:$AA$132</c:f>
              <c:numCache>
                <c:formatCode>0.0000</c:formatCode>
                <c:ptCount val="131"/>
                <c:pt idx="0">
                  <c:v>-0.154985917120638</c:v>
                </c:pt>
                <c:pt idx="1">
                  <c:v>-0.179892931784915</c:v>
                </c:pt>
                <c:pt idx="2">
                  <c:v>-0.35852263038029097</c:v>
                </c:pt>
                <c:pt idx="3">
                  <c:v>-0.506098476332139</c:v>
                </c:pt>
                <c:pt idx="4">
                  <c:v>-0.68145357352049596</c:v>
                </c:pt>
                <c:pt idx="5">
                  <c:v>-0.666296647567858</c:v>
                </c:pt>
                <c:pt idx="6">
                  <c:v>-0.80494646858027896</c:v>
                </c:pt>
                <c:pt idx="7">
                  <c:v>-1.4348625525810099</c:v>
                </c:pt>
                <c:pt idx="8">
                  <c:v>-1.22032408378082</c:v>
                </c:pt>
                <c:pt idx="9">
                  <c:v>-0.99360084831872397</c:v>
                </c:pt>
                <c:pt idx="10">
                  <c:v>-0.68899371157153999</c:v>
                </c:pt>
                <c:pt idx="11">
                  <c:v>-0.60245974479715503</c:v>
                </c:pt>
                <c:pt idx="12">
                  <c:v>-0.46842204801781701</c:v>
                </c:pt>
                <c:pt idx="13">
                  <c:v>-0.54831253436719896</c:v>
                </c:pt>
                <c:pt idx="14">
                  <c:v>-0.64699129918790999</c:v>
                </c:pt>
                <c:pt idx="15">
                  <c:v>-0.64320730083890298</c:v>
                </c:pt>
                <c:pt idx="16">
                  <c:v>-0.50339195366031597</c:v>
                </c:pt>
                <c:pt idx="17">
                  <c:v>-0.59893156260416203</c:v>
                </c:pt>
                <c:pt idx="18">
                  <c:v>-0.77002926116769899</c:v>
                </c:pt>
                <c:pt idx="19">
                  <c:v>-0.81965246808738901</c:v>
                </c:pt>
                <c:pt idx="20">
                  <c:v>-0.793225297604635</c:v>
                </c:pt>
                <c:pt idx="21">
                  <c:v>-0.89312555677446204</c:v>
                </c:pt>
                <c:pt idx="22">
                  <c:v>-0.80663224821920798</c:v>
                </c:pt>
                <c:pt idx="23">
                  <c:v>-0.791665063186343</c:v>
                </c:pt>
                <c:pt idx="24">
                  <c:v>-0.79932566522366899</c:v>
                </c:pt>
                <c:pt idx="25">
                  <c:v>-0.80624194975637897</c:v>
                </c:pt>
                <c:pt idx="26">
                  <c:v>-0.73869767374041795</c:v>
                </c:pt>
                <c:pt idx="27">
                  <c:v>-0.72062203820079895</c:v>
                </c:pt>
                <c:pt idx="28">
                  <c:v>-0.69414312161213698</c:v>
                </c:pt>
                <c:pt idx="29">
                  <c:v>-0.71435160837171896</c:v>
                </c:pt>
                <c:pt idx="30">
                  <c:v>-0.76647834064271303</c:v>
                </c:pt>
                <c:pt idx="31">
                  <c:v>-0.86898244355102605</c:v>
                </c:pt>
                <c:pt idx="32">
                  <c:v>-0.93971533081906999</c:v>
                </c:pt>
                <c:pt idx="33">
                  <c:v>-0.96519906872184202</c:v>
                </c:pt>
                <c:pt idx="34">
                  <c:v>-1.11319310325527</c:v>
                </c:pt>
                <c:pt idx="35">
                  <c:v>-1.10253625282666</c:v>
                </c:pt>
                <c:pt idx="36">
                  <c:v>-1.26056272834667</c:v>
                </c:pt>
                <c:pt idx="37">
                  <c:v>-1.12590633440943</c:v>
                </c:pt>
                <c:pt idx="38">
                  <c:v>-1.08539973037889</c:v>
                </c:pt>
                <c:pt idx="39">
                  <c:v>-0.93666726245213305</c:v>
                </c:pt>
                <c:pt idx="40">
                  <c:v>-0.83494174381771402</c:v>
                </c:pt>
                <c:pt idx="41">
                  <c:v>-0.80127705063798604</c:v>
                </c:pt>
                <c:pt idx="42">
                  <c:v>-0.71923842396916504</c:v>
                </c:pt>
                <c:pt idx="43">
                  <c:v>-0.62598101534480199</c:v>
                </c:pt>
                <c:pt idx="44">
                  <c:v>-0.53714645109719406</c:v>
                </c:pt>
                <c:pt idx="45">
                  <c:v>-0.58721754073995303</c:v>
                </c:pt>
                <c:pt idx="46">
                  <c:v>-0.559680174782064</c:v>
                </c:pt>
                <c:pt idx="47">
                  <c:v>-0.60738694391723602</c:v>
                </c:pt>
                <c:pt idx="48">
                  <c:v>-0.64862907995425301</c:v>
                </c:pt>
                <c:pt idx="49">
                  <c:v>-0.66231419887295495</c:v>
                </c:pt>
                <c:pt idx="50">
                  <c:v>-0.65676263748260599</c:v>
                </c:pt>
                <c:pt idx="51">
                  <c:v>-0.58869135735862099</c:v>
                </c:pt>
                <c:pt idx="52">
                  <c:v>-0.79307268770661998</c:v>
                </c:pt>
                <c:pt idx="53">
                  <c:v>-0.88571520164976003</c:v>
                </c:pt>
                <c:pt idx="54">
                  <c:v>-0.717624916921622</c:v>
                </c:pt>
                <c:pt idx="55">
                  <c:v>-0.58650216213405704</c:v>
                </c:pt>
                <c:pt idx="56">
                  <c:v>-0.43924078489912999</c:v>
                </c:pt>
                <c:pt idx="57">
                  <c:v>-0.366174027445826</c:v>
                </c:pt>
                <c:pt idx="58">
                  <c:v>-0.32735517720011498</c:v>
                </c:pt>
                <c:pt idx="59">
                  <c:v>-0.32193092488806602</c:v>
                </c:pt>
                <c:pt idx="60">
                  <c:v>-0.44333422198414602</c:v>
                </c:pt>
                <c:pt idx="61">
                  <c:v>-0.35405222447881202</c:v>
                </c:pt>
                <c:pt idx="62">
                  <c:v>-0.29028640422250201</c:v>
                </c:pt>
                <c:pt idx="63">
                  <c:v>-0.23935864198090601</c:v>
                </c:pt>
                <c:pt idx="64">
                  <c:v>-0.233489262319095</c:v>
                </c:pt>
                <c:pt idx="65">
                  <c:v>-0.23971461638024799</c:v>
                </c:pt>
                <c:pt idx="66">
                  <c:v>-7.9030365234388694E-2</c:v>
                </c:pt>
                <c:pt idx="67">
                  <c:v>-6.0451129937793703E-2</c:v>
                </c:pt>
                <c:pt idx="68">
                  <c:v>-9.6077797829872094E-2</c:v>
                </c:pt>
                <c:pt idx="69">
                  <c:v>-8.98709283629609E-2</c:v>
                </c:pt>
                <c:pt idx="70">
                  <c:v>-0.12828041779680899</c:v>
                </c:pt>
                <c:pt idx="71">
                  <c:v>-0.12699781963962101</c:v>
                </c:pt>
                <c:pt idx="72">
                  <c:v>-0.125727948389079</c:v>
                </c:pt>
                <c:pt idx="73">
                  <c:v>-0.124470724421024</c:v>
                </c:pt>
                <c:pt idx="74">
                  <c:v>-0.123226045995211</c:v>
                </c:pt>
                <c:pt idx="75">
                  <c:v>-0.12199380049495399</c:v>
                </c:pt>
                <c:pt idx="76">
                  <c:v>-0.12077387025561601</c:v>
                </c:pt>
                <c:pt idx="77">
                  <c:v>-0.11956613558420599</c:v>
                </c:pt>
                <c:pt idx="78">
                  <c:v>-0.118370476320942</c:v>
                </c:pt>
                <c:pt idx="79">
                  <c:v>-0.11718677264399401</c:v>
                </c:pt>
                <c:pt idx="80">
                  <c:v>-0.116014905481435</c:v>
                </c:pt>
                <c:pt idx="81">
                  <c:v>-0.114854756719332</c:v>
                </c:pt>
                <c:pt idx="82">
                  <c:v>-0.113706209304086</c:v>
                </c:pt>
                <c:pt idx="83">
                  <c:v>-0.112569147289922</c:v>
                </c:pt>
                <c:pt idx="84">
                  <c:v>-0.111443455857967</c:v>
                </c:pt>
                <c:pt idx="85">
                  <c:v>-0.110329021320642</c:v>
                </c:pt>
                <c:pt idx="86">
                  <c:v>-0.109225731118469</c:v>
                </c:pt>
                <c:pt idx="87">
                  <c:v>-0.108133473813012</c:v>
                </c:pt>
                <c:pt idx="88">
                  <c:v>-0.107052139077855</c:v>
                </c:pt>
                <c:pt idx="89">
                  <c:v>-0.105981617688619</c:v>
                </c:pt>
                <c:pt idx="90">
                  <c:v>-0.104921801512534</c:v>
                </c:pt>
                <c:pt idx="91">
                  <c:v>-0.10387258349782499</c:v>
                </c:pt>
                <c:pt idx="92">
                  <c:v>-0.10283385766306199</c:v>
                </c:pt>
                <c:pt idx="93">
                  <c:v>-0.10180551908654401</c:v>
                </c:pt>
                <c:pt idx="94">
                  <c:v>-0.10078746389573701</c:v>
                </c:pt>
                <c:pt idx="95">
                  <c:v>-9.9779589256809895E-2</c:v>
                </c:pt>
                <c:pt idx="96">
                  <c:v>-9.8781793364257395E-2</c:v>
                </c:pt>
                <c:pt idx="97">
                  <c:v>-9.7793975430623001E-2</c:v>
                </c:pt>
                <c:pt idx="98">
                  <c:v>-9.6816035676320994E-2</c:v>
                </c:pt>
                <c:pt idx="99">
                  <c:v>-9.5847875319560003E-2</c:v>
                </c:pt>
                <c:pt idx="100">
                  <c:v>-9.4889396566365497E-2</c:v>
                </c:pt>
                <c:pt idx="101">
                  <c:v>-9.3940502600702497E-2</c:v>
                </c:pt>
                <c:pt idx="102">
                  <c:v>-9.3001097574695796E-2</c:v>
                </c:pt>
                <c:pt idx="103">
                  <c:v>-9.2071086598948901E-2</c:v>
                </c:pt>
                <c:pt idx="104">
                  <c:v>-9.1150375732959504E-2</c:v>
                </c:pt>
                <c:pt idx="105">
                  <c:v>-9.0238871975629895E-2</c:v>
                </c:pt>
                <c:pt idx="106">
                  <c:v>-8.9336483255873594E-2</c:v>
                </c:pt>
                <c:pt idx="107">
                  <c:v>-8.8443118423314898E-2</c:v>
                </c:pt>
                <c:pt idx="108">
                  <c:v>-8.7558687239081806E-2</c:v>
                </c:pt>
                <c:pt idx="109">
                  <c:v>-8.6683100366690996E-2</c:v>
                </c:pt>
                <c:pt idx="110">
                  <c:v>-8.5816269363024097E-2</c:v>
                </c:pt>
                <c:pt idx="111">
                  <c:v>-8.4958106669393796E-2</c:v>
                </c:pt>
                <c:pt idx="112">
                  <c:v>-8.4108525602699893E-2</c:v>
                </c:pt>
                <c:pt idx="113">
                  <c:v>-8.3267440346672897E-2</c:v>
                </c:pt>
                <c:pt idx="114">
                  <c:v>-8.2434765943206104E-2</c:v>
                </c:pt>
                <c:pt idx="115">
                  <c:v>-8.1610418283774105E-2</c:v>
                </c:pt>
                <c:pt idx="116">
                  <c:v>-8.0794314100936293E-2</c:v>
                </c:pt>
                <c:pt idx="117">
                  <c:v>-7.9986370959927E-2</c:v>
                </c:pt>
                <c:pt idx="118">
                  <c:v>-7.9186507250327706E-2</c:v>
                </c:pt>
                <c:pt idx="119">
                  <c:v>-7.8394642177824395E-2</c:v>
                </c:pt>
                <c:pt idx="120">
                  <c:v>-7.7610695756046205E-2</c:v>
                </c:pt>
                <c:pt idx="121">
                  <c:v>-7.6834588798485703E-2</c:v>
                </c:pt>
                <c:pt idx="122">
                  <c:v>-7.6066242910500903E-2</c:v>
                </c:pt>
                <c:pt idx="123">
                  <c:v>-7.5305580481395795E-2</c:v>
                </c:pt>
                <c:pt idx="124">
                  <c:v>-7.4552524676581897E-2</c:v>
                </c:pt>
                <c:pt idx="125">
                  <c:v>-7.3806999429816098E-2</c:v>
                </c:pt>
                <c:pt idx="126">
                  <c:v>-7.3068929435517904E-2</c:v>
                </c:pt>
                <c:pt idx="127">
                  <c:v>-7.2338240141162705E-2</c:v>
                </c:pt>
                <c:pt idx="128">
                  <c:v>-7.1614857739751098E-2</c:v>
                </c:pt>
                <c:pt idx="129">
                  <c:v>-7.0898709162353593E-2</c:v>
                </c:pt>
                <c:pt idx="130">
                  <c:v>-7.0189722070730098E-2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58-42EC-8B07-26162C01919B}"/>
            </c:ext>
          </c:extLst>
        </c:ser>
        <c:ser>
          <c:idx val="2"/>
          <c:order val="2"/>
          <c:tx>
            <c:strRef>
              <c:f>'DSGE HVD woFG'!$AB$1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woFG'!$AB$2:$AB$132</c:f>
              <c:numCache>
                <c:formatCode>0.0000</c:formatCode>
                <c:ptCount val="131"/>
                <c:pt idx="0">
                  <c:v>0.25348034143512199</c:v>
                </c:pt>
                <c:pt idx="1">
                  <c:v>0.28516777923665598</c:v>
                </c:pt>
                <c:pt idx="2">
                  <c:v>0.271119077925911</c:v>
                </c:pt>
                <c:pt idx="3">
                  <c:v>0.22217413049781101</c:v>
                </c:pt>
                <c:pt idx="4">
                  <c:v>0.14069021783895999</c:v>
                </c:pt>
                <c:pt idx="5">
                  <c:v>0.143021395832999</c:v>
                </c:pt>
                <c:pt idx="6">
                  <c:v>8.1173996017254904E-2</c:v>
                </c:pt>
                <c:pt idx="7">
                  <c:v>-0.25044652137629397</c:v>
                </c:pt>
                <c:pt idx="8">
                  <c:v>-0.18175419755265901</c:v>
                </c:pt>
                <c:pt idx="9">
                  <c:v>-0.104578481002988</c:v>
                </c:pt>
                <c:pt idx="10">
                  <c:v>3.3900906970862899E-2</c:v>
                </c:pt>
                <c:pt idx="11">
                  <c:v>6.09114293776674E-2</c:v>
                </c:pt>
                <c:pt idx="12">
                  <c:v>0.124013420035627</c:v>
                </c:pt>
                <c:pt idx="13">
                  <c:v>4.4095324864127601E-2</c:v>
                </c:pt>
                <c:pt idx="14">
                  <c:v>2.6367831959021301E-2</c:v>
                </c:pt>
                <c:pt idx="15">
                  <c:v>7.2999260802330601E-2</c:v>
                </c:pt>
                <c:pt idx="16">
                  <c:v>9.5046537643726295E-2</c:v>
                </c:pt>
                <c:pt idx="17">
                  <c:v>0.11655462761706099</c:v>
                </c:pt>
                <c:pt idx="18">
                  <c:v>1.58039091327947E-2</c:v>
                </c:pt>
                <c:pt idx="19">
                  <c:v>1.3125574144345399E-2</c:v>
                </c:pt>
                <c:pt idx="20">
                  <c:v>-3.9682129831459297E-3</c:v>
                </c:pt>
                <c:pt idx="21">
                  <c:v>-1.6085192019755602E-2</c:v>
                </c:pt>
                <c:pt idx="22">
                  <c:v>-3.1785859017389902E-2</c:v>
                </c:pt>
                <c:pt idx="23">
                  <c:v>6.9560367802039696E-3</c:v>
                </c:pt>
                <c:pt idx="24">
                  <c:v>6.2179440533428297E-2</c:v>
                </c:pt>
                <c:pt idx="25">
                  <c:v>0.10984965041917</c:v>
                </c:pt>
                <c:pt idx="26">
                  <c:v>0.12294896632847099</c:v>
                </c:pt>
                <c:pt idx="27">
                  <c:v>0.18194056694239</c:v>
                </c:pt>
                <c:pt idx="28">
                  <c:v>0.167453054008771</c:v>
                </c:pt>
                <c:pt idx="29">
                  <c:v>0.18325447602850001</c:v>
                </c:pt>
                <c:pt idx="30">
                  <c:v>0.18963334411617</c:v>
                </c:pt>
                <c:pt idx="31">
                  <c:v>0.13837637634446001</c:v>
                </c:pt>
                <c:pt idx="32">
                  <c:v>0.100175333248047</c:v>
                </c:pt>
                <c:pt idx="33">
                  <c:v>0.110533828238294</c:v>
                </c:pt>
                <c:pt idx="34">
                  <c:v>6.1113727907729801E-2</c:v>
                </c:pt>
                <c:pt idx="35">
                  <c:v>3.91082061710884E-2</c:v>
                </c:pt>
                <c:pt idx="36">
                  <c:v>2.7336973852379501E-2</c:v>
                </c:pt>
                <c:pt idx="37">
                  <c:v>6.0937053373189998E-2</c:v>
                </c:pt>
                <c:pt idx="38">
                  <c:v>0.104377790531262</c:v>
                </c:pt>
                <c:pt idx="39">
                  <c:v>0.16580174034887499</c:v>
                </c:pt>
                <c:pt idx="40">
                  <c:v>0.191153053446878</c:v>
                </c:pt>
                <c:pt idx="41">
                  <c:v>0.185373910002222</c:v>
                </c:pt>
                <c:pt idx="42">
                  <c:v>0.18103331610285101</c:v>
                </c:pt>
                <c:pt idx="43">
                  <c:v>0.16751848937000999</c:v>
                </c:pt>
                <c:pt idx="44">
                  <c:v>0.17663367974411401</c:v>
                </c:pt>
                <c:pt idx="45">
                  <c:v>0.16839157779556799</c:v>
                </c:pt>
                <c:pt idx="46">
                  <c:v>0.16537017809483301</c:v>
                </c:pt>
                <c:pt idx="47">
                  <c:v>0.12969325631001599</c:v>
                </c:pt>
                <c:pt idx="48">
                  <c:v>7.3149497253332904E-2</c:v>
                </c:pt>
                <c:pt idx="49">
                  <c:v>8.3008189016326603E-2</c:v>
                </c:pt>
                <c:pt idx="50">
                  <c:v>9.9984981204624901E-2</c:v>
                </c:pt>
                <c:pt idx="51">
                  <c:v>0.109662925668675</c:v>
                </c:pt>
                <c:pt idx="52">
                  <c:v>1.01338406176753E-2</c:v>
                </c:pt>
                <c:pt idx="53">
                  <c:v>-7.9479266828179101E-2</c:v>
                </c:pt>
                <c:pt idx="54">
                  <c:v>-7.0910403781761902E-2</c:v>
                </c:pt>
                <c:pt idx="55">
                  <c:v>-5.09021146009557E-2</c:v>
                </c:pt>
                <c:pt idx="56">
                  <c:v>6.6759392717142194E-2</c:v>
                </c:pt>
                <c:pt idx="57">
                  <c:v>9.4109227003337501E-2</c:v>
                </c:pt>
                <c:pt idx="58">
                  <c:v>0.10585840698514799</c:v>
                </c:pt>
                <c:pt idx="59">
                  <c:v>0.13534883360642</c:v>
                </c:pt>
                <c:pt idx="60">
                  <c:v>0.15819713977651101</c:v>
                </c:pt>
                <c:pt idx="61">
                  <c:v>0.241343202347858</c:v>
                </c:pt>
                <c:pt idx="62">
                  <c:v>0.29374628590519702</c:v>
                </c:pt>
                <c:pt idx="63">
                  <c:v>0.34232106472177298</c:v>
                </c:pt>
                <c:pt idx="64">
                  <c:v>0.31739258191987602</c:v>
                </c:pt>
                <c:pt idx="65">
                  <c:v>0.34550865978247702</c:v>
                </c:pt>
                <c:pt idx="66">
                  <c:v>0.41855031136103799</c:v>
                </c:pt>
                <c:pt idx="67">
                  <c:v>0.42227925788713699</c:v>
                </c:pt>
                <c:pt idx="68">
                  <c:v>0.43522038244167199</c:v>
                </c:pt>
                <c:pt idx="69">
                  <c:v>0.48627179567766698</c:v>
                </c:pt>
                <c:pt idx="70">
                  <c:v>0.477826531351566</c:v>
                </c:pt>
                <c:pt idx="71">
                  <c:v>0.472690257236627</c:v>
                </c:pt>
                <c:pt idx="72">
                  <c:v>0.46771396900566697</c:v>
                </c:pt>
                <c:pt idx="73">
                  <c:v>0.46286310954541299</c:v>
                </c:pt>
                <c:pt idx="74">
                  <c:v>0.45811346684597298</c:v>
                </c:pt>
                <c:pt idx="75">
                  <c:v>0.45344803660031702</c:v>
                </c:pt>
                <c:pt idx="76">
                  <c:v>0.44885483670576598</c:v>
                </c:pt>
                <c:pt idx="77">
                  <c:v>0.44432538485186401</c:v>
                </c:pt>
                <c:pt idx="78">
                  <c:v>0.43985363800830002</c:v>
                </c:pt>
                <c:pt idx="79">
                  <c:v>0.43543525366831598</c:v>
                </c:pt>
                <c:pt idx="80">
                  <c:v>0.43106707522419102</c:v>
                </c:pt>
                <c:pt idx="81">
                  <c:v>0.42674677347120599</c:v>
                </c:pt>
                <c:pt idx="82">
                  <c:v>0.42247259686941002</c:v>
                </c:pt>
                <c:pt idx="83">
                  <c:v>0.41824319756522998</c:v>
                </c:pt>
                <c:pt idx="84">
                  <c:v>0.41405751018679599</c:v>
                </c:pt>
                <c:pt idx="85">
                  <c:v>0.40991466740110799</c:v>
                </c:pt>
                <c:pt idx="86">
                  <c:v>0.40581394107927499</c:v>
                </c:pt>
                <c:pt idx="87">
                  <c:v>0.40175470130024998</c:v>
                </c:pt>
                <c:pt idx="88">
                  <c:v>0.39773638778079501</c:v>
                </c:pt>
                <c:pt idx="89">
                  <c:v>0.39375848996159801</c:v>
                </c:pt>
                <c:pt idx="90">
                  <c:v>0.38982053312329201</c:v>
                </c:pt>
                <c:pt idx="91">
                  <c:v>0.38592206870296702</c:v>
                </c:pt>
                <c:pt idx="92">
                  <c:v>0.38206266753684398</c:v>
                </c:pt>
                <c:pt idx="93">
                  <c:v>0.378241915141389</c:v>
                </c:pt>
                <c:pt idx="94">
                  <c:v>0.37445940841451197</c:v>
                </c:pt>
                <c:pt idx="95">
                  <c:v>0.37071475332609999</c:v>
                </c:pt>
                <c:pt idx="96">
                  <c:v>0.36700756329782402</c:v>
                </c:pt>
                <c:pt idx="97">
                  <c:v>0.363337458063207</c:v>
                </c:pt>
                <c:pt idx="98">
                  <c:v>0.35970406286234402</c:v>
                </c:pt>
                <c:pt idx="99">
                  <c:v>0.356107007869856</c:v>
                </c:pt>
                <c:pt idx="100">
                  <c:v>0.35254592778542099</c:v>
                </c:pt>
                <c:pt idx="101">
                  <c:v>0.34902046153766197</c:v>
                </c:pt>
                <c:pt idx="102">
                  <c:v>0.34553025206711402</c:v>
                </c:pt>
                <c:pt idx="103">
                  <c:v>0.342074946164375</c:v>
                </c:pt>
                <c:pt idx="104">
                  <c:v>0.33865419434681299</c:v>
                </c:pt>
                <c:pt idx="105">
                  <c:v>0.33526765076223403</c:v>
                </c:pt>
                <c:pt idx="106">
                  <c:v>0.33191497311142898</c:v>
                </c:pt>
                <c:pt idx="107">
                  <c:v>0.32859582258398401</c:v>
                </c:pt>
                <c:pt idx="108">
                  <c:v>0.32530986380342802</c:v>
                </c:pt>
                <c:pt idx="109">
                  <c:v>0.32205676477898298</c:v>
                </c:pt>
                <c:pt idx="110">
                  <c:v>0.31883619686202302</c:v>
                </c:pt>
                <c:pt idx="111">
                  <c:v>0.31564783470590202</c:v>
                </c:pt>
                <c:pt idx="112">
                  <c:v>0.31249135622823099</c:v>
                </c:pt>
                <c:pt idx="113">
                  <c:v>0.30936644257496598</c:v>
                </c:pt>
                <c:pt idx="114">
                  <c:v>0.30627277808583803</c:v>
                </c:pt>
                <c:pt idx="115">
                  <c:v>0.30321005026083198</c:v>
                </c:pt>
                <c:pt idx="116">
                  <c:v>0.30017794972746997</c:v>
                </c:pt>
                <c:pt idx="117">
                  <c:v>0.29717617020877302</c:v>
                </c:pt>
                <c:pt idx="118">
                  <c:v>0.29420440849176199</c:v>
                </c:pt>
                <c:pt idx="119">
                  <c:v>0.29126236439644998</c:v>
                </c:pt>
                <c:pt idx="120">
                  <c:v>0.288349740745244</c:v>
                </c:pt>
                <c:pt idx="121">
                  <c:v>0.285466243332748</c:v>
                </c:pt>
                <c:pt idx="122">
                  <c:v>0.28261158089590699</c:v>
                </c:pt>
                <c:pt idx="123">
                  <c:v>0.27978546508449997</c:v>
                </c:pt>
                <c:pt idx="124">
                  <c:v>0.27698761043195003</c:v>
                </c:pt>
                <c:pt idx="125">
                  <c:v>0.27421773432644297</c:v>
                </c:pt>
                <c:pt idx="126">
                  <c:v>0.27147555698235198</c:v>
                </c:pt>
                <c:pt idx="127">
                  <c:v>0.26876080141195202</c:v>
                </c:pt>
                <c:pt idx="128">
                  <c:v>0.26607319339743102</c:v>
                </c:pt>
                <c:pt idx="129">
                  <c:v>0.26341246146317698</c:v>
                </c:pt>
                <c:pt idx="130">
                  <c:v>0.260778336848351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58-42EC-8B07-26162C01919B}"/>
            </c:ext>
          </c:extLst>
        </c:ser>
        <c:ser>
          <c:idx val="3"/>
          <c:order val="3"/>
          <c:tx>
            <c:strRef>
              <c:f>'DSGE HVD woFG'!$AC$1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woFG'!$AC$2:$AC$132</c:f>
              <c:numCache>
                <c:formatCode>0.0000</c:formatCode>
                <c:ptCount val="131"/>
                <c:pt idx="0">
                  <c:v>2.6012713958478401E-2</c:v>
                </c:pt>
                <c:pt idx="1">
                  <c:v>-0.14548643390483512</c:v>
                </c:pt>
                <c:pt idx="2">
                  <c:v>-0.18167839855996798</c:v>
                </c:pt>
                <c:pt idx="3">
                  <c:v>-0.17533458223127002</c:v>
                </c:pt>
                <c:pt idx="4">
                  <c:v>-0.31026915175671199</c:v>
                </c:pt>
                <c:pt idx="5">
                  <c:v>-0.38679345200314497</c:v>
                </c:pt>
                <c:pt idx="6">
                  <c:v>-0.47302325516203603</c:v>
                </c:pt>
                <c:pt idx="7">
                  <c:v>-0.66069652168062409</c:v>
                </c:pt>
                <c:pt idx="8">
                  <c:v>-0.68661682411273306</c:v>
                </c:pt>
                <c:pt idx="9">
                  <c:v>-0.5975758282252952</c:v>
                </c:pt>
                <c:pt idx="10">
                  <c:v>-0.54116995321701711</c:v>
                </c:pt>
                <c:pt idx="11">
                  <c:v>-0.47979895596503402</c:v>
                </c:pt>
                <c:pt idx="12">
                  <c:v>-0.61171059371434222</c:v>
                </c:pt>
                <c:pt idx="13">
                  <c:v>-0.70778796719107595</c:v>
                </c:pt>
                <c:pt idx="14">
                  <c:v>-0.67516062221199136</c:v>
                </c:pt>
                <c:pt idx="15">
                  <c:v>-0.66226823050049599</c:v>
                </c:pt>
                <c:pt idx="16">
                  <c:v>-0.54907073089427438</c:v>
                </c:pt>
                <c:pt idx="17">
                  <c:v>-0.76795731238212994</c:v>
                </c:pt>
                <c:pt idx="18">
                  <c:v>-0.91154792977368926</c:v>
                </c:pt>
                <c:pt idx="19">
                  <c:v>-1.105879942866302</c:v>
                </c:pt>
                <c:pt idx="20">
                  <c:v>-0.89428045377117227</c:v>
                </c:pt>
                <c:pt idx="21">
                  <c:v>-1.0574704481859629</c:v>
                </c:pt>
                <c:pt idx="22">
                  <c:v>-0.97484466512675005</c:v>
                </c:pt>
                <c:pt idx="23">
                  <c:v>-0.822398628293037</c:v>
                </c:pt>
                <c:pt idx="24">
                  <c:v>-0.96780030176211385</c:v>
                </c:pt>
                <c:pt idx="25">
                  <c:v>-0.9739997554717218</c:v>
                </c:pt>
                <c:pt idx="26">
                  <c:v>-0.98494010029274903</c:v>
                </c:pt>
                <c:pt idx="27">
                  <c:v>-1.030379425217844</c:v>
                </c:pt>
                <c:pt idx="28">
                  <c:v>-0.95379376845669794</c:v>
                </c:pt>
                <c:pt idx="29">
                  <c:v>-0.99027125240216696</c:v>
                </c:pt>
                <c:pt idx="30">
                  <c:v>-1.0035448939573941</c:v>
                </c:pt>
                <c:pt idx="31">
                  <c:v>-0.96281043534510802</c:v>
                </c:pt>
                <c:pt idx="32">
                  <c:v>-0.90114934955455495</c:v>
                </c:pt>
                <c:pt idx="33">
                  <c:v>-0.83875959269782696</c:v>
                </c:pt>
                <c:pt idx="34">
                  <c:v>-0.86434725582429395</c:v>
                </c:pt>
                <c:pt idx="35">
                  <c:v>-0.8585520848219359</c:v>
                </c:pt>
                <c:pt idx="36">
                  <c:v>-0.8471148485446629</c:v>
                </c:pt>
                <c:pt idx="37">
                  <c:v>-0.84732038247686603</c:v>
                </c:pt>
                <c:pt idx="38">
                  <c:v>-0.84006567507358298</c:v>
                </c:pt>
                <c:pt idx="39">
                  <c:v>-0.81724472131444104</c:v>
                </c:pt>
                <c:pt idx="40">
                  <c:v>-0.79364725948422499</c:v>
                </c:pt>
                <c:pt idx="41">
                  <c:v>-0.78733723528067801</c:v>
                </c:pt>
                <c:pt idx="42">
                  <c:v>-0.69834195864457405</c:v>
                </c:pt>
                <c:pt idx="43">
                  <c:v>-0.633010745696858</c:v>
                </c:pt>
                <c:pt idx="44">
                  <c:v>-0.61697202778790694</c:v>
                </c:pt>
                <c:pt idx="45">
                  <c:v>-0.66657682009865704</c:v>
                </c:pt>
                <c:pt idx="46">
                  <c:v>-0.61890394583170394</c:v>
                </c:pt>
                <c:pt idx="47">
                  <c:v>-0.61633290881155101</c:v>
                </c:pt>
                <c:pt idx="48">
                  <c:v>-0.56642884471466592</c:v>
                </c:pt>
                <c:pt idx="49">
                  <c:v>-0.631657654757661</c:v>
                </c:pt>
                <c:pt idx="50">
                  <c:v>-0.66519971779248099</c:v>
                </c:pt>
                <c:pt idx="51">
                  <c:v>-0.556372153627404</c:v>
                </c:pt>
                <c:pt idx="52">
                  <c:v>-0.57973025488227603</c:v>
                </c:pt>
                <c:pt idx="53">
                  <c:v>-0.61089627040463301</c:v>
                </c:pt>
                <c:pt idx="54">
                  <c:v>-0.38299846067597898</c:v>
                </c:pt>
                <c:pt idx="55">
                  <c:v>-0.41557375165791799</c:v>
                </c:pt>
                <c:pt idx="56">
                  <c:v>-0.34706820394082</c:v>
                </c:pt>
                <c:pt idx="57">
                  <c:v>-0.26411224482448681</c:v>
                </c:pt>
                <c:pt idx="58">
                  <c:v>-0.40614982665432797</c:v>
                </c:pt>
                <c:pt idx="59">
                  <c:v>-0.46480045708810702</c:v>
                </c:pt>
                <c:pt idx="60">
                  <c:v>-0.54024973049730596</c:v>
                </c:pt>
                <c:pt idx="61">
                  <c:v>-0.78070210182132493</c:v>
                </c:pt>
                <c:pt idx="62">
                  <c:v>-0.79981459743862005</c:v>
                </c:pt>
                <c:pt idx="63">
                  <c:v>-0.95125695440741198</c:v>
                </c:pt>
                <c:pt idx="64">
                  <c:v>-0.61488270078752394</c:v>
                </c:pt>
                <c:pt idx="65">
                  <c:v>-0.67812788498431797</c:v>
                </c:pt>
                <c:pt idx="66">
                  <c:v>-0.62179102362729999</c:v>
                </c:pt>
                <c:pt idx="67">
                  <c:v>-0.66625214898787699</c:v>
                </c:pt>
                <c:pt idx="68">
                  <c:v>-0.49462664838708803</c:v>
                </c:pt>
                <c:pt idx="69">
                  <c:v>-0.58420603598251297</c:v>
                </c:pt>
                <c:pt idx="70">
                  <c:v>-0.65396894964448904</c:v>
                </c:pt>
                <c:pt idx="71">
                  <c:v>-0.64433304553764104</c:v>
                </c:pt>
                <c:pt idx="72">
                  <c:v>-0.63420018632127406</c:v>
                </c:pt>
                <c:pt idx="73">
                  <c:v>-0.62365945521939192</c:v>
                </c:pt>
                <c:pt idx="74">
                  <c:v>-0.61279593183709702</c:v>
                </c:pt>
                <c:pt idx="75">
                  <c:v>-0.60168920521232505</c:v>
                </c:pt>
                <c:pt idx="76">
                  <c:v>-0.59041249160815601</c:v>
                </c:pt>
                <c:pt idx="77">
                  <c:v>-0.57903219736157896</c:v>
                </c:pt>
                <c:pt idx="78">
                  <c:v>-0.56760780384056297</c:v>
                </c:pt>
                <c:pt idx="79">
                  <c:v>-0.55619198035149897</c:v>
                </c:pt>
                <c:pt idx="80">
                  <c:v>-0.54483085334918302</c:v>
                </c:pt>
                <c:pt idx="81">
                  <c:v>-0.53356437785393296</c:v>
                </c:pt>
                <c:pt idx="82">
                  <c:v>-0.52242677062418297</c:v>
                </c:pt>
                <c:pt idx="83">
                  <c:v>-0.51144697519972004</c:v>
                </c:pt>
                <c:pt idx="84">
                  <c:v>-0.50064913707959002</c:v>
                </c:pt>
                <c:pt idx="85">
                  <c:v>-0.49005307355101502</c:v>
                </c:pt>
                <c:pt idx="86">
                  <c:v>-0.47967472745386397</c:v>
                </c:pt>
                <c:pt idx="87">
                  <c:v>-0.46952659777500599</c:v>
                </c:pt>
                <c:pt idx="88">
                  <c:v>-0.45961814267511403</c:v>
                </c:pt>
                <c:pt idx="89">
                  <c:v>-0.44995615255956101</c:v>
                </c:pt>
                <c:pt idx="90">
                  <c:v>-0.44054509227404903</c:v>
                </c:pt>
                <c:pt idx="91">
                  <c:v>-0.43138741255958701</c:v>
                </c:pt>
                <c:pt idx="92">
                  <c:v>-0.42248383163793102</c:v>
                </c:pt>
                <c:pt idx="93">
                  <c:v>-0.41383358829441097</c:v>
                </c:pt>
                <c:pt idx="94">
                  <c:v>-0.40543466813943702</c:v>
                </c:pt>
                <c:pt idx="95">
                  <c:v>-0.39728400490936999</c:v>
                </c:pt>
                <c:pt idx="96">
                  <c:v>-0.38937765874746788</c:v>
                </c:pt>
                <c:pt idx="97">
                  <c:v>-0.38171097341401439</c:v>
                </c:pt>
                <c:pt idx="98">
                  <c:v>-0.37427871433242305</c:v>
                </c:pt>
                <c:pt idx="99">
                  <c:v>-0.3670751893012793</c:v>
                </c:pt>
                <c:pt idx="100">
                  <c:v>-0.36009435360301878</c:v>
                </c:pt>
                <c:pt idx="101">
                  <c:v>-0.3533299011273221</c:v>
                </c:pt>
                <c:pt idx="102">
                  <c:v>-0.34677534300804208</c:v>
                </c:pt>
                <c:pt idx="103">
                  <c:v>-0.34042407515141981</c:v>
                </c:pt>
                <c:pt idx="104">
                  <c:v>-0.33426943591403846</c:v>
                </c:pt>
                <c:pt idx="105">
                  <c:v>-0.32830475507368667</c:v>
                </c:pt>
                <c:pt idx="106">
                  <c:v>-0.32252339512678507</c:v>
                </c:pt>
                <c:pt idx="107">
                  <c:v>-0.31691878584315181</c:v>
                </c:pt>
                <c:pt idx="108">
                  <c:v>-0.31148445291321653</c:v>
                </c:pt>
                <c:pt idx="109">
                  <c:v>-0.30621404143453979</c:v>
                </c:pt>
                <c:pt idx="110">
                  <c:v>-0.3011013349035998</c:v>
                </c:pt>
                <c:pt idx="111">
                  <c:v>-0.29614027030507617</c:v>
                </c:pt>
                <c:pt idx="112">
                  <c:v>-0.29132494982400009</c:v>
                </c:pt>
                <c:pt idx="113">
                  <c:v>-0.2866496496456723</c:v>
                </c:pt>
                <c:pt idx="114">
                  <c:v>-0.28210882625390543</c:v>
                </c:pt>
                <c:pt idx="115">
                  <c:v>-0.27769712058927143</c:v>
                </c:pt>
                <c:pt idx="116">
                  <c:v>-0.27340936038540581</c:v>
                </c:pt>
                <c:pt idx="117">
                  <c:v>-0.2692405609623682</c:v>
                </c:pt>
                <c:pt idx="118">
                  <c:v>-0.26518592472136437</c:v>
                </c:pt>
                <c:pt idx="119">
                  <c:v>-0.2612408395542416</c:v>
                </c:pt>
                <c:pt idx="120">
                  <c:v>-0.25740087635379183</c:v>
                </c:pt>
                <c:pt idx="121">
                  <c:v>-0.2536617857866581</c:v>
                </c:pt>
                <c:pt idx="122">
                  <c:v>-0.25001949446918942</c:v>
                </c:pt>
                <c:pt idx="123">
                  <c:v>-0.24647010066769409</c:v>
                </c:pt>
                <c:pt idx="124">
                  <c:v>-0.24300986962787502</c:v>
                </c:pt>
                <c:pt idx="125">
                  <c:v>-0.23963522862354919</c:v>
                </c:pt>
                <c:pt idx="126">
                  <c:v>-0.23634276180192609</c:v>
                </c:pt>
                <c:pt idx="127">
                  <c:v>-0.23312920489137151</c:v>
                </c:pt>
                <c:pt idx="128">
                  <c:v>-0.22999143982775269</c:v>
                </c:pt>
                <c:pt idx="129">
                  <c:v>-0.22692648934677562</c:v>
                </c:pt>
                <c:pt idx="130">
                  <c:v>-0.2239315115822228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58-42EC-8B07-26162C01919B}"/>
            </c:ext>
          </c:extLst>
        </c:ser>
        <c:ser>
          <c:idx val="4"/>
          <c:order val="4"/>
          <c:tx>
            <c:strRef>
              <c:f>'DSGE HVD woFG'!$AD$1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woFG'!$AD$2:$AD$132</c:f>
              <c:numCache>
                <c:formatCode>0.0000</c:formatCode>
                <c:ptCount val="131"/>
                <c:pt idx="0">
                  <c:v>-2.71815691609784E-2</c:v>
                </c:pt>
                <c:pt idx="1">
                  <c:v>-2.2411350467598901E-2</c:v>
                </c:pt>
                <c:pt idx="2">
                  <c:v>-5.7796504554363498E-2</c:v>
                </c:pt>
                <c:pt idx="3">
                  <c:v>-9.3789740909321698E-2</c:v>
                </c:pt>
                <c:pt idx="4">
                  <c:v>-0.109486097677952</c:v>
                </c:pt>
                <c:pt idx="5">
                  <c:v>-0.11393175295270599</c:v>
                </c:pt>
                <c:pt idx="6">
                  <c:v>-0.116166310851506</c:v>
                </c:pt>
                <c:pt idx="7">
                  <c:v>-0.199745841702548</c:v>
                </c:pt>
                <c:pt idx="8">
                  <c:v>-0.24990048711444601</c:v>
                </c:pt>
                <c:pt idx="9">
                  <c:v>-0.18003742541470899</c:v>
                </c:pt>
                <c:pt idx="10">
                  <c:v>-8.24370851725163E-2</c:v>
                </c:pt>
                <c:pt idx="11">
                  <c:v>-2.1856783957947899E-2</c:v>
                </c:pt>
                <c:pt idx="12">
                  <c:v>-4.45041979082458E-2</c:v>
                </c:pt>
                <c:pt idx="13">
                  <c:v>1.74160616301348E-3</c:v>
                </c:pt>
                <c:pt idx="14">
                  <c:v>-5.6494932586814997E-2</c:v>
                </c:pt>
                <c:pt idx="15">
                  <c:v>-1.25136706536238E-2</c:v>
                </c:pt>
                <c:pt idx="16">
                  <c:v>-4.1942178668980298E-2</c:v>
                </c:pt>
                <c:pt idx="17">
                  <c:v>9.7854710040585803E-3</c:v>
                </c:pt>
                <c:pt idx="18">
                  <c:v>3.9583459916772402E-2</c:v>
                </c:pt>
                <c:pt idx="19">
                  <c:v>1.09570966101385E-3</c:v>
                </c:pt>
                <c:pt idx="20">
                  <c:v>1.0466462621198601E-2</c:v>
                </c:pt>
                <c:pt idx="21">
                  <c:v>8.2756969786282695E-3</c:v>
                </c:pt>
                <c:pt idx="22">
                  <c:v>-3.1650235217454501E-3</c:v>
                </c:pt>
                <c:pt idx="23">
                  <c:v>2.2486741726721399E-2</c:v>
                </c:pt>
                <c:pt idx="24">
                  <c:v>3.7650947350231202E-2</c:v>
                </c:pt>
                <c:pt idx="25">
                  <c:v>4.58668791457549E-2</c:v>
                </c:pt>
                <c:pt idx="26">
                  <c:v>6.87106751772492E-2</c:v>
                </c:pt>
                <c:pt idx="27">
                  <c:v>6.7501859959511204E-2</c:v>
                </c:pt>
                <c:pt idx="28">
                  <c:v>7.6480554050939495E-2</c:v>
                </c:pt>
                <c:pt idx="29">
                  <c:v>8.3783305179253906E-2</c:v>
                </c:pt>
                <c:pt idx="30">
                  <c:v>7.4002361067374497E-2</c:v>
                </c:pt>
                <c:pt idx="31">
                  <c:v>3.4887217761289002E-2</c:v>
                </c:pt>
                <c:pt idx="32">
                  <c:v>3.0459427628007199E-2</c:v>
                </c:pt>
                <c:pt idx="33">
                  <c:v>2.04485117197701E-2</c:v>
                </c:pt>
                <c:pt idx="34">
                  <c:v>3.4823216788481999E-3</c:v>
                </c:pt>
                <c:pt idx="35">
                  <c:v>-1.7979388833935701E-2</c:v>
                </c:pt>
                <c:pt idx="36">
                  <c:v>-2.9904165698923301E-2</c:v>
                </c:pt>
                <c:pt idx="37">
                  <c:v>9.45385798320688E-3</c:v>
                </c:pt>
                <c:pt idx="38">
                  <c:v>2.0183166506804798E-2</c:v>
                </c:pt>
                <c:pt idx="39">
                  <c:v>3.7175312478348502E-2</c:v>
                </c:pt>
                <c:pt idx="40">
                  <c:v>3.6145267765120101E-2</c:v>
                </c:pt>
                <c:pt idx="41">
                  <c:v>4.2120163108155598E-2</c:v>
                </c:pt>
                <c:pt idx="42">
                  <c:v>3.5219664980268399E-2</c:v>
                </c:pt>
                <c:pt idx="43">
                  <c:v>4.3322696420583999E-2</c:v>
                </c:pt>
                <c:pt idx="44">
                  <c:v>4.3454715388481703E-2</c:v>
                </c:pt>
                <c:pt idx="45">
                  <c:v>2.8146481314860701E-2</c:v>
                </c:pt>
                <c:pt idx="46">
                  <c:v>1.47816146213325E-2</c:v>
                </c:pt>
                <c:pt idx="47">
                  <c:v>2.13994554136194E-3</c:v>
                </c:pt>
                <c:pt idx="48">
                  <c:v>6.8760020613094002E-4</c:v>
                </c:pt>
                <c:pt idx="49">
                  <c:v>1.4566512303119301E-2</c:v>
                </c:pt>
                <c:pt idx="50">
                  <c:v>-3.4536178463276E-3</c:v>
                </c:pt>
                <c:pt idx="51">
                  <c:v>-2.65852945151159E-2</c:v>
                </c:pt>
                <c:pt idx="52">
                  <c:v>-3.2149122529001803E-2</c:v>
                </c:pt>
                <c:pt idx="53">
                  <c:v>-4.0312625187850198E-2</c:v>
                </c:pt>
                <c:pt idx="54">
                  <c:v>1.29316228517165E-2</c:v>
                </c:pt>
                <c:pt idx="55">
                  <c:v>5.4270973234433598E-2</c:v>
                </c:pt>
                <c:pt idx="56">
                  <c:v>1.1294860433965799E-2</c:v>
                </c:pt>
                <c:pt idx="57">
                  <c:v>-5.0987896464084699E-2</c:v>
                </c:pt>
                <c:pt idx="58">
                  <c:v>-2.9927182196509701E-2</c:v>
                </c:pt>
                <c:pt idx="59">
                  <c:v>-4.0471875940992497E-2</c:v>
                </c:pt>
                <c:pt idx="60">
                  <c:v>6.0592638264893501E-4</c:v>
                </c:pt>
                <c:pt idx="61">
                  <c:v>-4.0604788100907403E-2</c:v>
                </c:pt>
                <c:pt idx="62">
                  <c:v>-5.9955037064387498E-2</c:v>
                </c:pt>
                <c:pt idx="63">
                  <c:v>-7.1823439263221905E-2</c:v>
                </c:pt>
                <c:pt idx="64">
                  <c:v>-5.7007910613677402E-2</c:v>
                </c:pt>
                <c:pt idx="65">
                  <c:v>-1.9889655247962299E-2</c:v>
                </c:pt>
                <c:pt idx="66">
                  <c:v>-3.8211549356562402E-2</c:v>
                </c:pt>
                <c:pt idx="67">
                  <c:v>-3.1496433560984201E-2</c:v>
                </c:pt>
                <c:pt idx="68">
                  <c:v>9.1978312410350696E-4</c:v>
                </c:pt>
                <c:pt idx="69">
                  <c:v>-1.19339740527403E-2</c:v>
                </c:pt>
                <c:pt idx="70">
                  <c:v>-1.2844082556844501E-2</c:v>
                </c:pt>
                <c:pt idx="71">
                  <c:v>-1.70154527183097E-2</c:v>
                </c:pt>
                <c:pt idx="72">
                  <c:v>-2.0663114487445199E-2</c:v>
                </c:pt>
                <c:pt idx="73">
                  <c:v>-2.38299220350453E-2</c:v>
                </c:pt>
                <c:pt idx="74">
                  <c:v>-2.6558057773517801E-2</c:v>
                </c:pt>
                <c:pt idx="75">
                  <c:v>-2.8888217679095999E-2</c:v>
                </c:pt>
                <c:pt idx="76">
                  <c:v>-3.0859072793068699E-2</c:v>
                </c:pt>
                <c:pt idx="77">
                  <c:v>-3.2506938067046499E-2</c:v>
                </c:pt>
                <c:pt idx="78">
                  <c:v>-3.38655951402324E-2</c:v>
                </c:pt>
                <c:pt idx="79">
                  <c:v>-3.4966227768746E-2</c:v>
                </c:pt>
                <c:pt idx="80">
                  <c:v>-3.5837438153012498E-2</c:v>
                </c:pt>
                <c:pt idx="81">
                  <c:v>-3.6505319873336099E-2</c:v>
                </c:pt>
                <c:pt idx="82">
                  <c:v>-3.6993568978278997E-2</c:v>
                </c:pt>
                <c:pt idx="83">
                  <c:v>-3.7323619318584599E-2</c:v>
                </c:pt>
                <c:pt idx="84">
                  <c:v>-3.7514791753391299E-2</c:v>
                </c:pt>
                <c:pt idx="85">
                  <c:v>-3.7584449591229897E-2</c:v>
                </c:pt>
                <c:pt idx="86">
                  <c:v>-3.7548154736809003E-2</c:v>
                </c:pt>
                <c:pt idx="87">
                  <c:v>-3.7419820631210701E-2</c:v>
                </c:pt>
                <c:pt idx="88">
                  <c:v>-3.7211859304854801E-2</c:v>
                </c:pt>
                <c:pt idx="89">
                  <c:v>-3.69353207939613E-2</c:v>
                </c:pt>
                <c:pt idx="90">
                  <c:v>-3.6600023868930701E-2</c:v>
                </c:pt>
                <c:pt idx="91">
                  <c:v>-3.6214677539554298E-2</c:v>
                </c:pt>
                <c:pt idx="92">
                  <c:v>-3.5786993178565797E-2</c:v>
                </c:pt>
                <c:pt idx="93">
                  <c:v>-3.5323787374153898E-2</c:v>
                </c:pt>
                <c:pt idx="94">
                  <c:v>-3.4831075809056103E-2</c:v>
                </c:pt>
                <c:pt idx="95">
                  <c:v>-3.4314158588553703E-2</c:v>
                </c:pt>
                <c:pt idx="96">
                  <c:v>-3.3777697517563897E-2</c:v>
                </c:pt>
                <c:pt idx="97">
                  <c:v>-3.32257858700412E-2</c:v>
                </c:pt>
                <c:pt idx="98">
                  <c:v>-3.2662011211345397E-2</c:v>
                </c:pt>
                <c:pt idx="99">
                  <c:v>-3.2089511833252003E-2</c:v>
                </c:pt>
                <c:pt idx="100">
                  <c:v>-3.1511027347319802E-2</c:v>
                </c:pt>
                <c:pt idx="101">
                  <c:v>-3.0928943959585099E-2</c:v>
                </c:pt>
                <c:pt idx="102">
                  <c:v>-3.0345334921126399E-2</c:v>
                </c:pt>
                <c:pt idx="103">
                  <c:v>-2.9761996617302399E-2</c:v>
                </c:pt>
                <c:pt idx="104">
                  <c:v>-2.91804807251436E-2</c:v>
                </c:pt>
                <c:pt idx="105">
                  <c:v>-2.8602122834723701E-2</c:v>
                </c:pt>
                <c:pt idx="106">
                  <c:v>-2.80280678972449E-2</c:v>
                </c:pt>
                <c:pt idx="107">
                  <c:v>-2.7459292830663899E-2</c:v>
                </c:pt>
                <c:pt idx="108">
                  <c:v>-2.6896626583372801E-2</c:v>
                </c:pt>
                <c:pt idx="109">
                  <c:v>-2.6340767927957798E-2</c:v>
                </c:pt>
                <c:pt idx="110">
                  <c:v>-2.5792301230556602E-2</c:v>
                </c:pt>
                <c:pt idx="111">
                  <c:v>-2.5251710416830699E-2</c:v>
                </c:pt>
                <c:pt idx="112">
                  <c:v>-2.4719391333073101E-2</c:v>
                </c:pt>
                <c:pt idx="113">
                  <c:v>-2.4195662680424699E-2</c:v>
                </c:pt>
                <c:pt idx="114">
                  <c:v>-2.3680775681461E-2</c:v>
                </c:pt>
                <c:pt idx="115">
                  <c:v>-2.3174922621471399E-2</c:v>
                </c:pt>
                <c:pt idx="116">
                  <c:v>-2.2678244391433702E-2</c:v>
                </c:pt>
                <c:pt idx="117">
                  <c:v>-2.2190837145888799E-2</c:v>
                </c:pt>
                <c:pt idx="118">
                  <c:v>-2.1712758176509701E-2</c:v>
                </c:pt>
                <c:pt idx="119">
                  <c:v>-2.12440310910341E-2</c:v>
                </c:pt>
                <c:pt idx="120">
                  <c:v>-2.0784650377259999E-2</c:v>
                </c:pt>
                <c:pt idx="121">
                  <c:v>-2.0334585422887401E-2</c:v>
                </c:pt>
                <c:pt idx="122">
                  <c:v>-1.98937840540396E-2</c:v>
                </c:pt>
                <c:pt idx="123">
                  <c:v>-1.9462175648194201E-2</c:v>
                </c:pt>
                <c:pt idx="124">
                  <c:v>-1.90396738709343E-2</c:v>
                </c:pt>
                <c:pt idx="125">
                  <c:v>-1.86261790803076E-2</c:v>
                </c:pt>
                <c:pt idx="126">
                  <c:v>-1.8221580437573499E-2</c:v>
                </c:pt>
                <c:pt idx="127">
                  <c:v>-1.7825757758678899E-2</c:v>
                </c:pt>
                <c:pt idx="128">
                  <c:v>-1.7438583136852499E-2</c:v>
                </c:pt>
                <c:pt idx="129">
                  <c:v>-1.70599223632097E-2</c:v>
                </c:pt>
                <c:pt idx="130">
                  <c:v>-1.6689636169152301E-2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58-42EC-8B07-26162C01919B}"/>
            </c:ext>
          </c:extLst>
        </c:ser>
        <c:ser>
          <c:idx val="5"/>
          <c:order val="5"/>
          <c:tx>
            <c:strRef>
              <c:f>'DSGE HVD woFG'!$AE$1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woFG'!$AE$2:$AE$132</c:f>
              <c:numCache>
                <c:formatCode>0.0000</c:formatCode>
                <c:ptCount val="131"/>
                <c:pt idx="0">
                  <c:v>-5.37370862362977E-2</c:v>
                </c:pt>
                <c:pt idx="1">
                  <c:v>-4.7822201797398697E-2</c:v>
                </c:pt>
                <c:pt idx="2">
                  <c:v>-6.6368456841346901E-2</c:v>
                </c:pt>
                <c:pt idx="3">
                  <c:v>-8.0581711640427101E-2</c:v>
                </c:pt>
                <c:pt idx="4">
                  <c:v>-7.6086186044821605E-2</c:v>
                </c:pt>
                <c:pt idx="5">
                  <c:v>-7.9067412144778304E-2</c:v>
                </c:pt>
                <c:pt idx="6">
                  <c:v>-7.3477842749108305E-2</c:v>
                </c:pt>
                <c:pt idx="7">
                  <c:v>-2.0281187527067299E-2</c:v>
                </c:pt>
                <c:pt idx="8">
                  <c:v>-9.5038465573967196E-2</c:v>
                </c:pt>
                <c:pt idx="9">
                  <c:v>-0.100501557072669</c:v>
                </c:pt>
                <c:pt idx="10">
                  <c:v>-0.138065073654387</c:v>
                </c:pt>
                <c:pt idx="11">
                  <c:v>-0.122545870815777</c:v>
                </c:pt>
                <c:pt idx="12">
                  <c:v>-0.162006547988397</c:v>
                </c:pt>
                <c:pt idx="13">
                  <c:v>-0.113842815197804</c:v>
                </c:pt>
                <c:pt idx="14">
                  <c:v>-0.150012718937128</c:v>
                </c:pt>
                <c:pt idx="15">
                  <c:v>-0.12093770156528</c:v>
                </c:pt>
                <c:pt idx="16">
                  <c:v>-0.15940118263389599</c:v>
                </c:pt>
                <c:pt idx="17">
                  <c:v>-0.12561262853362801</c:v>
                </c:pt>
                <c:pt idx="18">
                  <c:v>-8.7863663992559404E-2</c:v>
                </c:pt>
                <c:pt idx="19">
                  <c:v>-8.7570204613177202E-2</c:v>
                </c:pt>
                <c:pt idx="20">
                  <c:v>-7.2933510971363302E-2</c:v>
                </c:pt>
                <c:pt idx="21">
                  <c:v>-7.9462252544886494E-2</c:v>
                </c:pt>
                <c:pt idx="22">
                  <c:v>-8.5824882606039002E-2</c:v>
                </c:pt>
                <c:pt idx="23">
                  <c:v>-8.71450115906066E-2</c:v>
                </c:pt>
                <c:pt idx="24">
                  <c:v>-8.0838065432750197E-2</c:v>
                </c:pt>
                <c:pt idx="25">
                  <c:v>-7.0760689233571997E-2</c:v>
                </c:pt>
                <c:pt idx="26">
                  <c:v>-5.3476410394696902E-2</c:v>
                </c:pt>
                <c:pt idx="27">
                  <c:v>-5.7086859043375703E-2</c:v>
                </c:pt>
                <c:pt idx="28">
                  <c:v>-5.8085960709708499E-2</c:v>
                </c:pt>
                <c:pt idx="29">
                  <c:v>-4.6469994737028703E-2</c:v>
                </c:pt>
                <c:pt idx="30">
                  <c:v>-3.9949969397049097E-2</c:v>
                </c:pt>
                <c:pt idx="31">
                  <c:v>-3.6764408242339702E-2</c:v>
                </c:pt>
                <c:pt idx="32">
                  <c:v>-2.8734016662419901E-2</c:v>
                </c:pt>
                <c:pt idx="33">
                  <c:v>-2.48412627424262E-2</c:v>
                </c:pt>
                <c:pt idx="34">
                  <c:v>-8.3156350266481594E-3</c:v>
                </c:pt>
                <c:pt idx="35">
                  <c:v>-4.1530978142240299E-3</c:v>
                </c:pt>
                <c:pt idx="36">
                  <c:v>-5.7038221653730901E-3</c:v>
                </c:pt>
                <c:pt idx="37">
                  <c:v>-1.6619202436823501E-2</c:v>
                </c:pt>
                <c:pt idx="38">
                  <c:v>-1.76948868614424E-2</c:v>
                </c:pt>
                <c:pt idx="39">
                  <c:v>-1.28710697974309E-2</c:v>
                </c:pt>
                <c:pt idx="40">
                  <c:v>-2.38010470093485E-2</c:v>
                </c:pt>
                <c:pt idx="41">
                  <c:v>-1.49993227933137E-2</c:v>
                </c:pt>
                <c:pt idx="42">
                  <c:v>-1.9303330985388101E-2</c:v>
                </c:pt>
                <c:pt idx="43">
                  <c:v>-5.1229632689408101E-3</c:v>
                </c:pt>
                <c:pt idx="44">
                  <c:v>6.7560800406798105E-4</c:v>
                </c:pt>
                <c:pt idx="45">
                  <c:v>8.5878314608262007E-3</c:v>
                </c:pt>
                <c:pt idx="46">
                  <c:v>8.7231960608725508E-3</c:v>
                </c:pt>
                <c:pt idx="47">
                  <c:v>1.3086717095133E-2</c:v>
                </c:pt>
                <c:pt idx="48">
                  <c:v>2.3983689541636499E-2</c:v>
                </c:pt>
                <c:pt idx="49">
                  <c:v>2.4743168439793999E-2</c:v>
                </c:pt>
                <c:pt idx="50">
                  <c:v>2.63941895266159E-3</c:v>
                </c:pt>
                <c:pt idx="51">
                  <c:v>-2.0275822295024601E-2</c:v>
                </c:pt>
                <c:pt idx="52">
                  <c:v>-2.5731235584775899E-2</c:v>
                </c:pt>
                <c:pt idx="53">
                  <c:v>-3.2049964449024802E-3</c:v>
                </c:pt>
                <c:pt idx="54">
                  <c:v>1.92651267021674E-3</c:v>
                </c:pt>
                <c:pt idx="55">
                  <c:v>3.2900192090443099E-2</c:v>
                </c:pt>
                <c:pt idx="56">
                  <c:v>-1.2282021269391199E-2</c:v>
                </c:pt>
                <c:pt idx="57">
                  <c:v>-5.7444331932835303E-2</c:v>
                </c:pt>
                <c:pt idx="58">
                  <c:v>-4.46995352392901E-2</c:v>
                </c:pt>
                <c:pt idx="59">
                  <c:v>-3.6680630192912803E-2</c:v>
                </c:pt>
                <c:pt idx="60">
                  <c:v>3.1758349636247601E-2</c:v>
                </c:pt>
                <c:pt idx="61">
                  <c:v>2.8612543321535101E-2</c:v>
                </c:pt>
                <c:pt idx="62">
                  <c:v>3.9412626292984303E-2</c:v>
                </c:pt>
                <c:pt idx="63">
                  <c:v>3.6397984120373997E-2</c:v>
                </c:pt>
                <c:pt idx="64">
                  <c:v>5.9713552194289803E-2</c:v>
                </c:pt>
                <c:pt idx="65">
                  <c:v>8.8485534828335197E-2</c:v>
                </c:pt>
                <c:pt idx="66">
                  <c:v>6.7983067163841601E-2</c:v>
                </c:pt>
                <c:pt idx="67">
                  <c:v>5.7833958696511201E-2</c:v>
                </c:pt>
                <c:pt idx="68">
                  <c:v>6.6223182648320195E-2</c:v>
                </c:pt>
                <c:pt idx="69">
                  <c:v>4.7973355258498801E-2</c:v>
                </c:pt>
                <c:pt idx="70">
                  <c:v>4.3044514256790498E-2</c:v>
                </c:pt>
                <c:pt idx="71">
                  <c:v>3.8913803715301003E-2</c:v>
                </c:pt>
                <c:pt idx="72">
                  <c:v>3.5200104663305497E-2</c:v>
                </c:pt>
                <c:pt idx="73">
                  <c:v>3.1865479729335601E-2</c:v>
                </c:pt>
                <c:pt idx="74">
                  <c:v>2.8874282464226499E-2</c:v>
                </c:pt>
                <c:pt idx="75">
                  <c:v>2.61933233670106E-2</c:v>
                </c:pt>
                <c:pt idx="76">
                  <c:v>2.37919287194755E-2</c:v>
                </c:pt>
                <c:pt idx="77">
                  <c:v>2.1641922498048201E-2</c:v>
                </c:pt>
                <c:pt idx="78">
                  <c:v>1.97175545123656E-2</c:v>
                </c:pt>
                <c:pt idx="79">
                  <c:v>1.79953923553338E-2</c:v>
                </c:pt>
                <c:pt idx="80">
                  <c:v>1.6454190412179701E-2</c:v>
                </c:pt>
                <c:pt idx="81">
                  <c:v>1.5074745806168299E-2</c:v>
                </c:pt>
                <c:pt idx="82">
                  <c:v>1.3839748550311001E-2</c:v>
                </c:pt>
                <c:pt idx="83">
                  <c:v>1.27336311643682E-2</c:v>
                </c:pt>
                <c:pt idx="84">
                  <c:v>1.17424214756093E-2</c:v>
                </c:pt>
                <c:pt idx="85">
                  <c:v>1.08536011480429E-2</c:v>
                </c:pt>
                <c:pt idx="86">
                  <c:v>1.00559715975215E-2</c:v>
                </c:pt>
                <c:pt idx="87">
                  <c:v>9.3395282856681694E-3</c:v>
                </c:pt>
                <c:pt idx="88">
                  <c:v>8.6953438938703505E-3</c:v>
                </c:pt>
                <c:pt idx="89">
                  <c:v>8.1154605202555501E-3</c:v>
                </c:pt>
                <c:pt idx="90">
                  <c:v>7.5927907866934598E-3</c:v>
                </c:pt>
                <c:pt idx="91">
                  <c:v>7.1210275652532299E-3</c:v>
                </c:pt>
                <c:pt idx="92">
                  <c:v>6.6945619152742799E-3</c:v>
                </c:pt>
                <c:pt idx="93">
                  <c:v>6.3084087485552297E-3</c:v>
                </c:pt>
                <c:pt idx="94">
                  <c:v>5.9581396996933001E-3</c:v>
                </c:pt>
                <c:pt idx="95">
                  <c:v>5.6398226624728397E-3</c:v>
                </c:pt>
                <c:pt idx="96">
                  <c:v>5.3499674545994099E-3</c:v>
                </c:pt>
                <c:pt idx="97">
                  <c:v>5.0854770867940196E-3</c:v>
                </c:pt>
                <c:pt idx="98">
                  <c:v>4.8436041343351199E-3</c:v>
                </c:pt>
                <c:pt idx="99">
                  <c:v>4.6219117365756002E-3</c:v>
                </c:pt>
                <c:pt idx="100">
                  <c:v>4.4182387805303302E-3</c:v>
                </c:pt>
                <c:pt idx="101">
                  <c:v>4.2306688566817203E-3</c:v>
                </c:pt>
                <c:pt idx="102">
                  <c:v>4.0575026074867399E-3</c:v>
                </c:pt>
                <c:pt idx="103">
                  <c:v>3.8972331208406998E-3</c:v>
                </c:pt>
                <c:pt idx="104">
                  <c:v>3.7485240513741901E-3</c:v>
                </c:pt>
                <c:pt idx="105">
                  <c:v>3.6101901815456198E-3</c:v>
                </c:pt>
                <c:pt idx="106">
                  <c:v>3.4811801618062502E-3</c:v>
                </c:pt>
                <c:pt idx="107">
                  <c:v>3.3605611945353598E-3</c:v>
                </c:pt>
                <c:pt idx="108">
                  <c:v>3.24750544992635E-3</c:v>
                </c:pt>
                <c:pt idx="109">
                  <c:v>3.1412780235673399E-3</c:v>
                </c:pt>
                <c:pt idx="110">
                  <c:v>3.0412262651582302E-3</c:v>
                </c:pt>
                <c:pt idx="111">
                  <c:v>2.9467703257248798E-3</c:v>
                </c:pt>
                <c:pt idx="112">
                  <c:v>2.8573947869310998E-3</c:v>
                </c:pt>
                <c:pt idx="113">
                  <c:v>2.7726412507621599E-3</c:v>
                </c:pt>
                <c:pt idx="114">
                  <c:v>2.6921017810743802E-3</c:v>
                </c:pt>
                <c:pt idx="115">
                  <c:v>2.6154131003907101E-3</c:v>
                </c:pt>
                <c:pt idx="116">
                  <c:v>2.5422514559844101E-3</c:v>
                </c:pt>
                <c:pt idx="117">
                  <c:v>2.47232807884095E-3</c:v>
                </c:pt>
                <c:pt idx="118">
                  <c:v>2.4053851676256199E-3</c:v>
                </c:pt>
                <c:pt idx="119">
                  <c:v>2.34119233740652E-3</c:v>
                </c:pt>
                <c:pt idx="120">
                  <c:v>2.2795434796802402E-3</c:v>
                </c:pt>
                <c:pt idx="121">
                  <c:v>2.22025398630279E-3</c:v>
                </c:pt>
                <c:pt idx="122">
                  <c:v>2.1631582953174E-3</c:v>
                </c:pt>
                <c:pt idx="123">
                  <c:v>2.1081077214621202E-3</c:v>
                </c:pt>
                <c:pt idx="124">
                  <c:v>2.0549685383982998E-3</c:v>
                </c:pt>
                <c:pt idx="125">
                  <c:v>2.00362028348072E-3</c:v>
                </c:pt>
                <c:pt idx="126">
                  <c:v>1.9539542592450802E-3</c:v>
                </c:pt>
                <c:pt idx="127">
                  <c:v>1.9058722087632899E-3</c:v>
                </c:pt>
                <c:pt idx="128">
                  <c:v>1.8592851446544701E-3</c:v>
                </c:pt>
                <c:pt idx="129">
                  <c:v>1.81411231387608E-3</c:v>
                </c:pt>
                <c:pt idx="130">
                  <c:v>1.77028028248953E-3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58-42EC-8B07-26162C01919B}"/>
            </c:ext>
          </c:extLst>
        </c:ser>
        <c:ser>
          <c:idx val="6"/>
          <c:order val="6"/>
          <c:tx>
            <c:strRef>
              <c:f>'DSGE HVD woFG'!$AF$1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woFG'!$AF$2:$AF$132</c:f>
              <c:numCache>
                <c:formatCode>0.0000</c:formatCode>
                <c:ptCount val="131"/>
                <c:pt idx="0">
                  <c:v>3.36271760934325E-16</c:v>
                </c:pt>
                <c:pt idx="1">
                  <c:v>5.0574402008378302E-16</c:v>
                </c:pt>
                <c:pt idx="2">
                  <c:v>2.14207133349111E-16</c:v>
                </c:pt>
                <c:pt idx="3">
                  <c:v>-2.8771882256727301E-16</c:v>
                </c:pt>
                <c:pt idx="4">
                  <c:v>9.6958302726864193E-18</c:v>
                </c:pt>
                <c:pt idx="5">
                  <c:v>1.5710799493211001E-16</c:v>
                </c:pt>
                <c:pt idx="6">
                  <c:v>-3.5447992945964202E-16</c:v>
                </c:pt>
                <c:pt idx="7">
                  <c:v>1.8820057070423001E-15</c:v>
                </c:pt>
                <c:pt idx="8">
                  <c:v>2.1298367857910398E-15</c:v>
                </c:pt>
                <c:pt idx="9">
                  <c:v>1.87539003982617E-15</c:v>
                </c:pt>
                <c:pt idx="10">
                  <c:v>1.59563076971597E-15</c:v>
                </c:pt>
                <c:pt idx="11">
                  <c:v>3.9066384251192198E-16</c:v>
                </c:pt>
                <c:pt idx="12">
                  <c:v>4.6556230746414597E-16</c:v>
                </c:pt>
                <c:pt idx="13">
                  <c:v>5.21522787382365E-16</c:v>
                </c:pt>
                <c:pt idx="14">
                  <c:v>9.7371559294166407E-16</c:v>
                </c:pt>
                <c:pt idx="15">
                  <c:v>9.4346117391533305E-17</c:v>
                </c:pt>
                <c:pt idx="16">
                  <c:v>-1.82898841589132E-16</c:v>
                </c:pt>
                <c:pt idx="17">
                  <c:v>-1.3253199927269799E-15</c:v>
                </c:pt>
                <c:pt idx="18">
                  <c:v>-1.49581122817398E-15</c:v>
                </c:pt>
                <c:pt idx="19">
                  <c:v>-1.2432495585551801E-15</c:v>
                </c:pt>
                <c:pt idx="20">
                  <c:v>-2.4397014997962502E-15</c:v>
                </c:pt>
                <c:pt idx="21">
                  <c:v>-2.1256701289985198E-15</c:v>
                </c:pt>
                <c:pt idx="22">
                  <c:v>-2.1381603035211299E-15</c:v>
                </c:pt>
                <c:pt idx="23">
                  <c:v>-2.2222804331107202E-15</c:v>
                </c:pt>
                <c:pt idx="24">
                  <c:v>-2.5839103126186101E-15</c:v>
                </c:pt>
                <c:pt idx="25">
                  <c:v>-2.2516902592332801E-15</c:v>
                </c:pt>
                <c:pt idx="26">
                  <c:v>-3.12575269569257E-15</c:v>
                </c:pt>
                <c:pt idx="27">
                  <c:v>-3.7113090173220201E-15</c:v>
                </c:pt>
                <c:pt idx="28">
                  <c:v>-3.26612613002799E-15</c:v>
                </c:pt>
                <c:pt idx="29">
                  <c:v>-4.1295484105175698E-15</c:v>
                </c:pt>
                <c:pt idx="30">
                  <c:v>-4.3384639342795499E-15</c:v>
                </c:pt>
                <c:pt idx="31">
                  <c:v>-3.8141283771203704E-15</c:v>
                </c:pt>
                <c:pt idx="32">
                  <c:v>-3.1623015757181599E-15</c:v>
                </c:pt>
                <c:pt idx="33">
                  <c:v>-4.4943823306969198E-15</c:v>
                </c:pt>
                <c:pt idx="34">
                  <c:v>-4.2295913481771498E-15</c:v>
                </c:pt>
                <c:pt idx="35">
                  <c:v>-3.8584636180738897E-15</c:v>
                </c:pt>
                <c:pt idx="36">
                  <c:v>-4.1431140076853697E-15</c:v>
                </c:pt>
                <c:pt idx="37">
                  <c:v>-5.6564843041237601E-15</c:v>
                </c:pt>
                <c:pt idx="38">
                  <c:v>-5.4243665870615397E-15</c:v>
                </c:pt>
                <c:pt idx="39">
                  <c:v>-5.5508143237524598E-15</c:v>
                </c:pt>
                <c:pt idx="40">
                  <c:v>-5.9099875123810497E-15</c:v>
                </c:pt>
                <c:pt idx="41">
                  <c:v>-5.4047880540137696E-15</c:v>
                </c:pt>
                <c:pt idx="42">
                  <c:v>-5.5340510819394302E-15</c:v>
                </c:pt>
                <c:pt idx="43">
                  <c:v>-6.1154286988699499E-15</c:v>
                </c:pt>
                <c:pt idx="44">
                  <c:v>-6.9893780978445799E-15</c:v>
                </c:pt>
                <c:pt idx="45">
                  <c:v>-7.4088920015999306E-15</c:v>
                </c:pt>
                <c:pt idx="46">
                  <c:v>-6.85591405684712E-15</c:v>
                </c:pt>
                <c:pt idx="47">
                  <c:v>-7.2729328520955908E-15</c:v>
                </c:pt>
                <c:pt idx="48">
                  <c:v>-6.8517557257370098E-15</c:v>
                </c:pt>
                <c:pt idx="49">
                  <c:v>-7.3345217164969705E-15</c:v>
                </c:pt>
                <c:pt idx="50">
                  <c:v>-7.2736265880624807E-15</c:v>
                </c:pt>
                <c:pt idx="51">
                  <c:v>-7.07144908040621E-15</c:v>
                </c:pt>
                <c:pt idx="52">
                  <c:v>-7.38974476703336E-15</c:v>
                </c:pt>
                <c:pt idx="53">
                  <c:v>-4.6508578276400899E-15</c:v>
                </c:pt>
                <c:pt idx="54">
                  <c:v>-7.8598141503593193E-15</c:v>
                </c:pt>
                <c:pt idx="55">
                  <c:v>-7.6934295863349405E-15</c:v>
                </c:pt>
                <c:pt idx="56">
                  <c:v>-1.0188422056261099E-14</c:v>
                </c:pt>
                <c:pt idx="57">
                  <c:v>-1.3465110135713701E-14</c:v>
                </c:pt>
                <c:pt idx="58">
                  <c:v>-1.4678883821933699E-14</c:v>
                </c:pt>
                <c:pt idx="59">
                  <c:v>-1.6451280744712401E-14</c:v>
                </c:pt>
                <c:pt idx="60">
                  <c:v>-1.8833327346544299E-14</c:v>
                </c:pt>
                <c:pt idx="61">
                  <c:v>-2.0440667265013699E-14</c:v>
                </c:pt>
                <c:pt idx="62">
                  <c:v>-2.0641202691026501E-14</c:v>
                </c:pt>
                <c:pt idx="63">
                  <c:v>-2.12692810912844E-14</c:v>
                </c:pt>
                <c:pt idx="64">
                  <c:v>-2.2327032836956201E-14</c:v>
                </c:pt>
                <c:pt idx="65">
                  <c:v>-2.2079440016881799E-14</c:v>
                </c:pt>
                <c:pt idx="66">
                  <c:v>-2.1891699045423799E-14</c:v>
                </c:pt>
                <c:pt idx="67">
                  <c:v>-2.12830987272179E-14</c:v>
                </c:pt>
                <c:pt idx="68">
                  <c:v>-2.2700397586364601E-14</c:v>
                </c:pt>
                <c:pt idx="69">
                  <c:v>-2.2742835611200001E-14</c:v>
                </c:pt>
                <c:pt idx="70">
                  <c:v>-2.2484249134806501E-14</c:v>
                </c:pt>
                <c:pt idx="71">
                  <c:v>-2.2135135202931101E-14</c:v>
                </c:pt>
                <c:pt idx="72">
                  <c:v>-2.17765658951801E-14</c:v>
                </c:pt>
                <c:pt idx="73">
                  <c:v>-2.1409647413498701E-14</c:v>
                </c:pt>
                <c:pt idx="74">
                  <c:v>-2.1035275272705902E-14</c:v>
                </c:pt>
                <c:pt idx="75">
                  <c:v>-2.0654212145551301E-14</c:v>
                </c:pt>
                <c:pt idx="76">
                  <c:v>-2.02671466655215E-14</c:v>
                </c:pt>
                <c:pt idx="77">
                  <c:v>-1.98747358379014E-14</c:v>
                </c:pt>
                <c:pt idx="78">
                  <c:v>-1.9477633757279701E-14</c:v>
                </c:pt>
                <c:pt idx="79">
                  <c:v>-1.90765092161848E-14</c:v>
                </c:pt>
                <c:pt idx="80">
                  <c:v>-1.86720545763577E-14</c:v>
                </c:pt>
                <c:pt idx="81">
                  <c:v>-1.82649880063517E-14</c:v>
                </c:pt>
                <c:pt idx="82">
                  <c:v>-1.78560508988608E-14</c:v>
                </c:pt>
                <c:pt idx="83">
                  <c:v>-1.7446001990603399E-14</c:v>
                </c:pt>
                <c:pt idx="84">
                  <c:v>-1.7035609431365801E-14</c:v>
                </c:pt>
                <c:pt idx="85">
                  <c:v>-1.6625641795892499E-14</c:v>
                </c:pt>
                <c:pt idx="86">
                  <c:v>-1.62168588075395E-14</c:v>
                </c:pt>
                <c:pt idx="87">
                  <c:v>-1.5810002347829701E-14</c:v>
                </c:pt>
                <c:pt idx="88">
                  <c:v>-1.54057881611202E-14</c:v>
                </c:pt>
                <c:pt idx="89">
                  <c:v>-1.50048985269599E-14</c:v>
                </c:pt>
                <c:pt idx="90">
                  <c:v>-1.46079760620721E-14</c:v>
                </c:pt>
                <c:pt idx="91">
                  <c:v>-1.42156187264257E-14</c:v>
                </c:pt>
                <c:pt idx="92">
                  <c:v>-1.3828376040621801E-14</c:v>
                </c:pt>
                <c:pt idx="93">
                  <c:v>-1.34467464718716E-14</c:v>
                </c:pt>
                <c:pt idx="94">
                  <c:v>-1.3071175910384E-14</c:v>
                </c:pt>
                <c:pt idx="95">
                  <c:v>-1.27020571344359E-14</c:v>
                </c:pt>
                <c:pt idx="96">
                  <c:v>-1.23397301484635E-14</c:v>
                </c:pt>
                <c:pt idx="97">
                  <c:v>-1.19844832721422E-14</c:v>
                </c:pt>
                <c:pt idx="98">
                  <c:v>-1.16365548578726E-14</c:v>
                </c:pt>
                <c:pt idx="99">
                  <c:v>-1.12961355178702E-14</c:v>
                </c:pt>
                <c:pt idx="100">
                  <c:v>-1.0963370748929399E-14</c:v>
                </c:pt>
                <c:pt idx="101">
                  <c:v>-1.0638363851879801E-14</c:v>
                </c:pt>
                <c:pt idx="102">
                  <c:v>-1.0321179052963199E-14</c:v>
                </c:pt>
                <c:pt idx="103">
                  <c:v>-1.0011844745183E-14</c:v>
                </c:pt>
                <c:pt idx="104">
                  <c:v>-9.7103567786222506E-15</c:v>
                </c:pt>
                <c:pt idx="105">
                  <c:v>-9.4166817394148801E-15</c:v>
                </c:pt>
                <c:pt idx="106">
                  <c:v>-9.1307601672255195E-15</c:v>
                </c:pt>
                <c:pt idx="107">
                  <c:v>-8.8525096705522003E-15</c:v>
                </c:pt>
                <c:pt idx="108">
                  <c:v>-8.5818279078110503E-15</c:v>
                </c:pt>
                <c:pt idx="109">
                  <c:v>-8.3185954099184396E-15</c:v>
                </c:pt>
                <c:pt idx="110">
                  <c:v>-8.0626782269427E-15</c:v>
                </c:pt>
                <c:pt idx="111">
                  <c:v>-7.8139303873628801E-15</c:v>
                </c:pt>
                <c:pt idx="112">
                  <c:v>-7.5721961635811794E-15</c:v>
                </c:pt>
                <c:pt idx="113">
                  <c:v>-7.3373121416403098E-15</c:v>
                </c:pt>
                <c:pt idx="114">
                  <c:v>-7.1091090966584296E-15</c:v>
                </c:pt>
                <c:pt idx="115">
                  <c:v>-6.8874136783803697E-15</c:v>
                </c:pt>
                <c:pt idx="116">
                  <c:v>-6.6720499135238196E-15</c:v>
                </c:pt>
                <c:pt idx="117">
                  <c:v>-6.4628405333452102E-15</c:v>
                </c:pt>
                <c:pt idx="118">
                  <c:v>-6.2596081361279602E-15</c:v>
                </c:pt>
                <c:pt idx="119">
                  <c:v>-6.0621761951728498E-15</c:v>
                </c:pt>
                <c:pt idx="120">
                  <c:v>-5.87036992340464E-15</c:v>
                </c:pt>
                <c:pt idx="121">
                  <c:v>-5.6840170059583999E-15</c:v>
                </c:pt>
                <c:pt idx="122">
                  <c:v>-5.5029482121220898E-15</c:v>
                </c:pt>
                <c:pt idx="123">
                  <c:v>-5.3269978978346498E-15</c:v>
                </c:pt>
                <c:pt idx="124">
                  <c:v>-5.1560044096108298E-15</c:v>
                </c:pt>
                <c:pt idx="125">
                  <c:v>-4.98981040031965E-15</c:v>
                </c:pt>
                <c:pt idx="126">
                  <c:v>-4.8282630667139497E-15</c:v>
                </c:pt>
                <c:pt idx="127">
                  <c:v>-4.6712143180181199E-15</c:v>
                </c:pt>
                <c:pt idx="128">
                  <c:v>-4.5185208842529201E-15</c:v>
                </c:pt>
                <c:pt idx="129">
                  <c:v>-4.37004437232773E-15</c:v>
                </c:pt>
                <c:pt idx="130">
                  <c:v>-4.2256512772761297E-15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58-42EC-8B07-26162C01919B}"/>
            </c:ext>
          </c:extLst>
        </c:ser>
        <c:ser>
          <c:idx val="7"/>
          <c:order val="7"/>
          <c:tx>
            <c:strRef>
              <c:f>'DSGE HVD woFG'!$AG$1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woFG'!$AG$2:$AG$132</c:f>
              <c:numCache>
                <c:formatCode>0.0000</c:formatCode>
                <c:ptCount val="131"/>
                <c:pt idx="0">
                  <c:v>-3.5538777794089401E-15</c:v>
                </c:pt>
                <c:pt idx="1">
                  <c:v>-2.38970184704017E-15</c:v>
                </c:pt>
                <c:pt idx="2">
                  <c:v>-1.40618989657912E-15</c:v>
                </c:pt>
                <c:pt idx="3">
                  <c:v>-8.7528508921538303E-16</c:v>
                </c:pt>
                <c:pt idx="4">
                  <c:v>-3.0911534257937398E-16</c:v>
                </c:pt>
                <c:pt idx="5">
                  <c:v>6.8567456859447195E-16</c:v>
                </c:pt>
                <c:pt idx="6">
                  <c:v>1.39550553860256E-15</c:v>
                </c:pt>
                <c:pt idx="7">
                  <c:v>1.8210975872744201E-15</c:v>
                </c:pt>
                <c:pt idx="8">
                  <c:v>3.9846043693999302E-15</c:v>
                </c:pt>
                <c:pt idx="9">
                  <c:v>3.6850300896788798E-15</c:v>
                </c:pt>
                <c:pt idx="10">
                  <c:v>3.96618183425944E-15</c:v>
                </c:pt>
                <c:pt idx="11">
                  <c:v>4.4551475393455699E-15</c:v>
                </c:pt>
                <c:pt idx="12">
                  <c:v>5.8434920144823E-15</c:v>
                </c:pt>
                <c:pt idx="13">
                  <c:v>6.42327760641727E-15</c:v>
                </c:pt>
                <c:pt idx="14">
                  <c:v>7.1491412984076604E-15</c:v>
                </c:pt>
                <c:pt idx="15">
                  <c:v>8.0498173325317994E-15</c:v>
                </c:pt>
                <c:pt idx="16">
                  <c:v>8.1726712722246794E-15</c:v>
                </c:pt>
                <c:pt idx="17">
                  <c:v>9.5693701403301796E-15</c:v>
                </c:pt>
                <c:pt idx="18">
                  <c:v>1.04262272376988E-14</c:v>
                </c:pt>
                <c:pt idx="19">
                  <c:v>1.22479272379491E-14</c:v>
                </c:pt>
                <c:pt idx="20">
                  <c:v>1.24258814862817E-14</c:v>
                </c:pt>
                <c:pt idx="21">
                  <c:v>1.32218495838939E-14</c:v>
                </c:pt>
                <c:pt idx="22">
                  <c:v>1.4391811645812798E-14</c:v>
                </c:pt>
                <c:pt idx="23">
                  <c:v>1.4272069785535101E-14</c:v>
                </c:pt>
                <c:pt idx="24">
                  <c:v>1.59325580617839E-14</c:v>
                </c:pt>
                <c:pt idx="25">
                  <c:v>1.6791398349593001E-14</c:v>
                </c:pt>
                <c:pt idx="26">
                  <c:v>1.81081833167386E-14</c:v>
                </c:pt>
                <c:pt idx="27">
                  <c:v>1.9047528886909899E-14</c:v>
                </c:pt>
                <c:pt idx="28">
                  <c:v>1.9316449462914101E-14</c:v>
                </c:pt>
                <c:pt idx="29">
                  <c:v>2.06656574161374E-14</c:v>
                </c:pt>
                <c:pt idx="30">
                  <c:v>2.16751363352797E-14</c:v>
                </c:pt>
                <c:pt idx="31">
                  <c:v>2.22473435413016E-14</c:v>
                </c:pt>
                <c:pt idx="32">
                  <c:v>2.2546023291761899E-14</c:v>
                </c:pt>
                <c:pt idx="33">
                  <c:v>2.2991790309205901E-14</c:v>
                </c:pt>
                <c:pt idx="34">
                  <c:v>2.3555789364936001E-14</c:v>
                </c:pt>
                <c:pt idx="35">
                  <c:v>2.44216231788512E-14</c:v>
                </c:pt>
                <c:pt idx="36">
                  <c:v>2.5156568581220699E-14</c:v>
                </c:pt>
                <c:pt idx="37">
                  <c:v>2.6019731422664299E-14</c:v>
                </c:pt>
                <c:pt idx="38">
                  <c:v>2.6870512452392001E-14</c:v>
                </c:pt>
                <c:pt idx="39">
                  <c:v>2.74351613588568E-14</c:v>
                </c:pt>
                <c:pt idx="40">
                  <c:v>2.79481294664976E-14</c:v>
                </c:pt>
                <c:pt idx="41">
                  <c:v>2.8562443017435299E-14</c:v>
                </c:pt>
                <c:pt idx="42">
                  <c:v>2.8891264010407199E-14</c:v>
                </c:pt>
                <c:pt idx="43">
                  <c:v>2.9131359507493102E-14</c:v>
                </c:pt>
                <c:pt idx="44">
                  <c:v>2.9685032715188102E-14</c:v>
                </c:pt>
                <c:pt idx="45">
                  <c:v>3.0427574013937497E-14</c:v>
                </c:pt>
                <c:pt idx="46">
                  <c:v>3.0958462046888902E-14</c:v>
                </c:pt>
                <c:pt idx="47">
                  <c:v>3.1684033246646699E-14</c:v>
                </c:pt>
                <c:pt idx="48">
                  <c:v>3.1376222161254699E-14</c:v>
                </c:pt>
                <c:pt idx="49">
                  <c:v>3.2040633874363401E-14</c:v>
                </c:pt>
                <c:pt idx="50">
                  <c:v>3.2820085550210403E-14</c:v>
                </c:pt>
                <c:pt idx="51">
                  <c:v>3.2791968178851198E-14</c:v>
                </c:pt>
                <c:pt idx="52">
                  <c:v>3.2821584578657701E-14</c:v>
                </c:pt>
                <c:pt idx="53">
                  <c:v>3.2710704771306901E-14</c:v>
                </c:pt>
                <c:pt idx="54">
                  <c:v>3.2594814404997302E-14</c:v>
                </c:pt>
                <c:pt idx="55">
                  <c:v>3.18935026388154E-14</c:v>
                </c:pt>
                <c:pt idx="56">
                  <c:v>3.23193695960586E-14</c:v>
                </c:pt>
                <c:pt idx="57">
                  <c:v>3.2365755745878297E-14</c:v>
                </c:pt>
                <c:pt idx="58">
                  <c:v>3.2676600783173003E-14</c:v>
                </c:pt>
                <c:pt idx="59">
                  <c:v>3.3065358764624903E-14</c:v>
                </c:pt>
                <c:pt idx="60">
                  <c:v>3.4203333217356298E-14</c:v>
                </c:pt>
                <c:pt idx="61">
                  <c:v>3.5984823855253002E-14</c:v>
                </c:pt>
                <c:pt idx="62">
                  <c:v>3.67248659805942E-14</c:v>
                </c:pt>
                <c:pt idx="63">
                  <c:v>3.80205563965848E-14</c:v>
                </c:pt>
                <c:pt idx="64">
                  <c:v>3.90715927863564E-14</c:v>
                </c:pt>
                <c:pt idx="65">
                  <c:v>3.9593114829579002E-14</c:v>
                </c:pt>
                <c:pt idx="66">
                  <c:v>4.0177487967300999E-14</c:v>
                </c:pt>
                <c:pt idx="67">
                  <c:v>4.0666901433997401E-14</c:v>
                </c:pt>
                <c:pt idx="68">
                  <c:v>4.04395864923198E-14</c:v>
                </c:pt>
                <c:pt idx="69">
                  <c:v>4.1182123489524502E-14</c:v>
                </c:pt>
                <c:pt idx="70">
                  <c:v>4.2016076568960299E-14</c:v>
                </c:pt>
                <c:pt idx="71">
                  <c:v>4.2495849287064102E-14</c:v>
                </c:pt>
                <c:pt idx="72">
                  <c:v>4.2955120816308199E-14</c:v>
                </c:pt>
                <c:pt idx="73">
                  <c:v>4.3394601943611298E-14</c:v>
                </c:pt>
                <c:pt idx="74">
                  <c:v>4.3814928822726799E-14</c:v>
                </c:pt>
                <c:pt idx="75">
                  <c:v>4.4216664726401803E-14</c:v>
                </c:pt>
                <c:pt idx="76">
                  <c:v>4.4600304944164301E-14</c:v>
                </c:pt>
                <c:pt idx="77">
                  <c:v>4.4966283653669202E-14</c:v>
                </c:pt>
                <c:pt idx="78">
                  <c:v>4.5314981862520601E-14</c:v>
                </c:pt>
                <c:pt idx="79">
                  <c:v>4.5646735743698203E-14</c:v>
                </c:pt>
                <c:pt idx="80">
                  <c:v>4.59618448738261E-14</c:v>
                </c:pt>
                <c:pt idx="81">
                  <c:v>4.6260580033620399E-14</c:v>
                </c:pt>
                <c:pt idx="82">
                  <c:v>4.6543190348572198E-14</c:v>
                </c:pt>
                <c:pt idx="83">
                  <c:v>4.68099096399311E-14</c:v>
                </c:pt>
                <c:pt idx="84">
                  <c:v>4.7060961925750102E-14</c:v>
                </c:pt>
                <c:pt idx="85">
                  <c:v>4.7296566063138803E-14</c:v>
                </c:pt>
                <c:pt idx="86">
                  <c:v>4.7516939559461698E-14</c:v>
                </c:pt>
                <c:pt idx="87">
                  <c:v>4.7722301605051101E-14</c:v>
                </c:pt>
                <c:pt idx="88">
                  <c:v>4.7912875395647697E-14</c:v>
                </c:pt>
                <c:pt idx="89">
                  <c:v>4.8088889821377901E-14</c:v>
                </c:pt>
                <c:pt idx="90">
                  <c:v>4.8250580602392501E-14</c:v>
                </c:pt>
                <c:pt idx="91">
                  <c:v>4.8398190950742501E-14</c:v>
                </c:pt>
                <c:pt idx="92">
                  <c:v>4.8531971834810003E-14</c:v>
                </c:pt>
                <c:pt idx="93">
                  <c:v>4.86521819175372E-14</c:v>
                </c:pt>
                <c:pt idx="94">
                  <c:v>4.8759087233504203E-14</c:v>
                </c:pt>
                <c:pt idx="95">
                  <c:v>4.8852960663135099E-14</c:v>
                </c:pt>
                <c:pt idx="96">
                  <c:v>4.8934081255349999E-14</c:v>
                </c:pt>
                <c:pt idx="97">
                  <c:v>4.9002733443124602E-14</c:v>
                </c:pt>
                <c:pt idx="98">
                  <c:v>4.90592061898671E-14</c:v>
                </c:pt>
                <c:pt idx="99">
                  <c:v>4.9103792098405298E-14</c:v>
                </c:pt>
                <c:pt idx="100">
                  <c:v>4.91367865087822E-14</c:v>
                </c:pt>
                <c:pt idx="101">
                  <c:v>4.9158486606023E-14</c:v>
                </c:pt>
                <c:pt idx="102">
                  <c:v>4.9169190554570101E-14</c:v>
                </c:pt>
                <c:pt idx="103">
                  <c:v>4.9169196672181303E-14</c:v>
                </c:pt>
                <c:pt idx="104">
                  <c:v>4.9158802652716801E-14</c:v>
                </c:pt>
                <c:pt idx="105">
                  <c:v>4.91383048443777E-14</c:v>
                </c:pt>
                <c:pt idx="106">
                  <c:v>4.9107997587547603E-14</c:v>
                </c:pt>
                <c:pt idx="107">
                  <c:v>4.9068172614399703E-14</c:v>
                </c:pt>
                <c:pt idx="108">
                  <c:v>4.9019118510812298E-14</c:v>
                </c:pt>
                <c:pt idx="109">
                  <c:v>4.8961120239837502E-14</c:v>
                </c:pt>
                <c:pt idx="110">
                  <c:v>4.8894458724961E-14</c:v>
                </c:pt>
                <c:pt idx="111">
                  <c:v>4.8819410490621898E-14</c:v>
                </c:pt>
                <c:pt idx="112">
                  <c:v>4.8736247356905301E-14</c:v>
                </c:pt>
                <c:pt idx="113">
                  <c:v>4.8645236184937401E-14</c:v>
                </c:pt>
                <c:pt idx="114">
                  <c:v>4.8546638669272702E-14</c:v>
                </c:pt>
                <c:pt idx="115">
                  <c:v>4.8440711173447798E-14</c:v>
                </c:pt>
                <c:pt idx="116">
                  <c:v>4.8327704604850003E-14</c:v>
                </c:pt>
                <c:pt idx="117">
                  <c:v>4.82078643251037E-14</c:v>
                </c:pt>
                <c:pt idx="118">
                  <c:v>4.8081430092289503E-14</c:v>
                </c:pt>
                <c:pt idx="119">
                  <c:v>4.7948636031466001E-14</c:v>
                </c:pt>
                <c:pt idx="120">
                  <c:v>4.7809710630151698E-14</c:v>
                </c:pt>
                <c:pt idx="121">
                  <c:v>4.7664876755635202E-14</c:v>
                </c:pt>
                <c:pt idx="122">
                  <c:v>4.7514351691201197E-14</c:v>
                </c:pt>
                <c:pt idx="123">
                  <c:v>4.7358347188591002E-14</c:v>
                </c:pt>
                <c:pt idx="124">
                  <c:v>4.7197069534242897E-14</c:v>
                </c:pt>
                <c:pt idx="125">
                  <c:v>4.7030719627083399E-14</c:v>
                </c:pt>
                <c:pt idx="126">
                  <c:v>4.6859493065859799E-14</c:v>
                </c:pt>
                <c:pt idx="127">
                  <c:v>4.6683580244211503E-14</c:v>
                </c:pt>
                <c:pt idx="128">
                  <c:v>4.65031664518754E-14</c:v>
                </c:pt>
                <c:pt idx="129">
                  <c:v>4.6318431980607701E-14</c:v>
                </c:pt>
                <c:pt idx="130">
                  <c:v>4.6129552233573497E-14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A58-42EC-8B07-26162C01919B}"/>
            </c:ext>
          </c:extLst>
        </c:ser>
        <c:ser>
          <c:idx val="8"/>
          <c:order val="8"/>
          <c:tx>
            <c:strRef>
              <c:f>'DSGE HVD woFG'!$AH$1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woFG'!$AH$2:$AH$132</c:f>
              <c:numCache>
                <c:formatCode>0.0000</c:formatCode>
                <c:ptCount val="131"/>
                <c:pt idx="0">
                  <c:v>3.232848152251621E-2</c:v>
                </c:pt>
                <c:pt idx="1">
                  <c:v>3.192574738856431E-2</c:v>
                </c:pt>
                <c:pt idx="2">
                  <c:v>3.1528307303669054E-2</c:v>
                </c:pt>
                <c:pt idx="3">
                  <c:v>3.1136089791837525E-2</c:v>
                </c:pt>
                <c:pt idx="4">
                  <c:v>3.0749024292872861E-2</c:v>
                </c:pt>
                <c:pt idx="5">
                  <c:v>3.0367041153361845E-2</c:v>
                </c:pt>
                <c:pt idx="6">
                  <c:v>2.9990071617660336E-2</c:v>
                </c:pt>
                <c:pt idx="7">
                  <c:v>2.9618047818907225E-2</c:v>
                </c:pt>
                <c:pt idx="8">
                  <c:v>2.9250902770002647E-2</c:v>
                </c:pt>
                <c:pt idx="9">
                  <c:v>2.8888570354634348E-2</c:v>
                </c:pt>
                <c:pt idx="10">
                  <c:v>2.8530985318305314E-2</c:v>
                </c:pt>
                <c:pt idx="11">
                  <c:v>2.8178083259358423E-2</c:v>
                </c:pt>
                <c:pt idx="12">
                  <c:v>2.7829800620052653E-2</c:v>
                </c:pt>
                <c:pt idx="13">
                  <c:v>2.7486074677595701E-2</c:v>
                </c:pt>
                <c:pt idx="14">
                  <c:v>2.7146843535275175E-2</c:v>
                </c:pt>
                <c:pt idx="15">
                  <c:v>2.6812046113556125E-2</c:v>
                </c:pt>
                <c:pt idx="16">
                  <c:v>2.6481622141234347E-2</c:v>
                </c:pt>
                <c:pt idx="17">
                  <c:v>2.6155512146595981E-2</c:v>
                </c:pt>
                <c:pt idx="18">
                  <c:v>2.5833657448609836E-2</c:v>
                </c:pt>
                <c:pt idx="19">
                  <c:v>2.551600014817576E-2</c:v>
                </c:pt>
                <c:pt idx="20">
                  <c:v>2.520248311935373E-2</c:v>
                </c:pt>
                <c:pt idx="21">
                  <c:v>2.4893050000710626E-2</c:v>
                </c:pt>
                <c:pt idx="22">
                  <c:v>2.4587645186609171E-2</c:v>
                </c:pt>
                <c:pt idx="23">
                  <c:v>2.4286213818608904E-2</c:v>
                </c:pt>
                <c:pt idx="24">
                  <c:v>2.3988701776875784E-2</c:v>
                </c:pt>
                <c:pt idx="25">
                  <c:v>2.3695055671628069E-2</c:v>
                </c:pt>
                <c:pt idx="26">
                  <c:v>2.3405222834653006E-2</c:v>
                </c:pt>
                <c:pt idx="27">
                  <c:v>2.3119151310852001E-2</c:v>
                </c:pt>
                <c:pt idx="28">
                  <c:v>2.2836789849823215E-2</c:v>
                </c:pt>
                <c:pt idx="29">
                  <c:v>2.2558087897527324E-2</c:v>
                </c:pt>
                <c:pt idx="30">
                  <c:v>2.2282995587957717E-2</c:v>
                </c:pt>
                <c:pt idx="31">
                  <c:v>2.2011463734905378E-2</c:v>
                </c:pt>
                <c:pt idx="32">
                  <c:v>2.1743443823740539E-2</c:v>
                </c:pt>
                <c:pt idx="33">
                  <c:v>2.147888800328953E-2</c:v>
                </c:pt>
                <c:pt idx="34">
                  <c:v>2.121774907772284E-2</c:v>
                </c:pt>
                <c:pt idx="35">
                  <c:v>2.0959980498521207E-2</c:v>
                </c:pt>
                <c:pt idx="36">
                  <c:v>2.0705536356511758E-2</c:v>
                </c:pt>
                <c:pt idx="37">
                  <c:v>2.0454371373930736E-2</c:v>
                </c:pt>
                <c:pt idx="38">
                  <c:v>2.0206440896591484E-2</c:v>
                </c:pt>
                <c:pt idx="39">
                  <c:v>1.9961700886055041E-2</c:v>
                </c:pt>
                <c:pt idx="40">
                  <c:v>1.9720107911916817E-2</c:v>
                </c:pt>
                <c:pt idx="41">
                  <c:v>1.9481619144116863E-2</c:v>
                </c:pt>
                <c:pt idx="42">
                  <c:v>1.9246192345334725E-2</c:v>
                </c:pt>
                <c:pt idx="43">
                  <c:v>1.9013785863444179E-2</c:v>
                </c:pt>
                <c:pt idx="44">
                  <c:v>1.8784358624023129E-2</c:v>
                </c:pt>
                <c:pt idx="45">
                  <c:v>1.855787012293773E-2</c:v>
                </c:pt>
                <c:pt idx="46">
                  <c:v>1.8334280418982177E-2</c:v>
                </c:pt>
                <c:pt idx="47">
                  <c:v>1.8113550126605135E-2</c:v>
                </c:pt>
                <c:pt idx="48">
                  <c:v>1.7895640408672128E-2</c:v>
                </c:pt>
                <c:pt idx="49">
                  <c:v>1.7680512969329515E-2</c:v>
                </c:pt>
                <c:pt idx="50">
                  <c:v>1.7468130046901221E-2</c:v>
                </c:pt>
                <c:pt idx="51">
                  <c:v>1.7258454406872261E-2</c:v>
                </c:pt>
                <c:pt idx="52">
                  <c:v>1.7051449334942615E-2</c:v>
                </c:pt>
                <c:pt idx="53">
                  <c:v>1.6847078630148622E-2</c:v>
                </c:pt>
                <c:pt idx="54">
                  <c:v>1.6645306598027945E-2</c:v>
                </c:pt>
                <c:pt idx="55">
                  <c:v>1.6446098043902374E-2</c:v>
                </c:pt>
                <c:pt idx="56">
                  <c:v>1.624941826616353E-2</c:v>
                </c:pt>
                <c:pt idx="57">
                  <c:v>1.6055233049691829E-2</c:v>
                </c:pt>
                <c:pt idx="58">
                  <c:v>1.5863508659296987E-2</c:v>
                </c:pt>
                <c:pt idx="59">
                  <c:v>1.5674211833275203E-2</c:v>
                </c:pt>
                <c:pt idx="60">
                  <c:v>1.5487309776966525E-2</c:v>
                </c:pt>
                <c:pt idx="61">
                  <c:v>1.5302770156457134E-2</c:v>
                </c:pt>
                <c:pt idx="62">
                  <c:v>1.5120561092279087E-2</c:v>
                </c:pt>
                <c:pt idx="63">
                  <c:v>1.4940651153249239E-2</c:v>
                </c:pt>
                <c:pt idx="64">
                  <c:v>1.4763009350312406E-2</c:v>
                </c:pt>
                <c:pt idx="65">
                  <c:v>1.458760513050446E-2</c:v>
                </c:pt>
                <c:pt idx="66">
                  <c:v>1.4414408370947859E-2</c:v>
                </c:pt>
                <c:pt idx="67">
                  <c:v>1.4243389372927321E-2</c:v>
                </c:pt>
                <c:pt idx="68">
                  <c:v>1.4074518856033261E-2</c:v>
                </c:pt>
                <c:pt idx="69">
                  <c:v>1.3907767952399761E-2</c:v>
                </c:pt>
                <c:pt idx="70">
                  <c:v>1.3743108200941566E-2</c:v>
                </c:pt>
                <c:pt idx="71">
                  <c:v>1.3580511541731649E-2</c:v>
                </c:pt>
                <c:pt idx="72">
                  <c:v>1.3419950310407519E-2</c:v>
                </c:pt>
                <c:pt idx="73">
                  <c:v>1.3261397232650081E-2</c:v>
                </c:pt>
                <c:pt idx="74">
                  <c:v>1.3104825418730731E-2</c:v>
                </c:pt>
                <c:pt idx="75">
                  <c:v>1.2950208358124776E-2</c:v>
                </c:pt>
                <c:pt idx="76">
                  <c:v>1.2797519914188314E-2</c:v>
                </c:pt>
                <c:pt idx="77">
                  <c:v>1.2646734318902345E-2</c:v>
                </c:pt>
                <c:pt idx="78">
                  <c:v>1.2497826167680174E-2</c:v>
                </c:pt>
                <c:pt idx="79">
                  <c:v>1.2350770414239999E-2</c:v>
                </c:pt>
                <c:pt idx="80">
                  <c:v>1.2205542365541116E-2</c:v>
                </c:pt>
                <c:pt idx="81">
                  <c:v>1.2062117676783434E-2</c:v>
                </c:pt>
                <c:pt idx="82">
                  <c:v>1.1920472346470947E-2</c:v>
                </c:pt>
                <c:pt idx="83">
                  <c:v>1.1780582711536463E-2</c:v>
                </c:pt>
                <c:pt idx="84">
                  <c:v>1.164242544252987E-2</c:v>
                </c:pt>
                <c:pt idx="85">
                  <c:v>1.1505977538867279E-2</c:v>
                </c:pt>
                <c:pt idx="86">
                  <c:v>1.1371216324141287E-2</c:v>
                </c:pt>
                <c:pt idx="87">
                  <c:v>1.1238119441492897E-2</c:v>
                </c:pt>
                <c:pt idx="88">
                  <c:v>1.1106664849042203E-2</c:v>
                </c:pt>
                <c:pt idx="89">
                  <c:v>1.0976830815380504E-2</c:v>
                </c:pt>
                <c:pt idx="90">
                  <c:v>1.0848595915120208E-2</c:v>
                </c:pt>
                <c:pt idx="91">
                  <c:v>1.0721939024504312E-2</c:v>
                </c:pt>
                <c:pt idx="92">
                  <c:v>1.0596839317073706E-2</c:v>
                </c:pt>
                <c:pt idx="93">
                  <c:v>1.0473276259392107E-2</c:v>
                </c:pt>
                <c:pt idx="94">
                  <c:v>1.0351229606828201E-2</c:v>
                </c:pt>
                <c:pt idx="95">
                  <c:v>1.0230679399394597E-2</c:v>
                </c:pt>
                <c:pt idx="96">
                  <c:v>1.0111605957642491E-2</c:v>
                </c:pt>
                <c:pt idx="97">
                  <c:v>9.993989878611961E-3</c:v>
                </c:pt>
                <c:pt idx="98">
                  <c:v>9.8778120318371888E-3</c:v>
                </c:pt>
                <c:pt idx="99">
                  <c:v>9.763053555406298E-3</c:v>
                </c:pt>
                <c:pt idx="100">
                  <c:v>9.6496958520748844E-3</c:v>
                </c:pt>
                <c:pt idx="101">
                  <c:v>9.5377205854327071E-3</c:v>
                </c:pt>
                <c:pt idx="102">
                  <c:v>9.4271096761235108E-3</c:v>
                </c:pt>
                <c:pt idx="103">
                  <c:v>9.3178452981166615E-3</c:v>
                </c:pt>
                <c:pt idx="104">
                  <c:v>9.2099098750308313E-3</c:v>
                </c:pt>
                <c:pt idx="105">
                  <c:v>9.1032860765082775E-3</c:v>
                </c:pt>
                <c:pt idx="106">
                  <c:v>8.997956814640223E-3</c:v>
                </c:pt>
                <c:pt idx="107">
                  <c:v>8.8939052404415492E-3</c:v>
                </c:pt>
                <c:pt idx="108">
                  <c:v>8.7911147403756402E-3</c:v>
                </c:pt>
                <c:pt idx="109">
                  <c:v>8.6895689329274505E-3</c:v>
                </c:pt>
                <c:pt idx="110">
                  <c:v>8.5892516652252855E-3</c:v>
                </c:pt>
                <c:pt idx="111">
                  <c:v>8.4901470097101164E-3</c:v>
                </c:pt>
                <c:pt idx="112">
                  <c:v>8.3922392608520996E-3</c:v>
                </c:pt>
                <c:pt idx="113">
                  <c:v>8.2955129319140144E-3</c:v>
                </c:pt>
                <c:pt idx="114">
                  <c:v>8.1999527517602599E-3</c:v>
                </c:pt>
                <c:pt idx="115">
                  <c:v>8.1055436617120322E-3</c:v>
                </c:pt>
                <c:pt idx="116">
                  <c:v>8.0122708124470143E-3</c:v>
                </c:pt>
                <c:pt idx="117">
                  <c:v>7.920119560943694E-3</c:v>
                </c:pt>
                <c:pt idx="118">
                  <c:v>7.8290754674696841E-3</c:v>
                </c:pt>
                <c:pt idx="119">
                  <c:v>7.7391242926132513E-3</c:v>
                </c:pt>
                <c:pt idx="120">
                  <c:v>7.6502519943577882E-3</c:v>
                </c:pt>
                <c:pt idx="121">
                  <c:v>7.5624447251985945E-3</c:v>
                </c:pt>
                <c:pt idx="122">
                  <c:v>7.4756888293013319E-3</c:v>
                </c:pt>
                <c:pt idx="123">
                  <c:v>7.3899708397019365E-3</c:v>
                </c:pt>
                <c:pt idx="124">
                  <c:v>7.3052774755468994E-3</c:v>
                </c:pt>
                <c:pt idx="125">
                  <c:v>7.2215956393742444E-3</c:v>
                </c:pt>
                <c:pt idx="126">
                  <c:v>7.1389124144336886E-3</c:v>
                </c:pt>
                <c:pt idx="127">
                  <c:v>7.0572150620463311E-3</c:v>
                </c:pt>
                <c:pt idx="128">
                  <c:v>6.9764910190028033E-3</c:v>
                </c:pt>
                <c:pt idx="129">
                  <c:v>6.8967278949998078E-3</c:v>
                </c:pt>
                <c:pt idx="130">
                  <c:v>6.81791347011398E-3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58-42EC-8B07-26162C01919B}"/>
            </c:ext>
          </c:extLst>
        </c:ser>
        <c:ser>
          <c:idx val="9"/>
          <c:order val="9"/>
          <c:tx>
            <c:strRef>
              <c:f>'DSGE HVD woFG'!$AI$1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'DSGE HVD woFG'!$AI$2:$AI$132</c:f>
              <c:numCache>
                <c:formatCode>0.0000</c:formatCode>
                <c:ptCount val="131"/>
                <c:pt idx="0">
                  <c:v>-2.4061598630561593E-2</c:v>
                </c:pt>
                <c:pt idx="1">
                  <c:v>-0.16901312640215643</c:v>
                </c:pt>
                <c:pt idx="2">
                  <c:v>-0.4568962772824392</c:v>
                </c:pt>
                <c:pt idx="3">
                  <c:v>-0.69504237510761147</c:v>
                </c:pt>
                <c:pt idx="4">
                  <c:v>-1.1003980145650201</c:v>
                </c:pt>
                <c:pt idx="5">
                  <c:v>-1.1705554725898168</c:v>
                </c:pt>
                <c:pt idx="6">
                  <c:v>-1.4401443552117861</c:v>
                </c:pt>
                <c:pt idx="7">
                  <c:v>-2.5875767507539167</c:v>
                </c:pt>
                <c:pt idx="8">
                  <c:v>-2.4418475918029525</c:v>
                </c:pt>
                <c:pt idx="9">
                  <c:v>-1.9738793460216666</c:v>
                </c:pt>
                <c:pt idx="10">
                  <c:v>-1.4315514981686894</c:v>
                </c:pt>
                <c:pt idx="11">
                  <c:v>-1.1676708505833555</c:v>
                </c:pt>
                <c:pt idx="12">
                  <c:v>-1.1664499644184445</c:v>
                </c:pt>
                <c:pt idx="13">
                  <c:v>-1.3282359566764941</c:v>
                </c:pt>
                <c:pt idx="14">
                  <c:v>-1.4969195052771691</c:v>
                </c:pt>
                <c:pt idx="15">
                  <c:v>-1.3824347912612764</c:v>
                </c:pt>
                <c:pt idx="16">
                  <c:v>-1.1926477786426462</c:v>
                </c:pt>
                <c:pt idx="17">
                  <c:v>-1.4056515791272981</c:v>
                </c:pt>
                <c:pt idx="18">
                  <c:v>-1.7758900804244848</c:v>
                </c:pt>
                <c:pt idx="19">
                  <c:v>-2.0563661714919346</c:v>
                </c:pt>
                <c:pt idx="20">
                  <c:v>-1.8093998930858841</c:v>
                </c:pt>
                <c:pt idx="21">
                  <c:v>-2.0981536449393214</c:v>
                </c:pt>
                <c:pt idx="22">
                  <c:v>-1.9692998689052503</c:v>
                </c:pt>
                <c:pt idx="23">
                  <c:v>-1.7333004755560844</c:v>
                </c:pt>
                <c:pt idx="24">
                  <c:v>-1.8216138718711223</c:v>
                </c:pt>
                <c:pt idx="25">
                  <c:v>-1.7627106218741613</c:v>
                </c:pt>
                <c:pt idx="26">
                  <c:v>-1.6572036549199225</c:v>
                </c:pt>
                <c:pt idx="27">
                  <c:v>-1.6409841815501862</c:v>
                </c:pt>
                <c:pt idx="28">
                  <c:v>-1.5575993506992338</c:v>
                </c:pt>
                <c:pt idx="29">
                  <c:v>-1.5727721999909021</c:v>
                </c:pt>
                <c:pt idx="30">
                  <c:v>-1.6391611280608966</c:v>
                </c:pt>
                <c:pt idx="31">
                  <c:v>-1.7924431748503422</c:v>
                </c:pt>
                <c:pt idx="32">
                  <c:v>-1.8320960454543147</c:v>
                </c:pt>
                <c:pt idx="33">
                  <c:v>-1.7942918316721781</c:v>
                </c:pt>
                <c:pt idx="34">
                  <c:v>-2.025640108829609</c:v>
                </c:pt>
                <c:pt idx="35">
                  <c:v>-2.0465384537115048</c:v>
                </c:pt>
                <c:pt idx="36">
                  <c:v>-2.2171345409824688</c:v>
                </c:pt>
                <c:pt idx="37">
                  <c:v>-2.0335054419704428</c:v>
                </c:pt>
                <c:pt idx="38">
                  <c:v>-1.9339103889451699</c:v>
                </c:pt>
                <c:pt idx="39">
                  <c:v>-1.6813706267293054</c:v>
                </c:pt>
                <c:pt idx="40">
                  <c:v>-1.5493287346453266</c:v>
                </c:pt>
                <c:pt idx="41">
                  <c:v>-1.4963387385980598</c:v>
                </c:pt>
                <c:pt idx="42">
                  <c:v>-1.3413191704500478</c:v>
                </c:pt>
                <c:pt idx="43">
                  <c:v>-1.1795575823301048</c:v>
                </c:pt>
                <c:pt idx="44">
                  <c:v>-1.0602972101674732</c:v>
                </c:pt>
                <c:pt idx="45">
                  <c:v>-1.1709953365707357</c:v>
                </c:pt>
                <c:pt idx="46">
                  <c:v>-1.1035868153856878</c:v>
                </c:pt>
                <c:pt idx="47">
                  <c:v>-1.1879588502747034</c:v>
                </c:pt>
                <c:pt idx="48">
                  <c:v>-1.2115697492453281</c:v>
                </c:pt>
                <c:pt idx="49">
                  <c:v>-1.2821028121649907</c:v>
                </c:pt>
                <c:pt idx="50">
                  <c:v>-1.3329418678754392</c:v>
                </c:pt>
                <c:pt idx="51">
                  <c:v>-1.1843491248616373</c:v>
                </c:pt>
                <c:pt idx="52">
                  <c:v>-1.5274250370670723</c:v>
                </c:pt>
                <c:pt idx="53">
                  <c:v>-1.7323290131937235</c:v>
                </c:pt>
                <c:pt idx="54">
                  <c:v>-1.2795935050662539</c:v>
                </c:pt>
                <c:pt idx="55">
                  <c:v>-1.0803301166184638</c:v>
                </c:pt>
                <c:pt idx="56">
                  <c:v>-0.86279201997761057</c:v>
                </c:pt>
                <c:pt idx="57">
                  <c:v>-0.82664151618449744</c:v>
                </c:pt>
                <c:pt idx="58">
                  <c:v>-0.86894841361518182</c:v>
                </c:pt>
                <c:pt idx="59">
                  <c:v>-0.87647585548674634</c:v>
                </c:pt>
                <c:pt idx="60">
                  <c:v>-0.93834686838014258</c:v>
                </c:pt>
                <c:pt idx="61">
                  <c:v>-1.0542343099909934</c:v>
                </c:pt>
                <c:pt idx="62">
                  <c:v>-0.95666930242773307</c:v>
                </c:pt>
                <c:pt idx="63">
                  <c:v>-1.0236998726994999</c:v>
                </c:pt>
                <c:pt idx="64">
                  <c:v>-0.66938901222839642</c:v>
                </c:pt>
                <c:pt idx="65">
                  <c:v>-0.65098625981373093</c:v>
                </c:pt>
                <c:pt idx="66">
                  <c:v>-0.3905922606446553</c:v>
                </c:pt>
                <c:pt idx="67">
                  <c:v>-0.41670854131271995</c:v>
                </c:pt>
                <c:pt idx="68">
                  <c:v>-0.23676321312085244</c:v>
                </c:pt>
                <c:pt idx="69">
                  <c:v>-0.30264526014526216</c:v>
                </c:pt>
                <c:pt idx="70">
                  <c:v>-0.43354320476005892</c:v>
                </c:pt>
                <c:pt idx="71">
                  <c:v>-0.43423381824409968</c:v>
                </c:pt>
                <c:pt idx="72">
                  <c:v>-0.43334011902856806</c:v>
                </c:pt>
                <c:pt idx="73">
                  <c:v>-0.43107083027441156</c:v>
                </c:pt>
                <c:pt idx="74">
                  <c:v>-0.42761644799847087</c:v>
                </c:pt>
                <c:pt idx="75">
                  <c:v>-0.42315009584672908</c:v>
                </c:pt>
                <c:pt idx="76">
                  <c:v>-0.41782837651655258</c:v>
                </c:pt>
                <c:pt idx="77">
                  <c:v>-0.41179225923543783</c:v>
                </c:pt>
                <c:pt idx="78">
                  <c:v>-0.40516801174778372</c:v>
                </c:pt>
                <c:pt idx="79">
                  <c:v>-0.39806816897427666</c:v>
                </c:pt>
                <c:pt idx="80">
                  <c:v>-0.39059252315813836</c:v>
                </c:pt>
                <c:pt idx="81">
                  <c:v>-0.38282911821174737</c:v>
                </c:pt>
                <c:pt idx="82">
                  <c:v>-0.37485523178645735</c:v>
                </c:pt>
                <c:pt idx="83">
                  <c:v>-0.36673833085050855</c:v>
                </c:pt>
                <c:pt idx="84">
                  <c:v>-0.35853698939299217</c:v>
                </c:pt>
                <c:pt idx="85">
                  <c:v>-0.35030175976299111</c:v>
                </c:pt>
                <c:pt idx="86">
                  <c:v>-0.34207599182521592</c:v>
                </c:pt>
                <c:pt idx="87">
                  <c:v>-0.3338965964349157</c:v>
                </c:pt>
                <c:pt idx="88">
                  <c:v>-0.32579475166171185</c:v>
                </c:pt>
                <c:pt idx="89">
                  <c:v>-0.31779655173094318</c:v>
                </c:pt>
                <c:pt idx="90">
                  <c:v>-0.30992359983581336</c:v>
                </c:pt>
                <c:pt idx="91">
                  <c:v>-0.30219354684957156</c:v>
                </c:pt>
                <c:pt idx="92">
                  <c:v>-0.29462057858291013</c:v>
                </c:pt>
                <c:pt idx="93">
                  <c:v>-0.28721585463537236</c:v>
                </c:pt>
                <c:pt idx="94">
                  <c:v>-0.27998790212313596</c:v>
                </c:pt>
                <c:pt idx="95">
                  <c:v>-0.27294296766702003</c:v>
                </c:pt>
                <c:pt idx="96">
                  <c:v>-0.26608533102524057</c:v>
                </c:pt>
                <c:pt idx="97">
                  <c:v>-0.25941758368194262</c:v>
                </c:pt>
                <c:pt idx="98">
                  <c:v>-0.25294087557591372</c:v>
                </c:pt>
                <c:pt idx="99">
                  <c:v>-0.24665513299136954</c:v>
                </c:pt>
                <c:pt idx="100">
                  <c:v>-0.24055925044756968</c:v>
                </c:pt>
                <c:pt idx="101">
                  <c:v>-0.23465125922665475</c:v>
                </c:pt>
                <c:pt idx="102">
                  <c:v>-0.22892847497722713</c:v>
                </c:pt>
                <c:pt idx="103">
                  <c:v>-0.22338762663066758</c:v>
                </c:pt>
                <c:pt idx="104">
                  <c:v>-0.21802496867216511</c:v>
                </c:pt>
                <c:pt idx="105">
                  <c:v>-0.21283637862168162</c:v>
                </c:pt>
                <c:pt idx="106">
                  <c:v>-0.20781744140370614</c:v>
                </c:pt>
                <c:pt idx="107">
                  <c:v>-0.20296352211952845</c:v>
                </c:pt>
                <c:pt idx="108">
                  <c:v>-0.19826982858265668</c:v>
                </c:pt>
                <c:pt idx="109">
                  <c:v>-0.1937314648368792</c:v>
                </c:pt>
                <c:pt idx="110">
                  <c:v>-0.18934347674724009</c:v>
                </c:pt>
                <c:pt idx="111">
                  <c:v>-0.18510089063639362</c:v>
                </c:pt>
                <c:pt idx="112">
                  <c:v>-0.18099874583190972</c:v>
                </c:pt>
                <c:pt idx="113">
                  <c:v>-0.17703212189341141</c:v>
                </c:pt>
                <c:pt idx="114">
                  <c:v>-0.17319616120136044</c:v>
                </c:pt>
                <c:pt idx="115">
                  <c:v>-0.16948608751096964</c:v>
                </c:pt>
                <c:pt idx="116">
                  <c:v>-0.16589722100461265</c:v>
                </c:pt>
                <c:pt idx="117">
                  <c:v>-0.1624249903132744</c:v>
                </c:pt>
                <c:pt idx="118">
                  <c:v>-0.15906494192166937</c:v>
                </c:pt>
                <c:pt idx="119">
                  <c:v>-0.15581274732167322</c:v>
                </c:pt>
                <c:pt idx="120">
                  <c:v>-0.15266420823442256</c:v>
                </c:pt>
                <c:pt idx="121">
                  <c:v>-0.14961526018198065</c:v>
                </c:pt>
                <c:pt idx="122">
                  <c:v>-0.14666197465459546</c:v>
                </c:pt>
                <c:pt idx="123">
                  <c:v>-0.14380056008859593</c:v>
                </c:pt>
                <c:pt idx="124">
                  <c:v>-0.14102736184267958</c:v>
                </c:pt>
                <c:pt idx="125">
                  <c:v>-0.13833886133614381</c:v>
                </c:pt>
                <c:pt idx="126">
                  <c:v>-0.13573167449135703</c:v>
                </c:pt>
                <c:pt idx="127">
                  <c:v>-0.13320254960394856</c:v>
                </c:pt>
                <c:pt idx="128">
                  <c:v>-0.13074836474771062</c:v>
                </c:pt>
                <c:pt idx="129">
                  <c:v>-0.12836612480666434</c:v>
                </c:pt>
                <c:pt idx="130">
                  <c:v>-0.12605295821400181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A58-42EC-8B07-26162C019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dateAx>
        <c:axId val="1190122384"/>
        <c:scaling>
          <c:orientation val="minMax"/>
          <c:max val="45536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802401664410174E-2"/>
          <c:y val="0.23627502623656962"/>
          <c:w val="0.88565822010303863"/>
          <c:h val="0.6430753217912725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'DSGE HVD woFG'!$Z$1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woFG'!$Z$2:$Z$132</c:f>
              <c:numCache>
                <c:formatCode>0.0000</c:formatCode>
                <c:ptCount val="131"/>
                <c:pt idx="0">
                  <c:v>-9.9978563028760903E-2</c:v>
                </c:pt>
                <c:pt idx="1">
                  <c:v>-9.0493735072627104E-2</c:v>
                </c:pt>
                <c:pt idx="2">
                  <c:v>-9.5177672176048805E-2</c:v>
                </c:pt>
                <c:pt idx="3">
                  <c:v>-9.2548084284100995E-2</c:v>
                </c:pt>
                <c:pt idx="4">
                  <c:v>-9.4542247696871196E-2</c:v>
                </c:pt>
                <c:pt idx="5">
                  <c:v>-9.7854644907691302E-2</c:v>
                </c:pt>
                <c:pt idx="6">
                  <c:v>-8.3694545503773005E-2</c:v>
                </c:pt>
                <c:pt idx="7">
                  <c:v>-5.1162173705283698E-2</c:v>
                </c:pt>
                <c:pt idx="8">
                  <c:v>-3.7464436438336302E-2</c:v>
                </c:pt>
                <c:pt idx="9">
                  <c:v>-2.64737763419211E-2</c:v>
                </c:pt>
                <c:pt idx="10">
                  <c:v>-4.33175668424031E-2</c:v>
                </c:pt>
                <c:pt idx="11">
                  <c:v>-3.0099007684472E-2</c:v>
                </c:pt>
                <c:pt idx="12">
                  <c:v>-3.1649797445328302E-2</c:v>
                </c:pt>
                <c:pt idx="13">
                  <c:v>-3.1615645625158999E-2</c:v>
                </c:pt>
                <c:pt idx="14">
                  <c:v>-2.1774607847629E-2</c:v>
                </c:pt>
                <c:pt idx="15">
                  <c:v>-4.3319194618868302E-2</c:v>
                </c:pt>
                <c:pt idx="16">
                  <c:v>-6.0369892570148201E-2</c:v>
                </c:pt>
                <c:pt idx="17">
                  <c:v>-6.5645686375101805E-2</c:v>
                </c:pt>
                <c:pt idx="18">
                  <c:v>-8.7670251988722997E-2</c:v>
                </c:pt>
                <c:pt idx="19">
                  <c:v>-8.3000839878612606E-2</c:v>
                </c:pt>
                <c:pt idx="20">
                  <c:v>-8.0661363496129707E-2</c:v>
                </c:pt>
                <c:pt idx="21">
                  <c:v>-8.5178942393604504E-2</c:v>
                </c:pt>
                <c:pt idx="22">
                  <c:v>-9.1634835600739303E-2</c:v>
                </c:pt>
                <c:pt idx="23">
                  <c:v>-8.5820764811643899E-2</c:v>
                </c:pt>
                <c:pt idx="24">
                  <c:v>-9.7468929113137898E-2</c:v>
                </c:pt>
                <c:pt idx="25">
                  <c:v>-9.1119812649056206E-2</c:v>
                </c:pt>
                <c:pt idx="26">
                  <c:v>-9.5154334832446896E-2</c:v>
                </c:pt>
                <c:pt idx="27">
                  <c:v>-0.105457437300936</c:v>
                </c:pt>
                <c:pt idx="28">
                  <c:v>-0.11834689783023999</c:v>
                </c:pt>
                <c:pt idx="29">
                  <c:v>-0.111275213585285</c:v>
                </c:pt>
                <c:pt idx="30">
                  <c:v>-0.11510662483526</c:v>
                </c:pt>
                <c:pt idx="31">
                  <c:v>-0.119160945552541</c:v>
                </c:pt>
                <c:pt idx="32">
                  <c:v>-0.11487555311808401</c:v>
                </c:pt>
                <c:pt idx="33">
                  <c:v>-0.117953135471455</c:v>
                </c:pt>
                <c:pt idx="34">
                  <c:v>-0.125597913387717</c:v>
                </c:pt>
                <c:pt idx="35">
                  <c:v>-0.123385816084379</c:v>
                </c:pt>
                <c:pt idx="36">
                  <c:v>-0.121891486435752</c:v>
                </c:pt>
                <c:pt idx="37">
                  <c:v>-0.13450480537767101</c:v>
                </c:pt>
                <c:pt idx="38">
                  <c:v>-0.13551749456593401</c:v>
                </c:pt>
                <c:pt idx="39">
                  <c:v>-0.137526326878601</c:v>
                </c:pt>
                <c:pt idx="40">
                  <c:v>-0.14395711345797599</c:v>
                </c:pt>
                <c:pt idx="41">
                  <c:v>-0.13970082214060001</c:v>
                </c:pt>
                <c:pt idx="42">
                  <c:v>-0.13993463027939801</c:v>
                </c:pt>
                <c:pt idx="43">
                  <c:v>-0.145297829673565</c:v>
                </c:pt>
                <c:pt idx="44">
                  <c:v>-0.14572709304308201</c:v>
                </c:pt>
                <c:pt idx="45">
                  <c:v>-0.140884736426341</c:v>
                </c:pt>
                <c:pt idx="46">
                  <c:v>-0.132211963967964</c:v>
                </c:pt>
                <c:pt idx="47">
                  <c:v>-0.127272466619057</c:v>
                </c:pt>
                <c:pt idx="48">
                  <c:v>-0.11222825198620601</c:v>
                </c:pt>
                <c:pt idx="49">
                  <c:v>-0.12812934126296899</c:v>
                </c:pt>
                <c:pt idx="50">
                  <c:v>-0.127618424958238</c:v>
                </c:pt>
                <c:pt idx="51">
                  <c:v>-0.119345877141045</c:v>
                </c:pt>
                <c:pt idx="52">
                  <c:v>-0.123927026317042</c:v>
                </c:pt>
                <c:pt idx="53">
                  <c:v>-0.12956773130857499</c:v>
                </c:pt>
                <c:pt idx="54">
                  <c:v>-0.139563165806877</c:v>
                </c:pt>
                <c:pt idx="55">
                  <c:v>-0.13096935159433601</c:v>
                </c:pt>
                <c:pt idx="56">
                  <c:v>-0.158504681285563</c:v>
                </c:pt>
                <c:pt idx="57">
                  <c:v>-0.198087475570313</c:v>
                </c:pt>
                <c:pt idx="58">
                  <c:v>-0.18253860796940199</c:v>
                </c:pt>
                <c:pt idx="59">
                  <c:v>-0.16361501281638</c:v>
                </c:pt>
                <c:pt idx="60">
                  <c:v>-0.16081164147108001</c:v>
                </c:pt>
                <c:pt idx="61">
                  <c:v>-0.16413371141581501</c:v>
                </c:pt>
                <c:pt idx="62">
                  <c:v>-0.15489273699270001</c:v>
                </c:pt>
                <c:pt idx="63">
                  <c:v>-0.154920537043373</c:v>
                </c:pt>
                <c:pt idx="64">
                  <c:v>-0.15587828197259501</c:v>
                </c:pt>
                <c:pt idx="65">
                  <c:v>-0.161835902942537</c:v>
                </c:pt>
                <c:pt idx="66">
                  <c:v>-0.15250710932225001</c:v>
                </c:pt>
                <c:pt idx="67">
                  <c:v>-0.15286543478265999</c:v>
                </c:pt>
                <c:pt idx="68">
                  <c:v>-0.16249663397403899</c:v>
                </c:pt>
                <c:pt idx="69">
                  <c:v>-0.16478724063563199</c:v>
                </c:pt>
                <c:pt idx="70">
                  <c:v>-0.17306390857123399</c:v>
                </c:pt>
                <c:pt idx="71">
                  <c:v>-0.17107207284220799</c:v>
                </c:pt>
                <c:pt idx="72">
                  <c:v>-0.169082893810171</c:v>
                </c:pt>
                <c:pt idx="73">
                  <c:v>-0.16710071510637101</c:v>
                </c:pt>
                <c:pt idx="74">
                  <c:v>-0.16512898712159799</c:v>
                </c:pt>
                <c:pt idx="75">
                  <c:v>-0.16317044078583001</c:v>
                </c:pt>
                <c:pt idx="76">
                  <c:v>-0.16122722719916599</c:v>
                </c:pt>
                <c:pt idx="77">
                  <c:v>-0.15930102989144601</c:v>
                </c:pt>
                <c:pt idx="78">
                  <c:v>-0.15739315513441801</c:v>
                </c:pt>
                <c:pt idx="79">
                  <c:v>-0.15550460464795399</c:v>
                </c:pt>
                <c:pt idx="80">
                  <c:v>-0.153636134176447</c:v>
                </c:pt>
                <c:pt idx="81">
                  <c:v>-0.151788300719332</c:v>
                </c:pt>
                <c:pt idx="82">
                  <c:v>-0.14996150064613001</c:v>
                </c:pt>
                <c:pt idx="83">
                  <c:v>-0.14815600048344599</c:v>
                </c:pt>
                <c:pt idx="84">
                  <c:v>-0.14637196180700901</c:v>
                </c:pt>
                <c:pt idx="85">
                  <c:v>-0.144609461388153</c:v>
                </c:pt>
                <c:pt idx="86">
                  <c:v>-0.142868507517043</c:v>
                </c:pt>
                <c:pt idx="87">
                  <c:v>-0.14114905324313001</c:v>
                </c:pt>
                <c:pt idx="88">
                  <c:v>-0.13945100712762801</c:v>
                </c:pt>
                <c:pt idx="89">
                  <c:v>-0.137774241986069</c:v>
                </c:pt>
                <c:pt idx="90">
                  <c:v>-0.13611860200543899</c:v>
                </c:pt>
                <c:pt idx="91">
                  <c:v>-0.13448390854536399</c:v>
                </c:pt>
                <c:pt idx="92">
                  <c:v>-0.13286996487257799</c:v>
                </c:pt>
                <c:pt idx="93">
                  <c:v>-0.131276560029635</c:v>
                </c:pt>
                <c:pt idx="94">
                  <c:v>-0.12970347199997501</c:v>
                </c:pt>
                <c:pt idx="95">
                  <c:v>-0.12815047030029</c:v>
                </c:pt>
                <c:pt idx="96">
                  <c:v>-0.12661731810605401</c:v>
                </c:pt>
                <c:pt idx="97">
                  <c:v>-0.12510377399591399</c:v>
                </c:pt>
                <c:pt idx="98">
                  <c:v>-0.12360959338437801</c:v>
                </c:pt>
                <c:pt idx="99">
                  <c:v>-0.122134529699154</c:v>
                </c:pt>
                <c:pt idx="100">
                  <c:v>-0.12067833534892999</c:v>
                </c:pt>
                <c:pt idx="101">
                  <c:v>-0.11924076251886</c:v>
                </c:pt>
                <c:pt idx="102">
                  <c:v>-0.11782156382412599</c:v>
                </c:pt>
                <c:pt idx="103">
                  <c:v>-0.116420492846368</c:v>
                </c:pt>
                <c:pt idx="104">
                  <c:v>-0.115037304573281</c:v>
                </c:pt>
                <c:pt idx="105">
                  <c:v>-0.11367175575796901</c:v>
                </c:pt>
                <c:pt idx="106">
                  <c:v>-0.112323605211718</c:v>
                </c:pt>
                <c:pt idx="107">
                  <c:v>-0.110992614041399</c:v>
                </c:pt>
                <c:pt idx="108">
                  <c:v>-0.10967854584075599</c:v>
                </c:pt>
                <c:pt idx="109">
                  <c:v>-0.108381166843209</c:v>
                </c:pt>
                <c:pt idx="110">
                  <c:v>-0.10710024604250699</c:v>
                </c:pt>
                <c:pt idx="111">
                  <c:v>-0.105835555286471</c:v>
                </c:pt>
                <c:pt idx="112">
                  <c:v>-0.104586869348192</c:v>
                </c:pt>
                <c:pt idx="113">
                  <c:v>-0.103353965978325</c:v>
                </c:pt>
                <c:pt idx="114">
                  <c:v>-0.102136625941502</c:v>
                </c:pt>
                <c:pt idx="115">
                  <c:v>-0.100934633039429</c:v>
                </c:pt>
                <c:pt idx="116">
                  <c:v>-9.9747774122779895E-2</c:v>
                </c:pt>
                <c:pt idx="117">
                  <c:v>-9.8575839093689804E-2</c:v>
                </c:pt>
                <c:pt idx="118">
                  <c:v>-9.7418620900366695E-2</c:v>
                </c:pt>
                <c:pt idx="119">
                  <c:v>-9.6275915525084799E-2</c:v>
                </c:pt>
                <c:pt idx="120">
                  <c:v>-9.5147521966648496E-2</c:v>
                </c:pt>
                <c:pt idx="121">
                  <c:v>-9.4033242218240803E-2</c:v>
                </c:pt>
                <c:pt idx="122">
                  <c:v>-9.2932881241433299E-2</c:v>
                </c:pt>
                <c:pt idx="123">
                  <c:v>-9.18462469370179E-2</c:v>
                </c:pt>
                <c:pt idx="124">
                  <c:v>-9.0773150113225606E-2</c:v>
                </c:pt>
                <c:pt idx="125">
                  <c:v>-8.9713404451810905E-2</c:v>
                </c:pt>
                <c:pt idx="126">
                  <c:v>-8.8666826472412294E-2</c:v>
                </c:pt>
                <c:pt idx="127">
                  <c:v>-8.76332354955391E-2</c:v>
                </c:pt>
                <c:pt idx="128">
                  <c:v>-8.6612453604484593E-2</c:v>
                </c:pt>
                <c:pt idx="129">
                  <c:v>-8.5604305606420295E-2</c:v>
                </c:pt>
                <c:pt idx="130">
                  <c:v>-8.4608618992893E-2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71-4B10-B9AF-86B37F15201D}"/>
            </c:ext>
          </c:extLst>
        </c:ser>
        <c:ser>
          <c:idx val="1"/>
          <c:order val="1"/>
          <c:tx>
            <c:strRef>
              <c:f>'DSGE HVD woFG'!$AA$1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woFG'!$AA$2:$AA$132</c:f>
              <c:numCache>
                <c:formatCode>0.0000</c:formatCode>
                <c:ptCount val="131"/>
                <c:pt idx="0">
                  <c:v>-0.154985917120638</c:v>
                </c:pt>
                <c:pt idx="1">
                  <c:v>-0.179892931784915</c:v>
                </c:pt>
                <c:pt idx="2">
                  <c:v>-0.35852263038029097</c:v>
                </c:pt>
                <c:pt idx="3">
                  <c:v>-0.506098476332139</c:v>
                </c:pt>
                <c:pt idx="4">
                  <c:v>-0.68145357352049596</c:v>
                </c:pt>
                <c:pt idx="5">
                  <c:v>-0.666296647567858</c:v>
                </c:pt>
                <c:pt idx="6">
                  <c:v>-0.80494646858027896</c:v>
                </c:pt>
                <c:pt idx="7">
                  <c:v>-1.4348625525810099</c:v>
                </c:pt>
                <c:pt idx="8">
                  <c:v>-1.22032408378082</c:v>
                </c:pt>
                <c:pt idx="9">
                  <c:v>-0.99360084831872397</c:v>
                </c:pt>
                <c:pt idx="10">
                  <c:v>-0.68899371157153999</c:v>
                </c:pt>
                <c:pt idx="11">
                  <c:v>-0.60245974479715503</c:v>
                </c:pt>
                <c:pt idx="12">
                  <c:v>-0.46842204801781701</c:v>
                </c:pt>
                <c:pt idx="13">
                  <c:v>-0.54831253436719896</c:v>
                </c:pt>
                <c:pt idx="14">
                  <c:v>-0.64699129918790999</c:v>
                </c:pt>
                <c:pt idx="15">
                  <c:v>-0.64320730083890298</c:v>
                </c:pt>
                <c:pt idx="16">
                  <c:v>-0.50339195366031597</c:v>
                </c:pt>
                <c:pt idx="17">
                  <c:v>-0.59893156260416203</c:v>
                </c:pt>
                <c:pt idx="18">
                  <c:v>-0.77002926116769899</c:v>
                </c:pt>
                <c:pt idx="19">
                  <c:v>-0.81965246808738901</c:v>
                </c:pt>
                <c:pt idx="20">
                  <c:v>-0.793225297604635</c:v>
                </c:pt>
                <c:pt idx="21">
                  <c:v>-0.89312555677446204</c:v>
                </c:pt>
                <c:pt idx="22">
                  <c:v>-0.80663224821920798</c:v>
                </c:pt>
                <c:pt idx="23">
                  <c:v>-0.791665063186343</c:v>
                </c:pt>
                <c:pt idx="24">
                  <c:v>-0.79932566522366899</c:v>
                </c:pt>
                <c:pt idx="25">
                  <c:v>-0.80624194975637897</c:v>
                </c:pt>
                <c:pt idx="26">
                  <c:v>-0.73869767374041795</c:v>
                </c:pt>
                <c:pt idx="27">
                  <c:v>-0.72062203820079895</c:v>
                </c:pt>
                <c:pt idx="28">
                  <c:v>-0.69414312161213698</c:v>
                </c:pt>
                <c:pt idx="29">
                  <c:v>-0.71435160837171896</c:v>
                </c:pt>
                <c:pt idx="30">
                  <c:v>-0.76647834064271303</c:v>
                </c:pt>
                <c:pt idx="31">
                  <c:v>-0.86898244355102605</c:v>
                </c:pt>
                <c:pt idx="32">
                  <c:v>-0.93971533081906999</c:v>
                </c:pt>
                <c:pt idx="33">
                  <c:v>-0.96519906872184202</c:v>
                </c:pt>
                <c:pt idx="34">
                  <c:v>-1.11319310325527</c:v>
                </c:pt>
                <c:pt idx="35">
                  <c:v>-1.10253625282666</c:v>
                </c:pt>
                <c:pt idx="36">
                  <c:v>-1.26056272834667</c:v>
                </c:pt>
                <c:pt idx="37">
                  <c:v>-1.12590633440943</c:v>
                </c:pt>
                <c:pt idx="38">
                  <c:v>-1.08539973037889</c:v>
                </c:pt>
                <c:pt idx="39">
                  <c:v>-0.93666726245213305</c:v>
                </c:pt>
                <c:pt idx="40">
                  <c:v>-0.83494174381771402</c:v>
                </c:pt>
                <c:pt idx="41">
                  <c:v>-0.80127705063798604</c:v>
                </c:pt>
                <c:pt idx="42">
                  <c:v>-0.71923842396916504</c:v>
                </c:pt>
                <c:pt idx="43">
                  <c:v>-0.62598101534480199</c:v>
                </c:pt>
                <c:pt idx="44">
                  <c:v>-0.53714645109719406</c:v>
                </c:pt>
                <c:pt idx="45">
                  <c:v>-0.58721754073995303</c:v>
                </c:pt>
                <c:pt idx="46">
                  <c:v>-0.559680174782064</c:v>
                </c:pt>
                <c:pt idx="47">
                  <c:v>-0.60738694391723602</c:v>
                </c:pt>
                <c:pt idx="48">
                  <c:v>-0.64862907995425301</c:v>
                </c:pt>
                <c:pt idx="49">
                  <c:v>-0.66231419887295495</c:v>
                </c:pt>
                <c:pt idx="50">
                  <c:v>-0.65676263748260599</c:v>
                </c:pt>
                <c:pt idx="51">
                  <c:v>-0.58869135735862099</c:v>
                </c:pt>
                <c:pt idx="52">
                  <c:v>-0.79307268770661998</c:v>
                </c:pt>
                <c:pt idx="53">
                  <c:v>-0.88571520164976003</c:v>
                </c:pt>
                <c:pt idx="54">
                  <c:v>-0.717624916921622</c:v>
                </c:pt>
                <c:pt idx="55">
                  <c:v>-0.58650216213405704</c:v>
                </c:pt>
                <c:pt idx="56">
                  <c:v>-0.43924078489912999</c:v>
                </c:pt>
                <c:pt idx="57">
                  <c:v>-0.366174027445826</c:v>
                </c:pt>
                <c:pt idx="58">
                  <c:v>-0.32735517720011498</c:v>
                </c:pt>
                <c:pt idx="59">
                  <c:v>-0.32193092488806602</c:v>
                </c:pt>
                <c:pt idx="60">
                  <c:v>-0.44333422198414602</c:v>
                </c:pt>
                <c:pt idx="61">
                  <c:v>-0.35405222447881202</c:v>
                </c:pt>
                <c:pt idx="62">
                  <c:v>-0.29028640422250201</c:v>
                </c:pt>
                <c:pt idx="63">
                  <c:v>-0.23935864198090601</c:v>
                </c:pt>
                <c:pt idx="64">
                  <c:v>-0.233489262319095</c:v>
                </c:pt>
                <c:pt idx="65">
                  <c:v>-0.23971461638024799</c:v>
                </c:pt>
                <c:pt idx="66">
                  <c:v>-7.9030365234388694E-2</c:v>
                </c:pt>
                <c:pt idx="67">
                  <c:v>-6.0451129937793703E-2</c:v>
                </c:pt>
                <c:pt idx="68">
                  <c:v>-9.6077797829872094E-2</c:v>
                </c:pt>
                <c:pt idx="69">
                  <c:v>-8.98709283629609E-2</c:v>
                </c:pt>
                <c:pt idx="70">
                  <c:v>-0.12828041779680899</c:v>
                </c:pt>
                <c:pt idx="71">
                  <c:v>-0.12699781963962101</c:v>
                </c:pt>
                <c:pt idx="72">
                  <c:v>-0.125727948389079</c:v>
                </c:pt>
                <c:pt idx="73">
                  <c:v>-0.124470724421024</c:v>
                </c:pt>
                <c:pt idx="74">
                  <c:v>-0.123226045995211</c:v>
                </c:pt>
                <c:pt idx="75">
                  <c:v>-0.12199380049495399</c:v>
                </c:pt>
                <c:pt idx="76">
                  <c:v>-0.12077387025561601</c:v>
                </c:pt>
                <c:pt idx="77">
                  <c:v>-0.11956613558420599</c:v>
                </c:pt>
                <c:pt idx="78">
                  <c:v>-0.118370476320942</c:v>
                </c:pt>
                <c:pt idx="79">
                  <c:v>-0.11718677264399401</c:v>
                </c:pt>
                <c:pt idx="80">
                  <c:v>-0.116014905481435</c:v>
                </c:pt>
                <c:pt idx="81">
                  <c:v>-0.114854756719332</c:v>
                </c:pt>
                <c:pt idx="82">
                  <c:v>-0.113706209304086</c:v>
                </c:pt>
                <c:pt idx="83">
                  <c:v>-0.112569147289922</c:v>
                </c:pt>
                <c:pt idx="84">
                  <c:v>-0.111443455857967</c:v>
                </c:pt>
                <c:pt idx="85">
                  <c:v>-0.110329021320642</c:v>
                </c:pt>
                <c:pt idx="86">
                  <c:v>-0.109225731118469</c:v>
                </c:pt>
                <c:pt idx="87">
                  <c:v>-0.108133473813012</c:v>
                </c:pt>
                <c:pt idx="88">
                  <c:v>-0.107052139077855</c:v>
                </c:pt>
                <c:pt idx="89">
                  <c:v>-0.105981617688619</c:v>
                </c:pt>
                <c:pt idx="90">
                  <c:v>-0.104921801512534</c:v>
                </c:pt>
                <c:pt idx="91">
                  <c:v>-0.10387258349782499</c:v>
                </c:pt>
                <c:pt idx="92">
                  <c:v>-0.10283385766306199</c:v>
                </c:pt>
                <c:pt idx="93">
                  <c:v>-0.10180551908654401</c:v>
                </c:pt>
                <c:pt idx="94">
                  <c:v>-0.10078746389573701</c:v>
                </c:pt>
                <c:pt idx="95">
                  <c:v>-9.9779589256809895E-2</c:v>
                </c:pt>
                <c:pt idx="96">
                  <c:v>-9.8781793364257395E-2</c:v>
                </c:pt>
                <c:pt idx="97">
                  <c:v>-9.7793975430623001E-2</c:v>
                </c:pt>
                <c:pt idx="98">
                  <c:v>-9.6816035676320994E-2</c:v>
                </c:pt>
                <c:pt idx="99">
                  <c:v>-9.5847875319560003E-2</c:v>
                </c:pt>
                <c:pt idx="100">
                  <c:v>-9.4889396566365497E-2</c:v>
                </c:pt>
                <c:pt idx="101">
                  <c:v>-9.3940502600702497E-2</c:v>
                </c:pt>
                <c:pt idx="102">
                  <c:v>-9.3001097574695796E-2</c:v>
                </c:pt>
                <c:pt idx="103">
                  <c:v>-9.2071086598948901E-2</c:v>
                </c:pt>
                <c:pt idx="104">
                  <c:v>-9.1150375732959504E-2</c:v>
                </c:pt>
                <c:pt idx="105">
                  <c:v>-9.0238871975629895E-2</c:v>
                </c:pt>
                <c:pt idx="106">
                  <c:v>-8.9336483255873594E-2</c:v>
                </c:pt>
                <c:pt idx="107">
                  <c:v>-8.8443118423314898E-2</c:v>
                </c:pt>
                <c:pt idx="108">
                  <c:v>-8.7558687239081806E-2</c:v>
                </c:pt>
                <c:pt idx="109">
                  <c:v>-8.6683100366690996E-2</c:v>
                </c:pt>
                <c:pt idx="110">
                  <c:v>-8.5816269363024097E-2</c:v>
                </c:pt>
                <c:pt idx="111">
                  <c:v>-8.4958106669393796E-2</c:v>
                </c:pt>
                <c:pt idx="112">
                  <c:v>-8.4108525602699893E-2</c:v>
                </c:pt>
                <c:pt idx="113">
                  <c:v>-8.3267440346672897E-2</c:v>
                </c:pt>
                <c:pt idx="114">
                  <c:v>-8.2434765943206104E-2</c:v>
                </c:pt>
                <c:pt idx="115">
                  <c:v>-8.1610418283774105E-2</c:v>
                </c:pt>
                <c:pt idx="116">
                  <c:v>-8.0794314100936293E-2</c:v>
                </c:pt>
                <c:pt idx="117">
                  <c:v>-7.9986370959927E-2</c:v>
                </c:pt>
                <c:pt idx="118">
                  <c:v>-7.9186507250327706E-2</c:v>
                </c:pt>
                <c:pt idx="119">
                  <c:v>-7.8394642177824395E-2</c:v>
                </c:pt>
                <c:pt idx="120">
                  <c:v>-7.7610695756046205E-2</c:v>
                </c:pt>
                <c:pt idx="121">
                  <c:v>-7.6834588798485703E-2</c:v>
                </c:pt>
                <c:pt idx="122">
                  <c:v>-7.6066242910500903E-2</c:v>
                </c:pt>
                <c:pt idx="123">
                  <c:v>-7.5305580481395795E-2</c:v>
                </c:pt>
                <c:pt idx="124">
                  <c:v>-7.4552524676581897E-2</c:v>
                </c:pt>
                <c:pt idx="125">
                  <c:v>-7.3806999429816098E-2</c:v>
                </c:pt>
                <c:pt idx="126">
                  <c:v>-7.3068929435517904E-2</c:v>
                </c:pt>
                <c:pt idx="127">
                  <c:v>-7.2338240141162705E-2</c:v>
                </c:pt>
                <c:pt idx="128">
                  <c:v>-7.1614857739751098E-2</c:v>
                </c:pt>
                <c:pt idx="129">
                  <c:v>-7.0898709162353593E-2</c:v>
                </c:pt>
                <c:pt idx="130">
                  <c:v>-7.0189722070730098E-2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71-4B10-B9AF-86B37F15201D}"/>
            </c:ext>
          </c:extLst>
        </c:ser>
        <c:ser>
          <c:idx val="2"/>
          <c:order val="2"/>
          <c:tx>
            <c:strRef>
              <c:f>'DSGE HVD woFG'!$AB$1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woFG'!$AB$2:$AB$132</c:f>
              <c:numCache>
                <c:formatCode>0.0000</c:formatCode>
                <c:ptCount val="131"/>
                <c:pt idx="0">
                  <c:v>0.25348034143512199</c:v>
                </c:pt>
                <c:pt idx="1">
                  <c:v>0.28516777923665598</c:v>
                </c:pt>
                <c:pt idx="2">
                  <c:v>0.271119077925911</c:v>
                </c:pt>
                <c:pt idx="3">
                  <c:v>0.22217413049781101</c:v>
                </c:pt>
                <c:pt idx="4">
                  <c:v>0.14069021783895999</c:v>
                </c:pt>
                <c:pt idx="5">
                  <c:v>0.143021395832999</c:v>
                </c:pt>
                <c:pt idx="6">
                  <c:v>8.1173996017254904E-2</c:v>
                </c:pt>
                <c:pt idx="7">
                  <c:v>-0.25044652137629397</c:v>
                </c:pt>
                <c:pt idx="8">
                  <c:v>-0.18175419755265901</c:v>
                </c:pt>
                <c:pt idx="9">
                  <c:v>-0.104578481002988</c:v>
                </c:pt>
                <c:pt idx="10">
                  <c:v>3.3900906970862899E-2</c:v>
                </c:pt>
                <c:pt idx="11">
                  <c:v>6.09114293776674E-2</c:v>
                </c:pt>
                <c:pt idx="12">
                  <c:v>0.124013420035627</c:v>
                </c:pt>
                <c:pt idx="13">
                  <c:v>4.4095324864127601E-2</c:v>
                </c:pt>
                <c:pt idx="14">
                  <c:v>2.6367831959021301E-2</c:v>
                </c:pt>
                <c:pt idx="15">
                  <c:v>7.2999260802330601E-2</c:v>
                </c:pt>
                <c:pt idx="16">
                  <c:v>9.5046537643726295E-2</c:v>
                </c:pt>
                <c:pt idx="17">
                  <c:v>0.11655462761706099</c:v>
                </c:pt>
                <c:pt idx="18">
                  <c:v>1.58039091327947E-2</c:v>
                </c:pt>
                <c:pt idx="19">
                  <c:v>1.3125574144345399E-2</c:v>
                </c:pt>
                <c:pt idx="20">
                  <c:v>-3.9682129831459297E-3</c:v>
                </c:pt>
                <c:pt idx="21">
                  <c:v>-1.6085192019755602E-2</c:v>
                </c:pt>
                <c:pt idx="22">
                  <c:v>-3.1785859017389902E-2</c:v>
                </c:pt>
                <c:pt idx="23">
                  <c:v>6.9560367802039696E-3</c:v>
                </c:pt>
                <c:pt idx="24">
                  <c:v>6.2179440533428297E-2</c:v>
                </c:pt>
                <c:pt idx="25">
                  <c:v>0.10984965041917</c:v>
                </c:pt>
                <c:pt idx="26">
                  <c:v>0.12294896632847099</c:v>
                </c:pt>
                <c:pt idx="27">
                  <c:v>0.18194056694239</c:v>
                </c:pt>
                <c:pt idx="28">
                  <c:v>0.167453054008771</c:v>
                </c:pt>
                <c:pt idx="29">
                  <c:v>0.18325447602850001</c:v>
                </c:pt>
                <c:pt idx="30">
                  <c:v>0.18963334411617</c:v>
                </c:pt>
                <c:pt idx="31">
                  <c:v>0.13837637634446001</c:v>
                </c:pt>
                <c:pt idx="32">
                  <c:v>0.100175333248047</c:v>
                </c:pt>
                <c:pt idx="33">
                  <c:v>0.110533828238294</c:v>
                </c:pt>
                <c:pt idx="34">
                  <c:v>6.1113727907729801E-2</c:v>
                </c:pt>
                <c:pt idx="35">
                  <c:v>3.91082061710884E-2</c:v>
                </c:pt>
                <c:pt idx="36">
                  <c:v>2.7336973852379501E-2</c:v>
                </c:pt>
                <c:pt idx="37">
                  <c:v>6.0937053373189998E-2</c:v>
                </c:pt>
                <c:pt idx="38">
                  <c:v>0.104377790531262</c:v>
                </c:pt>
                <c:pt idx="39">
                  <c:v>0.16580174034887499</c:v>
                </c:pt>
                <c:pt idx="40">
                  <c:v>0.191153053446878</c:v>
                </c:pt>
                <c:pt idx="41">
                  <c:v>0.185373910002222</c:v>
                </c:pt>
                <c:pt idx="42">
                  <c:v>0.18103331610285101</c:v>
                </c:pt>
                <c:pt idx="43">
                  <c:v>0.16751848937000999</c:v>
                </c:pt>
                <c:pt idx="44">
                  <c:v>0.17663367974411401</c:v>
                </c:pt>
                <c:pt idx="45">
                  <c:v>0.16839157779556799</c:v>
                </c:pt>
                <c:pt idx="46">
                  <c:v>0.16537017809483301</c:v>
                </c:pt>
                <c:pt idx="47">
                  <c:v>0.12969325631001599</c:v>
                </c:pt>
                <c:pt idx="48">
                  <c:v>7.3149497253332904E-2</c:v>
                </c:pt>
                <c:pt idx="49">
                  <c:v>8.3008189016326603E-2</c:v>
                </c:pt>
                <c:pt idx="50">
                  <c:v>9.9984981204624901E-2</c:v>
                </c:pt>
                <c:pt idx="51">
                  <c:v>0.109662925668675</c:v>
                </c:pt>
                <c:pt idx="52">
                  <c:v>1.01338406176753E-2</c:v>
                </c:pt>
                <c:pt idx="53">
                  <c:v>-7.9479266828179101E-2</c:v>
                </c:pt>
                <c:pt idx="54">
                  <c:v>-7.0910403781761902E-2</c:v>
                </c:pt>
                <c:pt idx="55">
                  <c:v>-5.09021146009557E-2</c:v>
                </c:pt>
                <c:pt idx="56">
                  <c:v>6.6759392717142194E-2</c:v>
                </c:pt>
                <c:pt idx="57">
                  <c:v>9.4109227003337501E-2</c:v>
                </c:pt>
                <c:pt idx="58">
                  <c:v>0.10585840698514799</c:v>
                </c:pt>
                <c:pt idx="59">
                  <c:v>0.13534883360642</c:v>
                </c:pt>
                <c:pt idx="60">
                  <c:v>0.15819713977651101</c:v>
                </c:pt>
                <c:pt idx="61">
                  <c:v>0.241343202347858</c:v>
                </c:pt>
                <c:pt idx="62">
                  <c:v>0.29374628590519702</c:v>
                </c:pt>
                <c:pt idx="63">
                  <c:v>0.34232106472177298</c:v>
                </c:pt>
                <c:pt idx="64">
                  <c:v>0.31739258191987602</c:v>
                </c:pt>
                <c:pt idx="65">
                  <c:v>0.34550865978247702</c:v>
                </c:pt>
                <c:pt idx="66">
                  <c:v>0.41855031136103799</c:v>
                </c:pt>
                <c:pt idx="67">
                  <c:v>0.42227925788713699</c:v>
                </c:pt>
                <c:pt idx="68">
                  <c:v>0.43522038244167199</c:v>
                </c:pt>
                <c:pt idx="69">
                  <c:v>0.48627179567766698</c:v>
                </c:pt>
                <c:pt idx="70">
                  <c:v>0.477826531351566</c:v>
                </c:pt>
                <c:pt idx="71">
                  <c:v>0.472690257236627</c:v>
                </c:pt>
                <c:pt idx="72">
                  <c:v>0.46771396900566697</c:v>
                </c:pt>
                <c:pt idx="73">
                  <c:v>0.46286310954541299</c:v>
                </c:pt>
                <c:pt idx="74">
                  <c:v>0.45811346684597298</c:v>
                </c:pt>
                <c:pt idx="75">
                  <c:v>0.45344803660031702</c:v>
                </c:pt>
                <c:pt idx="76">
                  <c:v>0.44885483670576598</c:v>
                </c:pt>
                <c:pt idx="77">
                  <c:v>0.44432538485186401</c:v>
                </c:pt>
                <c:pt idx="78">
                  <c:v>0.43985363800830002</c:v>
                </c:pt>
                <c:pt idx="79">
                  <c:v>0.43543525366831598</c:v>
                </c:pt>
                <c:pt idx="80">
                  <c:v>0.43106707522419102</c:v>
                </c:pt>
                <c:pt idx="81">
                  <c:v>0.42674677347120599</c:v>
                </c:pt>
                <c:pt idx="82">
                  <c:v>0.42247259686941002</c:v>
                </c:pt>
                <c:pt idx="83">
                  <c:v>0.41824319756522998</c:v>
                </c:pt>
                <c:pt idx="84">
                  <c:v>0.41405751018679599</c:v>
                </c:pt>
                <c:pt idx="85">
                  <c:v>0.40991466740110799</c:v>
                </c:pt>
                <c:pt idx="86">
                  <c:v>0.40581394107927499</c:v>
                </c:pt>
                <c:pt idx="87">
                  <c:v>0.40175470130024998</c:v>
                </c:pt>
                <c:pt idx="88">
                  <c:v>0.39773638778079501</c:v>
                </c:pt>
                <c:pt idx="89">
                  <c:v>0.39375848996159801</c:v>
                </c:pt>
                <c:pt idx="90">
                  <c:v>0.38982053312329201</c:v>
                </c:pt>
                <c:pt idx="91">
                  <c:v>0.38592206870296702</c:v>
                </c:pt>
                <c:pt idx="92">
                  <c:v>0.38206266753684398</c:v>
                </c:pt>
                <c:pt idx="93">
                  <c:v>0.378241915141389</c:v>
                </c:pt>
                <c:pt idx="94">
                  <c:v>0.37445940841451197</c:v>
                </c:pt>
                <c:pt idx="95">
                  <c:v>0.37071475332609999</c:v>
                </c:pt>
                <c:pt idx="96">
                  <c:v>0.36700756329782402</c:v>
                </c:pt>
                <c:pt idx="97">
                  <c:v>0.363337458063207</c:v>
                </c:pt>
                <c:pt idx="98">
                  <c:v>0.35970406286234402</c:v>
                </c:pt>
                <c:pt idx="99">
                  <c:v>0.356107007869856</c:v>
                </c:pt>
                <c:pt idx="100">
                  <c:v>0.35254592778542099</c:v>
                </c:pt>
                <c:pt idx="101">
                  <c:v>0.34902046153766197</c:v>
                </c:pt>
                <c:pt idx="102">
                  <c:v>0.34553025206711402</c:v>
                </c:pt>
                <c:pt idx="103">
                  <c:v>0.342074946164375</c:v>
                </c:pt>
                <c:pt idx="104">
                  <c:v>0.33865419434681299</c:v>
                </c:pt>
                <c:pt idx="105">
                  <c:v>0.33526765076223403</c:v>
                </c:pt>
                <c:pt idx="106">
                  <c:v>0.33191497311142898</c:v>
                </c:pt>
                <c:pt idx="107">
                  <c:v>0.32859582258398401</c:v>
                </c:pt>
                <c:pt idx="108">
                  <c:v>0.32530986380342802</c:v>
                </c:pt>
                <c:pt idx="109">
                  <c:v>0.32205676477898298</c:v>
                </c:pt>
                <c:pt idx="110">
                  <c:v>0.31883619686202302</c:v>
                </c:pt>
                <c:pt idx="111">
                  <c:v>0.31564783470590202</c:v>
                </c:pt>
                <c:pt idx="112">
                  <c:v>0.31249135622823099</c:v>
                </c:pt>
                <c:pt idx="113">
                  <c:v>0.30936644257496598</c:v>
                </c:pt>
                <c:pt idx="114">
                  <c:v>0.30627277808583803</c:v>
                </c:pt>
                <c:pt idx="115">
                  <c:v>0.30321005026083198</c:v>
                </c:pt>
                <c:pt idx="116">
                  <c:v>0.30017794972746997</c:v>
                </c:pt>
                <c:pt idx="117">
                  <c:v>0.29717617020877302</c:v>
                </c:pt>
                <c:pt idx="118">
                  <c:v>0.29420440849176199</c:v>
                </c:pt>
                <c:pt idx="119">
                  <c:v>0.29126236439644998</c:v>
                </c:pt>
                <c:pt idx="120">
                  <c:v>0.288349740745244</c:v>
                </c:pt>
                <c:pt idx="121">
                  <c:v>0.285466243332748</c:v>
                </c:pt>
                <c:pt idx="122">
                  <c:v>0.28261158089590699</c:v>
                </c:pt>
                <c:pt idx="123">
                  <c:v>0.27978546508449997</c:v>
                </c:pt>
                <c:pt idx="124">
                  <c:v>0.27698761043195003</c:v>
                </c:pt>
                <c:pt idx="125">
                  <c:v>0.27421773432644297</c:v>
                </c:pt>
                <c:pt idx="126">
                  <c:v>0.27147555698235198</c:v>
                </c:pt>
                <c:pt idx="127">
                  <c:v>0.26876080141195202</c:v>
                </c:pt>
                <c:pt idx="128">
                  <c:v>0.26607319339743102</c:v>
                </c:pt>
                <c:pt idx="129">
                  <c:v>0.26341246146317698</c:v>
                </c:pt>
                <c:pt idx="130">
                  <c:v>0.260778336848351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71-4B10-B9AF-86B37F15201D}"/>
            </c:ext>
          </c:extLst>
        </c:ser>
        <c:ser>
          <c:idx val="3"/>
          <c:order val="3"/>
          <c:tx>
            <c:strRef>
              <c:f>'DSGE HVD woFG'!$AC$1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woFG'!$AC$2:$AC$132</c:f>
              <c:numCache>
                <c:formatCode>0.0000</c:formatCode>
                <c:ptCount val="131"/>
                <c:pt idx="0">
                  <c:v>2.6012713958478401E-2</c:v>
                </c:pt>
                <c:pt idx="1">
                  <c:v>-0.14548643390483512</c:v>
                </c:pt>
                <c:pt idx="2">
                  <c:v>-0.18167839855996798</c:v>
                </c:pt>
                <c:pt idx="3">
                  <c:v>-0.17533458223127002</c:v>
                </c:pt>
                <c:pt idx="4">
                  <c:v>-0.31026915175671199</c:v>
                </c:pt>
                <c:pt idx="5">
                  <c:v>-0.38679345200314497</c:v>
                </c:pt>
                <c:pt idx="6">
                  <c:v>-0.47302325516203603</c:v>
                </c:pt>
                <c:pt idx="7">
                  <c:v>-0.66069652168062409</c:v>
                </c:pt>
                <c:pt idx="8">
                  <c:v>-0.68661682411273306</c:v>
                </c:pt>
                <c:pt idx="9">
                  <c:v>-0.5975758282252952</c:v>
                </c:pt>
                <c:pt idx="10">
                  <c:v>-0.54116995321701711</c:v>
                </c:pt>
                <c:pt idx="11">
                  <c:v>-0.47979895596503402</c:v>
                </c:pt>
                <c:pt idx="12">
                  <c:v>-0.61171059371434222</c:v>
                </c:pt>
                <c:pt idx="13">
                  <c:v>-0.70778796719107595</c:v>
                </c:pt>
                <c:pt idx="14">
                  <c:v>-0.67516062221199136</c:v>
                </c:pt>
                <c:pt idx="15">
                  <c:v>-0.66226823050049599</c:v>
                </c:pt>
                <c:pt idx="16">
                  <c:v>-0.54907073089427438</c:v>
                </c:pt>
                <c:pt idx="17">
                  <c:v>-0.76795731238212994</c:v>
                </c:pt>
                <c:pt idx="18">
                  <c:v>-0.91154792977368926</c:v>
                </c:pt>
                <c:pt idx="19">
                  <c:v>-1.105879942866302</c:v>
                </c:pt>
                <c:pt idx="20">
                  <c:v>-0.89428045377117227</c:v>
                </c:pt>
                <c:pt idx="21">
                  <c:v>-1.0574704481859629</c:v>
                </c:pt>
                <c:pt idx="22">
                  <c:v>-0.97484466512675005</c:v>
                </c:pt>
                <c:pt idx="23">
                  <c:v>-0.822398628293037</c:v>
                </c:pt>
                <c:pt idx="24">
                  <c:v>-0.96780030176211385</c:v>
                </c:pt>
                <c:pt idx="25">
                  <c:v>-0.9739997554717218</c:v>
                </c:pt>
                <c:pt idx="26">
                  <c:v>-0.98494010029274903</c:v>
                </c:pt>
                <c:pt idx="27">
                  <c:v>-1.030379425217844</c:v>
                </c:pt>
                <c:pt idx="28">
                  <c:v>-0.95379376845669794</c:v>
                </c:pt>
                <c:pt idx="29">
                  <c:v>-0.99027125240216696</c:v>
                </c:pt>
                <c:pt idx="30">
                  <c:v>-1.0035448939573941</c:v>
                </c:pt>
                <c:pt idx="31">
                  <c:v>-0.96281043534510802</c:v>
                </c:pt>
                <c:pt idx="32">
                  <c:v>-0.90114934955455495</c:v>
                </c:pt>
                <c:pt idx="33">
                  <c:v>-0.83875959269782696</c:v>
                </c:pt>
                <c:pt idx="34">
                  <c:v>-0.86434725582429395</c:v>
                </c:pt>
                <c:pt idx="35">
                  <c:v>-0.8585520848219359</c:v>
                </c:pt>
                <c:pt idx="36">
                  <c:v>-0.8471148485446629</c:v>
                </c:pt>
                <c:pt idx="37">
                  <c:v>-0.84732038247686603</c:v>
                </c:pt>
                <c:pt idx="38">
                  <c:v>-0.84006567507358298</c:v>
                </c:pt>
                <c:pt idx="39">
                  <c:v>-0.81724472131444104</c:v>
                </c:pt>
                <c:pt idx="40">
                  <c:v>-0.79364725948422499</c:v>
                </c:pt>
                <c:pt idx="41">
                  <c:v>-0.78733723528067801</c:v>
                </c:pt>
                <c:pt idx="42">
                  <c:v>-0.69834195864457405</c:v>
                </c:pt>
                <c:pt idx="43">
                  <c:v>-0.633010745696858</c:v>
                </c:pt>
                <c:pt idx="44">
                  <c:v>-0.61697202778790694</c:v>
                </c:pt>
                <c:pt idx="45">
                  <c:v>-0.66657682009865704</c:v>
                </c:pt>
                <c:pt idx="46">
                  <c:v>-0.61890394583170394</c:v>
                </c:pt>
                <c:pt idx="47">
                  <c:v>-0.61633290881155101</c:v>
                </c:pt>
                <c:pt idx="48">
                  <c:v>-0.56642884471466592</c:v>
                </c:pt>
                <c:pt idx="49">
                  <c:v>-0.631657654757661</c:v>
                </c:pt>
                <c:pt idx="50">
                  <c:v>-0.66519971779248099</c:v>
                </c:pt>
                <c:pt idx="51">
                  <c:v>-0.556372153627404</c:v>
                </c:pt>
                <c:pt idx="52">
                  <c:v>-0.57973025488227603</c:v>
                </c:pt>
                <c:pt idx="53">
                  <c:v>-0.61089627040463301</c:v>
                </c:pt>
                <c:pt idx="54">
                  <c:v>-0.38299846067597898</c:v>
                </c:pt>
                <c:pt idx="55">
                  <c:v>-0.41557375165791799</c:v>
                </c:pt>
                <c:pt idx="56">
                  <c:v>-0.34706820394082</c:v>
                </c:pt>
                <c:pt idx="57">
                  <c:v>-0.26411224482448681</c:v>
                </c:pt>
                <c:pt idx="58">
                  <c:v>-0.40614982665432797</c:v>
                </c:pt>
                <c:pt idx="59">
                  <c:v>-0.46480045708810702</c:v>
                </c:pt>
                <c:pt idx="60">
                  <c:v>-0.54024973049730596</c:v>
                </c:pt>
                <c:pt idx="61">
                  <c:v>-0.78070210182132493</c:v>
                </c:pt>
                <c:pt idx="62">
                  <c:v>-0.79981459743862005</c:v>
                </c:pt>
                <c:pt idx="63">
                  <c:v>-0.95125695440741198</c:v>
                </c:pt>
                <c:pt idx="64">
                  <c:v>-0.61488270078752394</c:v>
                </c:pt>
                <c:pt idx="65">
                  <c:v>-0.67812788498431797</c:v>
                </c:pt>
                <c:pt idx="66">
                  <c:v>-0.62179102362729999</c:v>
                </c:pt>
                <c:pt idx="67">
                  <c:v>-0.66625214898787699</c:v>
                </c:pt>
                <c:pt idx="68">
                  <c:v>-0.49462664838708803</c:v>
                </c:pt>
                <c:pt idx="69">
                  <c:v>-0.58420603598251297</c:v>
                </c:pt>
                <c:pt idx="70">
                  <c:v>-0.65396894964448904</c:v>
                </c:pt>
                <c:pt idx="71">
                  <c:v>-0.64433304553764104</c:v>
                </c:pt>
                <c:pt idx="72">
                  <c:v>-0.63420018632127406</c:v>
                </c:pt>
                <c:pt idx="73">
                  <c:v>-0.62365945521939192</c:v>
                </c:pt>
                <c:pt idx="74">
                  <c:v>-0.61279593183709702</c:v>
                </c:pt>
                <c:pt idx="75">
                  <c:v>-0.60168920521232505</c:v>
                </c:pt>
                <c:pt idx="76">
                  <c:v>-0.59041249160815601</c:v>
                </c:pt>
                <c:pt idx="77">
                  <c:v>-0.57903219736157896</c:v>
                </c:pt>
                <c:pt idx="78">
                  <c:v>-0.56760780384056297</c:v>
                </c:pt>
                <c:pt idx="79">
                  <c:v>-0.55619198035149897</c:v>
                </c:pt>
                <c:pt idx="80">
                  <c:v>-0.54483085334918302</c:v>
                </c:pt>
                <c:pt idx="81">
                  <c:v>-0.53356437785393296</c:v>
                </c:pt>
                <c:pt idx="82">
                  <c:v>-0.52242677062418297</c:v>
                </c:pt>
                <c:pt idx="83">
                  <c:v>-0.51144697519972004</c:v>
                </c:pt>
                <c:pt idx="84">
                  <c:v>-0.50064913707959002</c:v>
                </c:pt>
                <c:pt idx="85">
                  <c:v>-0.49005307355101502</c:v>
                </c:pt>
                <c:pt idx="86">
                  <c:v>-0.47967472745386397</c:v>
                </c:pt>
                <c:pt idx="87">
                  <c:v>-0.46952659777500599</c:v>
                </c:pt>
                <c:pt idx="88">
                  <c:v>-0.45961814267511403</c:v>
                </c:pt>
                <c:pt idx="89">
                  <c:v>-0.44995615255956101</c:v>
                </c:pt>
                <c:pt idx="90">
                  <c:v>-0.44054509227404903</c:v>
                </c:pt>
                <c:pt idx="91">
                  <c:v>-0.43138741255958701</c:v>
                </c:pt>
                <c:pt idx="92">
                  <c:v>-0.42248383163793102</c:v>
                </c:pt>
                <c:pt idx="93">
                  <c:v>-0.41383358829441097</c:v>
                </c:pt>
                <c:pt idx="94">
                  <c:v>-0.40543466813943702</c:v>
                </c:pt>
                <c:pt idx="95">
                  <c:v>-0.39728400490936999</c:v>
                </c:pt>
                <c:pt idx="96">
                  <c:v>-0.38937765874746788</c:v>
                </c:pt>
                <c:pt idx="97">
                  <c:v>-0.38171097341401439</c:v>
                </c:pt>
                <c:pt idx="98">
                  <c:v>-0.37427871433242305</c:v>
                </c:pt>
                <c:pt idx="99">
                  <c:v>-0.3670751893012793</c:v>
                </c:pt>
                <c:pt idx="100">
                  <c:v>-0.36009435360301878</c:v>
                </c:pt>
                <c:pt idx="101">
                  <c:v>-0.3533299011273221</c:v>
                </c:pt>
                <c:pt idx="102">
                  <c:v>-0.34677534300804208</c:v>
                </c:pt>
                <c:pt idx="103">
                  <c:v>-0.34042407515141981</c:v>
                </c:pt>
                <c:pt idx="104">
                  <c:v>-0.33426943591403846</c:v>
                </c:pt>
                <c:pt idx="105">
                  <c:v>-0.32830475507368667</c:v>
                </c:pt>
                <c:pt idx="106">
                  <c:v>-0.32252339512678507</c:v>
                </c:pt>
                <c:pt idx="107">
                  <c:v>-0.31691878584315181</c:v>
                </c:pt>
                <c:pt idx="108">
                  <c:v>-0.31148445291321653</c:v>
                </c:pt>
                <c:pt idx="109">
                  <c:v>-0.30621404143453979</c:v>
                </c:pt>
                <c:pt idx="110">
                  <c:v>-0.3011013349035998</c:v>
                </c:pt>
                <c:pt idx="111">
                  <c:v>-0.29614027030507617</c:v>
                </c:pt>
                <c:pt idx="112">
                  <c:v>-0.29132494982400009</c:v>
                </c:pt>
                <c:pt idx="113">
                  <c:v>-0.2866496496456723</c:v>
                </c:pt>
                <c:pt idx="114">
                  <c:v>-0.28210882625390543</c:v>
                </c:pt>
                <c:pt idx="115">
                  <c:v>-0.27769712058927143</c:v>
                </c:pt>
                <c:pt idx="116">
                  <c:v>-0.27340936038540581</c:v>
                </c:pt>
                <c:pt idx="117">
                  <c:v>-0.2692405609623682</c:v>
                </c:pt>
                <c:pt idx="118">
                  <c:v>-0.26518592472136437</c:v>
                </c:pt>
                <c:pt idx="119">
                  <c:v>-0.2612408395542416</c:v>
                </c:pt>
                <c:pt idx="120">
                  <c:v>-0.25740087635379183</c:v>
                </c:pt>
                <c:pt idx="121">
                  <c:v>-0.2536617857866581</c:v>
                </c:pt>
                <c:pt idx="122">
                  <c:v>-0.25001949446918942</c:v>
                </c:pt>
                <c:pt idx="123">
                  <c:v>-0.24647010066769409</c:v>
                </c:pt>
                <c:pt idx="124">
                  <c:v>-0.24300986962787502</c:v>
                </c:pt>
                <c:pt idx="125">
                  <c:v>-0.23963522862354919</c:v>
                </c:pt>
                <c:pt idx="126">
                  <c:v>-0.23634276180192609</c:v>
                </c:pt>
                <c:pt idx="127">
                  <c:v>-0.23312920489137151</c:v>
                </c:pt>
                <c:pt idx="128">
                  <c:v>-0.22999143982775269</c:v>
                </c:pt>
                <c:pt idx="129">
                  <c:v>-0.22692648934677562</c:v>
                </c:pt>
                <c:pt idx="130">
                  <c:v>-0.2239315115822228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71-4B10-B9AF-86B37F15201D}"/>
            </c:ext>
          </c:extLst>
        </c:ser>
        <c:ser>
          <c:idx val="4"/>
          <c:order val="4"/>
          <c:tx>
            <c:strRef>
              <c:f>'DSGE HVD woFG'!$AD$1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woFG'!$AD$2:$AD$132</c:f>
              <c:numCache>
                <c:formatCode>0.0000</c:formatCode>
                <c:ptCount val="131"/>
                <c:pt idx="0">
                  <c:v>-2.71815691609784E-2</c:v>
                </c:pt>
                <c:pt idx="1">
                  <c:v>-2.2411350467598901E-2</c:v>
                </c:pt>
                <c:pt idx="2">
                  <c:v>-5.7796504554363498E-2</c:v>
                </c:pt>
                <c:pt idx="3">
                  <c:v>-9.3789740909321698E-2</c:v>
                </c:pt>
                <c:pt idx="4">
                  <c:v>-0.109486097677952</c:v>
                </c:pt>
                <c:pt idx="5">
                  <c:v>-0.11393175295270599</c:v>
                </c:pt>
                <c:pt idx="6">
                  <c:v>-0.116166310851506</c:v>
                </c:pt>
                <c:pt idx="7">
                  <c:v>-0.199745841702548</c:v>
                </c:pt>
                <c:pt idx="8">
                  <c:v>-0.24990048711444601</c:v>
                </c:pt>
                <c:pt idx="9">
                  <c:v>-0.18003742541470899</c:v>
                </c:pt>
                <c:pt idx="10">
                  <c:v>-8.24370851725163E-2</c:v>
                </c:pt>
                <c:pt idx="11">
                  <c:v>-2.1856783957947899E-2</c:v>
                </c:pt>
                <c:pt idx="12">
                  <c:v>-4.45041979082458E-2</c:v>
                </c:pt>
                <c:pt idx="13">
                  <c:v>1.74160616301348E-3</c:v>
                </c:pt>
                <c:pt idx="14">
                  <c:v>-5.6494932586814997E-2</c:v>
                </c:pt>
                <c:pt idx="15">
                  <c:v>-1.25136706536238E-2</c:v>
                </c:pt>
                <c:pt idx="16">
                  <c:v>-4.1942178668980298E-2</c:v>
                </c:pt>
                <c:pt idx="17">
                  <c:v>9.7854710040585803E-3</c:v>
                </c:pt>
                <c:pt idx="18">
                  <c:v>3.9583459916772402E-2</c:v>
                </c:pt>
                <c:pt idx="19">
                  <c:v>1.09570966101385E-3</c:v>
                </c:pt>
                <c:pt idx="20">
                  <c:v>1.0466462621198601E-2</c:v>
                </c:pt>
                <c:pt idx="21">
                  <c:v>8.2756969786282695E-3</c:v>
                </c:pt>
                <c:pt idx="22">
                  <c:v>-3.1650235217454501E-3</c:v>
                </c:pt>
                <c:pt idx="23">
                  <c:v>2.2486741726721399E-2</c:v>
                </c:pt>
                <c:pt idx="24">
                  <c:v>3.7650947350231202E-2</c:v>
                </c:pt>
                <c:pt idx="25">
                  <c:v>4.58668791457549E-2</c:v>
                </c:pt>
                <c:pt idx="26">
                  <c:v>6.87106751772492E-2</c:v>
                </c:pt>
                <c:pt idx="27">
                  <c:v>6.7501859959511204E-2</c:v>
                </c:pt>
                <c:pt idx="28">
                  <c:v>7.6480554050939495E-2</c:v>
                </c:pt>
                <c:pt idx="29">
                  <c:v>8.3783305179253906E-2</c:v>
                </c:pt>
                <c:pt idx="30">
                  <c:v>7.4002361067374497E-2</c:v>
                </c:pt>
                <c:pt idx="31">
                  <c:v>3.4887217761289002E-2</c:v>
                </c:pt>
                <c:pt idx="32">
                  <c:v>3.0459427628007199E-2</c:v>
                </c:pt>
                <c:pt idx="33">
                  <c:v>2.04485117197701E-2</c:v>
                </c:pt>
                <c:pt idx="34">
                  <c:v>3.4823216788481999E-3</c:v>
                </c:pt>
                <c:pt idx="35">
                  <c:v>-1.7979388833935701E-2</c:v>
                </c:pt>
                <c:pt idx="36">
                  <c:v>-2.9904165698923301E-2</c:v>
                </c:pt>
                <c:pt idx="37">
                  <c:v>9.45385798320688E-3</c:v>
                </c:pt>
                <c:pt idx="38">
                  <c:v>2.0183166506804798E-2</c:v>
                </c:pt>
                <c:pt idx="39">
                  <c:v>3.7175312478348502E-2</c:v>
                </c:pt>
                <c:pt idx="40">
                  <c:v>3.6145267765120101E-2</c:v>
                </c:pt>
                <c:pt idx="41">
                  <c:v>4.2120163108155598E-2</c:v>
                </c:pt>
                <c:pt idx="42">
                  <c:v>3.5219664980268399E-2</c:v>
                </c:pt>
                <c:pt idx="43">
                  <c:v>4.3322696420583999E-2</c:v>
                </c:pt>
                <c:pt idx="44">
                  <c:v>4.3454715388481703E-2</c:v>
                </c:pt>
                <c:pt idx="45">
                  <c:v>2.8146481314860701E-2</c:v>
                </c:pt>
                <c:pt idx="46">
                  <c:v>1.47816146213325E-2</c:v>
                </c:pt>
                <c:pt idx="47">
                  <c:v>2.13994554136194E-3</c:v>
                </c:pt>
                <c:pt idx="48">
                  <c:v>6.8760020613094002E-4</c:v>
                </c:pt>
                <c:pt idx="49">
                  <c:v>1.4566512303119301E-2</c:v>
                </c:pt>
                <c:pt idx="50">
                  <c:v>-3.4536178463276E-3</c:v>
                </c:pt>
                <c:pt idx="51">
                  <c:v>-2.65852945151159E-2</c:v>
                </c:pt>
                <c:pt idx="52">
                  <c:v>-3.2149122529001803E-2</c:v>
                </c:pt>
                <c:pt idx="53">
                  <c:v>-4.0312625187850198E-2</c:v>
                </c:pt>
                <c:pt idx="54">
                  <c:v>1.29316228517165E-2</c:v>
                </c:pt>
                <c:pt idx="55">
                  <c:v>5.4270973234433598E-2</c:v>
                </c:pt>
                <c:pt idx="56">
                  <c:v>1.1294860433965799E-2</c:v>
                </c:pt>
                <c:pt idx="57">
                  <c:v>-5.0987896464084699E-2</c:v>
                </c:pt>
                <c:pt idx="58">
                  <c:v>-2.9927182196509701E-2</c:v>
                </c:pt>
                <c:pt idx="59">
                  <c:v>-4.0471875940992497E-2</c:v>
                </c:pt>
                <c:pt idx="60">
                  <c:v>6.0592638264893501E-4</c:v>
                </c:pt>
                <c:pt idx="61">
                  <c:v>-4.0604788100907403E-2</c:v>
                </c:pt>
                <c:pt idx="62">
                  <c:v>-5.9955037064387498E-2</c:v>
                </c:pt>
                <c:pt idx="63">
                  <c:v>-7.1823439263221905E-2</c:v>
                </c:pt>
                <c:pt idx="64">
                  <c:v>-5.7007910613677402E-2</c:v>
                </c:pt>
                <c:pt idx="65">
                  <c:v>-1.9889655247962299E-2</c:v>
                </c:pt>
                <c:pt idx="66">
                  <c:v>-3.8211549356562402E-2</c:v>
                </c:pt>
                <c:pt idx="67">
                  <c:v>-3.1496433560984201E-2</c:v>
                </c:pt>
                <c:pt idx="68">
                  <c:v>9.1978312410350696E-4</c:v>
                </c:pt>
                <c:pt idx="69">
                  <c:v>-1.19339740527403E-2</c:v>
                </c:pt>
                <c:pt idx="70">
                  <c:v>-1.2844082556844501E-2</c:v>
                </c:pt>
                <c:pt idx="71">
                  <c:v>-1.70154527183097E-2</c:v>
                </c:pt>
                <c:pt idx="72">
                  <c:v>-2.0663114487445199E-2</c:v>
                </c:pt>
                <c:pt idx="73">
                  <c:v>-2.38299220350453E-2</c:v>
                </c:pt>
                <c:pt idx="74">
                  <c:v>-2.6558057773517801E-2</c:v>
                </c:pt>
                <c:pt idx="75">
                  <c:v>-2.8888217679095999E-2</c:v>
                </c:pt>
                <c:pt idx="76">
                  <c:v>-3.0859072793068699E-2</c:v>
                </c:pt>
                <c:pt idx="77">
                  <c:v>-3.2506938067046499E-2</c:v>
                </c:pt>
                <c:pt idx="78">
                  <c:v>-3.38655951402324E-2</c:v>
                </c:pt>
                <c:pt idx="79">
                  <c:v>-3.4966227768746E-2</c:v>
                </c:pt>
                <c:pt idx="80">
                  <c:v>-3.5837438153012498E-2</c:v>
                </c:pt>
                <c:pt idx="81">
                  <c:v>-3.6505319873336099E-2</c:v>
                </c:pt>
                <c:pt idx="82">
                  <c:v>-3.6993568978278997E-2</c:v>
                </c:pt>
                <c:pt idx="83">
                  <c:v>-3.7323619318584599E-2</c:v>
                </c:pt>
                <c:pt idx="84">
                  <c:v>-3.7514791753391299E-2</c:v>
                </c:pt>
                <c:pt idx="85">
                  <c:v>-3.7584449591229897E-2</c:v>
                </c:pt>
                <c:pt idx="86">
                  <c:v>-3.7548154736809003E-2</c:v>
                </c:pt>
                <c:pt idx="87">
                  <c:v>-3.7419820631210701E-2</c:v>
                </c:pt>
                <c:pt idx="88">
                  <c:v>-3.7211859304854801E-2</c:v>
                </c:pt>
                <c:pt idx="89">
                  <c:v>-3.69353207939613E-2</c:v>
                </c:pt>
                <c:pt idx="90">
                  <c:v>-3.6600023868930701E-2</c:v>
                </c:pt>
                <c:pt idx="91">
                  <c:v>-3.6214677539554298E-2</c:v>
                </c:pt>
                <c:pt idx="92">
                  <c:v>-3.5786993178565797E-2</c:v>
                </c:pt>
                <c:pt idx="93">
                  <c:v>-3.5323787374153898E-2</c:v>
                </c:pt>
                <c:pt idx="94">
                  <c:v>-3.4831075809056103E-2</c:v>
                </c:pt>
                <c:pt idx="95">
                  <c:v>-3.4314158588553703E-2</c:v>
                </c:pt>
                <c:pt idx="96">
                  <c:v>-3.3777697517563897E-2</c:v>
                </c:pt>
                <c:pt idx="97">
                  <c:v>-3.32257858700412E-2</c:v>
                </c:pt>
                <c:pt idx="98">
                  <c:v>-3.2662011211345397E-2</c:v>
                </c:pt>
                <c:pt idx="99">
                  <c:v>-3.2089511833252003E-2</c:v>
                </c:pt>
                <c:pt idx="100">
                  <c:v>-3.1511027347319802E-2</c:v>
                </c:pt>
                <c:pt idx="101">
                  <c:v>-3.0928943959585099E-2</c:v>
                </c:pt>
                <c:pt idx="102">
                  <c:v>-3.0345334921126399E-2</c:v>
                </c:pt>
                <c:pt idx="103">
                  <c:v>-2.9761996617302399E-2</c:v>
                </c:pt>
                <c:pt idx="104">
                  <c:v>-2.91804807251436E-2</c:v>
                </c:pt>
                <c:pt idx="105">
                  <c:v>-2.8602122834723701E-2</c:v>
                </c:pt>
                <c:pt idx="106">
                  <c:v>-2.80280678972449E-2</c:v>
                </c:pt>
                <c:pt idx="107">
                  <c:v>-2.7459292830663899E-2</c:v>
                </c:pt>
                <c:pt idx="108">
                  <c:v>-2.6896626583372801E-2</c:v>
                </c:pt>
                <c:pt idx="109">
                  <c:v>-2.6340767927957798E-2</c:v>
                </c:pt>
                <c:pt idx="110">
                  <c:v>-2.5792301230556602E-2</c:v>
                </c:pt>
                <c:pt idx="111">
                  <c:v>-2.5251710416830699E-2</c:v>
                </c:pt>
                <c:pt idx="112">
                  <c:v>-2.4719391333073101E-2</c:v>
                </c:pt>
                <c:pt idx="113">
                  <c:v>-2.4195662680424699E-2</c:v>
                </c:pt>
                <c:pt idx="114">
                  <c:v>-2.3680775681461E-2</c:v>
                </c:pt>
                <c:pt idx="115">
                  <c:v>-2.3174922621471399E-2</c:v>
                </c:pt>
                <c:pt idx="116">
                  <c:v>-2.2678244391433702E-2</c:v>
                </c:pt>
                <c:pt idx="117">
                  <c:v>-2.2190837145888799E-2</c:v>
                </c:pt>
                <c:pt idx="118">
                  <c:v>-2.1712758176509701E-2</c:v>
                </c:pt>
                <c:pt idx="119">
                  <c:v>-2.12440310910341E-2</c:v>
                </c:pt>
                <c:pt idx="120">
                  <c:v>-2.0784650377259999E-2</c:v>
                </c:pt>
                <c:pt idx="121">
                  <c:v>-2.0334585422887401E-2</c:v>
                </c:pt>
                <c:pt idx="122">
                  <c:v>-1.98937840540396E-2</c:v>
                </c:pt>
                <c:pt idx="123">
                  <c:v>-1.9462175648194201E-2</c:v>
                </c:pt>
                <c:pt idx="124">
                  <c:v>-1.90396738709343E-2</c:v>
                </c:pt>
                <c:pt idx="125">
                  <c:v>-1.86261790803076E-2</c:v>
                </c:pt>
                <c:pt idx="126">
                  <c:v>-1.8221580437573499E-2</c:v>
                </c:pt>
                <c:pt idx="127">
                  <c:v>-1.7825757758678899E-2</c:v>
                </c:pt>
                <c:pt idx="128">
                  <c:v>-1.7438583136852499E-2</c:v>
                </c:pt>
                <c:pt idx="129">
                  <c:v>-1.70599223632097E-2</c:v>
                </c:pt>
                <c:pt idx="130">
                  <c:v>-1.6689636169152301E-2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71-4B10-B9AF-86B37F15201D}"/>
            </c:ext>
          </c:extLst>
        </c:ser>
        <c:ser>
          <c:idx val="5"/>
          <c:order val="5"/>
          <c:tx>
            <c:strRef>
              <c:f>'DSGE HVD woFG'!$AE$1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woFG'!$AE$2:$AE$132</c:f>
              <c:numCache>
                <c:formatCode>0.0000</c:formatCode>
                <c:ptCount val="131"/>
                <c:pt idx="0">
                  <c:v>-5.37370862362977E-2</c:v>
                </c:pt>
                <c:pt idx="1">
                  <c:v>-4.7822201797398697E-2</c:v>
                </c:pt>
                <c:pt idx="2">
                  <c:v>-6.6368456841346901E-2</c:v>
                </c:pt>
                <c:pt idx="3">
                  <c:v>-8.0581711640427101E-2</c:v>
                </c:pt>
                <c:pt idx="4">
                  <c:v>-7.6086186044821605E-2</c:v>
                </c:pt>
                <c:pt idx="5">
                  <c:v>-7.9067412144778304E-2</c:v>
                </c:pt>
                <c:pt idx="6">
                  <c:v>-7.3477842749108305E-2</c:v>
                </c:pt>
                <c:pt idx="7">
                  <c:v>-2.0281187527067299E-2</c:v>
                </c:pt>
                <c:pt idx="8">
                  <c:v>-9.5038465573967196E-2</c:v>
                </c:pt>
                <c:pt idx="9">
                  <c:v>-0.100501557072669</c:v>
                </c:pt>
                <c:pt idx="10">
                  <c:v>-0.138065073654387</c:v>
                </c:pt>
                <c:pt idx="11">
                  <c:v>-0.122545870815777</c:v>
                </c:pt>
                <c:pt idx="12">
                  <c:v>-0.162006547988397</c:v>
                </c:pt>
                <c:pt idx="13">
                  <c:v>-0.113842815197804</c:v>
                </c:pt>
                <c:pt idx="14">
                  <c:v>-0.150012718937128</c:v>
                </c:pt>
                <c:pt idx="15">
                  <c:v>-0.12093770156528</c:v>
                </c:pt>
                <c:pt idx="16">
                  <c:v>-0.15940118263389599</c:v>
                </c:pt>
                <c:pt idx="17">
                  <c:v>-0.12561262853362801</c:v>
                </c:pt>
                <c:pt idx="18">
                  <c:v>-8.7863663992559404E-2</c:v>
                </c:pt>
                <c:pt idx="19">
                  <c:v>-8.7570204613177202E-2</c:v>
                </c:pt>
                <c:pt idx="20">
                  <c:v>-7.2933510971363302E-2</c:v>
                </c:pt>
                <c:pt idx="21">
                  <c:v>-7.9462252544886494E-2</c:v>
                </c:pt>
                <c:pt idx="22">
                  <c:v>-8.5824882606039002E-2</c:v>
                </c:pt>
                <c:pt idx="23">
                  <c:v>-8.71450115906066E-2</c:v>
                </c:pt>
                <c:pt idx="24">
                  <c:v>-8.0838065432750197E-2</c:v>
                </c:pt>
                <c:pt idx="25">
                  <c:v>-7.0760689233571997E-2</c:v>
                </c:pt>
                <c:pt idx="26">
                  <c:v>-5.3476410394696902E-2</c:v>
                </c:pt>
                <c:pt idx="27">
                  <c:v>-5.7086859043375703E-2</c:v>
                </c:pt>
                <c:pt idx="28">
                  <c:v>-5.8085960709708499E-2</c:v>
                </c:pt>
                <c:pt idx="29">
                  <c:v>-4.6469994737028703E-2</c:v>
                </c:pt>
                <c:pt idx="30">
                  <c:v>-3.9949969397049097E-2</c:v>
                </c:pt>
                <c:pt idx="31">
                  <c:v>-3.6764408242339702E-2</c:v>
                </c:pt>
                <c:pt idx="32">
                  <c:v>-2.8734016662419901E-2</c:v>
                </c:pt>
                <c:pt idx="33">
                  <c:v>-2.48412627424262E-2</c:v>
                </c:pt>
                <c:pt idx="34">
                  <c:v>-8.3156350266481594E-3</c:v>
                </c:pt>
                <c:pt idx="35">
                  <c:v>-4.1530978142240299E-3</c:v>
                </c:pt>
                <c:pt idx="36">
                  <c:v>-5.7038221653730901E-3</c:v>
                </c:pt>
                <c:pt idx="37">
                  <c:v>-1.6619202436823501E-2</c:v>
                </c:pt>
                <c:pt idx="38">
                  <c:v>-1.76948868614424E-2</c:v>
                </c:pt>
                <c:pt idx="39">
                  <c:v>-1.28710697974309E-2</c:v>
                </c:pt>
                <c:pt idx="40">
                  <c:v>-2.38010470093485E-2</c:v>
                </c:pt>
                <c:pt idx="41">
                  <c:v>-1.49993227933137E-2</c:v>
                </c:pt>
                <c:pt idx="42">
                  <c:v>-1.9303330985388101E-2</c:v>
                </c:pt>
                <c:pt idx="43">
                  <c:v>-5.1229632689408101E-3</c:v>
                </c:pt>
                <c:pt idx="44">
                  <c:v>6.7560800406798105E-4</c:v>
                </c:pt>
                <c:pt idx="45">
                  <c:v>8.5878314608262007E-3</c:v>
                </c:pt>
                <c:pt idx="46">
                  <c:v>8.7231960608725508E-3</c:v>
                </c:pt>
                <c:pt idx="47">
                  <c:v>1.3086717095133E-2</c:v>
                </c:pt>
                <c:pt idx="48">
                  <c:v>2.3983689541636499E-2</c:v>
                </c:pt>
                <c:pt idx="49">
                  <c:v>2.4743168439793999E-2</c:v>
                </c:pt>
                <c:pt idx="50">
                  <c:v>2.63941895266159E-3</c:v>
                </c:pt>
                <c:pt idx="51">
                  <c:v>-2.0275822295024601E-2</c:v>
                </c:pt>
                <c:pt idx="52">
                  <c:v>-2.5731235584775899E-2</c:v>
                </c:pt>
                <c:pt idx="53">
                  <c:v>-3.2049964449024802E-3</c:v>
                </c:pt>
                <c:pt idx="54">
                  <c:v>1.92651267021674E-3</c:v>
                </c:pt>
                <c:pt idx="55">
                  <c:v>3.2900192090443099E-2</c:v>
                </c:pt>
                <c:pt idx="56">
                  <c:v>-1.2282021269391199E-2</c:v>
                </c:pt>
                <c:pt idx="57">
                  <c:v>-5.7444331932835303E-2</c:v>
                </c:pt>
                <c:pt idx="58">
                  <c:v>-4.46995352392901E-2</c:v>
                </c:pt>
                <c:pt idx="59">
                  <c:v>-3.6680630192912803E-2</c:v>
                </c:pt>
                <c:pt idx="60">
                  <c:v>3.1758349636247601E-2</c:v>
                </c:pt>
                <c:pt idx="61">
                  <c:v>2.8612543321535101E-2</c:v>
                </c:pt>
                <c:pt idx="62">
                  <c:v>3.9412626292984303E-2</c:v>
                </c:pt>
                <c:pt idx="63">
                  <c:v>3.6397984120373997E-2</c:v>
                </c:pt>
                <c:pt idx="64">
                  <c:v>5.9713552194289803E-2</c:v>
                </c:pt>
                <c:pt idx="65">
                  <c:v>8.8485534828335197E-2</c:v>
                </c:pt>
                <c:pt idx="66">
                  <c:v>6.7983067163841601E-2</c:v>
                </c:pt>
                <c:pt idx="67">
                  <c:v>5.7833958696511201E-2</c:v>
                </c:pt>
                <c:pt idx="68">
                  <c:v>6.6223182648320195E-2</c:v>
                </c:pt>
                <c:pt idx="69">
                  <c:v>4.7973355258498801E-2</c:v>
                </c:pt>
                <c:pt idx="70">
                  <c:v>4.3044514256790498E-2</c:v>
                </c:pt>
                <c:pt idx="71">
                  <c:v>3.8913803715301003E-2</c:v>
                </c:pt>
                <c:pt idx="72">
                  <c:v>3.5200104663305497E-2</c:v>
                </c:pt>
                <c:pt idx="73">
                  <c:v>3.1865479729335601E-2</c:v>
                </c:pt>
                <c:pt idx="74">
                  <c:v>2.8874282464226499E-2</c:v>
                </c:pt>
                <c:pt idx="75">
                  <c:v>2.61933233670106E-2</c:v>
                </c:pt>
                <c:pt idx="76">
                  <c:v>2.37919287194755E-2</c:v>
                </c:pt>
                <c:pt idx="77">
                  <c:v>2.1641922498048201E-2</c:v>
                </c:pt>
                <c:pt idx="78">
                  <c:v>1.97175545123656E-2</c:v>
                </c:pt>
                <c:pt idx="79">
                  <c:v>1.79953923553338E-2</c:v>
                </c:pt>
                <c:pt idx="80">
                  <c:v>1.6454190412179701E-2</c:v>
                </c:pt>
                <c:pt idx="81">
                  <c:v>1.5074745806168299E-2</c:v>
                </c:pt>
                <c:pt idx="82">
                  <c:v>1.3839748550311001E-2</c:v>
                </c:pt>
                <c:pt idx="83">
                  <c:v>1.27336311643682E-2</c:v>
                </c:pt>
                <c:pt idx="84">
                  <c:v>1.17424214756093E-2</c:v>
                </c:pt>
                <c:pt idx="85">
                  <c:v>1.08536011480429E-2</c:v>
                </c:pt>
                <c:pt idx="86">
                  <c:v>1.00559715975215E-2</c:v>
                </c:pt>
                <c:pt idx="87">
                  <c:v>9.3395282856681694E-3</c:v>
                </c:pt>
                <c:pt idx="88">
                  <c:v>8.6953438938703505E-3</c:v>
                </c:pt>
                <c:pt idx="89">
                  <c:v>8.1154605202555501E-3</c:v>
                </c:pt>
                <c:pt idx="90">
                  <c:v>7.5927907866934598E-3</c:v>
                </c:pt>
                <c:pt idx="91">
                  <c:v>7.1210275652532299E-3</c:v>
                </c:pt>
                <c:pt idx="92">
                  <c:v>6.6945619152742799E-3</c:v>
                </c:pt>
                <c:pt idx="93">
                  <c:v>6.3084087485552297E-3</c:v>
                </c:pt>
                <c:pt idx="94">
                  <c:v>5.9581396996933001E-3</c:v>
                </c:pt>
                <c:pt idx="95">
                  <c:v>5.6398226624728397E-3</c:v>
                </c:pt>
                <c:pt idx="96">
                  <c:v>5.3499674545994099E-3</c:v>
                </c:pt>
                <c:pt idx="97">
                  <c:v>5.0854770867940196E-3</c:v>
                </c:pt>
                <c:pt idx="98">
                  <c:v>4.8436041343351199E-3</c:v>
                </c:pt>
                <c:pt idx="99">
                  <c:v>4.6219117365756002E-3</c:v>
                </c:pt>
                <c:pt idx="100">
                  <c:v>4.4182387805303302E-3</c:v>
                </c:pt>
                <c:pt idx="101">
                  <c:v>4.2306688566817203E-3</c:v>
                </c:pt>
                <c:pt idx="102">
                  <c:v>4.0575026074867399E-3</c:v>
                </c:pt>
                <c:pt idx="103">
                  <c:v>3.8972331208406998E-3</c:v>
                </c:pt>
                <c:pt idx="104">
                  <c:v>3.7485240513741901E-3</c:v>
                </c:pt>
                <c:pt idx="105">
                  <c:v>3.6101901815456198E-3</c:v>
                </c:pt>
                <c:pt idx="106">
                  <c:v>3.4811801618062502E-3</c:v>
                </c:pt>
                <c:pt idx="107">
                  <c:v>3.3605611945353598E-3</c:v>
                </c:pt>
                <c:pt idx="108">
                  <c:v>3.24750544992635E-3</c:v>
                </c:pt>
                <c:pt idx="109">
                  <c:v>3.1412780235673399E-3</c:v>
                </c:pt>
                <c:pt idx="110">
                  <c:v>3.0412262651582302E-3</c:v>
                </c:pt>
                <c:pt idx="111">
                  <c:v>2.9467703257248798E-3</c:v>
                </c:pt>
                <c:pt idx="112">
                  <c:v>2.8573947869310998E-3</c:v>
                </c:pt>
                <c:pt idx="113">
                  <c:v>2.7726412507621599E-3</c:v>
                </c:pt>
                <c:pt idx="114">
                  <c:v>2.6921017810743802E-3</c:v>
                </c:pt>
                <c:pt idx="115">
                  <c:v>2.6154131003907101E-3</c:v>
                </c:pt>
                <c:pt idx="116">
                  <c:v>2.5422514559844101E-3</c:v>
                </c:pt>
                <c:pt idx="117">
                  <c:v>2.47232807884095E-3</c:v>
                </c:pt>
                <c:pt idx="118">
                  <c:v>2.4053851676256199E-3</c:v>
                </c:pt>
                <c:pt idx="119">
                  <c:v>2.34119233740652E-3</c:v>
                </c:pt>
                <c:pt idx="120">
                  <c:v>2.2795434796802402E-3</c:v>
                </c:pt>
                <c:pt idx="121">
                  <c:v>2.22025398630279E-3</c:v>
                </c:pt>
                <c:pt idx="122">
                  <c:v>2.1631582953174E-3</c:v>
                </c:pt>
                <c:pt idx="123">
                  <c:v>2.1081077214621202E-3</c:v>
                </c:pt>
                <c:pt idx="124">
                  <c:v>2.0549685383982998E-3</c:v>
                </c:pt>
                <c:pt idx="125">
                  <c:v>2.00362028348072E-3</c:v>
                </c:pt>
                <c:pt idx="126">
                  <c:v>1.9539542592450802E-3</c:v>
                </c:pt>
                <c:pt idx="127">
                  <c:v>1.9058722087632899E-3</c:v>
                </c:pt>
                <c:pt idx="128">
                  <c:v>1.8592851446544701E-3</c:v>
                </c:pt>
                <c:pt idx="129">
                  <c:v>1.81411231387608E-3</c:v>
                </c:pt>
                <c:pt idx="130">
                  <c:v>1.77028028248953E-3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71-4B10-B9AF-86B37F15201D}"/>
            </c:ext>
          </c:extLst>
        </c:ser>
        <c:ser>
          <c:idx val="6"/>
          <c:order val="6"/>
          <c:tx>
            <c:strRef>
              <c:f>'DSGE HVD woFG'!$AF$1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woFG'!$AF$2:$AF$132</c:f>
              <c:numCache>
                <c:formatCode>0.0000</c:formatCode>
                <c:ptCount val="131"/>
                <c:pt idx="0">
                  <c:v>3.36271760934325E-16</c:v>
                </c:pt>
                <c:pt idx="1">
                  <c:v>5.0574402008378302E-16</c:v>
                </c:pt>
                <c:pt idx="2">
                  <c:v>2.14207133349111E-16</c:v>
                </c:pt>
                <c:pt idx="3">
                  <c:v>-2.8771882256727301E-16</c:v>
                </c:pt>
                <c:pt idx="4">
                  <c:v>9.6958302726864193E-18</c:v>
                </c:pt>
                <c:pt idx="5">
                  <c:v>1.5710799493211001E-16</c:v>
                </c:pt>
                <c:pt idx="6">
                  <c:v>-3.5447992945964202E-16</c:v>
                </c:pt>
                <c:pt idx="7">
                  <c:v>1.8820057070423001E-15</c:v>
                </c:pt>
                <c:pt idx="8">
                  <c:v>2.1298367857910398E-15</c:v>
                </c:pt>
                <c:pt idx="9">
                  <c:v>1.87539003982617E-15</c:v>
                </c:pt>
                <c:pt idx="10">
                  <c:v>1.59563076971597E-15</c:v>
                </c:pt>
                <c:pt idx="11">
                  <c:v>3.9066384251192198E-16</c:v>
                </c:pt>
                <c:pt idx="12">
                  <c:v>4.6556230746414597E-16</c:v>
                </c:pt>
                <c:pt idx="13">
                  <c:v>5.21522787382365E-16</c:v>
                </c:pt>
                <c:pt idx="14">
                  <c:v>9.7371559294166407E-16</c:v>
                </c:pt>
                <c:pt idx="15">
                  <c:v>9.4346117391533305E-17</c:v>
                </c:pt>
                <c:pt idx="16">
                  <c:v>-1.82898841589132E-16</c:v>
                </c:pt>
                <c:pt idx="17">
                  <c:v>-1.3253199927269799E-15</c:v>
                </c:pt>
                <c:pt idx="18">
                  <c:v>-1.49581122817398E-15</c:v>
                </c:pt>
                <c:pt idx="19">
                  <c:v>-1.2432495585551801E-15</c:v>
                </c:pt>
                <c:pt idx="20">
                  <c:v>-2.4397014997962502E-15</c:v>
                </c:pt>
                <c:pt idx="21">
                  <c:v>-2.1256701289985198E-15</c:v>
                </c:pt>
                <c:pt idx="22">
                  <c:v>-2.1381603035211299E-15</c:v>
                </c:pt>
                <c:pt idx="23">
                  <c:v>-2.2222804331107202E-15</c:v>
                </c:pt>
                <c:pt idx="24">
                  <c:v>-2.5839103126186101E-15</c:v>
                </c:pt>
                <c:pt idx="25">
                  <c:v>-2.2516902592332801E-15</c:v>
                </c:pt>
                <c:pt idx="26">
                  <c:v>-3.12575269569257E-15</c:v>
                </c:pt>
                <c:pt idx="27">
                  <c:v>-3.7113090173220201E-15</c:v>
                </c:pt>
                <c:pt idx="28">
                  <c:v>-3.26612613002799E-15</c:v>
                </c:pt>
                <c:pt idx="29">
                  <c:v>-4.1295484105175698E-15</c:v>
                </c:pt>
                <c:pt idx="30">
                  <c:v>-4.3384639342795499E-15</c:v>
                </c:pt>
                <c:pt idx="31">
                  <c:v>-3.8141283771203704E-15</c:v>
                </c:pt>
                <c:pt idx="32">
                  <c:v>-3.1623015757181599E-15</c:v>
                </c:pt>
                <c:pt idx="33">
                  <c:v>-4.4943823306969198E-15</c:v>
                </c:pt>
                <c:pt idx="34">
                  <c:v>-4.2295913481771498E-15</c:v>
                </c:pt>
                <c:pt idx="35">
                  <c:v>-3.8584636180738897E-15</c:v>
                </c:pt>
                <c:pt idx="36">
                  <c:v>-4.1431140076853697E-15</c:v>
                </c:pt>
                <c:pt idx="37">
                  <c:v>-5.6564843041237601E-15</c:v>
                </c:pt>
                <c:pt idx="38">
                  <c:v>-5.4243665870615397E-15</c:v>
                </c:pt>
                <c:pt idx="39">
                  <c:v>-5.5508143237524598E-15</c:v>
                </c:pt>
                <c:pt idx="40">
                  <c:v>-5.9099875123810497E-15</c:v>
                </c:pt>
                <c:pt idx="41">
                  <c:v>-5.4047880540137696E-15</c:v>
                </c:pt>
                <c:pt idx="42">
                  <c:v>-5.5340510819394302E-15</c:v>
                </c:pt>
                <c:pt idx="43">
                  <c:v>-6.1154286988699499E-15</c:v>
                </c:pt>
                <c:pt idx="44">
                  <c:v>-6.9893780978445799E-15</c:v>
                </c:pt>
                <c:pt idx="45">
                  <c:v>-7.4088920015999306E-15</c:v>
                </c:pt>
                <c:pt idx="46">
                  <c:v>-6.85591405684712E-15</c:v>
                </c:pt>
                <c:pt idx="47">
                  <c:v>-7.2729328520955908E-15</c:v>
                </c:pt>
                <c:pt idx="48">
                  <c:v>-6.8517557257370098E-15</c:v>
                </c:pt>
                <c:pt idx="49">
                  <c:v>-7.3345217164969705E-15</c:v>
                </c:pt>
                <c:pt idx="50">
                  <c:v>-7.2736265880624807E-15</c:v>
                </c:pt>
                <c:pt idx="51">
                  <c:v>-7.07144908040621E-15</c:v>
                </c:pt>
                <c:pt idx="52">
                  <c:v>-7.38974476703336E-15</c:v>
                </c:pt>
                <c:pt idx="53">
                  <c:v>-4.6508578276400899E-15</c:v>
                </c:pt>
                <c:pt idx="54">
                  <c:v>-7.8598141503593193E-15</c:v>
                </c:pt>
                <c:pt idx="55">
                  <c:v>-7.6934295863349405E-15</c:v>
                </c:pt>
                <c:pt idx="56">
                  <c:v>-1.0188422056261099E-14</c:v>
                </c:pt>
                <c:pt idx="57">
                  <c:v>-1.3465110135713701E-14</c:v>
                </c:pt>
                <c:pt idx="58">
                  <c:v>-1.4678883821933699E-14</c:v>
                </c:pt>
                <c:pt idx="59">
                  <c:v>-1.6451280744712401E-14</c:v>
                </c:pt>
                <c:pt idx="60">
                  <c:v>-1.8833327346544299E-14</c:v>
                </c:pt>
                <c:pt idx="61">
                  <c:v>-2.0440667265013699E-14</c:v>
                </c:pt>
                <c:pt idx="62">
                  <c:v>-2.0641202691026501E-14</c:v>
                </c:pt>
                <c:pt idx="63">
                  <c:v>-2.12692810912844E-14</c:v>
                </c:pt>
                <c:pt idx="64">
                  <c:v>-2.2327032836956201E-14</c:v>
                </c:pt>
                <c:pt idx="65">
                  <c:v>-2.2079440016881799E-14</c:v>
                </c:pt>
                <c:pt idx="66">
                  <c:v>-2.1891699045423799E-14</c:v>
                </c:pt>
                <c:pt idx="67">
                  <c:v>-2.12830987272179E-14</c:v>
                </c:pt>
                <c:pt idx="68">
                  <c:v>-2.2700397586364601E-14</c:v>
                </c:pt>
                <c:pt idx="69">
                  <c:v>-2.2742835611200001E-14</c:v>
                </c:pt>
                <c:pt idx="70">
                  <c:v>-2.2484249134806501E-14</c:v>
                </c:pt>
                <c:pt idx="71">
                  <c:v>-2.2135135202931101E-14</c:v>
                </c:pt>
                <c:pt idx="72">
                  <c:v>-2.17765658951801E-14</c:v>
                </c:pt>
                <c:pt idx="73">
                  <c:v>-2.1409647413498701E-14</c:v>
                </c:pt>
                <c:pt idx="74">
                  <c:v>-2.1035275272705902E-14</c:v>
                </c:pt>
                <c:pt idx="75">
                  <c:v>-2.0654212145551301E-14</c:v>
                </c:pt>
                <c:pt idx="76">
                  <c:v>-2.02671466655215E-14</c:v>
                </c:pt>
                <c:pt idx="77">
                  <c:v>-1.98747358379014E-14</c:v>
                </c:pt>
                <c:pt idx="78">
                  <c:v>-1.9477633757279701E-14</c:v>
                </c:pt>
                <c:pt idx="79">
                  <c:v>-1.90765092161848E-14</c:v>
                </c:pt>
                <c:pt idx="80">
                  <c:v>-1.86720545763577E-14</c:v>
                </c:pt>
                <c:pt idx="81">
                  <c:v>-1.82649880063517E-14</c:v>
                </c:pt>
                <c:pt idx="82">
                  <c:v>-1.78560508988608E-14</c:v>
                </c:pt>
                <c:pt idx="83">
                  <c:v>-1.7446001990603399E-14</c:v>
                </c:pt>
                <c:pt idx="84">
                  <c:v>-1.7035609431365801E-14</c:v>
                </c:pt>
                <c:pt idx="85">
                  <c:v>-1.6625641795892499E-14</c:v>
                </c:pt>
                <c:pt idx="86">
                  <c:v>-1.62168588075395E-14</c:v>
                </c:pt>
                <c:pt idx="87">
                  <c:v>-1.5810002347829701E-14</c:v>
                </c:pt>
                <c:pt idx="88">
                  <c:v>-1.54057881611202E-14</c:v>
                </c:pt>
                <c:pt idx="89">
                  <c:v>-1.50048985269599E-14</c:v>
                </c:pt>
                <c:pt idx="90">
                  <c:v>-1.46079760620721E-14</c:v>
                </c:pt>
                <c:pt idx="91">
                  <c:v>-1.42156187264257E-14</c:v>
                </c:pt>
                <c:pt idx="92">
                  <c:v>-1.3828376040621801E-14</c:v>
                </c:pt>
                <c:pt idx="93">
                  <c:v>-1.34467464718716E-14</c:v>
                </c:pt>
                <c:pt idx="94">
                  <c:v>-1.3071175910384E-14</c:v>
                </c:pt>
                <c:pt idx="95">
                  <c:v>-1.27020571344359E-14</c:v>
                </c:pt>
                <c:pt idx="96">
                  <c:v>-1.23397301484635E-14</c:v>
                </c:pt>
                <c:pt idx="97">
                  <c:v>-1.19844832721422E-14</c:v>
                </c:pt>
                <c:pt idx="98">
                  <c:v>-1.16365548578726E-14</c:v>
                </c:pt>
                <c:pt idx="99">
                  <c:v>-1.12961355178702E-14</c:v>
                </c:pt>
                <c:pt idx="100">
                  <c:v>-1.0963370748929399E-14</c:v>
                </c:pt>
                <c:pt idx="101">
                  <c:v>-1.0638363851879801E-14</c:v>
                </c:pt>
                <c:pt idx="102">
                  <c:v>-1.0321179052963199E-14</c:v>
                </c:pt>
                <c:pt idx="103">
                  <c:v>-1.0011844745183E-14</c:v>
                </c:pt>
                <c:pt idx="104">
                  <c:v>-9.7103567786222506E-15</c:v>
                </c:pt>
                <c:pt idx="105">
                  <c:v>-9.4166817394148801E-15</c:v>
                </c:pt>
                <c:pt idx="106">
                  <c:v>-9.1307601672255195E-15</c:v>
                </c:pt>
                <c:pt idx="107">
                  <c:v>-8.8525096705522003E-15</c:v>
                </c:pt>
                <c:pt idx="108">
                  <c:v>-8.5818279078110503E-15</c:v>
                </c:pt>
                <c:pt idx="109">
                  <c:v>-8.3185954099184396E-15</c:v>
                </c:pt>
                <c:pt idx="110">
                  <c:v>-8.0626782269427E-15</c:v>
                </c:pt>
                <c:pt idx="111">
                  <c:v>-7.8139303873628801E-15</c:v>
                </c:pt>
                <c:pt idx="112">
                  <c:v>-7.5721961635811794E-15</c:v>
                </c:pt>
                <c:pt idx="113">
                  <c:v>-7.3373121416403098E-15</c:v>
                </c:pt>
                <c:pt idx="114">
                  <c:v>-7.1091090966584296E-15</c:v>
                </c:pt>
                <c:pt idx="115">
                  <c:v>-6.8874136783803697E-15</c:v>
                </c:pt>
                <c:pt idx="116">
                  <c:v>-6.6720499135238196E-15</c:v>
                </c:pt>
                <c:pt idx="117">
                  <c:v>-6.4628405333452102E-15</c:v>
                </c:pt>
                <c:pt idx="118">
                  <c:v>-6.2596081361279602E-15</c:v>
                </c:pt>
                <c:pt idx="119">
                  <c:v>-6.0621761951728498E-15</c:v>
                </c:pt>
                <c:pt idx="120">
                  <c:v>-5.87036992340464E-15</c:v>
                </c:pt>
                <c:pt idx="121">
                  <c:v>-5.6840170059583999E-15</c:v>
                </c:pt>
                <c:pt idx="122">
                  <c:v>-5.5029482121220898E-15</c:v>
                </c:pt>
                <c:pt idx="123">
                  <c:v>-5.3269978978346498E-15</c:v>
                </c:pt>
                <c:pt idx="124">
                  <c:v>-5.1560044096108298E-15</c:v>
                </c:pt>
                <c:pt idx="125">
                  <c:v>-4.98981040031965E-15</c:v>
                </c:pt>
                <c:pt idx="126">
                  <c:v>-4.8282630667139497E-15</c:v>
                </c:pt>
                <c:pt idx="127">
                  <c:v>-4.6712143180181199E-15</c:v>
                </c:pt>
                <c:pt idx="128">
                  <c:v>-4.5185208842529201E-15</c:v>
                </c:pt>
                <c:pt idx="129">
                  <c:v>-4.37004437232773E-15</c:v>
                </c:pt>
                <c:pt idx="130">
                  <c:v>-4.2256512772761297E-15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71-4B10-B9AF-86B37F15201D}"/>
            </c:ext>
          </c:extLst>
        </c:ser>
        <c:ser>
          <c:idx val="7"/>
          <c:order val="7"/>
          <c:tx>
            <c:strRef>
              <c:f>'DSGE HVD woFG'!$AG$1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woFG'!$AG$2:$AG$132</c:f>
              <c:numCache>
                <c:formatCode>0.0000</c:formatCode>
                <c:ptCount val="131"/>
                <c:pt idx="0">
                  <c:v>-3.5538777794089401E-15</c:v>
                </c:pt>
                <c:pt idx="1">
                  <c:v>-2.38970184704017E-15</c:v>
                </c:pt>
                <c:pt idx="2">
                  <c:v>-1.40618989657912E-15</c:v>
                </c:pt>
                <c:pt idx="3">
                  <c:v>-8.7528508921538303E-16</c:v>
                </c:pt>
                <c:pt idx="4">
                  <c:v>-3.0911534257937398E-16</c:v>
                </c:pt>
                <c:pt idx="5">
                  <c:v>6.8567456859447195E-16</c:v>
                </c:pt>
                <c:pt idx="6">
                  <c:v>1.39550553860256E-15</c:v>
                </c:pt>
                <c:pt idx="7">
                  <c:v>1.8210975872744201E-15</c:v>
                </c:pt>
                <c:pt idx="8">
                  <c:v>3.9846043693999302E-15</c:v>
                </c:pt>
                <c:pt idx="9">
                  <c:v>3.6850300896788798E-15</c:v>
                </c:pt>
                <c:pt idx="10">
                  <c:v>3.96618183425944E-15</c:v>
                </c:pt>
                <c:pt idx="11">
                  <c:v>4.4551475393455699E-15</c:v>
                </c:pt>
                <c:pt idx="12">
                  <c:v>5.8434920144823E-15</c:v>
                </c:pt>
                <c:pt idx="13">
                  <c:v>6.42327760641727E-15</c:v>
                </c:pt>
                <c:pt idx="14">
                  <c:v>7.1491412984076604E-15</c:v>
                </c:pt>
                <c:pt idx="15">
                  <c:v>8.0498173325317994E-15</c:v>
                </c:pt>
                <c:pt idx="16">
                  <c:v>8.1726712722246794E-15</c:v>
                </c:pt>
                <c:pt idx="17">
                  <c:v>9.5693701403301796E-15</c:v>
                </c:pt>
                <c:pt idx="18">
                  <c:v>1.04262272376988E-14</c:v>
                </c:pt>
                <c:pt idx="19">
                  <c:v>1.22479272379491E-14</c:v>
                </c:pt>
                <c:pt idx="20">
                  <c:v>1.24258814862817E-14</c:v>
                </c:pt>
                <c:pt idx="21">
                  <c:v>1.32218495838939E-14</c:v>
                </c:pt>
                <c:pt idx="22">
                  <c:v>1.4391811645812798E-14</c:v>
                </c:pt>
                <c:pt idx="23">
                  <c:v>1.4272069785535101E-14</c:v>
                </c:pt>
                <c:pt idx="24">
                  <c:v>1.59325580617839E-14</c:v>
                </c:pt>
                <c:pt idx="25">
                  <c:v>1.6791398349593001E-14</c:v>
                </c:pt>
                <c:pt idx="26">
                  <c:v>1.81081833167386E-14</c:v>
                </c:pt>
                <c:pt idx="27">
                  <c:v>1.9047528886909899E-14</c:v>
                </c:pt>
                <c:pt idx="28">
                  <c:v>1.9316449462914101E-14</c:v>
                </c:pt>
                <c:pt idx="29">
                  <c:v>2.06656574161374E-14</c:v>
                </c:pt>
                <c:pt idx="30">
                  <c:v>2.16751363352797E-14</c:v>
                </c:pt>
                <c:pt idx="31">
                  <c:v>2.22473435413016E-14</c:v>
                </c:pt>
                <c:pt idx="32">
                  <c:v>2.2546023291761899E-14</c:v>
                </c:pt>
                <c:pt idx="33">
                  <c:v>2.2991790309205901E-14</c:v>
                </c:pt>
                <c:pt idx="34">
                  <c:v>2.3555789364936001E-14</c:v>
                </c:pt>
                <c:pt idx="35">
                  <c:v>2.44216231788512E-14</c:v>
                </c:pt>
                <c:pt idx="36">
                  <c:v>2.5156568581220699E-14</c:v>
                </c:pt>
                <c:pt idx="37">
                  <c:v>2.6019731422664299E-14</c:v>
                </c:pt>
                <c:pt idx="38">
                  <c:v>2.6870512452392001E-14</c:v>
                </c:pt>
                <c:pt idx="39">
                  <c:v>2.74351613588568E-14</c:v>
                </c:pt>
                <c:pt idx="40">
                  <c:v>2.79481294664976E-14</c:v>
                </c:pt>
                <c:pt idx="41">
                  <c:v>2.8562443017435299E-14</c:v>
                </c:pt>
                <c:pt idx="42">
                  <c:v>2.8891264010407199E-14</c:v>
                </c:pt>
                <c:pt idx="43">
                  <c:v>2.9131359507493102E-14</c:v>
                </c:pt>
                <c:pt idx="44">
                  <c:v>2.9685032715188102E-14</c:v>
                </c:pt>
                <c:pt idx="45">
                  <c:v>3.0427574013937497E-14</c:v>
                </c:pt>
                <c:pt idx="46">
                  <c:v>3.0958462046888902E-14</c:v>
                </c:pt>
                <c:pt idx="47">
                  <c:v>3.1684033246646699E-14</c:v>
                </c:pt>
                <c:pt idx="48">
                  <c:v>3.1376222161254699E-14</c:v>
                </c:pt>
                <c:pt idx="49">
                  <c:v>3.2040633874363401E-14</c:v>
                </c:pt>
                <c:pt idx="50">
                  <c:v>3.2820085550210403E-14</c:v>
                </c:pt>
                <c:pt idx="51">
                  <c:v>3.2791968178851198E-14</c:v>
                </c:pt>
                <c:pt idx="52">
                  <c:v>3.2821584578657701E-14</c:v>
                </c:pt>
                <c:pt idx="53">
                  <c:v>3.2710704771306901E-14</c:v>
                </c:pt>
                <c:pt idx="54">
                  <c:v>3.2594814404997302E-14</c:v>
                </c:pt>
                <c:pt idx="55">
                  <c:v>3.18935026388154E-14</c:v>
                </c:pt>
                <c:pt idx="56">
                  <c:v>3.23193695960586E-14</c:v>
                </c:pt>
                <c:pt idx="57">
                  <c:v>3.2365755745878297E-14</c:v>
                </c:pt>
                <c:pt idx="58">
                  <c:v>3.2676600783173003E-14</c:v>
                </c:pt>
                <c:pt idx="59">
                  <c:v>3.3065358764624903E-14</c:v>
                </c:pt>
                <c:pt idx="60">
                  <c:v>3.4203333217356298E-14</c:v>
                </c:pt>
                <c:pt idx="61">
                  <c:v>3.5984823855253002E-14</c:v>
                </c:pt>
                <c:pt idx="62">
                  <c:v>3.67248659805942E-14</c:v>
                </c:pt>
                <c:pt idx="63">
                  <c:v>3.80205563965848E-14</c:v>
                </c:pt>
                <c:pt idx="64">
                  <c:v>3.90715927863564E-14</c:v>
                </c:pt>
                <c:pt idx="65">
                  <c:v>3.9593114829579002E-14</c:v>
                </c:pt>
                <c:pt idx="66">
                  <c:v>4.0177487967300999E-14</c:v>
                </c:pt>
                <c:pt idx="67">
                  <c:v>4.0666901433997401E-14</c:v>
                </c:pt>
                <c:pt idx="68">
                  <c:v>4.04395864923198E-14</c:v>
                </c:pt>
                <c:pt idx="69">
                  <c:v>4.1182123489524502E-14</c:v>
                </c:pt>
                <c:pt idx="70">
                  <c:v>4.2016076568960299E-14</c:v>
                </c:pt>
                <c:pt idx="71">
                  <c:v>4.2495849287064102E-14</c:v>
                </c:pt>
                <c:pt idx="72">
                  <c:v>4.2955120816308199E-14</c:v>
                </c:pt>
                <c:pt idx="73">
                  <c:v>4.3394601943611298E-14</c:v>
                </c:pt>
                <c:pt idx="74">
                  <c:v>4.3814928822726799E-14</c:v>
                </c:pt>
                <c:pt idx="75">
                  <c:v>4.4216664726401803E-14</c:v>
                </c:pt>
                <c:pt idx="76">
                  <c:v>4.4600304944164301E-14</c:v>
                </c:pt>
                <c:pt idx="77">
                  <c:v>4.4966283653669202E-14</c:v>
                </c:pt>
                <c:pt idx="78">
                  <c:v>4.5314981862520601E-14</c:v>
                </c:pt>
                <c:pt idx="79">
                  <c:v>4.5646735743698203E-14</c:v>
                </c:pt>
                <c:pt idx="80">
                  <c:v>4.59618448738261E-14</c:v>
                </c:pt>
                <c:pt idx="81">
                  <c:v>4.6260580033620399E-14</c:v>
                </c:pt>
                <c:pt idx="82">
                  <c:v>4.6543190348572198E-14</c:v>
                </c:pt>
                <c:pt idx="83">
                  <c:v>4.68099096399311E-14</c:v>
                </c:pt>
                <c:pt idx="84">
                  <c:v>4.7060961925750102E-14</c:v>
                </c:pt>
                <c:pt idx="85">
                  <c:v>4.7296566063138803E-14</c:v>
                </c:pt>
                <c:pt idx="86">
                  <c:v>4.7516939559461698E-14</c:v>
                </c:pt>
                <c:pt idx="87">
                  <c:v>4.7722301605051101E-14</c:v>
                </c:pt>
                <c:pt idx="88">
                  <c:v>4.7912875395647697E-14</c:v>
                </c:pt>
                <c:pt idx="89">
                  <c:v>4.8088889821377901E-14</c:v>
                </c:pt>
                <c:pt idx="90">
                  <c:v>4.8250580602392501E-14</c:v>
                </c:pt>
                <c:pt idx="91">
                  <c:v>4.8398190950742501E-14</c:v>
                </c:pt>
                <c:pt idx="92">
                  <c:v>4.8531971834810003E-14</c:v>
                </c:pt>
                <c:pt idx="93">
                  <c:v>4.86521819175372E-14</c:v>
                </c:pt>
                <c:pt idx="94">
                  <c:v>4.8759087233504203E-14</c:v>
                </c:pt>
                <c:pt idx="95">
                  <c:v>4.8852960663135099E-14</c:v>
                </c:pt>
                <c:pt idx="96">
                  <c:v>4.8934081255349999E-14</c:v>
                </c:pt>
                <c:pt idx="97">
                  <c:v>4.9002733443124602E-14</c:v>
                </c:pt>
                <c:pt idx="98">
                  <c:v>4.90592061898671E-14</c:v>
                </c:pt>
                <c:pt idx="99">
                  <c:v>4.9103792098405298E-14</c:v>
                </c:pt>
                <c:pt idx="100">
                  <c:v>4.91367865087822E-14</c:v>
                </c:pt>
                <c:pt idx="101">
                  <c:v>4.9158486606023E-14</c:v>
                </c:pt>
                <c:pt idx="102">
                  <c:v>4.9169190554570101E-14</c:v>
                </c:pt>
                <c:pt idx="103">
                  <c:v>4.9169196672181303E-14</c:v>
                </c:pt>
                <c:pt idx="104">
                  <c:v>4.9158802652716801E-14</c:v>
                </c:pt>
                <c:pt idx="105">
                  <c:v>4.91383048443777E-14</c:v>
                </c:pt>
                <c:pt idx="106">
                  <c:v>4.9107997587547603E-14</c:v>
                </c:pt>
                <c:pt idx="107">
                  <c:v>4.9068172614399703E-14</c:v>
                </c:pt>
                <c:pt idx="108">
                  <c:v>4.9019118510812298E-14</c:v>
                </c:pt>
                <c:pt idx="109">
                  <c:v>4.8961120239837502E-14</c:v>
                </c:pt>
                <c:pt idx="110">
                  <c:v>4.8894458724961E-14</c:v>
                </c:pt>
                <c:pt idx="111">
                  <c:v>4.8819410490621898E-14</c:v>
                </c:pt>
                <c:pt idx="112">
                  <c:v>4.8736247356905301E-14</c:v>
                </c:pt>
                <c:pt idx="113">
                  <c:v>4.8645236184937401E-14</c:v>
                </c:pt>
                <c:pt idx="114">
                  <c:v>4.8546638669272702E-14</c:v>
                </c:pt>
                <c:pt idx="115">
                  <c:v>4.8440711173447798E-14</c:v>
                </c:pt>
                <c:pt idx="116">
                  <c:v>4.8327704604850003E-14</c:v>
                </c:pt>
                <c:pt idx="117">
                  <c:v>4.82078643251037E-14</c:v>
                </c:pt>
                <c:pt idx="118">
                  <c:v>4.8081430092289503E-14</c:v>
                </c:pt>
                <c:pt idx="119">
                  <c:v>4.7948636031466001E-14</c:v>
                </c:pt>
                <c:pt idx="120">
                  <c:v>4.7809710630151698E-14</c:v>
                </c:pt>
                <c:pt idx="121">
                  <c:v>4.7664876755635202E-14</c:v>
                </c:pt>
                <c:pt idx="122">
                  <c:v>4.7514351691201197E-14</c:v>
                </c:pt>
                <c:pt idx="123">
                  <c:v>4.7358347188591002E-14</c:v>
                </c:pt>
                <c:pt idx="124">
                  <c:v>4.7197069534242897E-14</c:v>
                </c:pt>
                <c:pt idx="125">
                  <c:v>4.7030719627083399E-14</c:v>
                </c:pt>
                <c:pt idx="126">
                  <c:v>4.6859493065859799E-14</c:v>
                </c:pt>
                <c:pt idx="127">
                  <c:v>4.6683580244211503E-14</c:v>
                </c:pt>
                <c:pt idx="128">
                  <c:v>4.65031664518754E-14</c:v>
                </c:pt>
                <c:pt idx="129">
                  <c:v>4.6318431980607701E-14</c:v>
                </c:pt>
                <c:pt idx="130">
                  <c:v>4.6129552233573497E-14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871-4B10-B9AF-86B37F15201D}"/>
            </c:ext>
          </c:extLst>
        </c:ser>
        <c:ser>
          <c:idx val="8"/>
          <c:order val="8"/>
          <c:tx>
            <c:strRef>
              <c:f>'DSGE HVD woFG'!$AH$1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woFG'!$AH$2:$AH$132</c:f>
              <c:numCache>
                <c:formatCode>0.0000</c:formatCode>
                <c:ptCount val="131"/>
                <c:pt idx="0">
                  <c:v>3.232848152251621E-2</c:v>
                </c:pt>
                <c:pt idx="1">
                  <c:v>3.192574738856431E-2</c:v>
                </c:pt>
                <c:pt idx="2">
                  <c:v>3.1528307303669054E-2</c:v>
                </c:pt>
                <c:pt idx="3">
                  <c:v>3.1136089791837525E-2</c:v>
                </c:pt>
                <c:pt idx="4">
                  <c:v>3.0749024292872861E-2</c:v>
                </c:pt>
                <c:pt idx="5">
                  <c:v>3.0367041153361845E-2</c:v>
                </c:pt>
                <c:pt idx="6">
                  <c:v>2.9990071617660336E-2</c:v>
                </c:pt>
                <c:pt idx="7">
                  <c:v>2.9618047818907225E-2</c:v>
                </c:pt>
                <c:pt idx="8">
                  <c:v>2.9250902770002647E-2</c:v>
                </c:pt>
                <c:pt idx="9">
                  <c:v>2.8888570354634348E-2</c:v>
                </c:pt>
                <c:pt idx="10">
                  <c:v>2.8530985318305314E-2</c:v>
                </c:pt>
                <c:pt idx="11">
                  <c:v>2.8178083259358423E-2</c:v>
                </c:pt>
                <c:pt idx="12">
                  <c:v>2.7829800620052653E-2</c:v>
                </c:pt>
                <c:pt idx="13">
                  <c:v>2.7486074677595701E-2</c:v>
                </c:pt>
                <c:pt idx="14">
                  <c:v>2.7146843535275175E-2</c:v>
                </c:pt>
                <c:pt idx="15">
                  <c:v>2.6812046113556125E-2</c:v>
                </c:pt>
                <c:pt idx="16">
                  <c:v>2.6481622141234347E-2</c:v>
                </c:pt>
                <c:pt idx="17">
                  <c:v>2.6155512146595981E-2</c:v>
                </c:pt>
                <c:pt idx="18">
                  <c:v>2.5833657448609836E-2</c:v>
                </c:pt>
                <c:pt idx="19">
                  <c:v>2.551600014817576E-2</c:v>
                </c:pt>
                <c:pt idx="20">
                  <c:v>2.520248311935373E-2</c:v>
                </c:pt>
                <c:pt idx="21">
                  <c:v>2.4893050000710626E-2</c:v>
                </c:pt>
                <c:pt idx="22">
                  <c:v>2.4587645186609171E-2</c:v>
                </c:pt>
                <c:pt idx="23">
                  <c:v>2.4286213818608904E-2</c:v>
                </c:pt>
                <c:pt idx="24">
                  <c:v>2.3988701776875784E-2</c:v>
                </c:pt>
                <c:pt idx="25">
                  <c:v>2.3695055671628069E-2</c:v>
                </c:pt>
                <c:pt idx="26">
                  <c:v>2.3405222834653006E-2</c:v>
                </c:pt>
                <c:pt idx="27">
                  <c:v>2.3119151310852001E-2</c:v>
                </c:pt>
                <c:pt idx="28">
                  <c:v>2.2836789849823215E-2</c:v>
                </c:pt>
                <c:pt idx="29">
                  <c:v>2.2558087897527324E-2</c:v>
                </c:pt>
                <c:pt idx="30">
                  <c:v>2.2282995587957717E-2</c:v>
                </c:pt>
                <c:pt idx="31">
                  <c:v>2.2011463734905378E-2</c:v>
                </c:pt>
                <c:pt idx="32">
                  <c:v>2.1743443823740539E-2</c:v>
                </c:pt>
                <c:pt idx="33">
                  <c:v>2.147888800328953E-2</c:v>
                </c:pt>
                <c:pt idx="34">
                  <c:v>2.121774907772284E-2</c:v>
                </c:pt>
                <c:pt idx="35">
                  <c:v>2.0959980498521207E-2</c:v>
                </c:pt>
                <c:pt idx="36">
                  <c:v>2.0705536356511758E-2</c:v>
                </c:pt>
                <c:pt idx="37">
                  <c:v>2.0454371373930736E-2</c:v>
                </c:pt>
                <c:pt idx="38">
                  <c:v>2.0206440896591484E-2</c:v>
                </c:pt>
                <c:pt idx="39">
                  <c:v>1.9961700886055041E-2</c:v>
                </c:pt>
                <c:pt idx="40">
                  <c:v>1.9720107911916817E-2</c:v>
                </c:pt>
                <c:pt idx="41">
                  <c:v>1.9481619144116863E-2</c:v>
                </c:pt>
                <c:pt idx="42">
                  <c:v>1.9246192345334725E-2</c:v>
                </c:pt>
                <c:pt idx="43">
                  <c:v>1.9013785863444179E-2</c:v>
                </c:pt>
                <c:pt idx="44">
                  <c:v>1.8784358624023129E-2</c:v>
                </c:pt>
                <c:pt idx="45">
                  <c:v>1.855787012293773E-2</c:v>
                </c:pt>
                <c:pt idx="46">
                  <c:v>1.8334280418982177E-2</c:v>
                </c:pt>
                <c:pt idx="47">
                  <c:v>1.8113550126605135E-2</c:v>
                </c:pt>
                <c:pt idx="48">
                  <c:v>1.7895640408672128E-2</c:v>
                </c:pt>
                <c:pt idx="49">
                  <c:v>1.7680512969329515E-2</c:v>
                </c:pt>
                <c:pt idx="50">
                  <c:v>1.7468130046901221E-2</c:v>
                </c:pt>
                <c:pt idx="51">
                  <c:v>1.7258454406872261E-2</c:v>
                </c:pt>
                <c:pt idx="52">
                  <c:v>1.7051449334942615E-2</c:v>
                </c:pt>
                <c:pt idx="53">
                  <c:v>1.6847078630148622E-2</c:v>
                </c:pt>
                <c:pt idx="54">
                  <c:v>1.6645306598027945E-2</c:v>
                </c:pt>
                <c:pt idx="55">
                  <c:v>1.6446098043902374E-2</c:v>
                </c:pt>
                <c:pt idx="56">
                  <c:v>1.624941826616353E-2</c:v>
                </c:pt>
                <c:pt idx="57">
                  <c:v>1.6055233049691829E-2</c:v>
                </c:pt>
                <c:pt idx="58">
                  <c:v>1.5863508659296987E-2</c:v>
                </c:pt>
                <c:pt idx="59">
                  <c:v>1.5674211833275203E-2</c:v>
                </c:pt>
                <c:pt idx="60">
                  <c:v>1.5487309776966525E-2</c:v>
                </c:pt>
                <c:pt idx="61">
                  <c:v>1.5302770156457134E-2</c:v>
                </c:pt>
                <c:pt idx="62">
                  <c:v>1.5120561092279087E-2</c:v>
                </c:pt>
                <c:pt idx="63">
                  <c:v>1.4940651153249239E-2</c:v>
                </c:pt>
                <c:pt idx="64">
                  <c:v>1.4763009350312406E-2</c:v>
                </c:pt>
                <c:pt idx="65">
                  <c:v>1.458760513050446E-2</c:v>
                </c:pt>
                <c:pt idx="66">
                  <c:v>1.4414408370947859E-2</c:v>
                </c:pt>
                <c:pt idx="67">
                  <c:v>1.4243389372927321E-2</c:v>
                </c:pt>
                <c:pt idx="68">
                  <c:v>1.4074518856033261E-2</c:v>
                </c:pt>
                <c:pt idx="69">
                  <c:v>1.3907767952399761E-2</c:v>
                </c:pt>
                <c:pt idx="70">
                  <c:v>1.3743108200941566E-2</c:v>
                </c:pt>
                <c:pt idx="71">
                  <c:v>1.3580511541731649E-2</c:v>
                </c:pt>
                <c:pt idx="72">
                  <c:v>1.3419950310407519E-2</c:v>
                </c:pt>
                <c:pt idx="73">
                  <c:v>1.3261397232650081E-2</c:v>
                </c:pt>
                <c:pt idx="74">
                  <c:v>1.3104825418730731E-2</c:v>
                </c:pt>
                <c:pt idx="75">
                  <c:v>1.2950208358124776E-2</c:v>
                </c:pt>
                <c:pt idx="76">
                  <c:v>1.2797519914188314E-2</c:v>
                </c:pt>
                <c:pt idx="77">
                  <c:v>1.2646734318902345E-2</c:v>
                </c:pt>
                <c:pt idx="78">
                  <c:v>1.2497826167680174E-2</c:v>
                </c:pt>
                <c:pt idx="79">
                  <c:v>1.2350770414239999E-2</c:v>
                </c:pt>
                <c:pt idx="80">
                  <c:v>1.2205542365541116E-2</c:v>
                </c:pt>
                <c:pt idx="81">
                  <c:v>1.2062117676783434E-2</c:v>
                </c:pt>
                <c:pt idx="82">
                  <c:v>1.1920472346470947E-2</c:v>
                </c:pt>
                <c:pt idx="83">
                  <c:v>1.1780582711536463E-2</c:v>
                </c:pt>
                <c:pt idx="84">
                  <c:v>1.164242544252987E-2</c:v>
                </c:pt>
                <c:pt idx="85">
                  <c:v>1.1505977538867279E-2</c:v>
                </c:pt>
                <c:pt idx="86">
                  <c:v>1.1371216324141287E-2</c:v>
                </c:pt>
                <c:pt idx="87">
                  <c:v>1.1238119441492897E-2</c:v>
                </c:pt>
                <c:pt idx="88">
                  <c:v>1.1106664849042203E-2</c:v>
                </c:pt>
                <c:pt idx="89">
                  <c:v>1.0976830815380504E-2</c:v>
                </c:pt>
                <c:pt idx="90">
                  <c:v>1.0848595915120208E-2</c:v>
                </c:pt>
                <c:pt idx="91">
                  <c:v>1.0721939024504312E-2</c:v>
                </c:pt>
                <c:pt idx="92">
                  <c:v>1.0596839317073706E-2</c:v>
                </c:pt>
                <c:pt idx="93">
                  <c:v>1.0473276259392107E-2</c:v>
                </c:pt>
                <c:pt idx="94">
                  <c:v>1.0351229606828201E-2</c:v>
                </c:pt>
                <c:pt idx="95">
                  <c:v>1.0230679399394597E-2</c:v>
                </c:pt>
                <c:pt idx="96">
                  <c:v>1.0111605957642491E-2</c:v>
                </c:pt>
                <c:pt idx="97">
                  <c:v>9.993989878611961E-3</c:v>
                </c:pt>
                <c:pt idx="98">
                  <c:v>9.8778120318371888E-3</c:v>
                </c:pt>
                <c:pt idx="99">
                  <c:v>9.763053555406298E-3</c:v>
                </c:pt>
                <c:pt idx="100">
                  <c:v>9.6496958520748844E-3</c:v>
                </c:pt>
                <c:pt idx="101">
                  <c:v>9.5377205854327071E-3</c:v>
                </c:pt>
                <c:pt idx="102">
                  <c:v>9.4271096761235108E-3</c:v>
                </c:pt>
                <c:pt idx="103">
                  <c:v>9.3178452981166615E-3</c:v>
                </c:pt>
                <c:pt idx="104">
                  <c:v>9.2099098750308313E-3</c:v>
                </c:pt>
                <c:pt idx="105">
                  <c:v>9.1032860765082775E-3</c:v>
                </c:pt>
                <c:pt idx="106">
                  <c:v>8.997956814640223E-3</c:v>
                </c:pt>
                <c:pt idx="107">
                  <c:v>8.8939052404415492E-3</c:v>
                </c:pt>
                <c:pt idx="108">
                  <c:v>8.7911147403756402E-3</c:v>
                </c:pt>
                <c:pt idx="109">
                  <c:v>8.6895689329274505E-3</c:v>
                </c:pt>
                <c:pt idx="110">
                  <c:v>8.5892516652252855E-3</c:v>
                </c:pt>
                <c:pt idx="111">
                  <c:v>8.4901470097101164E-3</c:v>
                </c:pt>
                <c:pt idx="112">
                  <c:v>8.3922392608520996E-3</c:v>
                </c:pt>
                <c:pt idx="113">
                  <c:v>8.2955129319140144E-3</c:v>
                </c:pt>
                <c:pt idx="114">
                  <c:v>8.1999527517602599E-3</c:v>
                </c:pt>
                <c:pt idx="115">
                  <c:v>8.1055436617120322E-3</c:v>
                </c:pt>
                <c:pt idx="116">
                  <c:v>8.0122708124470143E-3</c:v>
                </c:pt>
                <c:pt idx="117">
                  <c:v>7.920119560943694E-3</c:v>
                </c:pt>
                <c:pt idx="118">
                  <c:v>7.8290754674696841E-3</c:v>
                </c:pt>
                <c:pt idx="119">
                  <c:v>7.7391242926132513E-3</c:v>
                </c:pt>
                <c:pt idx="120">
                  <c:v>7.6502519943577882E-3</c:v>
                </c:pt>
                <c:pt idx="121">
                  <c:v>7.5624447251985945E-3</c:v>
                </c:pt>
                <c:pt idx="122">
                  <c:v>7.4756888293013319E-3</c:v>
                </c:pt>
                <c:pt idx="123">
                  <c:v>7.3899708397019365E-3</c:v>
                </c:pt>
                <c:pt idx="124">
                  <c:v>7.3052774755468994E-3</c:v>
                </c:pt>
                <c:pt idx="125">
                  <c:v>7.2215956393742444E-3</c:v>
                </c:pt>
                <c:pt idx="126">
                  <c:v>7.1389124144336886E-3</c:v>
                </c:pt>
                <c:pt idx="127">
                  <c:v>7.0572150620463311E-3</c:v>
                </c:pt>
                <c:pt idx="128">
                  <c:v>6.9764910190028033E-3</c:v>
                </c:pt>
                <c:pt idx="129">
                  <c:v>6.8967278949998078E-3</c:v>
                </c:pt>
                <c:pt idx="130">
                  <c:v>6.81791347011398E-3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871-4B10-B9AF-86B37F152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lineChart>
        <c:grouping val="standard"/>
        <c:varyColors val="0"/>
        <c:ser>
          <c:idx val="9"/>
          <c:order val="9"/>
          <c:tx>
            <c:strRef>
              <c:f>'DSGE HVD woFG'!$AI$1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'DSGE HVD woFG'!$AI$2:$AI$132</c:f>
              <c:numCache>
                <c:formatCode>0.0000</c:formatCode>
                <c:ptCount val="131"/>
                <c:pt idx="0">
                  <c:v>-2.4061598630561593E-2</c:v>
                </c:pt>
                <c:pt idx="1">
                  <c:v>-0.16901312640215643</c:v>
                </c:pt>
                <c:pt idx="2">
                  <c:v>-0.4568962772824392</c:v>
                </c:pt>
                <c:pt idx="3">
                  <c:v>-0.69504237510761147</c:v>
                </c:pt>
                <c:pt idx="4">
                  <c:v>-1.1003980145650201</c:v>
                </c:pt>
                <c:pt idx="5">
                  <c:v>-1.1705554725898168</c:v>
                </c:pt>
                <c:pt idx="6">
                  <c:v>-1.4401443552117861</c:v>
                </c:pt>
                <c:pt idx="7">
                  <c:v>-2.5875767507539167</c:v>
                </c:pt>
                <c:pt idx="8">
                  <c:v>-2.4418475918029525</c:v>
                </c:pt>
                <c:pt idx="9">
                  <c:v>-1.9738793460216666</c:v>
                </c:pt>
                <c:pt idx="10">
                  <c:v>-1.4315514981686894</c:v>
                </c:pt>
                <c:pt idx="11">
                  <c:v>-1.1676708505833555</c:v>
                </c:pt>
                <c:pt idx="12">
                  <c:v>-1.1664499644184445</c:v>
                </c:pt>
                <c:pt idx="13">
                  <c:v>-1.3282359566764941</c:v>
                </c:pt>
                <c:pt idx="14">
                  <c:v>-1.4969195052771691</c:v>
                </c:pt>
                <c:pt idx="15">
                  <c:v>-1.3824347912612764</c:v>
                </c:pt>
                <c:pt idx="16">
                  <c:v>-1.1926477786426462</c:v>
                </c:pt>
                <c:pt idx="17">
                  <c:v>-1.4056515791272981</c:v>
                </c:pt>
                <c:pt idx="18">
                  <c:v>-1.7758900804244848</c:v>
                </c:pt>
                <c:pt idx="19">
                  <c:v>-2.0563661714919346</c:v>
                </c:pt>
                <c:pt idx="20">
                  <c:v>-1.8093998930858841</c:v>
                </c:pt>
                <c:pt idx="21">
                  <c:v>-2.0981536449393214</c:v>
                </c:pt>
                <c:pt idx="22">
                  <c:v>-1.9692998689052503</c:v>
                </c:pt>
                <c:pt idx="23">
                  <c:v>-1.7333004755560844</c:v>
                </c:pt>
                <c:pt idx="24">
                  <c:v>-1.8216138718711223</c:v>
                </c:pt>
                <c:pt idx="25">
                  <c:v>-1.7627106218741613</c:v>
                </c:pt>
                <c:pt idx="26">
                  <c:v>-1.6572036549199225</c:v>
                </c:pt>
                <c:pt idx="27">
                  <c:v>-1.6409841815501862</c:v>
                </c:pt>
                <c:pt idx="28">
                  <c:v>-1.5575993506992338</c:v>
                </c:pt>
                <c:pt idx="29">
                  <c:v>-1.5727721999909021</c:v>
                </c:pt>
                <c:pt idx="30">
                  <c:v>-1.6391611280608966</c:v>
                </c:pt>
                <c:pt idx="31">
                  <c:v>-1.7924431748503422</c:v>
                </c:pt>
                <c:pt idx="32">
                  <c:v>-1.8320960454543147</c:v>
                </c:pt>
                <c:pt idx="33">
                  <c:v>-1.7942918316721781</c:v>
                </c:pt>
                <c:pt idx="34">
                  <c:v>-2.025640108829609</c:v>
                </c:pt>
                <c:pt idx="35">
                  <c:v>-2.0465384537115048</c:v>
                </c:pt>
                <c:pt idx="36">
                  <c:v>-2.2171345409824688</c:v>
                </c:pt>
                <c:pt idx="37">
                  <c:v>-2.0335054419704428</c:v>
                </c:pt>
                <c:pt idx="38">
                  <c:v>-1.9339103889451699</c:v>
                </c:pt>
                <c:pt idx="39">
                  <c:v>-1.6813706267293054</c:v>
                </c:pt>
                <c:pt idx="40">
                  <c:v>-1.5493287346453266</c:v>
                </c:pt>
                <c:pt idx="41">
                  <c:v>-1.4963387385980598</c:v>
                </c:pt>
                <c:pt idx="42">
                  <c:v>-1.3413191704500478</c:v>
                </c:pt>
                <c:pt idx="43">
                  <c:v>-1.1795575823301048</c:v>
                </c:pt>
                <c:pt idx="44">
                  <c:v>-1.0602972101674732</c:v>
                </c:pt>
                <c:pt idx="45">
                  <c:v>-1.1709953365707357</c:v>
                </c:pt>
                <c:pt idx="46">
                  <c:v>-1.1035868153856878</c:v>
                </c:pt>
                <c:pt idx="47">
                  <c:v>-1.1879588502747034</c:v>
                </c:pt>
                <c:pt idx="48">
                  <c:v>-1.2115697492453281</c:v>
                </c:pt>
                <c:pt idx="49">
                  <c:v>-1.2821028121649907</c:v>
                </c:pt>
                <c:pt idx="50">
                  <c:v>-1.3329418678754392</c:v>
                </c:pt>
                <c:pt idx="51">
                  <c:v>-1.1843491248616373</c:v>
                </c:pt>
                <c:pt idx="52">
                  <c:v>-1.5274250370670723</c:v>
                </c:pt>
                <c:pt idx="53">
                  <c:v>-1.7323290131937235</c:v>
                </c:pt>
                <c:pt idx="54">
                  <c:v>-1.2795935050662539</c:v>
                </c:pt>
                <c:pt idx="55">
                  <c:v>-1.0803301166184638</c:v>
                </c:pt>
                <c:pt idx="56">
                  <c:v>-0.86279201997761057</c:v>
                </c:pt>
                <c:pt idx="57">
                  <c:v>-0.82664151618449744</c:v>
                </c:pt>
                <c:pt idx="58">
                  <c:v>-0.86894841361518182</c:v>
                </c:pt>
                <c:pt idx="59">
                  <c:v>-0.87647585548674634</c:v>
                </c:pt>
                <c:pt idx="60">
                  <c:v>-0.93834686838014258</c:v>
                </c:pt>
                <c:pt idx="61">
                  <c:v>-1.0542343099909934</c:v>
                </c:pt>
                <c:pt idx="62">
                  <c:v>-0.95666930242773307</c:v>
                </c:pt>
                <c:pt idx="63">
                  <c:v>-1.0236998726994999</c:v>
                </c:pt>
                <c:pt idx="64">
                  <c:v>-0.66938901222839642</c:v>
                </c:pt>
                <c:pt idx="65">
                  <c:v>-0.65098625981373093</c:v>
                </c:pt>
                <c:pt idx="66">
                  <c:v>-0.3905922606446553</c:v>
                </c:pt>
                <c:pt idx="67">
                  <c:v>-0.41670854131271995</c:v>
                </c:pt>
                <c:pt idx="68">
                  <c:v>-0.23676321312085244</c:v>
                </c:pt>
                <c:pt idx="69">
                  <c:v>-0.30264526014526216</c:v>
                </c:pt>
                <c:pt idx="70">
                  <c:v>-0.43354320476005892</c:v>
                </c:pt>
                <c:pt idx="71">
                  <c:v>-0.43423381824409968</c:v>
                </c:pt>
                <c:pt idx="72">
                  <c:v>-0.43334011902856806</c:v>
                </c:pt>
                <c:pt idx="73">
                  <c:v>-0.43107083027441156</c:v>
                </c:pt>
                <c:pt idx="74">
                  <c:v>-0.42761644799847087</c:v>
                </c:pt>
                <c:pt idx="75">
                  <c:v>-0.42315009584672908</c:v>
                </c:pt>
                <c:pt idx="76">
                  <c:v>-0.41782837651655258</c:v>
                </c:pt>
                <c:pt idx="77">
                  <c:v>-0.41179225923543783</c:v>
                </c:pt>
                <c:pt idx="78">
                  <c:v>-0.40516801174778372</c:v>
                </c:pt>
                <c:pt idx="79">
                  <c:v>-0.39806816897427666</c:v>
                </c:pt>
                <c:pt idx="80">
                  <c:v>-0.39059252315813836</c:v>
                </c:pt>
                <c:pt idx="81">
                  <c:v>-0.38282911821174737</c:v>
                </c:pt>
                <c:pt idx="82">
                  <c:v>-0.37485523178645735</c:v>
                </c:pt>
                <c:pt idx="83">
                  <c:v>-0.36673833085050855</c:v>
                </c:pt>
                <c:pt idx="84">
                  <c:v>-0.35853698939299217</c:v>
                </c:pt>
                <c:pt idx="85">
                  <c:v>-0.35030175976299111</c:v>
                </c:pt>
                <c:pt idx="86">
                  <c:v>-0.34207599182521592</c:v>
                </c:pt>
                <c:pt idx="87">
                  <c:v>-0.3338965964349157</c:v>
                </c:pt>
                <c:pt idx="88">
                  <c:v>-0.32579475166171185</c:v>
                </c:pt>
                <c:pt idx="89">
                  <c:v>-0.31779655173094318</c:v>
                </c:pt>
                <c:pt idx="90">
                  <c:v>-0.30992359983581336</c:v>
                </c:pt>
                <c:pt idx="91">
                  <c:v>-0.30219354684957156</c:v>
                </c:pt>
                <c:pt idx="92">
                  <c:v>-0.29462057858291013</c:v>
                </c:pt>
                <c:pt idx="93">
                  <c:v>-0.28721585463537236</c:v>
                </c:pt>
                <c:pt idx="94">
                  <c:v>-0.27998790212313596</c:v>
                </c:pt>
                <c:pt idx="95">
                  <c:v>-0.27294296766702003</c:v>
                </c:pt>
                <c:pt idx="96">
                  <c:v>-0.26608533102524057</c:v>
                </c:pt>
                <c:pt idx="97">
                  <c:v>-0.25941758368194262</c:v>
                </c:pt>
                <c:pt idx="98">
                  <c:v>-0.25294087557591372</c:v>
                </c:pt>
                <c:pt idx="99">
                  <c:v>-0.24665513299136954</c:v>
                </c:pt>
                <c:pt idx="100">
                  <c:v>-0.24055925044756968</c:v>
                </c:pt>
                <c:pt idx="101">
                  <c:v>-0.23465125922665475</c:v>
                </c:pt>
                <c:pt idx="102">
                  <c:v>-0.22892847497722713</c:v>
                </c:pt>
                <c:pt idx="103">
                  <c:v>-0.22338762663066758</c:v>
                </c:pt>
                <c:pt idx="104">
                  <c:v>-0.21802496867216511</c:v>
                </c:pt>
                <c:pt idx="105">
                  <c:v>-0.21283637862168162</c:v>
                </c:pt>
                <c:pt idx="106">
                  <c:v>-0.20781744140370614</c:v>
                </c:pt>
                <c:pt idx="107">
                  <c:v>-0.20296352211952845</c:v>
                </c:pt>
                <c:pt idx="108">
                  <c:v>-0.19826982858265668</c:v>
                </c:pt>
                <c:pt idx="109">
                  <c:v>-0.1937314648368792</c:v>
                </c:pt>
                <c:pt idx="110">
                  <c:v>-0.18934347674724009</c:v>
                </c:pt>
                <c:pt idx="111">
                  <c:v>-0.18510089063639362</c:v>
                </c:pt>
                <c:pt idx="112">
                  <c:v>-0.18099874583190972</c:v>
                </c:pt>
                <c:pt idx="113">
                  <c:v>-0.17703212189341141</c:v>
                </c:pt>
                <c:pt idx="114">
                  <c:v>-0.17319616120136044</c:v>
                </c:pt>
                <c:pt idx="115">
                  <c:v>-0.16948608751096964</c:v>
                </c:pt>
                <c:pt idx="116">
                  <c:v>-0.16589722100461265</c:v>
                </c:pt>
                <c:pt idx="117">
                  <c:v>-0.1624249903132744</c:v>
                </c:pt>
                <c:pt idx="118">
                  <c:v>-0.15906494192166937</c:v>
                </c:pt>
                <c:pt idx="119">
                  <c:v>-0.15581274732167322</c:v>
                </c:pt>
                <c:pt idx="120">
                  <c:v>-0.15266420823442256</c:v>
                </c:pt>
                <c:pt idx="121">
                  <c:v>-0.14961526018198065</c:v>
                </c:pt>
                <c:pt idx="122">
                  <c:v>-0.14666197465459546</c:v>
                </c:pt>
                <c:pt idx="123">
                  <c:v>-0.14380056008859593</c:v>
                </c:pt>
                <c:pt idx="124">
                  <c:v>-0.14102736184267958</c:v>
                </c:pt>
                <c:pt idx="125">
                  <c:v>-0.13833886133614381</c:v>
                </c:pt>
                <c:pt idx="126">
                  <c:v>-0.13573167449135703</c:v>
                </c:pt>
                <c:pt idx="127">
                  <c:v>-0.13320254960394856</c:v>
                </c:pt>
                <c:pt idx="128">
                  <c:v>-0.13074836474771062</c:v>
                </c:pt>
                <c:pt idx="129">
                  <c:v>-0.12836612480666434</c:v>
                </c:pt>
                <c:pt idx="130">
                  <c:v>-0.12605295821400181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871-4B10-B9AF-86B37F152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843279"/>
        <c:axId val="1698837999"/>
      </c:lineChart>
      <c:dateAx>
        <c:axId val="1190122384"/>
        <c:scaling>
          <c:orientation val="minMax"/>
          <c:max val="45658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  <c:max val="1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valAx>
        <c:axId val="1698837999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698843279"/>
        <c:crosses val="autoZero"/>
        <c:crossBetween val="between"/>
      </c:valAx>
      <c:catAx>
        <c:axId val="1698843279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majorTickMark val="out"/>
        <c:minorTickMark val="none"/>
        <c:tickLblPos val="nextTo"/>
        <c:crossAx val="1698837999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8.2205048273724643E-2"/>
          <c:y val="9.6674400618716166E-3"/>
          <c:w val="0.83558974786636886"/>
          <c:h val="0.2254492695373635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2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10.png"/><Relationship Id="rId1" Type="http://schemas.openxmlformats.org/officeDocument/2006/relationships/customXml" Target="../ink/ink3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image" Target="../media/image10.png"/><Relationship Id="rId1" Type="http://schemas.openxmlformats.org/officeDocument/2006/relationships/customXml" Target="../ink/ink4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image" Target="../media/image10.png"/><Relationship Id="rId1" Type="http://schemas.openxmlformats.org/officeDocument/2006/relationships/customXml" Target="../ink/ink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228480</xdr:colOff>
      <xdr:row>143</xdr:row>
      <xdr:rowOff>9225</xdr:rowOff>
    </xdr:from>
    <xdr:to>
      <xdr:col>29</xdr:col>
      <xdr:colOff>228840</xdr:colOff>
      <xdr:row>143</xdr:row>
      <xdr:rowOff>9585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79C7893-618A-9168-549E-2D74A0AA7361}"/>
                </a:ext>
              </a:extLst>
            </xdr14:cNvPr>
            <xdr14:cNvContentPartPr/>
          </xdr14:nvContentPartPr>
          <xdr14:nvPr macro=""/>
          <xdr14:xfrm>
            <a:off x="17906880" y="27250725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79C7893-618A-9168-549E-2D74A0AA73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900760" y="2724460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76</xdr:col>
      <xdr:colOff>132782</xdr:colOff>
      <xdr:row>24</xdr:row>
      <xdr:rowOff>104401</xdr:rowOff>
    </xdr:from>
    <xdr:to>
      <xdr:col>86</xdr:col>
      <xdr:colOff>20331</xdr:colOff>
      <xdr:row>51</xdr:row>
      <xdr:rowOff>26353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58ECAB4-CF88-3F86-1BFE-48F09F3AF1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433387</xdr:colOff>
      <xdr:row>44</xdr:row>
      <xdr:rowOff>80962</xdr:rowOff>
    </xdr:from>
    <xdr:to>
      <xdr:col>15</xdr:col>
      <xdr:colOff>128587</xdr:colOff>
      <xdr:row>58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9E6A22-C13F-1F1D-0F04-5FC9527EE1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595200</xdr:colOff>
      <xdr:row>53</xdr:row>
      <xdr:rowOff>156780</xdr:rowOff>
    </xdr:from>
    <xdr:to>
      <xdr:col>14</xdr:col>
      <xdr:colOff>595560</xdr:colOff>
      <xdr:row>53</xdr:row>
      <xdr:rowOff>157140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C6261A0-E6D6-C1A6-AAB7-ED51F6785C38}"/>
                </a:ext>
              </a:extLst>
            </xdr14:cNvPr>
            <xdr14:cNvContentPartPr/>
          </xdr14:nvContentPartPr>
          <xdr14:nvPr macro=""/>
          <xdr14:xfrm>
            <a:off x="9129600" y="102532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AC6261A0-E6D6-C1A6-AAB7-ED51F6785C38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9120600" y="102442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143</xdr:row>
      <xdr:rowOff>9225</xdr:rowOff>
    </xdr:from>
    <xdr:to>
      <xdr:col>20</xdr:col>
      <xdr:colOff>360</xdr:colOff>
      <xdr:row>143</xdr:row>
      <xdr:rowOff>9585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A215C2C-D42F-400E-B33A-914DF419CA3A}"/>
                </a:ext>
              </a:extLst>
            </xdr14:cNvPr>
            <xdr14:cNvContentPartPr/>
          </xdr14:nvContentPartPr>
          <xdr14:nvPr macro=""/>
          <xdr14:xfrm>
            <a:off x="17906880" y="27250725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79C7893-618A-9168-549E-2D74A0AA73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900760" y="2724460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76</xdr:col>
      <xdr:colOff>132782</xdr:colOff>
      <xdr:row>24</xdr:row>
      <xdr:rowOff>104401</xdr:rowOff>
    </xdr:from>
    <xdr:to>
      <xdr:col>86</xdr:col>
      <xdr:colOff>20331</xdr:colOff>
      <xdr:row>51</xdr:row>
      <xdr:rowOff>26353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760A71-4FA2-49C4-B608-3AADEFDE64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51</xdr:col>
      <xdr:colOff>182217</xdr:colOff>
      <xdr:row>6</xdr:row>
      <xdr:rowOff>0</xdr:rowOff>
    </xdr:from>
    <xdr:to>
      <xdr:col>61</xdr:col>
      <xdr:colOff>405848</xdr:colOff>
      <xdr:row>26</xdr:row>
      <xdr:rowOff>131064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E006FE-E442-4C28-86DC-F1E8FB1107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143</xdr:row>
      <xdr:rowOff>9225</xdr:rowOff>
    </xdr:from>
    <xdr:to>
      <xdr:col>20</xdr:col>
      <xdr:colOff>360</xdr:colOff>
      <xdr:row>143</xdr:row>
      <xdr:rowOff>9585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4CF852C-606F-4446-B340-3B5C404612FE}"/>
                </a:ext>
              </a:extLst>
            </xdr14:cNvPr>
            <xdr14:cNvContentPartPr/>
          </xdr14:nvContentPartPr>
          <xdr14:nvPr macro=""/>
          <xdr14:xfrm>
            <a:off x="17906880" y="27250725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79C7893-618A-9168-549E-2D74A0AA73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900760" y="2724460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76</xdr:col>
      <xdr:colOff>132782</xdr:colOff>
      <xdr:row>24</xdr:row>
      <xdr:rowOff>104401</xdr:rowOff>
    </xdr:from>
    <xdr:to>
      <xdr:col>86</xdr:col>
      <xdr:colOff>20331</xdr:colOff>
      <xdr:row>51</xdr:row>
      <xdr:rowOff>26353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95AA2B-7752-4082-B8BB-F22C23192B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51</xdr:col>
      <xdr:colOff>182217</xdr:colOff>
      <xdr:row>6</xdr:row>
      <xdr:rowOff>0</xdr:rowOff>
    </xdr:from>
    <xdr:to>
      <xdr:col>61</xdr:col>
      <xdr:colOff>405848</xdr:colOff>
      <xdr:row>26</xdr:row>
      <xdr:rowOff>131064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6B3FC1-4E88-41A3-9278-27A60B52EE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143</xdr:row>
      <xdr:rowOff>9225</xdr:rowOff>
    </xdr:from>
    <xdr:to>
      <xdr:col>20</xdr:col>
      <xdr:colOff>360</xdr:colOff>
      <xdr:row>143</xdr:row>
      <xdr:rowOff>9585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104E183-8F5A-464F-B804-152ACCFF4617}"/>
                </a:ext>
              </a:extLst>
            </xdr14:cNvPr>
            <xdr14:cNvContentPartPr/>
          </xdr14:nvContentPartPr>
          <xdr14:nvPr macro=""/>
          <xdr14:xfrm>
            <a:off x="17906880" y="27250725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79C7893-618A-9168-549E-2D74A0AA73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900760" y="2724460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76</xdr:col>
      <xdr:colOff>132782</xdr:colOff>
      <xdr:row>24</xdr:row>
      <xdr:rowOff>104401</xdr:rowOff>
    </xdr:from>
    <xdr:to>
      <xdr:col>86</xdr:col>
      <xdr:colOff>20331</xdr:colOff>
      <xdr:row>51</xdr:row>
      <xdr:rowOff>26353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D0DAEE-75A1-4E4D-83AD-2CFFB779DE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51</xdr:col>
      <xdr:colOff>182217</xdr:colOff>
      <xdr:row>6</xdr:row>
      <xdr:rowOff>0</xdr:rowOff>
    </xdr:from>
    <xdr:to>
      <xdr:col>61</xdr:col>
      <xdr:colOff>405848</xdr:colOff>
      <xdr:row>26</xdr:row>
      <xdr:rowOff>131064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06885C-8141-4B6E-8980-7D6B9684D1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Mac\Home\Documents\GitHub\rstarBrookings2017\Main%20results\US\Chart%20US.xlsx" TargetMode="External"/><Relationship Id="rId1" Type="http://schemas.openxmlformats.org/officeDocument/2006/relationships/externalLinkPath" Target="Chart%20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 NA - DSGE Raw Data"/>
      <sheetName val="Chart 2 - Real rate gaps"/>
      <sheetName val="Chart 3 - rstar"/>
      <sheetName val="Decomposition"/>
      <sheetName val="DSGE HVD wFG"/>
      <sheetName val="DSGE HVD woFG"/>
      <sheetName val="wFG_rstar_shock_decomposition"/>
      <sheetName val="HLW - 2025Q2"/>
      <sheetName val="LM_RealRate"/>
      <sheetName val="hist_ExAnteRealRate_wFG"/>
      <sheetName val="hist_RealNaturalRate_wFG"/>
      <sheetName val="hist_Forward5YearRealR_wFG"/>
      <sheetName val="hist_Forward5YearRNatR_wFG"/>
      <sheetName val="hist_ExAnteRealRate_woFG"/>
      <sheetName val="hist_RealNaturalRate_woFG"/>
      <sheetName val="hist_Forward5YearRNatR_woFG"/>
      <sheetName val="hist_Forward5YearRealR_woFG"/>
    </sheetNames>
    <sheetDataSet>
      <sheetData sheetId="0"/>
      <sheetData sheetId="1"/>
      <sheetData sheetId="2"/>
      <sheetData sheetId="3"/>
      <sheetData sheetId="4">
        <row r="1">
          <cell r="Z1" t="str">
            <v>Government</v>
          </cell>
          <cell r="AA1" t="str">
            <v>Liquidity</v>
          </cell>
          <cell r="AB1" t="str">
            <v>Safety</v>
          </cell>
          <cell r="AC1" t="str">
            <v>Technology</v>
          </cell>
          <cell r="AD1" t="str">
            <v>Financial Frictions</v>
          </cell>
          <cell r="AE1" t="str">
            <v>Investment Specific Technology</v>
          </cell>
          <cell r="AF1" t="str">
            <v>Price Markups</v>
          </cell>
          <cell r="AG1" t="str">
            <v>Wage Markups</v>
          </cell>
          <cell r="AH1" t="str">
            <v>Others</v>
          </cell>
          <cell r="AI1" t="str">
            <v>DSGE r* (with FG)</v>
          </cell>
        </row>
        <row r="2">
          <cell r="Y2">
            <v>39172</v>
          </cell>
          <cell r="Z2">
            <v>-0.10116499029808</v>
          </cell>
          <cell r="AA2">
            <v>-0.14808542456621801</v>
          </cell>
          <cell r="AB2">
            <v>0.49991387508665402</v>
          </cell>
          <cell r="AC2">
            <v>0.14174747462929421</v>
          </cell>
          <cell r="AD2">
            <v>-2.343352467547E-2</v>
          </cell>
          <cell r="AE2">
            <v>-4.6038989020964899E-2</v>
          </cell>
          <cell r="AF2">
            <v>3.8359980442891401E-16</v>
          </cell>
          <cell r="AG2">
            <v>-3.6594233313568802E-15</v>
          </cell>
          <cell r="AH2">
            <v>2.8537733392785758E-2</v>
          </cell>
          <cell r="AI2">
            <v>0.3514761545479978</v>
          </cell>
        </row>
        <row r="3">
          <cell r="Y3">
            <v>39263</v>
          </cell>
          <cell r="Z3">
            <v>-9.1415602048891598E-2</v>
          </cell>
          <cell r="AA3">
            <v>-0.16817797066353801</v>
          </cell>
          <cell r="AB3">
            <v>0.55181563496361996</v>
          </cell>
          <cell r="AC3">
            <v>-1.2256043618187995E-2</v>
          </cell>
          <cell r="AD3">
            <v>-1.7256471294960898E-2</v>
          </cell>
          <cell r="AE3">
            <v>-3.9016156994497099E-2</v>
          </cell>
          <cell r="AF3">
            <v>5.4879434627052497E-16</v>
          </cell>
          <cell r="AG3">
            <v>-2.4440354632060701E-15</v>
          </cell>
          <cell r="AH3">
            <v>2.8175115676490045E-2</v>
          </cell>
          <cell r="AI3">
            <v>0.25186850602003252</v>
          </cell>
        </row>
        <row r="4">
          <cell r="Y4">
            <v>39355</v>
          </cell>
          <cell r="Z4">
            <v>-9.5807612147910698E-2</v>
          </cell>
          <cell r="AA4">
            <v>-0.33979271461635702</v>
          </cell>
          <cell r="AB4">
            <v>0.56002226080116702</v>
          </cell>
          <cell r="AC4">
            <v>-2.8311232881046977E-2</v>
          </cell>
          <cell r="AD4">
            <v>-5.1006151755923997E-2</v>
          </cell>
          <cell r="AE4">
            <v>-5.63059125769753E-2</v>
          </cell>
          <cell r="AF4">
            <v>2.5037010554592901E-16</v>
          </cell>
          <cell r="AG4">
            <v>-1.4001092115681899E-15</v>
          </cell>
          <cell r="AH4">
            <v>2.7817345433819279E-2</v>
          </cell>
          <cell r="AI4">
            <v>1.6615982256771127E-2</v>
          </cell>
        </row>
        <row r="5">
          <cell r="Y5">
            <v>39447</v>
          </cell>
          <cell r="Z5">
            <v>-9.28572460411968E-2</v>
          </cell>
          <cell r="AA5">
            <v>-0.47721599214238702</v>
          </cell>
          <cell r="AB5">
            <v>0.53555175219462903</v>
          </cell>
          <cell r="AC5">
            <v>1.3142413695929889E-3</v>
          </cell>
          <cell r="AD5">
            <v>-8.5101433642590804E-2</v>
          </cell>
          <cell r="AE5">
            <v>-6.9077730500863396E-2</v>
          </cell>
          <cell r="AF5">
            <v>-2.6306487630997802E-16</v>
          </cell>
          <cell r="AG5">
            <v>-7.9837505956695004E-16</v>
          </cell>
          <cell r="AH5">
            <v>2.7464356510099725E-2</v>
          </cell>
          <cell r="AI5">
            <v>-0.1599220522527173</v>
          </cell>
        </row>
        <row r="6">
          <cell r="Y6">
            <v>39538</v>
          </cell>
          <cell r="Z6">
            <v>-9.4503573302483102E-2</v>
          </cell>
          <cell r="AA6">
            <v>-0.63793934161025601</v>
          </cell>
          <cell r="AB6">
            <v>0.48092882731752601</v>
          </cell>
          <cell r="AC6">
            <v>-0.106526205615807</v>
          </cell>
          <cell r="AD6">
            <v>-9.8599139881687101E-2</v>
          </cell>
          <cell r="AE6">
            <v>-6.2903529816891096E-2</v>
          </cell>
          <cell r="AF6">
            <v>1.47120079540184E-17</v>
          </cell>
          <cell r="AG6">
            <v>-1.49659762326061E-16</v>
          </cell>
          <cell r="AH6">
            <v>2.711608359770637E-2</v>
          </cell>
          <cell r="AI6">
            <v>-0.49242687931189211</v>
          </cell>
        </row>
        <row r="7">
          <cell r="Y7">
            <v>39629</v>
          </cell>
          <cell r="Z7">
            <v>-9.7453030409408406E-2</v>
          </cell>
          <cell r="AA7">
            <v>-0.60173872227559899</v>
          </cell>
          <cell r="AB7">
            <v>0.51265011203107302</v>
          </cell>
          <cell r="AC7">
            <v>-0.15123249734485503</v>
          </cell>
          <cell r="AD7">
            <v>-0.100503109065549</v>
          </cell>
          <cell r="AE7">
            <v>-6.3892000981238303E-2</v>
          </cell>
          <cell r="AF7">
            <v>1.28587845422192E-16</v>
          </cell>
          <cell r="AG7">
            <v>9.4075693347449101E-16</v>
          </cell>
          <cell r="AH7">
            <v>2.677246222799759E-2</v>
          </cell>
          <cell r="AI7">
            <v>-0.47539678581757816</v>
          </cell>
        </row>
        <row r="8">
          <cell r="Y8">
            <v>39721</v>
          </cell>
          <cell r="Z8">
            <v>-8.2949480993659494E-2</v>
          </cell>
          <cell r="AA8">
            <v>-0.71012196680319895</v>
          </cell>
          <cell r="AB8">
            <v>0.482826613552436</v>
          </cell>
          <cell r="AC8">
            <v>-0.19968180058891399</v>
          </cell>
          <cell r="AD8">
            <v>-9.9811080389714493E-2</v>
          </cell>
          <cell r="AE8">
            <v>-5.5883768839224197E-2</v>
          </cell>
          <cell r="AF8">
            <v>-4.3849619980996501E-16</v>
          </cell>
          <cell r="AG8">
            <v>1.76077486348156E-15</v>
          </cell>
          <cell r="AH8">
            <v>2.6433428763234457E-2</v>
          </cell>
          <cell r="AI8">
            <v>-0.63918805529903944</v>
          </cell>
        </row>
        <row r="9">
          <cell r="Y9">
            <v>39813</v>
          </cell>
          <cell r="Z9">
            <v>-5.01476530084006E-2</v>
          </cell>
          <cell r="AA9">
            <v>-1.3069466116369099</v>
          </cell>
          <cell r="AB9">
            <v>0.18081284878985401</v>
          </cell>
          <cell r="AC9">
            <v>-0.34549921407678896</v>
          </cell>
          <cell r="AD9">
            <v>-0.17998263684848601</v>
          </cell>
          <cell r="AE9">
            <v>5.2017786098958298E-3</v>
          </cell>
          <cell r="AF9">
            <v>1.6922842930974801E-15</v>
          </cell>
          <cell r="AG9">
            <v>2.3099358154234702E-15</v>
          </cell>
          <cell r="AH9">
            <v>2.6098920388513951E-2</v>
          </cell>
          <cell r="AI9">
            <v>-1.6704625677823177</v>
          </cell>
        </row>
        <row r="10">
          <cell r="Y10">
            <v>39903</v>
          </cell>
          <cell r="Z10">
            <v>-3.5773165114307497E-2</v>
          </cell>
          <cell r="AA10">
            <v>-1.0855520118558799</v>
          </cell>
          <cell r="AB10">
            <v>0.23032624202458099</v>
          </cell>
          <cell r="AC10">
            <v>-0.36687724918336501</v>
          </cell>
          <cell r="AD10">
            <v>-0.228412744086056</v>
          </cell>
          <cell r="AE10">
            <v>-7.8812431872975305E-2</v>
          </cell>
          <cell r="AF10">
            <v>1.9281286187395E-15</v>
          </cell>
          <cell r="AG10">
            <v>4.61746737370402E-15</v>
          </cell>
          <cell r="AH10">
            <v>2.5768875103664182E-2</v>
          </cell>
          <cell r="AI10">
            <v>-1.5393324849843317</v>
          </cell>
        </row>
        <row r="11">
          <cell r="Y11">
            <v>39994</v>
          </cell>
          <cell r="Z11">
            <v>-2.4089109529469799E-2</v>
          </cell>
          <cell r="AA11">
            <v>-0.87630026865846899</v>
          </cell>
          <cell r="AB11">
            <v>0.24041405514629799</v>
          </cell>
          <cell r="AC11">
            <v>-0.31115497929146302</v>
          </cell>
          <cell r="AD11">
            <v>-0.157732681028249</v>
          </cell>
          <cell r="AE11">
            <v>-0.104803321941799</v>
          </cell>
          <cell r="AF11">
            <v>1.7068415980213701E-15</v>
          </cell>
          <cell r="AG11">
            <v>4.4703200978657002E-15</v>
          </cell>
          <cell r="AH11">
            <v>2.5443231715158346E-2</v>
          </cell>
          <cell r="AI11">
            <v>-1.2082230735879875</v>
          </cell>
        </row>
        <row r="12">
          <cell r="Y12">
            <v>40086</v>
          </cell>
          <cell r="Z12">
            <v>-3.9925576677519101E-2</v>
          </cell>
          <cell r="AA12">
            <v>-0.66815747751135102</v>
          </cell>
          <cell r="AB12">
            <v>0.19466108133605001</v>
          </cell>
          <cell r="AC12">
            <v>-0.39119119715128903</v>
          </cell>
          <cell r="AD12">
            <v>-6.1837082560996501E-2</v>
          </cell>
          <cell r="AE12">
            <v>-0.190469314826472</v>
          </cell>
          <cell r="AF12">
            <v>1.5949460666182599E-15</v>
          </cell>
          <cell r="AG12">
            <v>4.8995216364697702E-15</v>
          </cell>
          <cell r="AH12">
            <v>2.5121929828031929E-2</v>
          </cell>
          <cell r="AI12">
            <v>-1.1317976375635392</v>
          </cell>
        </row>
        <row r="13">
          <cell r="Y13">
            <v>40178</v>
          </cell>
          <cell r="Z13">
            <v>-2.7038449102135001E-2</v>
          </cell>
          <cell r="AA13">
            <v>-0.58178558866152896</v>
          </cell>
          <cell r="AB13">
            <v>0.15426066736204899</v>
          </cell>
          <cell r="AC13">
            <v>-0.35921643821987537</v>
          </cell>
          <cell r="AD13">
            <v>1.94376392961126E-4</v>
          </cell>
          <cell r="AE13">
            <v>-0.18235299897498999</v>
          </cell>
          <cell r="AF13">
            <v>3.2339766918551799E-16</v>
          </cell>
          <cell r="AG13">
            <v>5.509701977865E-15</v>
          </cell>
          <cell r="AH13">
            <v>2.48049098377718E-2</v>
          </cell>
          <cell r="AI13">
            <v>-0.97113352136574149</v>
          </cell>
        </row>
        <row r="14">
          <cell r="Y14">
            <v>40268</v>
          </cell>
          <cell r="Z14">
            <v>-2.8494113734741599E-2</v>
          </cell>
          <cell r="AA14">
            <v>-0.48620875558308602</v>
          </cell>
          <cell r="AB14">
            <v>9.5901011351545204E-2</v>
          </cell>
          <cell r="AC14">
            <v>-0.5695642251534826</v>
          </cell>
          <cell r="AD14">
            <v>-2.2461200865772E-2</v>
          </cell>
          <cell r="AE14">
            <v>-0.24381378230140999</v>
          </cell>
          <cell r="AF14">
            <v>4.29296942041903E-16</v>
          </cell>
          <cell r="AG14">
            <v>7.0121020189308404E-15</v>
          </cell>
          <cell r="AH14">
            <v>2.4492112922267759E-2</v>
          </cell>
          <cell r="AI14">
            <v>-1.2301489533646717</v>
          </cell>
        </row>
        <row r="15">
          <cell r="Y15">
            <v>40359</v>
          </cell>
          <cell r="Z15">
            <v>-2.82922007426669E-2</v>
          </cell>
          <cell r="AA15">
            <v>-0.640383925170946</v>
          </cell>
          <cell r="AB15">
            <v>-0.15320738753542701</v>
          </cell>
          <cell r="AC15">
            <v>-0.78815329833234438</v>
          </cell>
          <cell r="AD15">
            <v>2.39212531687522E-2</v>
          </cell>
          <cell r="AE15">
            <v>-0.22687690642835501</v>
          </cell>
          <cell r="AF15">
            <v>5.8130182106596099E-16</v>
          </cell>
          <cell r="AG15">
            <v>7.6845370628177707E-15</v>
          </cell>
          <cell r="AH15">
            <v>2.4183481033681214E-2</v>
          </cell>
          <cell r="AI15">
            <v>-1.7888089840072974</v>
          </cell>
        </row>
        <row r="16">
          <cell r="Y16">
            <v>40451</v>
          </cell>
          <cell r="Z16">
            <v>-1.9280872158649001E-2</v>
          </cell>
          <cell r="AA16">
            <v>-0.70215744037565397</v>
          </cell>
          <cell r="AB16">
            <v>-0.18872773973873899</v>
          </cell>
          <cell r="AC16">
            <v>-0.74326712803202855</v>
          </cell>
          <cell r="AD16">
            <v>-3.2718492765900699E-2</v>
          </cell>
          <cell r="AE16">
            <v>-0.25348782470067199</v>
          </cell>
          <cell r="AF16">
            <v>9.4034412713698303E-16</v>
          </cell>
          <cell r="AG16">
            <v>8.4771861144891194E-15</v>
          </cell>
          <cell r="AH16">
            <v>2.3878956890406929E-2</v>
          </cell>
          <cell r="AI16">
            <v>-1.915760540881227</v>
          </cell>
        </row>
        <row r="17">
          <cell r="Y17">
            <v>40543</v>
          </cell>
          <cell r="Z17">
            <v>-4.1303004539159603E-2</v>
          </cell>
          <cell r="AA17">
            <v>-0.67840625215024497</v>
          </cell>
          <cell r="AB17">
            <v>-0.17135993149501</v>
          </cell>
          <cell r="AC17">
            <v>-0.73073948027805125</v>
          </cell>
          <cell r="AD17">
            <v>1.13560930928052E-2</v>
          </cell>
          <cell r="AE17">
            <v>-0.22157962997979899</v>
          </cell>
          <cell r="AF17">
            <v>2.9945298170541502E-17</v>
          </cell>
          <cell r="AG17">
            <v>9.4410290562619697E-15</v>
          </cell>
          <cell r="AH17">
            <v>2.3578483969014925E-2</v>
          </cell>
          <cell r="AI17">
            <v>-1.8084537213804353</v>
          </cell>
        </row>
        <row r="18">
          <cell r="Y18">
            <v>40633</v>
          </cell>
          <cell r="Z18">
            <v>-5.8766053904821799E-2</v>
          </cell>
          <cell r="AA18">
            <v>-0.51321703243347105</v>
          </cell>
          <cell r="AB18">
            <v>-0.16770908393975201</v>
          </cell>
          <cell r="AC18">
            <v>-0.61007997507121592</v>
          </cell>
          <cell r="AD18">
            <v>-1.7824100309387001E-2</v>
          </cell>
          <cell r="AE18">
            <v>-0.255698318547109</v>
          </cell>
          <cell r="AF18">
            <v>-2.6544696605558401E-16</v>
          </cell>
          <cell r="AG18">
            <v>9.6208028431271392E-15</v>
          </cell>
          <cell r="AH18">
            <v>2.328200649620257E-2</v>
          </cell>
          <cell r="AI18">
            <v>-1.600012557709545</v>
          </cell>
        </row>
        <row r="19">
          <cell r="Y19">
            <v>40724</v>
          </cell>
          <cell r="Z19">
            <v>-6.4203684109087805E-2</v>
          </cell>
          <cell r="AA19">
            <v>-0.66377755849394904</v>
          </cell>
          <cell r="AB19">
            <v>-0.26294852069524499</v>
          </cell>
          <cell r="AC19">
            <v>-0.91096044168487811</v>
          </cell>
          <cell r="AD19">
            <v>3.32736995985526E-2</v>
          </cell>
          <cell r="AE19">
            <v>-0.23838521145157801</v>
          </cell>
          <cell r="AF19">
            <v>-1.3348807338964999E-15</v>
          </cell>
          <cell r="AG19">
            <v>1.1060741227392201E-14</v>
          </cell>
          <cell r="AH19">
            <v>2.2989469440764604E-2</v>
          </cell>
          <cell r="AI19">
            <v>-2.0840122473954112</v>
          </cell>
        </row>
        <row r="20">
          <cell r="Y20">
            <v>40816</v>
          </cell>
          <cell r="Z20">
            <v>-8.6900799934183606E-2</v>
          </cell>
          <cell r="AA20">
            <v>-0.85099195434994901</v>
          </cell>
          <cell r="AB20">
            <v>-0.42649476645304502</v>
          </cell>
          <cell r="AC20">
            <v>-1.088741870778354</v>
          </cell>
          <cell r="AD20">
            <v>6.3751313247036007E-2</v>
          </cell>
          <cell r="AE20">
            <v>-0.200701991062048</v>
          </cell>
          <cell r="AF20">
            <v>-1.51064288775646E-15</v>
          </cell>
          <cell r="AG20">
            <v>1.1936811150279201E-14</v>
          </cell>
          <cell r="AH20">
            <v>2.2700818505566017E-2</v>
          </cell>
          <cell r="AI20">
            <v>-2.5673792508249669</v>
          </cell>
        </row>
        <row r="21">
          <cell r="Y21">
            <v>40908</v>
          </cell>
          <cell r="Z21">
            <v>-8.3203926639219203E-2</v>
          </cell>
          <cell r="AA21">
            <v>-0.85369932669293103</v>
          </cell>
          <cell r="AB21">
            <v>-0.40323598286951901</v>
          </cell>
          <cell r="AC21">
            <v>-1.2389028128153825</v>
          </cell>
          <cell r="AD21">
            <v>2.6030734663384E-2</v>
          </cell>
          <cell r="AE21">
            <v>-0.18104280315018001</v>
          </cell>
          <cell r="AF21">
            <v>-1.3414644586246899E-15</v>
          </cell>
          <cell r="AG21">
            <v>1.3766677851375599E-14</v>
          </cell>
          <cell r="AH21">
            <v>2.241600011957541E-2</v>
          </cell>
          <cell r="AI21">
            <v>-2.7116381173842599</v>
          </cell>
        </row>
        <row r="22">
          <cell r="Y22">
            <v>40999</v>
          </cell>
          <cell r="Z22">
            <v>-8.1138714250120703E-2</v>
          </cell>
          <cell r="AA22">
            <v>-0.83168688383171596</v>
          </cell>
          <cell r="AB22">
            <v>-0.45546684473196097</v>
          </cell>
          <cell r="AC22">
            <v>-1.0413358279677789</v>
          </cell>
          <cell r="AD22">
            <v>3.4973103966933101E-2</v>
          </cell>
          <cell r="AE22">
            <v>-0.168173296532138</v>
          </cell>
          <cell r="AF22">
            <v>-2.4848228021115301E-15</v>
          </cell>
          <cell r="AG22">
            <v>1.3954166710326999E-14</v>
          </cell>
          <cell r="AH22">
            <v>2.2134961429869513E-2</v>
          </cell>
          <cell r="AI22">
            <v>-2.5206935019169006</v>
          </cell>
        </row>
        <row r="23">
          <cell r="Y23">
            <v>41090</v>
          </cell>
          <cell r="Z23">
            <v>-8.6544570595947307E-2</v>
          </cell>
          <cell r="AA23">
            <v>-0.91228283520751197</v>
          </cell>
          <cell r="AB23">
            <v>-0.46567873466017501</v>
          </cell>
          <cell r="AC23">
            <v>-1.184875443374406</v>
          </cell>
          <cell r="AD23">
            <v>3.2918110871365598E-2</v>
          </cell>
          <cell r="AE23">
            <v>-0.16183162380209101</v>
          </cell>
          <cell r="AF23">
            <v>-2.2305881443885399E-15</v>
          </cell>
          <cell r="AG23">
            <v>1.4744143196458299E-14</v>
          </cell>
          <cell r="AH23">
            <v>2.1857650293724752E-2</v>
          </cell>
          <cell r="AI23">
            <v>-2.7564374464750285</v>
          </cell>
        </row>
        <row r="24">
          <cell r="Y24">
            <v>41182</v>
          </cell>
          <cell r="Z24">
            <v>-9.3431333735875505E-2</v>
          </cell>
          <cell r="AA24">
            <v>-0.82773010770516697</v>
          </cell>
          <cell r="AB24">
            <v>-0.50848157933904603</v>
          </cell>
          <cell r="AC24">
            <v>-1.1096792372860791</v>
          </cell>
          <cell r="AD24">
            <v>2.10232468627733E-2</v>
          </cell>
          <cell r="AE24">
            <v>-0.16779250167547</v>
          </cell>
          <cell r="AF24">
            <v>-2.2150346629327699E-15</v>
          </cell>
          <cell r="AG24">
            <v>1.5907837335826399E-14</v>
          </cell>
          <cell r="AH24">
            <v>2.158401527066648E-2</v>
          </cell>
          <cell r="AI24">
            <v>-2.6645074976081844</v>
          </cell>
        </row>
        <row r="25">
          <cell r="Y25">
            <v>41274</v>
          </cell>
          <cell r="Z25">
            <v>-8.7928026169745002E-2</v>
          </cell>
          <cell r="AA25">
            <v>-0.83546715004463301</v>
          </cell>
          <cell r="AB25">
            <v>-0.52003960568431895</v>
          </cell>
          <cell r="AC25">
            <v>-0.98769031540387664</v>
          </cell>
          <cell r="AD25">
            <v>4.4604313872376199E-2</v>
          </cell>
          <cell r="AE25">
            <v>-0.17679415136660401</v>
          </cell>
          <cell r="AF25">
            <v>-2.2146122261473598E-15</v>
          </cell>
          <cell r="AG25">
            <v>1.5774363853769001E-14</v>
          </cell>
          <cell r="AH25">
            <v>2.1314005614593352E-2</v>
          </cell>
          <cell r="AI25">
            <v>-2.5420009291821941</v>
          </cell>
        </row>
        <row r="26">
          <cell r="Y26">
            <v>41364</v>
          </cell>
          <cell r="Z26">
            <v>-0.10048847835562</v>
          </cell>
          <cell r="AA26">
            <v>-0.83427278019528905</v>
          </cell>
          <cell r="AB26">
            <v>-0.467456678300393</v>
          </cell>
          <cell r="AC26">
            <v>-1.1222142364459959</v>
          </cell>
          <cell r="AD26">
            <v>5.9427910575460201E-2</v>
          </cell>
          <cell r="AE26">
            <v>-0.16055451944788801</v>
          </cell>
          <cell r="AF26">
            <v>-2.60156423178714E-15</v>
          </cell>
          <cell r="AG26">
            <v>1.74047206256603E-14</v>
          </cell>
          <cell r="AH26">
            <v>2.1047571265922348E-2</v>
          </cell>
          <cell r="AI26">
            <v>-2.6045112109037891</v>
          </cell>
        </row>
        <row r="27">
          <cell r="Y27">
            <v>41455</v>
          </cell>
          <cell r="Z27">
            <v>-9.5000335052677701E-2</v>
          </cell>
          <cell r="AA27">
            <v>-0.81569416031677799</v>
          </cell>
          <cell r="AB27">
            <v>-0.39843797107590101</v>
          </cell>
          <cell r="AC27">
            <v>-1.0972292708273741</v>
          </cell>
          <cell r="AD27">
            <v>6.7178437172280697E-2</v>
          </cell>
          <cell r="AE27">
            <v>-0.13620928407861299</v>
          </cell>
          <cell r="AF27">
            <v>-2.3095901050375302E-15</v>
          </cell>
          <cell r="AG27">
            <v>1.8229757166513398E-14</v>
          </cell>
          <cell r="AH27">
            <v>2.078466284374797E-2</v>
          </cell>
          <cell r="AI27">
            <v>-2.4546079213352994</v>
          </cell>
        </row>
        <row r="28">
          <cell r="Y28">
            <v>41547</v>
          </cell>
          <cell r="Z28">
            <v>-9.9459504432794402E-2</v>
          </cell>
          <cell r="AA28">
            <v>-0.77734899788628598</v>
          </cell>
          <cell r="AB28">
            <v>-0.43271204947258002</v>
          </cell>
          <cell r="AC28">
            <v>-1.1397051995908891</v>
          </cell>
          <cell r="AD28">
            <v>8.8510750032914004E-2</v>
          </cell>
          <cell r="AE28">
            <v>-0.123329439230251</v>
          </cell>
          <cell r="AF28">
            <v>-3.1245184586860102E-15</v>
          </cell>
          <cell r="AG28">
            <v>1.95100390744406E-14</v>
          </cell>
          <cell r="AH28">
            <v>2.0525231638067014E-2</v>
          </cell>
          <cell r="AI28">
            <v>-2.4635192089418028</v>
          </cell>
        </row>
        <row r="29">
          <cell r="Y29">
            <v>41639</v>
          </cell>
          <cell r="Z29">
            <v>-0.11045848026907</v>
          </cell>
          <cell r="AA29">
            <v>-0.76365399612470897</v>
          </cell>
          <cell r="AB29">
            <v>-0.38715663446493698</v>
          </cell>
          <cell r="AC29">
            <v>-1.1869692436617501</v>
          </cell>
          <cell r="AD29">
            <v>8.55751031330238E-2</v>
          </cell>
          <cell r="AE29">
            <v>-0.12257446400395899</v>
          </cell>
          <cell r="AF29">
            <v>-3.6928666610898597E-15</v>
          </cell>
          <cell r="AG29">
            <v>2.0401116122654499E-14</v>
          </cell>
          <cell r="AH29">
            <v>2.0269229602009463E-2</v>
          </cell>
          <cell r="AI29">
            <v>-2.4649684857893752</v>
          </cell>
        </row>
        <row r="30">
          <cell r="Y30">
            <v>41729</v>
          </cell>
          <cell r="Z30">
            <v>-0.12407675743687099</v>
          </cell>
          <cell r="AA30">
            <v>-0.72984968092035296</v>
          </cell>
          <cell r="AB30">
            <v>-0.39725795766882199</v>
          </cell>
          <cell r="AC30">
            <v>-1.0976597120325859</v>
          </cell>
          <cell r="AD30">
            <v>9.2730713974741599E-2</v>
          </cell>
          <cell r="AE30">
            <v>-0.115147705275277</v>
          </cell>
          <cell r="AF30">
            <v>-3.25020582270169E-15</v>
          </cell>
          <cell r="AG30">
            <v>2.06148900568879E-14</v>
          </cell>
          <cell r="AH30">
            <v>2.0016609344117347E-2</v>
          </cell>
          <cell r="AI30">
            <v>-2.3512444900150329</v>
          </cell>
        </row>
        <row r="31">
          <cell r="Y31">
            <v>41820</v>
          </cell>
          <cell r="Z31">
            <v>-0.11765066591697</v>
          </cell>
          <cell r="AA31">
            <v>-0.74516318341305898</v>
          </cell>
          <cell r="AB31">
            <v>-0.376128980011809</v>
          </cell>
          <cell r="AC31">
            <v>-1.122162629539925</v>
          </cell>
          <cell r="AD31">
            <v>9.8668435884457603E-2</v>
          </cell>
          <cell r="AE31">
            <v>-9.5589872912087398E-2</v>
          </cell>
          <cell r="AF31">
            <v>-4.1044178198248501E-15</v>
          </cell>
          <cell r="AG31">
            <v>2.19055508323665E-14</v>
          </cell>
          <cell r="AH31">
            <v>1.9767324120682453E-2</v>
          </cell>
          <cell r="AI31">
            <v>-2.3382595717886927</v>
          </cell>
        </row>
        <row r="32">
          <cell r="Y32">
            <v>41912</v>
          </cell>
          <cell r="Z32">
            <v>-0.122205790077314</v>
          </cell>
          <cell r="AA32">
            <v>-0.79292065503802001</v>
          </cell>
          <cell r="AB32">
            <v>-0.36058546645293399</v>
          </cell>
          <cell r="AC32">
            <v>-1.120717187645379</v>
          </cell>
          <cell r="AD32">
            <v>8.7895204086533299E-2</v>
          </cell>
          <cell r="AE32">
            <v>-7.8805676771005306E-2</v>
          </cell>
          <cell r="AF32">
            <v>-4.3259702029358401E-15</v>
          </cell>
          <cell r="AG32">
            <v>2.2851239009496301E-14</v>
          </cell>
          <cell r="AH32">
            <v>1.952132782808081E-2</v>
          </cell>
          <cell r="AI32">
            <v>-2.36781824407002</v>
          </cell>
        </row>
        <row r="33">
          <cell r="Y33">
            <v>42004</v>
          </cell>
          <cell r="Z33">
            <v>-0.12684931984071601</v>
          </cell>
          <cell r="AA33">
            <v>-0.88704236973166894</v>
          </cell>
          <cell r="AB33">
            <v>-0.39777607549070698</v>
          </cell>
          <cell r="AC33">
            <v>-1.0615917340602941</v>
          </cell>
          <cell r="AD33">
            <v>4.81651994883113E-2</v>
          </cell>
          <cell r="AE33">
            <v>-6.6108421019990704E-2</v>
          </cell>
          <cell r="AF33">
            <v>-3.8045495914073499E-15</v>
          </cell>
          <cell r="AG33">
            <v>2.33589691384261E-14</v>
          </cell>
          <cell r="AH33">
            <v>1.9278574995197209E-2</v>
          </cell>
          <cell r="AI33">
            <v>-2.4719241456598486</v>
          </cell>
        </row>
        <row r="34">
          <cell r="Y34">
            <v>42094</v>
          </cell>
          <cell r="Z34">
            <v>-0.123198816062282</v>
          </cell>
          <cell r="AA34">
            <v>-0.95276737021667901</v>
          </cell>
          <cell r="AB34">
            <v>-0.42348341441113402</v>
          </cell>
          <cell r="AC34">
            <v>-0.98248228688612704</v>
          </cell>
          <cell r="AD34">
            <v>4.2675092088514797E-2</v>
          </cell>
          <cell r="AE34">
            <v>-4.9090149813096298E-2</v>
          </cell>
          <cell r="AF34">
            <v>-3.16563916966231E-15</v>
          </cell>
          <cell r="AG34">
            <v>2.3591558580295401E-14</v>
          </cell>
          <cell r="AH34">
            <v>1.9039020775849819E-2</v>
          </cell>
          <cell r="AI34">
            <v>-2.4693079245249332</v>
          </cell>
        </row>
        <row r="35">
          <cell r="Y35">
            <v>42185</v>
          </cell>
          <cell r="Z35">
            <v>-0.12668424897153499</v>
          </cell>
          <cell r="AA35">
            <v>-0.97219316774667297</v>
          </cell>
          <cell r="AB35">
            <v>-0.40195218199766602</v>
          </cell>
          <cell r="AC35">
            <v>-0.90446636291143401</v>
          </cell>
          <cell r="AD35">
            <v>3.1196392626740999E-2</v>
          </cell>
          <cell r="AE35">
            <v>-4.0533219287402597E-2</v>
          </cell>
          <cell r="AF35">
            <v>-4.4773785621788903E-15</v>
          </cell>
          <cell r="AG35">
            <v>2.3974305600054601E-14</v>
          </cell>
          <cell r="AH35">
            <v>1.8802620941308638E-2</v>
          </cell>
          <cell r="AI35">
            <v>-2.3958301673466416</v>
          </cell>
        </row>
        <row r="36">
          <cell r="Y36">
            <v>42277</v>
          </cell>
          <cell r="Z36">
            <v>-0.13477040855068201</v>
          </cell>
          <cell r="AA36">
            <v>-1.11634732833506</v>
          </cell>
          <cell r="AB36">
            <v>-0.442634854941513</v>
          </cell>
          <cell r="AC36">
            <v>-0.91735858171848694</v>
          </cell>
          <cell r="AD36">
            <v>1.2887355722566199E-2</v>
          </cell>
          <cell r="AE36">
            <v>-1.98997430648617E-2</v>
          </cell>
          <cell r="AF36">
            <v>-4.1984328628498603E-15</v>
          </cell>
          <cell r="AG36">
            <v>2.4475179376844001E-14</v>
          </cell>
          <cell r="AH36">
            <v>1.8569331872809482E-2</v>
          </cell>
          <cell r="AI36">
            <v>-2.5995542290152076</v>
          </cell>
        </row>
        <row r="37">
          <cell r="Y37">
            <v>42369</v>
          </cell>
          <cell r="Z37">
            <v>-0.133004716171574</v>
          </cell>
          <cell r="AA37">
            <v>-1.1033280133183101</v>
          </cell>
          <cell r="AB37">
            <v>-0.45807815884756897</v>
          </cell>
          <cell r="AC37">
            <v>-0.90141664316708803</v>
          </cell>
          <cell r="AD37">
            <v>-9.8239354586208295E-3</v>
          </cell>
          <cell r="AE37">
            <v>-1.2177543419582101E-2</v>
          </cell>
          <cell r="AF37">
            <v>-3.8171753544476604E-15</v>
          </cell>
          <cell r="AG37">
            <v>2.5278088427139501E-14</v>
          </cell>
          <cell r="AH37">
            <v>1.8339110554141152E-2</v>
          </cell>
          <cell r="AI37">
            <v>-2.5994898998285811</v>
          </cell>
        </row>
        <row r="38">
          <cell r="Y38">
            <v>42460</v>
          </cell>
          <cell r="Z38">
            <v>-0.13194735417491199</v>
          </cell>
          <cell r="AA38">
            <v>-1.2599329042393499</v>
          </cell>
          <cell r="AB38">
            <v>-0.46526367204682401</v>
          </cell>
          <cell r="AC38">
            <v>-0.88201065201247797</v>
          </cell>
          <cell r="AD38">
            <v>-2.2938741565291399E-2</v>
          </cell>
          <cell r="AE38">
            <v>-1.07475694808329E-2</v>
          </cell>
          <cell r="AF38">
            <v>-4.0936819320477097E-15</v>
          </cell>
          <cell r="AG38">
            <v>2.5950379497952499E-14</v>
          </cell>
          <cell r="AH38">
            <v>1.8111914564291721E-2</v>
          </cell>
          <cell r="AI38">
            <v>-2.7547289789553746</v>
          </cell>
        </row>
        <row r="39">
          <cell r="Y39">
            <v>42551</v>
          </cell>
          <cell r="Z39">
            <v>-0.14498140937162601</v>
          </cell>
          <cell r="AA39">
            <v>-1.12437643140966</v>
          </cell>
          <cell r="AB39">
            <v>-0.428891193222874</v>
          </cell>
          <cell r="AC39">
            <v>-0.87615761412619109</v>
          </cell>
          <cell r="AD39">
            <v>1.52694929428106E-2</v>
          </cell>
          <cell r="AE39">
            <v>-1.9302232362252002E-2</v>
          </cell>
          <cell r="AF39">
            <v>-5.5993200431517601E-15</v>
          </cell>
          <cell r="AG39">
            <v>2.6751144559874999E-14</v>
          </cell>
          <cell r="AH39">
            <v>1.7887702070112959E-2</v>
          </cell>
          <cell r="AI39">
            <v>-2.5605516854796582</v>
          </cell>
        </row>
        <row r="40">
          <cell r="Y40">
            <v>42643</v>
          </cell>
          <cell r="Z40">
            <v>-0.14639908930706599</v>
          </cell>
          <cell r="AA40">
            <v>-1.0832642945775699</v>
          </cell>
          <cell r="AB40">
            <v>-0.384407744894182</v>
          </cell>
          <cell r="AC40">
            <v>-0.86462818276375397</v>
          </cell>
          <cell r="AD40">
            <v>2.4889234861636599E-2</v>
          </cell>
          <cell r="AE40">
            <v>-1.8614333216942301E-2</v>
          </cell>
          <cell r="AF40">
            <v>-5.3593155067733401E-15</v>
          </cell>
          <cell r="AG40">
            <v>2.75396532514738E-14</v>
          </cell>
          <cell r="AH40">
            <v>1.7666431819080914E-2</v>
          </cell>
          <cell r="AI40">
            <v>-2.4547579780787743</v>
          </cell>
        </row>
        <row r="41">
          <cell r="Y41">
            <v>42735</v>
          </cell>
          <cell r="Z41">
            <v>-0.14880179390116</v>
          </cell>
          <cell r="AA41">
            <v>-0.93414742720614596</v>
          </cell>
          <cell r="AB41">
            <v>-0.32365282323799499</v>
          </cell>
          <cell r="AC41">
            <v>-0.83927801338526908</v>
          </cell>
          <cell r="AD41">
            <v>4.0817602844639103E-2</v>
          </cell>
          <cell r="AE41">
            <v>-1.2550744105492199E-2</v>
          </cell>
          <cell r="AF41">
            <v>-5.4778526988335303E-15</v>
          </cell>
          <cell r="AG41">
            <v>2.804191438763E-14</v>
          </cell>
          <cell r="AH41">
            <v>1.7448063132052258E-2</v>
          </cell>
          <cell r="AI41">
            <v>-2.2001651358593484</v>
          </cell>
        </row>
        <row r="42">
          <cell r="Y42">
            <v>42825</v>
          </cell>
          <cell r="Z42">
            <v>-0.155620411539487</v>
          </cell>
          <cell r="AA42">
            <v>-0.83224877818954501</v>
          </cell>
          <cell r="AB42">
            <v>-0.30069155474305698</v>
          </cell>
          <cell r="AC42">
            <v>-0.81488493968489095</v>
          </cell>
          <cell r="AD42">
            <v>3.8768377305605901E-2</v>
          </cell>
          <cell r="AE42">
            <v>-2.2688969379257198E-2</v>
          </cell>
          <cell r="AF42">
            <v>-5.8293455364732001E-15</v>
          </cell>
          <cell r="AG42">
            <v>2.8492063724448899E-14</v>
          </cell>
          <cell r="AH42">
            <v>1.7232555896125459E-2</v>
          </cell>
          <cell r="AI42">
            <v>-2.070133720334483</v>
          </cell>
        </row>
        <row r="43">
          <cell r="Y43">
            <v>42916</v>
          </cell>
          <cell r="Z43">
            <v>-0.15174884053153301</v>
          </cell>
          <cell r="AA43">
            <v>-0.79859986214712597</v>
          </cell>
          <cell r="AB43">
            <v>-0.31058661660043202</v>
          </cell>
          <cell r="AC43">
            <v>-0.80950697283804707</v>
          </cell>
          <cell r="AD43">
            <v>4.3764540903195898E-2</v>
          </cell>
          <cell r="AE43">
            <v>-1.34972037312406E-2</v>
          </cell>
          <cell r="AF43">
            <v>-5.3166670514298398E-15</v>
          </cell>
          <cell r="AG43">
            <v>2.9042770837043502E-14</v>
          </cell>
          <cell r="AH43">
            <v>1.7019870557520193E-2</v>
          </cell>
          <cell r="AI43">
            <v>-2.0231550843876391</v>
          </cell>
        </row>
        <row r="44">
          <cell r="Y44">
            <v>43008</v>
          </cell>
          <cell r="Z44">
            <v>-0.15236736903801101</v>
          </cell>
          <cell r="AA44">
            <v>-0.71677423421539199</v>
          </cell>
          <cell r="AB44">
            <v>-0.32079100944390998</v>
          </cell>
          <cell r="AC44">
            <v>-0.72318889371524997</v>
          </cell>
          <cell r="AD44">
            <v>3.5917425815295098E-2</v>
          </cell>
          <cell r="AE44">
            <v>-1.7774060727591402E-2</v>
          </cell>
          <cell r="AF44">
            <v>-5.4386195983887604E-15</v>
          </cell>
          <cell r="AG44">
            <v>2.9306772659770202E-14</v>
          </cell>
          <cell r="AH44">
            <v>1.6809968114530793E-2</v>
          </cell>
          <cell r="AI44">
            <v>-1.8781681732103044</v>
          </cell>
        </row>
        <row r="45">
          <cell r="Y45">
            <v>43100</v>
          </cell>
          <cell r="Z45">
            <v>-0.15811855472518099</v>
          </cell>
          <cell r="AA45">
            <v>-0.62396588878066295</v>
          </cell>
          <cell r="AB45">
            <v>-0.34195585541617102</v>
          </cell>
          <cell r="AC45">
            <v>-0.66232093251957402</v>
          </cell>
          <cell r="AD45">
            <v>4.3094342964824797E-2</v>
          </cell>
          <cell r="AE45">
            <v>-3.8975879756323198E-3</v>
          </cell>
          <cell r="AF45">
            <v>-6.0128059019120702E-15</v>
          </cell>
          <cell r="AG45">
            <v>2.9480340649216501E-14</v>
          </cell>
          <cell r="AH45">
            <v>1.660281011053295E-2</v>
          </cell>
          <cell r="AI45">
            <v>-1.7305616663418402</v>
          </cell>
        </row>
        <row r="46">
          <cell r="Y46">
            <v>43190</v>
          </cell>
          <cell r="Z46">
            <v>-0.15894250476521901</v>
          </cell>
          <cell r="AA46">
            <v>-0.53588973528596895</v>
          </cell>
          <cell r="AB46">
            <v>-0.34233077060443001</v>
          </cell>
          <cell r="AC46">
            <v>-0.65259652621867803</v>
          </cell>
          <cell r="AD46">
            <v>4.2305393891680601E-2</v>
          </cell>
          <cell r="AE46">
            <v>1.2906096117853E-3</v>
          </cell>
          <cell r="AF46">
            <v>-6.8795978121033899E-15</v>
          </cell>
          <cell r="AG46">
            <v>2.9965207693004399E-14</v>
          </cell>
          <cell r="AH46">
            <v>1.6398358627036872E-2</v>
          </cell>
          <cell r="AI46">
            <v>-1.6297651747437703</v>
          </cell>
        </row>
        <row r="47">
          <cell r="Y47">
            <v>43281</v>
          </cell>
          <cell r="Z47">
            <v>-0.154505222129946</v>
          </cell>
          <cell r="AA47">
            <v>-0.58714840279428504</v>
          </cell>
          <cell r="AB47">
            <v>-0.3619735452981</v>
          </cell>
          <cell r="AC47">
            <v>-0.71045933342201695</v>
          </cell>
          <cell r="AD47">
            <v>2.6059590782198699E-2</v>
          </cell>
          <cell r="AE47">
            <v>8.3035309344911892E-3</v>
          </cell>
          <cell r="AF47">
            <v>-7.2918554582758705E-15</v>
          </cell>
          <cell r="AG47">
            <v>3.0636010615200998E-14</v>
          </cell>
          <cell r="AH47">
            <v>1.6196576276807099E-2</v>
          </cell>
          <cell r="AI47">
            <v>-1.7635268056508278</v>
          </cell>
        </row>
        <row r="48">
          <cell r="Y48">
            <v>43373</v>
          </cell>
          <cell r="Z48">
            <v>-0.146252175261569</v>
          </cell>
          <cell r="AA48">
            <v>-0.56143841932122895</v>
          </cell>
          <cell r="AB48">
            <v>-0.378408071559379</v>
          </cell>
          <cell r="AC48">
            <v>-0.67311331205241098</v>
          </cell>
          <cell r="AD48">
            <v>1.1674742600136E-2</v>
          </cell>
          <cell r="AE48">
            <v>7.2541151139920599E-3</v>
          </cell>
          <cell r="AF48">
            <v>-6.73147316395779E-15</v>
          </cell>
          <cell r="AG48">
            <v>3.1091450751650899E-14</v>
          </cell>
          <cell r="AH48">
            <v>1.5997426197029967E-2</v>
          </cell>
          <cell r="AI48">
            <v>-1.7242856942834057</v>
          </cell>
        </row>
        <row r="49">
          <cell r="Y49">
            <v>43465</v>
          </cell>
          <cell r="Z49">
            <v>-0.14174911758501199</v>
          </cell>
          <cell r="AA49">
            <v>-0.61139699285145899</v>
          </cell>
          <cell r="AB49">
            <v>-0.42936541839826098</v>
          </cell>
          <cell r="AC49">
            <v>-0.68324357876195596</v>
          </cell>
          <cell r="AD49">
            <v>-1.1751911728982299E-3</v>
          </cell>
          <cell r="AE49">
            <v>1.0430946135317601E-2</v>
          </cell>
          <cell r="AF49">
            <v>-7.1383372622096306E-15</v>
          </cell>
          <cell r="AG49">
            <v>3.17374978587907E-14</v>
          </cell>
          <cell r="AH49">
            <v>1.5800872042561417E-2</v>
          </cell>
          <cell r="AI49">
            <v>-1.8406984805916826</v>
          </cell>
        </row>
        <row r="50">
          <cell r="Y50">
            <v>43555</v>
          </cell>
          <cell r="Z50">
            <v>-0.127167986116826</v>
          </cell>
          <cell r="AA50">
            <v>-0.65580593873903803</v>
          </cell>
          <cell r="AB50">
            <v>-0.503168187816739</v>
          </cell>
          <cell r="AC50">
            <v>-0.64794068647212899</v>
          </cell>
          <cell r="AD50">
            <v>-3.6156992360162499E-3</v>
          </cell>
          <cell r="AE50">
            <v>1.9369290333258401E-2</v>
          </cell>
          <cell r="AF50">
            <v>-6.7045645061351797E-15</v>
          </cell>
          <cell r="AG50">
            <v>3.1345214412574699E-14</v>
          </cell>
          <cell r="AH50">
            <v>1.5606877979198953E-2</v>
          </cell>
          <cell r="AI50">
            <v>-1.9027223300682667</v>
          </cell>
        </row>
        <row r="51">
          <cell r="Y51">
            <v>43646</v>
          </cell>
          <cell r="Z51">
            <v>-0.14356819057544701</v>
          </cell>
          <cell r="AA51">
            <v>-0.67390626051545099</v>
          </cell>
          <cell r="AB51">
            <v>-0.51262041959164695</v>
          </cell>
          <cell r="AC51">
            <v>-0.72998640719088592</v>
          </cell>
          <cell r="AD51">
            <v>8.8174179537818705E-3</v>
          </cell>
          <cell r="AE51">
            <v>1.7581890223256201E-2</v>
          </cell>
          <cell r="AF51">
            <v>-7.1702808043328304E-15</v>
          </cell>
          <cell r="AG51">
            <v>3.1919387436701401E-14</v>
          </cell>
          <cell r="AH51">
            <v>1.5415408677053983E-2</v>
          </cell>
          <cell r="AI51">
            <v>-2.0182665610193142</v>
          </cell>
        </row>
        <row r="52">
          <cell r="Y52">
            <v>43738</v>
          </cell>
          <cell r="Z52">
            <v>-0.14360995690214901</v>
          </cell>
          <cell r="AA52">
            <v>-0.67461405975975197</v>
          </cell>
          <cell r="AB52">
            <v>-0.51710266353459899</v>
          </cell>
          <cell r="AC52">
            <v>-0.78282167287874294</v>
          </cell>
          <cell r="AD52">
            <v>-1.1335063944641399E-2</v>
          </cell>
          <cell r="AE52">
            <v>-7.7129502157431097E-3</v>
          </cell>
          <cell r="AF52">
            <v>-7.0854510106694004E-15</v>
          </cell>
          <cell r="AG52">
            <v>3.2601781178525902E-14</v>
          </cell>
          <cell r="AH52">
            <v>1.5226429303944834E-2</v>
          </cell>
          <cell r="AI52">
            <v>-2.1219699379316572</v>
          </cell>
        </row>
        <row r="53">
          <cell r="Y53">
            <v>43830</v>
          </cell>
          <cell r="Z53">
            <v>-0.135974576005187</v>
          </cell>
          <cell r="AA53">
            <v>-0.61580943525124399</v>
          </cell>
          <cell r="AB53">
            <v>-0.53133953832335901</v>
          </cell>
          <cell r="AC53">
            <v>-0.69673650296939904</v>
          </cell>
          <cell r="AD53">
            <v>-3.6812328347410897E-2</v>
          </cell>
          <cell r="AE53">
            <v>-3.3923690741129997E-2</v>
          </cell>
          <cell r="AF53">
            <v>-6.8489265443147202E-15</v>
          </cell>
          <cell r="AG53">
            <v>3.2468454578501603E-14</v>
          </cell>
          <cell r="AH53">
            <v>1.5039905518872312E-2</v>
          </cell>
          <cell r="AI53">
            <v>-2.0355561661188322</v>
          </cell>
        </row>
        <row r="54">
          <cell r="Y54">
            <v>43921</v>
          </cell>
          <cell r="Z54">
            <v>-0.14070548318876799</v>
          </cell>
          <cell r="AA54">
            <v>-0.82818985368917697</v>
          </cell>
          <cell r="AB54">
            <v>-0.65634565566833103</v>
          </cell>
          <cell r="AC54">
            <v>-0.75372334597381008</v>
          </cell>
          <cell r="AD54">
            <v>-4.3387879872656E-2</v>
          </cell>
          <cell r="AE54">
            <v>-4.4550044338998E-2</v>
          </cell>
          <cell r="AF54">
            <v>-7.1425610309918408E-15</v>
          </cell>
          <cell r="AG54">
            <v>3.24591065324231E-14</v>
          </cell>
          <cell r="AH54">
            <v>1.4855803465555942E-2</v>
          </cell>
          <cell r="AI54">
            <v>-2.4520464592661586</v>
          </cell>
        </row>
        <row r="55">
          <cell r="Y55">
            <v>44012</v>
          </cell>
          <cell r="Z55">
            <v>-0.14597519741200499</v>
          </cell>
          <cell r="AA55">
            <v>-0.89960537957736797</v>
          </cell>
          <cell r="AB55">
            <v>-0.71173025959106195</v>
          </cell>
          <cell r="AC55">
            <v>-0.74204654744163301</v>
          </cell>
          <cell r="AD55">
            <v>-4.1064196067013198E-2</v>
          </cell>
          <cell r="AE55">
            <v>1.3759978528344799E-2</v>
          </cell>
          <cell r="AF55">
            <v>-4.5013732369686302E-15</v>
          </cell>
          <cell r="AG55">
            <v>3.2212548942759802E-14</v>
          </cell>
          <cell r="AH55">
            <v>1.467408976603489E-2</v>
          </cell>
          <cell r="AI55">
            <v>-2.5119875117946733</v>
          </cell>
        </row>
        <row r="56">
          <cell r="Y56">
            <v>44104</v>
          </cell>
          <cell r="Z56">
            <v>-0.15723250297962801</v>
          </cell>
          <cell r="AA56">
            <v>-0.76223677357929298</v>
          </cell>
          <cell r="AB56">
            <v>-0.756876861060503</v>
          </cell>
          <cell r="AC56">
            <v>-0.58645163974341796</v>
          </cell>
          <cell r="AD56">
            <v>6.6234981521532598E-3</v>
          </cell>
          <cell r="AE56">
            <v>-2.1867603732011799E-3</v>
          </cell>
          <cell r="AF56">
            <v>-7.6421999786640398E-15</v>
          </cell>
          <cell r="AG56">
            <v>3.21265570237615E-14</v>
          </cell>
          <cell r="AH56">
            <v>1.4494731514298607E-2</v>
          </cell>
          <cell r="AI56">
            <v>-2.2438663080695673</v>
          </cell>
        </row>
        <row r="57">
          <cell r="Y57">
            <v>44196</v>
          </cell>
          <cell r="Z57">
            <v>-0.14900861625697101</v>
          </cell>
          <cell r="AA57">
            <v>-0.67657394850098895</v>
          </cell>
          <cell r="AB57">
            <v>-0.79308256715760805</v>
          </cell>
          <cell r="AC57">
            <v>-0.672036825693757</v>
          </cell>
          <cell r="AD57">
            <v>4.4418893885012703E-2</v>
          </cell>
          <cell r="AE57">
            <v>1.8677991794626599E-2</v>
          </cell>
          <cell r="AF57">
            <v>-7.3952964073849608E-15</v>
          </cell>
          <cell r="AG57">
            <v>3.1341951615385499E-14</v>
          </cell>
          <cell r="AH57">
            <v>1.4317696270032647E-2</v>
          </cell>
          <cell r="AI57">
            <v>-2.2132873756596294</v>
          </cell>
        </row>
        <row r="58">
          <cell r="Y58">
            <v>44286</v>
          </cell>
          <cell r="Z58">
            <v>-0.17723473717681201</v>
          </cell>
          <cell r="AA58">
            <v>-0.54943673284987704</v>
          </cell>
          <cell r="AB58">
            <v>-0.69420756494740299</v>
          </cell>
          <cell r="AC58">
            <v>-0.62891989981709706</v>
          </cell>
          <cell r="AD58">
            <v>-9.4263462583822101E-4</v>
          </cell>
          <cell r="AE58">
            <v>-2.8450032999036399E-2</v>
          </cell>
          <cell r="AF58">
            <v>-9.8280855959158793E-15</v>
          </cell>
          <cell r="AG58">
            <v>3.1660426578401998E-14</v>
          </cell>
          <cell r="AH58">
            <v>1.4142952052361145E-2</v>
          </cell>
          <cell r="AI58">
            <v>-2.0650486503636811</v>
          </cell>
        </row>
        <row r="59">
          <cell r="Y59">
            <v>44377</v>
          </cell>
          <cell r="Z59">
            <v>-0.21742854947951701</v>
          </cell>
          <cell r="AA59">
            <v>-0.49451860889835803</v>
          </cell>
          <cell r="AB59">
            <v>-0.66875265851152899</v>
          </cell>
          <cell r="AC59">
            <v>-0.56124907435742499</v>
          </cell>
          <cell r="AD59">
            <v>-6.5658593233314702E-2</v>
          </cell>
          <cell r="AE59">
            <v>-7.1922955562220003E-2</v>
          </cell>
          <cell r="AF59">
            <v>-1.3036399749259299E-14</v>
          </cell>
          <cell r="AG59">
            <v>3.15830022601922E-14</v>
          </cell>
          <cell r="AH59">
            <v>1.3970467333718093E-2</v>
          </cell>
          <cell r="AI59">
            <v>-2.0655599727086269</v>
          </cell>
        </row>
        <row r="60">
          <cell r="Y60">
            <v>44469</v>
          </cell>
          <cell r="Z60">
            <v>-0.20354087391530101</v>
          </cell>
          <cell r="AA60">
            <v>-0.357021753687077</v>
          </cell>
          <cell r="AB60">
            <v>-0.49208540065170803</v>
          </cell>
          <cell r="AC60">
            <v>-0.56954847186452695</v>
          </cell>
          <cell r="AD60">
            <v>-4.3690376227012502E-2</v>
          </cell>
          <cell r="AE60">
            <v>-9.0928797707925096E-3</v>
          </cell>
          <cell r="AF60">
            <v>-1.44572534728109E-14</v>
          </cell>
          <cell r="AG60">
            <v>3.1756248562054997E-14</v>
          </cell>
          <cell r="AH60">
            <v>1.380021103372584E-2</v>
          </cell>
          <cell r="AI60">
            <v>-1.661179545082675</v>
          </cell>
        </row>
        <row r="61">
          <cell r="Y61">
            <v>44561</v>
          </cell>
          <cell r="Z61">
            <v>-0.18437691906169901</v>
          </cell>
          <cell r="AA61">
            <v>-0.40926937205261998</v>
          </cell>
          <cell r="AB61">
            <v>-0.49051648935910103</v>
          </cell>
          <cell r="AC61">
            <v>-0.67048084740589198</v>
          </cell>
          <cell r="AD61">
            <v>-5.8323422634952403E-2</v>
          </cell>
          <cell r="AE61">
            <v>-1.2267871401191E-2</v>
          </cell>
          <cell r="AF61">
            <v>-1.6071938190224899E-14</v>
          </cell>
          <cell r="AG61">
            <v>3.20289125928848E-14</v>
          </cell>
          <cell r="AH61">
            <v>1.3632152513204146E-2</v>
          </cell>
          <cell r="AI61">
            <v>-1.8116027694022352</v>
          </cell>
        </row>
        <row r="62">
          <cell r="Y62">
            <v>44651</v>
          </cell>
          <cell r="Z62">
            <v>-0.182100768215638</v>
          </cell>
          <cell r="AA62">
            <v>-0.50853150992892704</v>
          </cell>
          <cell r="AB62">
            <v>-0.38741366169684799</v>
          </cell>
          <cell r="AC62">
            <v>-0.69199188579696502</v>
          </cell>
          <cell r="AD62">
            <v>-1.8182181828015599E-2</v>
          </cell>
          <cell r="AE62">
            <v>7.6834077820794697E-2</v>
          </cell>
          <cell r="AF62">
            <v>-1.84761899386877E-14</v>
          </cell>
          <cell r="AG62">
            <v>3.3038815873052397E-14</v>
          </cell>
          <cell r="AH62">
            <v>1.3466261568131271E-2</v>
          </cell>
          <cell r="AI62">
            <v>-1.6979196680774529</v>
          </cell>
        </row>
        <row r="63">
          <cell r="Y63">
            <v>44742</v>
          </cell>
          <cell r="Z63">
            <v>-0.18647299575634599</v>
          </cell>
          <cell r="AA63">
            <v>-0.28091443540622302</v>
          </cell>
          <cell r="AB63">
            <v>-6.33510770980657E-2</v>
          </cell>
          <cell r="AC63">
            <v>-0.73489057729384299</v>
          </cell>
          <cell r="AD63">
            <v>-5.5865439249847798E-2</v>
          </cell>
          <cell r="AE63">
            <v>0.13347880608198201</v>
          </cell>
          <cell r="AF63">
            <v>-2.0291502401997101E-14</v>
          </cell>
          <cell r="AG63">
            <v>3.4708802506276299E-14</v>
          </cell>
          <cell r="AH63">
            <v>1.3302508423788122E-2</v>
          </cell>
          <cell r="AI63">
            <v>-1.1747132102985409</v>
          </cell>
        </row>
        <row r="64">
          <cell r="Y64">
            <v>44834</v>
          </cell>
          <cell r="Z64">
            <v>-0.17668812436853101</v>
          </cell>
          <cell r="AA64">
            <v>-0.29000435859491802</v>
          </cell>
          <cell r="AB64">
            <v>-3.86112704935231E-2</v>
          </cell>
          <cell r="AC64">
            <v>-0.79526525271300497</v>
          </cell>
          <cell r="AD64">
            <v>-7.6108775763447503E-2</v>
          </cell>
          <cell r="AE64">
            <v>0.13402580236141701</v>
          </cell>
          <cell r="AF64">
            <v>-2.0391414134976199E-14</v>
          </cell>
          <cell r="AG64">
            <v>3.53663045251247E-14</v>
          </cell>
          <cell r="AH64">
            <v>1.3140863728888173E-2</v>
          </cell>
          <cell r="AI64">
            <v>-1.2295111158431047</v>
          </cell>
        </row>
        <row r="65">
          <cell r="Y65">
            <v>44926</v>
          </cell>
          <cell r="Z65">
            <v>-0.177210965600924</v>
          </cell>
          <cell r="AA65">
            <v>-0.171490970456812</v>
          </cell>
          <cell r="AB65">
            <v>0.15090416471766099</v>
          </cell>
          <cell r="AC65">
            <v>-0.83020818424660603</v>
          </cell>
          <cell r="AD65">
            <v>-8.5434899795986702E-2</v>
          </cell>
          <cell r="AE65">
            <v>0.16408172052063699</v>
          </cell>
          <cell r="AF65">
            <v>-2.1164890859327999E-14</v>
          </cell>
          <cell r="AG65">
            <v>3.6583290247098298E-14</v>
          </cell>
          <cell r="AH65">
            <v>1.2981298549793159E-2</v>
          </cell>
          <cell r="AI65">
            <v>-0.93637783631222227</v>
          </cell>
        </row>
        <row r="66">
          <cell r="Y66">
            <v>45016</v>
          </cell>
          <cell r="Z66">
            <v>-0.177323933130202</v>
          </cell>
          <cell r="AA66">
            <v>-0.15413710853983001</v>
          </cell>
          <cell r="AB66">
            <v>0.18346758395021501</v>
          </cell>
          <cell r="AC66">
            <v>-0.45288331177883601</v>
          </cell>
          <cell r="AD66">
            <v>-7.1398242008570798E-2</v>
          </cell>
          <cell r="AE66">
            <v>0.183760012509363</v>
          </cell>
          <cell r="AF66">
            <v>-2.2137445958048002E-14</v>
          </cell>
          <cell r="AG66">
            <v>3.7595622885945201E-14</v>
          </cell>
          <cell r="AH66">
            <v>1.2823784364793396E-2</v>
          </cell>
          <cell r="AI66">
            <v>-0.47569121463305192</v>
          </cell>
        </row>
        <row r="67">
          <cell r="Y67">
            <v>45107</v>
          </cell>
          <cell r="Z67">
            <v>-0.18290673431329299</v>
          </cell>
          <cell r="AA67">
            <v>-0.17310101550182999</v>
          </cell>
          <cell r="AB67">
            <v>0.232561079504427</v>
          </cell>
          <cell r="AC67">
            <v>-0.50497308092113402</v>
          </cell>
          <cell r="AD67">
            <v>-3.4379977701879803E-2</v>
          </cell>
          <cell r="AE67">
            <v>0.207891588927512</v>
          </cell>
          <cell r="AF67">
            <v>-2.1880191541809701E-14</v>
          </cell>
          <cell r="AG67">
            <v>3.8086657234101801E-14</v>
          </cell>
          <cell r="AH67">
            <v>1.26682930584572E-2</v>
          </cell>
          <cell r="AI67">
            <v>-0.44223984694772434</v>
          </cell>
        </row>
        <row r="68">
          <cell r="Y68">
            <v>45199</v>
          </cell>
          <cell r="Z68">
            <v>-0.17327065089414501</v>
          </cell>
          <cell r="AA68">
            <v>2.76898209863315E-2</v>
          </cell>
          <cell r="AB68">
            <v>0.38188857174816698</v>
          </cell>
          <cell r="AC68">
            <v>-0.38605859299916101</v>
          </cell>
          <cell r="AD68">
            <v>-5.2776747097178701E-2</v>
          </cell>
          <cell r="AE68">
            <v>0.192397938057358</v>
          </cell>
          <cell r="AF68">
            <v>-2.17227009755139E-14</v>
          </cell>
          <cell r="AG68">
            <v>3.8660207282593803E-14</v>
          </cell>
          <cell r="AH68">
            <v>1.2514796916020678E-2</v>
          </cell>
          <cell r="AI68">
            <v>2.3851367174093779E-3</v>
          </cell>
        </row>
        <row r="69">
          <cell r="Y69">
            <v>45291</v>
          </cell>
          <cell r="Z69">
            <v>-0.173017359007167</v>
          </cell>
          <cell r="AA69">
            <v>1.28054676815732E-2</v>
          </cell>
          <cell r="AB69">
            <v>0.35780253944451301</v>
          </cell>
          <cell r="AC69">
            <v>-0.45941468210295899</v>
          </cell>
          <cell r="AD69">
            <v>-4.5924833188823497E-2</v>
          </cell>
          <cell r="AE69">
            <v>0.165478383348337</v>
          </cell>
          <cell r="AF69">
            <v>-2.1076980258482201E-14</v>
          </cell>
          <cell r="AG69">
            <v>3.9154078594620997E-14</v>
          </cell>
          <cell r="AH69">
            <v>1.2363268617864746E-2</v>
          </cell>
          <cell r="AI69">
            <v>-0.12990721520664342</v>
          </cell>
        </row>
        <row r="70">
          <cell r="Y70">
            <v>45382</v>
          </cell>
          <cell r="Z70">
            <v>-0.18225651324893299</v>
          </cell>
          <cell r="AA70">
            <v>-2.24714031504188E-2</v>
          </cell>
          <cell r="AB70">
            <v>0.37466533133736102</v>
          </cell>
          <cell r="AC70">
            <v>-0.28623853112405462</v>
          </cell>
          <cell r="AD70">
            <v>-1.35602103590377E-2</v>
          </cell>
          <cell r="AE70">
            <v>0.164524636966671</v>
          </cell>
          <cell r="AF70">
            <v>-2.2486432440819001E-14</v>
          </cell>
          <cell r="AG70">
            <v>3.8939821739521199E-14</v>
          </cell>
          <cell r="AH70">
            <v>1.2213681234021511E-2</v>
          </cell>
          <cell r="AI70">
            <v>4.6876991655625866E-2</v>
          </cell>
        </row>
        <row r="71">
          <cell r="Y71">
            <v>45473</v>
          </cell>
          <cell r="Z71">
            <v>-0.18375688302281101</v>
          </cell>
          <cell r="AA71">
            <v>-9.4500506641697096E-2</v>
          </cell>
          <cell r="AB71">
            <v>0.31979034430031</v>
          </cell>
          <cell r="AC71">
            <v>-0.47258862522245998</v>
          </cell>
          <cell r="AD71">
            <v>-2.7945953294800301E-2</v>
          </cell>
          <cell r="AE71">
            <v>0.112218444218849</v>
          </cell>
          <cell r="AF71">
            <v>-2.24107890511158E-14</v>
          </cell>
          <cell r="AG71">
            <v>3.9698738026061002E-14</v>
          </cell>
          <cell r="AH71">
            <v>1.2066008218809753E-2</v>
          </cell>
          <cell r="AI71">
            <v>-0.33471717144378238</v>
          </cell>
        </row>
        <row r="72">
          <cell r="Y72">
            <v>45565</v>
          </cell>
          <cell r="Z72">
            <v>-0.19188343666194799</v>
          </cell>
          <cell r="AA72">
            <v>-0.154932393131886</v>
          </cell>
          <cell r="AB72">
            <v>0.273651245990018</v>
          </cell>
          <cell r="AC72">
            <v>-0.57707536710169505</v>
          </cell>
          <cell r="AD72">
            <v>-2.9170070590070301E-2</v>
          </cell>
          <cell r="AE72">
            <v>9.5232374820941906E-2</v>
          </cell>
          <cell r="AF72">
            <v>-2.21469824987669E-14</v>
          </cell>
          <cell r="AG72">
            <v>4.0537499580228702E-14</v>
          </cell>
          <cell r="AH72">
            <v>1.192022340542663E-2</v>
          </cell>
          <cell r="AI72">
            <v>-0.57225742326919427</v>
          </cell>
        </row>
        <row r="73">
          <cell r="Y73">
            <v>45657</v>
          </cell>
          <cell r="Z73">
            <v>-0.189659205835919</v>
          </cell>
          <cell r="AA73">
            <v>-0.153383566285893</v>
          </cell>
          <cell r="AB73">
            <v>0.27070547089783797</v>
          </cell>
          <cell r="AC73">
            <v>-0.56631417583312293</v>
          </cell>
          <cell r="AD73">
            <v>-3.3458911614965697E-2</v>
          </cell>
          <cell r="AE73">
            <v>8.9719402389175099E-2</v>
          </cell>
          <cell r="AF73">
            <v>-2.1803529188159499E-14</v>
          </cell>
          <cell r="AG73">
            <v>4.0999910242542599E-14</v>
          </cell>
          <cell r="AH73">
            <v>1.1776301000704804E-2</v>
          </cell>
          <cell r="AI73">
            <v>-0.57061468528216364</v>
          </cell>
        </row>
        <row r="74">
          <cell r="Y74">
            <v>45747</v>
          </cell>
          <cell r="Z74">
            <v>-0.18744074218276599</v>
          </cell>
          <cell r="AA74">
            <v>-0.15184998866115601</v>
          </cell>
          <cell r="AB74">
            <v>0.26785264575203499</v>
          </cell>
          <cell r="AC74">
            <v>-0.55520939790426604</v>
          </cell>
          <cell r="AD74">
            <v>-3.7167146911832802E-2</v>
          </cell>
          <cell r="AE74">
            <v>8.4764872434021296E-2</v>
          </cell>
          <cell r="AF74">
            <v>-2.1450908426621399E-14</v>
          </cell>
          <cell r="AG74">
            <v>4.1442486555669701E-14</v>
          </cell>
          <cell r="AH74">
            <v>1.163421557987596E-2</v>
          </cell>
          <cell r="AI74">
            <v>-0.56741554189406851</v>
          </cell>
        </row>
        <row r="75">
          <cell r="Y75">
            <v>45838</v>
          </cell>
          <cell r="Z75">
            <v>-0.18523233876197001</v>
          </cell>
          <cell r="AA75">
            <v>-0.15033162272271899</v>
          </cell>
          <cell r="AB75">
            <v>0.26507257694067898</v>
          </cell>
          <cell r="AC75">
            <v>-0.54383310658359796</v>
          </cell>
          <cell r="AD75">
            <v>-4.0344708865340598E-2</v>
          </cell>
          <cell r="AE75">
            <v>8.0305545719614804E-2</v>
          </cell>
          <cell r="AF75">
            <v>-2.1090147215265301E-14</v>
          </cell>
          <cell r="AG75">
            <v>4.18659795462736E-14</v>
          </cell>
          <cell r="AH75">
            <v>1.1493942081405103E-2</v>
          </cell>
          <cell r="AI75">
            <v>-0.56286971219190796</v>
          </cell>
        </row>
        <row r="76">
          <cell r="Y76">
            <v>45930</v>
          </cell>
          <cell r="Z76">
            <v>-0.18303739874705399</v>
          </cell>
          <cell r="AA76">
            <v>-0.14882837602829399</v>
          </cell>
          <cell r="AB76">
            <v>0.26235111769576502</v>
          </cell>
          <cell r="AC76">
            <v>-0.53225580163382591</v>
          </cell>
          <cell r="AD76">
            <v>-4.3040141884107597E-2</v>
          </cell>
          <cell r="AE76">
            <v>7.6285276770788196E-2</v>
          </cell>
          <cell r="AF76">
            <v>-2.0722079366089401E-14</v>
          </cell>
          <cell r="AG76">
            <v>4.2271066709581498E-14</v>
          </cell>
          <cell r="AH76">
            <v>1.1355455801890631E-2</v>
          </cell>
          <cell r="AI76">
            <v>-0.55716986802481605</v>
          </cell>
        </row>
        <row r="77">
          <cell r="Y77">
            <v>46022</v>
          </cell>
          <cell r="Z77">
            <v>-0.18085860840628001</v>
          </cell>
          <cell r="AA77">
            <v>-0.14734012836264701</v>
          </cell>
          <cell r="AB77">
            <v>0.25967833422632902</v>
          </cell>
          <cell r="AC77">
            <v>-0.52054450892094706</v>
          </cell>
          <cell r="AD77">
            <v>-4.5299844015065399E-2</v>
          </cell>
          <cell r="AE77">
            <v>7.2654250315626695E-2</v>
          </cell>
          <cell r="AF77">
            <v>-2.0347420300364899E-14</v>
          </cell>
          <cell r="AG77">
            <v>4.2658349666420402E-14</v>
          </cell>
          <cell r="AH77">
            <v>1.1218732391022153E-2</v>
          </cell>
          <cell r="AI77">
            <v>-0.55049177277193939</v>
          </cell>
        </row>
        <row r="78">
          <cell r="Y78">
            <v>46112</v>
          </cell>
          <cell r="Z78">
            <v>-0.178698076126418</v>
          </cell>
          <cell r="AA78">
            <v>-0.14586674581582701</v>
          </cell>
          <cell r="AB78">
            <v>0.25704722825551202</v>
          </cell>
          <cell r="AC78">
            <v>-0.50876156136241402</v>
          </cell>
          <cell r="AD78">
            <v>-4.7167583845686298E-2</v>
          </cell>
          <cell r="AE78">
            <v>6.9368293177873797E-2</v>
          </cell>
          <cell r="AF78">
            <v>-1.99668230430521E-14</v>
          </cell>
          <cell r="AG78">
            <v>4.30283563961805E-14</v>
          </cell>
          <cell r="AH78">
            <v>1.108374784660056E-2</v>
          </cell>
          <cell r="AI78">
            <v>-0.54299469787033594</v>
          </cell>
        </row>
        <row r="79">
          <cell r="Y79">
            <v>46203</v>
          </cell>
          <cell r="Z79">
            <v>-0.17655744421438699</v>
          </cell>
          <cell r="AA79">
            <v>-0.144408088083988</v>
          </cell>
          <cell r="AB79">
            <v>0.25445284714364202</v>
          </cell>
          <cell r="AC79">
            <v>-0.49696388676038505</v>
          </cell>
          <cell r="AD79">
            <v>-4.86842228078187E-2</v>
          </cell>
          <cell r="AE79">
            <v>6.6388255635028606E-2</v>
          </cell>
          <cell r="AF79">
            <v>-1.9580918139271899E-14</v>
          </cell>
          <cell r="AG79">
            <v>4.3381546548681398E-14</v>
          </cell>
          <cell r="AH79">
            <v>1.0950478509617161E-2</v>
          </cell>
          <cell r="AI79">
            <v>-0.53482206057826709</v>
          </cell>
        </row>
        <row r="80">
          <cell r="Y80">
            <v>46295</v>
          </cell>
          <cell r="Z80">
            <v>-0.17443797886708901</v>
          </cell>
          <cell r="AA80">
            <v>-0.14296401225210301</v>
          </cell>
          <cell r="AB80">
            <v>0.25189166400024998</v>
          </cell>
          <cell r="AC80">
            <v>-0.48520266770722098</v>
          </cell>
          <cell r="AD80">
            <v>-4.9887588776409399E-2</v>
          </cell>
          <cell r="AE80">
            <v>6.3679456380369495E-2</v>
          </cell>
          <cell r="AF80">
            <v>-1.9190340222849801E-14</v>
          </cell>
          <cell r="AG80">
            <v>4.3718318660099597E-14</v>
          </cell>
          <cell r="AH80">
            <v>1.0818901059393458E-2</v>
          </cell>
          <cell r="AI80">
            <v>-0.5261022261627849</v>
          </cell>
        </row>
        <row r="81">
          <cell r="Y81">
            <v>46387</v>
          </cell>
          <cell r="Z81">
            <v>-0.17234064262458201</v>
          </cell>
          <cell r="AA81">
            <v>-0.14153437475050601</v>
          </cell>
          <cell r="AB81">
            <v>0.24936114586800001</v>
          </cell>
          <cell r="AC81">
            <v>-0.47352326986826399</v>
          </cell>
          <cell r="AD81">
            <v>-5.0812459256178097E-2</v>
          </cell>
          <cell r="AE81">
            <v>6.1211185452191202E-2</v>
          </cell>
          <cell r="AF81">
            <v>-1.8795743823561999E-14</v>
          </cell>
          <cell r="AG81">
            <v>4.4039018373036899E-14</v>
          </cell>
          <cell r="AH81">
            <v>1.068899250878024E-2</v>
          </cell>
          <cell r="AI81">
            <v>-0.51694942267053334</v>
          </cell>
        </row>
        <row r="82">
          <cell r="Y82">
            <v>46477</v>
          </cell>
          <cell r="Z82">
            <v>-0.17026615276201701</v>
          </cell>
          <cell r="AA82">
            <v>-0.14011903236352799</v>
          </cell>
          <cell r="AB82">
            <v>0.246859452915867</v>
          </cell>
          <cell r="AC82">
            <v>-0.461965359322696</v>
          </cell>
          <cell r="AD82">
            <v>-5.1490622174020603E-2</v>
          </cell>
          <cell r="AE82">
            <v>5.8956259785594697E-2</v>
          </cell>
          <cell r="AF82">
            <v>-1.8397810767058701E-14</v>
          </cell>
          <cell r="AG82">
            <v>4.4343946990084498E-14</v>
          </cell>
          <cell r="AH82">
            <v>1.0560730199415917E-2</v>
          </cell>
          <cell r="AI82">
            <v>-0.50746472372135809</v>
          </cell>
        </row>
        <row r="83">
          <cell r="Y83">
            <v>46568</v>
          </cell>
          <cell r="Z83">
            <v>-0.16821502838812399</v>
          </cell>
          <cell r="AA83">
            <v>-0.13871784274614599</v>
          </cell>
          <cell r="AB83">
            <v>0.24438522889223999</v>
          </cell>
          <cell r="AC83">
            <v>-0.45056314869154501</v>
          </cell>
          <cell r="AD83">
            <v>-5.1950989904456402E-2</v>
          </cell>
          <cell r="AE83">
            <v>5.6890626374534903E-2</v>
          </cell>
          <cell r="AF83">
            <v>-1.79972512418824E-14</v>
          </cell>
          <cell r="AG83">
            <v>4.4633369877675297E-14</v>
          </cell>
          <cell r="AH83">
            <v>1.0434091797043989E-2</v>
          </cell>
          <cell r="AI83">
            <v>-0.49773706266642587</v>
          </cell>
        </row>
        <row r="84">
          <cell r="Y84">
            <v>46660</v>
          </cell>
          <cell r="Z84">
            <v>-0.166187628467965</v>
          </cell>
          <cell r="AA84">
            <v>-0.137330664685302</v>
          </cell>
          <cell r="AB84">
            <v>0.241937455148929</v>
          </cell>
          <cell r="AC84">
            <v>-0.43934572662563398</v>
          </cell>
          <cell r="AD84">
            <v>-5.2219748094377398E-2</v>
          </cell>
          <cell r="AE84">
            <v>5.4993008384713001E-2</v>
          </cell>
          <cell r="AF84">
            <v>-1.7594800311552099E-14</v>
          </cell>
          <cell r="AG84">
            <v>4.49075243873945E-14</v>
          </cell>
          <cell r="AH84">
            <v>1.0309055286889354E-2</v>
          </cell>
          <cell r="AI84">
            <v>-0.48784424905271967</v>
          </cell>
        </row>
        <row r="85">
          <cell r="Y85">
            <v>46752</v>
          </cell>
          <cell r="Z85">
            <v>-0.164184182547572</v>
          </cell>
          <cell r="AA85">
            <v>-0.13595735822876101</v>
          </cell>
          <cell r="AB85">
            <v>0.23951534894815801</v>
          </cell>
          <cell r="AC85">
            <v>-0.42833743675614799</v>
          </cell>
          <cell r="AD85">
            <v>-5.2320525474556699E-2</v>
          </cell>
          <cell r="AE85">
            <v>5.3244589916898698E-2</v>
          </cell>
          <cell r="AF85">
            <v>-1.7191211356912001E-14</v>
          </cell>
          <cell r="AG85">
            <v>4.5166627080318902E-14</v>
          </cell>
          <cell r="AH85">
            <v>1.0185598969091412E-2</v>
          </cell>
          <cell r="AI85">
            <v>-0.47785396517286166</v>
          </cell>
        </row>
        <row r="86">
          <cell r="Y86">
            <v>46843</v>
          </cell>
          <cell r="Z86">
            <v>-0.162204815605898</v>
          </cell>
          <cell r="AA86">
            <v>-0.13459778474526399</v>
          </cell>
          <cell r="AB86">
            <v>0.23711829261675599</v>
          </cell>
          <cell r="AC86">
            <v>-0.41755828113266402</v>
          </cell>
          <cell r="AD86">
            <v>-5.2274574428617201E-2</v>
          </cell>
          <cell r="AE86">
            <v>5.16287354750554E-2</v>
          </cell>
          <cell r="AF86">
            <v>-1.67872476581987E-14</v>
          </cell>
          <cell r="AG86">
            <v>4.54108801313141E-14</v>
          </cell>
          <cell r="AH86">
            <v>1.0063701454196964E-2</v>
          </cell>
          <cell r="AI86">
            <v>-0.46782472636640621</v>
          </cell>
        </row>
        <row r="87">
          <cell r="Y87">
            <v>46934</v>
          </cell>
          <cell r="Z87">
            <v>-0.16024956817757599</v>
          </cell>
          <cell r="AA87">
            <v>-0.133251806949094</v>
          </cell>
          <cell r="AB87">
            <v>0.2347457841883</v>
          </cell>
          <cell r="AC87">
            <v>-0.407024330047146</v>
          </cell>
          <cell r="AD87">
            <v>-5.2100954857201003E-2</v>
          </cell>
          <cell r="AE87">
            <v>5.0130740537087402E-2</v>
          </cell>
          <cell r="AF87">
            <v>-1.6383673075577299E-14</v>
          </cell>
          <cell r="AG87">
            <v>4.5640476859126997E-14</v>
          </cell>
          <cell r="AH87">
            <v>9.9433416587090383E-3</v>
          </cell>
          <cell r="AI87">
            <v>-0.45780679364689125</v>
          </cell>
        </row>
        <row r="88">
          <cell r="Y88">
            <v>47026</v>
          </cell>
          <cell r="Z88">
            <v>-0.15831841266427499</v>
          </cell>
          <cell r="AA88">
            <v>-0.13191928890622501</v>
          </cell>
          <cell r="AB88">
            <v>0.23239740301363901</v>
          </cell>
          <cell r="AC88">
            <v>-0.39674812541020399</v>
          </cell>
          <cell r="AD88">
            <v>-5.1816716001492298E-2</v>
          </cell>
          <cell r="AE88">
            <v>4.8737609953314803E-2</v>
          </cell>
          <cell r="AF88">
            <v>-1.5981242565364102E-14</v>
          </cell>
          <cell r="AG88">
            <v>4.5855606378661699E-14</v>
          </cell>
          <cell r="AH88">
            <v>9.8244988006928029E-3</v>
          </cell>
          <cell r="AI88">
            <v>-0.44784303121451985</v>
          </cell>
        </row>
        <row r="89">
          <cell r="Y89">
            <v>47118</v>
          </cell>
          <cell r="Z89">
            <v>-0.15641126657162599</v>
          </cell>
          <cell r="AA89">
            <v>-0.13060009603098099</v>
          </cell>
          <cell r="AB89">
            <v>0.23007278579832999</v>
          </cell>
          <cell r="AC89">
            <v>-0.38673906885759701</v>
          </cell>
          <cell r="AD89">
            <v>-5.1437072514890797E-2</v>
          </cell>
          <cell r="AE89">
            <v>4.7437861205966998E-2</v>
          </cell>
          <cell r="AF89">
            <v>-1.5580693078139001E-14</v>
          </cell>
          <cell r="AG89">
            <v>4.6056457407609998E-14</v>
          </cell>
          <cell r="AH89">
            <v>9.7071523954387982E-3</v>
          </cell>
          <cell r="AI89">
            <v>-0.43796970457532852</v>
          </cell>
        </row>
        <row r="90">
          <cell r="Y90">
            <v>47208</v>
          </cell>
          <cell r="Z90">
            <v>-0.15452800326388699</v>
          </cell>
          <cell r="AA90">
            <v>-0.12929409507784501</v>
          </cell>
          <cell r="AB90">
            <v>0.22777160990343401</v>
          </cell>
          <cell r="AC90">
            <v>-0.37700378879683505</v>
          </cell>
          <cell r="AD90">
            <v>-5.0975572304267698E-2</v>
          </cell>
          <cell r="AE90">
            <v>4.6221349850387498E-2</v>
          </cell>
          <cell r="AF90">
            <v>-1.5182735223931801E-14</v>
          </cell>
          <cell r="AG90">
            <v>4.6243221283694697E-14</v>
          </cell>
          <cell r="AH90">
            <v>9.5912822511814658E-3</v>
          </cell>
          <cell r="AI90">
            <v>-0.42821721743780072</v>
          </cell>
        </row>
        <row r="91">
          <cell r="Y91">
            <v>47299</v>
          </cell>
          <cell r="Z91">
            <v>-0.15266846071241899</v>
          </cell>
          <cell r="AA91">
            <v>-0.12800115413079</v>
          </cell>
          <cell r="AB91">
            <v>0.22549358170598199</v>
          </cell>
          <cell r="AC91">
            <v>-0.367546482873645</v>
          </cell>
          <cell r="AD91">
            <v>-5.04442545894591E-2</v>
          </cell>
          <cell r="AE91">
            <v>4.5079114724604602E-2</v>
          </cell>
          <cell r="AF91">
            <v>-1.47880459568759E-14</v>
          </cell>
          <cell r="AG91">
            <v>4.64160942637587E-14</v>
          </cell>
          <cell r="AH91">
            <v>9.4768684648739183E-3</v>
          </cell>
          <cell r="AI91">
            <v>-0.41861078741082092</v>
          </cell>
        </row>
        <row r="92">
          <cell r="Y92">
            <v>47391</v>
          </cell>
          <cell r="Z92">
            <v>-0.150832448620983</v>
          </cell>
          <cell r="AA92">
            <v>-0.12672114259141601</v>
          </cell>
          <cell r="AB92">
            <v>0.22323842848401701</v>
          </cell>
          <cell r="AC92">
            <v>-0.35836923401745302</v>
          </cell>
          <cell r="AD92">
            <v>-4.98537973197151E-2</v>
          </cell>
          <cell r="AE92">
            <v>4.4003240758485003E-2</v>
          </cell>
          <cell r="AF92">
            <v>-1.4397262424662201E-14</v>
          </cell>
          <cell r="AG92">
            <v>4.6575279183945898E-14</v>
          </cell>
          <cell r="AH92">
            <v>9.3638914180172207E-3</v>
          </cell>
          <cell r="AI92">
            <v>-0.4091710618890157</v>
          </cell>
        </row>
        <row r="93">
          <cell r="Y93">
            <v>47483</v>
          </cell>
          <cell r="Z93">
            <v>-0.14901975423622199</v>
          </cell>
          <cell r="AA93">
            <v>-0.12545393116650499</v>
          </cell>
          <cell r="AB93">
            <v>0.22100589275690799</v>
          </cell>
          <cell r="AC93">
            <v>-0.34947229944882496</v>
          </cell>
          <cell r="AD93">
            <v>-4.9213653592448697E-2</v>
          </cell>
          <cell r="AE93">
            <v>4.2986737437364898E-2</v>
          </cell>
          <cell r="AF93">
            <v>-1.4010977043921801E-14</v>
          </cell>
          <cell r="AG93">
            <v>4.6720986563031802E-14</v>
          </cell>
          <cell r="AH93">
            <v>9.2523317725453844E-3</v>
          </cell>
          <cell r="AI93">
            <v>-0.39991467647714962</v>
          </cell>
        </row>
        <row r="94">
          <cell r="Y94">
            <v>47573</v>
          </cell>
          <cell r="Z94">
            <v>-0.147230147091792</v>
          </cell>
          <cell r="AA94">
            <v>-0.124199391855361</v>
          </cell>
          <cell r="AB94">
            <v>0.218795728336038</v>
          </cell>
          <cell r="AC94">
            <v>-0.34085437290573101</v>
          </cell>
          <cell r="AD94">
            <v>-4.8532177084998303E-2</v>
          </cell>
          <cell r="AE94">
            <v>4.2023431178732099E-2</v>
          </cell>
          <cell r="AF94">
            <v>-1.3629733798303499E-14</v>
          </cell>
          <cell r="AG94">
            <v>4.6853435229995102E-14</v>
          </cell>
          <cell r="AH94">
            <v>9.142170466763834E-3</v>
          </cell>
          <cell r="AI94">
            <v>-0.39085475895631516</v>
          </cell>
        </row>
        <row r="95">
          <cell r="Y95">
            <v>47664</v>
          </cell>
          <cell r="Z95">
            <v>-0.14546338288652</v>
          </cell>
          <cell r="AA95">
            <v>-0.122957397937077</v>
          </cell>
          <cell r="AB95">
            <v>0.21660769756700901</v>
          </cell>
          <cell r="AC95">
            <v>-0.332512820952376</v>
          </cell>
          <cell r="AD95">
            <v>-4.78167367673E-2</v>
          </cell>
          <cell r="AE95">
            <v>4.1107870065289001E-2</v>
          </cell>
          <cell r="AF95">
            <v>-1.3254025708554E-14</v>
          </cell>
          <cell r="AG95">
            <v>4.6972852553310199E-14</v>
          </cell>
          <cell r="AH95">
            <v>9.0333887113420372E-3</v>
          </cell>
          <cell r="AI95">
            <v>-0.38200138219959928</v>
          </cell>
        </row>
        <row r="96">
          <cell r="Y96">
            <v>47756</v>
          </cell>
          <cell r="Z96">
            <v>-0.143719206658318</v>
          </cell>
          <cell r="AA96">
            <v>-0.121727823957847</v>
          </cell>
          <cell r="AB96">
            <v>0.21444156940189299</v>
          </cell>
          <cell r="AC96">
            <v>-0.32444389463881801</v>
          </cell>
          <cell r="AD96">
            <v>-4.7073821338242297E-2</v>
          </cell>
          <cell r="AE96">
            <v>4.0235239544777902E-2</v>
          </cell>
          <cell r="AF96">
            <v>-1.28842933905536E-14</v>
          </cell>
          <cell r="AG96">
            <v>4.7079474344075E-14</v>
          </cell>
          <cell r="AH96">
            <v>8.9259679853597226E-3</v>
          </cell>
          <cell r="AI96">
            <v>-0.37336196966116048</v>
          </cell>
        </row>
        <row r="97">
          <cell r="Y97">
            <v>47848</v>
          </cell>
          <cell r="Z97">
            <v>-0.141997355384547</v>
          </cell>
          <cell r="AA97">
            <v>-0.12051054571834099</v>
          </cell>
          <cell r="AB97">
            <v>0.212297118049775</v>
          </cell>
          <cell r="AC97">
            <v>-0.316642918032075</v>
          </cell>
          <cell r="AD97">
            <v>-4.6309133941196602E-2</v>
          </cell>
          <cell r="AE97">
            <v>3.9401287857566698E-2</v>
          </cell>
          <cell r="AF97">
            <v>-1.25209245954693E-14</v>
          </cell>
          <cell r="AG97">
            <v>4.7173544498667297E-14</v>
          </cell>
          <cell r="AH97">
            <v>8.8198900324053652E-3</v>
          </cell>
          <cell r="AI97">
            <v>-0.36494165713637794</v>
          </cell>
        </row>
        <row r="98">
          <cell r="Y98">
            <v>47938</v>
          </cell>
          <cell r="Z98">
            <v>-0.14029756011455399</v>
          </cell>
          <cell r="AA98">
            <v>-0.11930544026119599</v>
          </cell>
          <cell r="AB98">
            <v>0.210174122030171</v>
          </cell>
          <cell r="AC98">
            <v>-0.30910445527890201</v>
          </cell>
          <cell r="AD98">
            <v>-4.5527677780493402E-2</v>
          </cell>
          <cell r="AE98">
            <v>3.86022600884681E-2</v>
          </cell>
          <cell r="AF98">
            <v>-1.2164254613669E-14</v>
          </cell>
          <cell r="AG98">
            <v>4.7255314439659102E-14</v>
          </cell>
          <cell r="AH98">
            <v>8.7151368567277444E-3</v>
          </cell>
          <cell r="AI98">
            <v>-0.35674361445974345</v>
          </cell>
        </row>
        <row r="99">
          <cell r="Y99">
            <v>48029</v>
          </cell>
          <cell r="Z99">
            <v>-0.13861954771996701</v>
          </cell>
          <cell r="AA99">
            <v>-0.11811238585860299</v>
          </cell>
          <cell r="AB99">
            <v>0.20807236350717501</v>
          </cell>
          <cell r="AC99">
            <v>-0.30182245791717599</v>
          </cell>
          <cell r="AD99">
            <v>-4.47338332925762E-2</v>
          </cell>
          <cell r="AE99">
            <v>3.7834839860857103E-2</v>
          </cell>
          <cell r="AF99">
            <v>-1.18145674188064E-14</v>
          </cell>
          <cell r="AG99">
            <v>4.7325042406611798E-14</v>
          </cell>
          <cell r="AH99">
            <v>8.6116907194390396E-3</v>
          </cell>
          <cell r="AI99">
            <v>-0.34876933070081551</v>
          </cell>
        </row>
        <row r="100">
          <cell r="Y100">
            <v>48121</v>
          </cell>
          <cell r="Z100">
            <v>-0.136963042332194</v>
          </cell>
          <cell r="AA100">
            <v>-0.116931262000028</v>
          </cell>
          <cell r="AB100">
            <v>0.20599162781920399</v>
          </cell>
          <cell r="AC100">
            <v>-0.29479039414996061</v>
          </cell>
          <cell r="AD100">
            <v>-4.3931427532615003E-2</v>
          </cell>
          <cell r="AE100">
            <v>3.7096097800088199E-2</v>
          </cell>
          <cell r="AF100">
            <v>-1.14720974288176E-14</v>
          </cell>
          <cell r="AG100">
            <v>4.7382992641400701E-14</v>
          </cell>
          <cell r="AH100">
            <v>8.5095341347693355E-3</v>
          </cell>
          <cell r="AI100">
            <v>-0.34101886626070016</v>
          </cell>
        </row>
        <row r="101">
          <cell r="Y101">
            <v>48213</v>
          </cell>
          <cell r="Z101">
            <v>-0.13532776652346701</v>
          </cell>
          <cell r="AA101">
            <v>-0.11576194938003299</v>
          </cell>
          <cell r="AB101">
            <v>0.203931703145073</v>
          </cell>
          <cell r="AC101">
            <v>-0.28800136175181013</v>
          </cell>
          <cell r="AD101">
            <v>-4.3123796426658298E-2</v>
          </cell>
          <cell r="AE101">
            <v>3.6383445990642797E-2</v>
          </cell>
          <cell r="AF101">
            <v>-1.11370317650156E-14</v>
          </cell>
          <cell r="AG101">
            <v>4.7429434506080102E-14</v>
          </cell>
          <cell r="AH101">
            <v>8.4086498663721015E-3</v>
          </cell>
          <cell r="AI101">
            <v>-0.33349107507984432</v>
          </cell>
        </row>
        <row r="102">
          <cell r="Y102">
            <v>48304</v>
          </cell>
          <cell r="Z102">
            <v>-0.133713442277271</v>
          </cell>
          <cell r="AA102">
            <v>-0.11460432988623501</v>
          </cell>
          <cell r="AB102">
            <v>0.20189238026508799</v>
          </cell>
          <cell r="AC102">
            <v>-0.28144818620395878</v>
          </cell>
          <cell r="AD102">
            <v>-4.23138405164857E-2</v>
          </cell>
          <cell r="AE102">
            <v>3.5694597738468697E-2</v>
          </cell>
          <cell r="AF102">
            <v>-1.0809512897829999E-14</v>
          </cell>
          <cell r="AG102">
            <v>4.7464641565112302E-14</v>
          </cell>
          <cell r="AH102">
            <v>8.3090209236803356E-3</v>
          </cell>
          <cell r="AI102">
            <v>-0.32618379995667679</v>
          </cell>
        </row>
        <row r="103">
          <cell r="Y103">
            <v>48395</v>
          </cell>
          <cell r="Z103">
            <v>-0.132119791785477</v>
          </cell>
          <cell r="AA103">
            <v>-0.113458286587374</v>
          </cell>
          <cell r="AB103">
            <v>0.19987345238840201</v>
          </cell>
          <cell r="AC103">
            <v>-0.27512350556414572</v>
          </cell>
          <cell r="AD103">
            <v>-4.1504074793300601E-2</v>
          </cell>
          <cell r="AE103">
            <v>3.5027532027592297E-2</v>
          </cell>
          <cell r="AF103">
            <v>-1.04896415770235E-14</v>
          </cell>
          <cell r="AG103">
            <v>4.74888906581438E-14</v>
          </cell>
          <cell r="AH103">
            <v>8.2106305583121587E-3</v>
          </cell>
          <cell r="AI103">
            <v>-0.31909404375595385</v>
          </cell>
        </row>
        <row r="104">
          <cell r="Y104">
            <v>48487</v>
          </cell>
          <cell r="Z104">
            <v>-0.13054653810261299</v>
          </cell>
          <cell r="AA104">
            <v>-0.11232370372150099</v>
          </cell>
          <cell r="AB104">
            <v>0.19787471502658199</v>
          </cell>
          <cell r="AC104">
            <v>-0.26901984347539687</v>
          </cell>
          <cell r="AD104">
            <v>-4.0696673180439701E-2</v>
          </cell>
          <cell r="AE104">
            <v>3.4380462129260998E-2</v>
          </cell>
          <cell r="AF104">
            <v>-1.0177479954645999E-14</v>
          </cell>
          <cell r="AG104">
            <v>4.75024609844406E-14</v>
          </cell>
          <cell r="AH104">
            <v>8.1134622605263038E-3</v>
          </cell>
          <cell r="AI104">
            <v>-0.31221811906354391</v>
          </cell>
        </row>
        <row r="105">
          <cell r="Y105">
            <v>48579</v>
          </cell>
          <cell r="Z105">
            <v>-0.12899340568215101</v>
          </cell>
          <cell r="AA105">
            <v>-0.111200466684287</v>
          </cell>
          <cell r="AB105">
            <v>0.195895965899436</v>
          </cell>
          <cell r="AC105">
            <v>-0.26312967161173351</v>
          </cell>
          <cell r="AD105">
            <v>-3.9893508186651203E-2</v>
          </cell>
          <cell r="AE105">
            <v>3.3751807883436902E-2</v>
          </cell>
          <cell r="AF105">
            <v>-9.8730548199334695E-15</v>
          </cell>
          <cell r="AG105">
            <v>4.7505633215601203E-14</v>
          </cell>
          <cell r="AH105">
            <v>8.0174997557261353E-3</v>
          </cell>
          <cell r="AI105">
            <v>-0.3055517786261861</v>
          </cell>
        </row>
        <row r="106">
          <cell r="Y106">
            <v>48669</v>
          </cell>
          <cell r="Z106">
            <v>-0.127460120815165</v>
          </cell>
          <cell r="AA106">
            <v>-0.110088462017444</v>
          </cell>
          <cell r="AB106">
            <v>0.19393700486336499</v>
          </cell>
          <cell r="AC106">
            <v>-0.25744546275163938</v>
          </cell>
          <cell r="AD106">
            <v>-3.90961862119414E-2</v>
          </cell>
          <cell r="AE106">
            <v>3.3140171227225297E-2</v>
          </cell>
          <cell r="AF106">
            <v>-9.5763608763496699E-15</v>
          </cell>
          <cell r="AG106">
            <v>4.7498688649253902E-14</v>
          </cell>
          <cell r="AH106">
            <v>7.9227270010124029E-3</v>
          </cell>
          <cell r="AI106">
            <v>-0.2990903287045491</v>
          </cell>
        </row>
        <row r="107">
          <cell r="Y107">
            <v>48760</v>
          </cell>
          <cell r="Z107">
            <v>-0.12594641198804701</v>
          </cell>
          <cell r="AA107">
            <v>-0.10898757739727</v>
          </cell>
          <cell r="AB107">
            <v>0.191997633855472</v>
          </cell>
          <cell r="AC107">
            <v>-0.25195973556495721</v>
          </cell>
          <cell r="AD107">
            <v>-3.8306078948688697E-2</v>
          </cell>
          <cell r="AE107">
            <v>3.2544314593479097E-2</v>
          </cell>
          <cell r="AF107">
            <v>-9.2873640016545604E-15</v>
          </cell>
          <cell r="AG107">
            <v>4.7481908413064402E-14</v>
          </cell>
          <cell r="AH107">
            <v>7.8291281817836067E-3</v>
          </cell>
          <cell r="AI107">
            <v>-0.29282872726818998</v>
          </cell>
        </row>
        <row r="108">
          <cell r="Y108">
            <v>48852</v>
          </cell>
          <cell r="Z108">
            <v>-0.124452010173002</v>
          </cell>
          <cell r="AA108">
            <v>-0.107897701623297</v>
          </cell>
          <cell r="AB108">
            <v>0.19007765684870601</v>
          </cell>
          <cell r="AC108">
            <v>-0.24666509209772519</v>
          </cell>
          <cell r="AD108">
            <v>-3.7524351282554699E-2</v>
          </cell>
          <cell r="AE108">
            <v>3.1963141846036297E-2</v>
          </cell>
          <cell r="AF108">
            <v>-9.0060044420000992E-15</v>
          </cell>
          <cell r="AG108">
            <v>4.7455572725510303E-14</v>
          </cell>
          <cell r="AH108">
            <v>7.7366877083840224E-3</v>
          </cell>
          <cell r="AI108">
            <v>-0.28676166877341402</v>
          </cell>
        </row>
        <row r="109">
          <cell r="Y109">
            <v>48944</v>
          </cell>
          <cell r="Z109">
            <v>-0.122976649062614</v>
          </cell>
          <cell r="AA109">
            <v>-0.106818724607064</v>
          </cell>
          <cell r="AB109">
            <v>0.18817687981475001</v>
          </cell>
          <cell r="AC109">
            <v>-0.2415542488436255</v>
          </cell>
          <cell r="AD109">
            <v>-3.6751986061239403E-2</v>
          </cell>
          <cell r="AE109">
            <v>3.1395681456395999E-2</v>
          </cell>
          <cell r="AF109">
            <v>-8.7321999004431893E-15</v>
          </cell>
          <cell r="AG109">
            <v>4.7419960217473801E-14</v>
          </cell>
          <cell r="AH109">
            <v>7.6453902127984258E-3</v>
          </cell>
          <cell r="AI109">
            <v>-0.28088365709055985</v>
          </cell>
        </row>
        <row r="110">
          <cell r="Y110">
            <v>49034</v>
          </cell>
          <cell r="Z110">
            <v>-0.121520065257797</v>
          </cell>
          <cell r="AA110">
            <v>-0.105750537360993</v>
          </cell>
          <cell r="AB110">
            <v>0.18629511069235999</v>
          </cell>
          <cell r="AC110">
            <v>-0.2366200622008974</v>
          </cell>
          <cell r="AD110">
            <v>-3.59898060647076E-2</v>
          </cell>
          <cell r="AE110">
            <v>3.0841071660655101E-2</v>
          </cell>
          <cell r="AF110">
            <v>-8.4658484888105401E-15</v>
          </cell>
          <cell r="AG110">
            <v>4.7375347316712603E-14</v>
          </cell>
          <cell r="AH110">
            <v>7.5552205453932259E-3</v>
          </cell>
          <cell r="AI110">
            <v>-0.27518906798594783</v>
          </cell>
        </row>
        <row r="111">
          <cell r="Y111">
            <v>49125</v>
          </cell>
          <cell r="Z111">
            <v>-0.120081998416828</v>
          </cell>
          <cell r="AA111">
            <v>-0.104693031987383</v>
          </cell>
          <cell r="AB111">
            <v>0.18443215935957299</v>
          </cell>
          <cell r="AC111">
            <v>-0.23185554903024111</v>
          </cell>
          <cell r="AD111">
            <v>-3.5238493478352798E-2</v>
          </cell>
          <cell r="AE111">
            <v>3.02985473656858E-2</v>
          </cell>
          <cell r="AF111">
            <v>-8.2068315195043001E-15</v>
          </cell>
          <cell r="AG111">
            <v>4.7322007695654199E-14</v>
          </cell>
          <cell r="AH111">
            <v>7.4661637717034516E-3</v>
          </cell>
          <cell r="AI111">
            <v>-0.26967220241580353</v>
          </cell>
        </row>
        <row r="112">
          <cell r="Y112">
            <v>49217</v>
          </cell>
          <cell r="Z112">
            <v>-0.11866219137185401</v>
          </cell>
          <cell r="AA112">
            <v>-0.10364610166751</v>
          </cell>
          <cell r="AB112">
            <v>0.182587837608642</v>
          </cell>
          <cell r="AC112">
            <v>-0.2272539029524844</v>
          </cell>
          <cell r="AD112">
            <v>-3.4498607140766503E-2</v>
          </cell>
          <cell r="AE112">
            <v>2.97674286002526E-2</v>
          </cell>
          <cell r="AF112">
            <v>-7.9550161205838497E-15</v>
          </cell>
          <cell r="AG112">
            <v>4.7260211781670399E-14</v>
          </cell>
          <cell r="AH112">
            <v>7.3782051692652421E-3</v>
          </cell>
          <cell r="AI112">
            <v>-0.26432733175441575</v>
          </cell>
        </row>
        <row r="113">
          <cell r="Y113">
            <v>49309</v>
          </cell>
          <cell r="Z113">
            <v>-0.11726039021816299</v>
          </cell>
          <cell r="AA113">
            <v>-0.102609640650835</v>
          </cell>
          <cell r="AB113">
            <v>0.180761959122958</v>
          </cell>
          <cell r="AC113">
            <v>-0.22280850695458659</v>
          </cell>
          <cell r="AD113">
            <v>-3.3770597810344097E-2</v>
          </cell>
          <cell r="AE113">
            <v>2.9247110330444599E-2</v>
          </cell>
          <cell r="AF113">
            <v>-7.7102576633148302E-15</v>
          </cell>
          <cell r="AG113">
            <v>4.7190226327981602E-14</v>
          </cell>
          <cell r="AH113">
            <v>7.2913302244929186E-3</v>
          </cell>
          <cell r="AI113">
            <v>-0.25914873595599369</v>
          </cell>
        </row>
        <row r="114">
          <cell r="Y114">
            <v>49399</v>
          </cell>
          <cell r="Z114">
            <v>-0.115876344380642</v>
          </cell>
          <cell r="AA114">
            <v>-0.101583544244326</v>
          </cell>
          <cell r="AB114">
            <v>0.178954339455383</v>
          </cell>
          <cell r="AC114">
            <v>-0.21851294280862479</v>
          </cell>
          <cell r="AD114">
            <v>-3.3054821669844699E-2</v>
          </cell>
          <cell r="AE114">
            <v>2.87370534797491E-2</v>
          </cell>
          <cell r="AF114">
            <v>-7.4724019963809903E-15</v>
          </cell>
          <cell r="AG114">
            <v>4.71123140425847E-14</v>
          </cell>
          <cell r="AH114">
            <v>7.2055246296006308E-3</v>
          </cell>
          <cell r="AI114">
            <v>-0.25413073553866516</v>
          </cell>
        </row>
        <row r="115">
          <cell r="Y115">
            <v>49490</v>
          </cell>
          <cell r="Z115">
            <v>-0.114509806661082</v>
          </cell>
          <cell r="AA115">
            <v>-0.100567708801883</v>
          </cell>
          <cell r="AB115">
            <v>0.17716479600764801</v>
          </cell>
          <cell r="AC115">
            <v>-0.21436099775052758</v>
          </cell>
          <cell r="AD115">
            <v>-3.2351552265130597E-2</v>
          </cell>
          <cell r="AE115">
            <v>2.8236777012652401E-2</v>
          </cell>
          <cell r="AF115">
            <v>-7.2412874851599402E-15</v>
          </cell>
          <cell r="AG115">
            <v>4.7026733272043199E-14</v>
          </cell>
          <cell r="AH115">
            <v>7.1207742795676415E-3</v>
          </cell>
          <cell r="AI115">
            <v>-0.24926771817871529</v>
          </cell>
        </row>
        <row r="116">
          <cell r="Y116">
            <v>49582</v>
          </cell>
          <cell r="Z116">
            <v>-0.113160533269432</v>
          </cell>
          <cell r="AA116">
            <v>-9.9562031713864602E-2</v>
          </cell>
          <cell r="AB116">
            <v>0.175393148010526</v>
          </cell>
          <cell r="AC116">
            <v>-0.21034666881308289</v>
          </cell>
          <cell r="AD116">
            <v>-3.1660991053535897E-2</v>
          </cell>
          <cell r="AE116">
            <v>2.77458509570651E-2</v>
          </cell>
          <cell r="AF116">
            <v>-7.0167468579333399E-15</v>
          </cell>
          <cell r="AG116">
            <v>4.6933737736606801E-14</v>
          </cell>
          <cell r="AH116">
            <v>7.0370652691469976E-3</v>
          </cell>
          <cell r="AI116">
            <v>-0.24455416061313739</v>
          </cell>
        </row>
        <row r="117">
          <cell r="Y117">
            <v>49674</v>
          </cell>
          <cell r="Z117">
            <v>-0.111828283841561</v>
          </cell>
          <cell r="AA117">
            <v>-9.8566411396725895E-2</v>
          </cell>
          <cell r="AB117">
            <v>0.173639216504616</v>
          </cell>
          <cell r="AC117">
            <v>-0.20646416516079361</v>
          </cell>
          <cell r="AD117">
            <v>-3.0983276718518901E-2</v>
          </cell>
          <cell r="AE117">
            <v>2.72638902553945E-2</v>
          </cell>
          <cell r="AF117">
            <v>-6.7986088637060303E-15</v>
          </cell>
          <cell r="AG117">
            <v>4.6833576312889101E-14</v>
          </cell>
          <cell r="AH117">
            <v>6.9543838899171614E-3</v>
          </cell>
          <cell r="AI117">
            <v>-0.23998464646763173</v>
          </cell>
        </row>
        <row r="118">
          <cell r="Y118">
            <v>49765</v>
          </cell>
          <cell r="Z118">
            <v>-0.110512821445699</v>
          </cell>
          <cell r="AA118">
            <v>-9.7580747282758701E-2</v>
          </cell>
          <cell r="AB118">
            <v>0.17190282432159401</v>
          </cell>
          <cell r="AC118">
            <v>-0.20270790873206382</v>
          </cell>
          <cell r="AD118">
            <v>-3.0318493390289199E-2</v>
          </cell>
          <cell r="AE118">
            <v>2.6790549346930599E-2</v>
          </cell>
          <cell r="AF118">
            <v>-6.5866997485148403E-15</v>
          </cell>
          <cell r="AG118">
            <v>4.6726492860226003E-14</v>
          </cell>
          <cell r="AH118">
            <v>6.8727166273755327E-3</v>
          </cell>
          <cell r="AI118">
            <v>-0.23555388055487042</v>
          </cell>
        </row>
        <row r="119">
          <cell r="Y119">
            <v>49856</v>
          </cell>
          <cell r="Z119">
            <v>-0.109213912579381</v>
          </cell>
          <cell r="AA119">
            <v>-9.6604939809931095E-2</v>
          </cell>
          <cell r="AB119">
            <v>0.17018379606585601</v>
          </cell>
          <cell r="AC119">
            <v>-0.1990725334565723</v>
          </cell>
          <cell r="AD119">
            <v>-2.9666677896852199E-2</v>
          </cell>
          <cell r="AE119">
            <v>2.6325517395572401E-2</v>
          </cell>
          <cell r="AF119">
            <v>-6.3808445587893696E-15</v>
          </cell>
          <cell r="AG119">
            <v>4.6612726086815699E-14</v>
          </cell>
          <cell r="AH119">
            <v>6.7920501580742984E-3</v>
          </cell>
          <cell r="AI119">
            <v>-0.23125670012319363</v>
          </cell>
        </row>
        <row r="120">
          <cell r="Y120">
            <v>49948</v>
          </cell>
          <cell r="Z120">
            <v>-0.107931327158433</v>
          </cell>
          <cell r="AA120">
            <v>-9.5638890411831795E-2</v>
          </cell>
          <cell r="AB120">
            <v>0.16848195809647501</v>
          </cell>
          <cell r="AC120">
            <v>-0.1955528832821628</v>
          </cell>
          <cell r="AD120">
            <v>-2.9027826156203598E-2</v>
          </cell>
          <cell r="AE120">
            <v>2.58685140869594E-2</v>
          </cell>
          <cell r="AF120">
            <v>-6.1808682815498302E-15</v>
          </cell>
          <cell r="AG120">
            <v>4.6492509451801102E-14</v>
          </cell>
          <cell r="AH120">
            <v>6.7123713467971925E-3</v>
          </cell>
          <cell r="AI120">
            <v>-0.22708808347835929</v>
          </cell>
        </row>
        <row r="121">
          <cell r="Y121">
            <v>50040</v>
          </cell>
          <cell r="Z121">
            <v>-0.106664838499288</v>
          </cell>
          <cell r="AA121">
            <v>-9.4682501507713498E-2</v>
          </cell>
          <cell r="AB121">
            <v>0.16679713850943401</v>
          </cell>
          <cell r="AC121">
            <v>-0.19214400921575042</v>
          </cell>
          <cell r="AD121">
            <v>-2.8401898808132299E-2</v>
          </cell>
          <cell r="AE121">
            <v>2.54192859279538E-2</v>
          </cell>
          <cell r="AF121">
            <v>-5.9865968320567202E-15</v>
          </cell>
          <cell r="AG121">
            <v>4.6366071099570102E-14</v>
          </cell>
          <cell r="AH121">
            <v>6.633667243777174E-3</v>
          </cell>
          <cell r="AI121">
            <v>-0.22304315634967886</v>
          </cell>
        </row>
        <row r="122">
          <cell r="Y122">
            <v>50130</v>
          </cell>
          <cell r="Z122">
            <v>-0.10541422329575099</v>
          </cell>
          <cell r="AA122">
            <v>-9.3735676492636394E-2</v>
          </cell>
          <cell r="AB122">
            <v>0.165129167120107</v>
          </cell>
          <cell r="AC122">
            <v>-0.18884116555627631</v>
          </cell>
          <cell r="AD122">
            <v>-2.7788826173108499E-2</v>
          </cell>
          <cell r="AE122">
            <v>2.4977602989258999E-2</v>
          </cell>
          <cell r="AF122">
            <v>-5.7978579000229198E-15</v>
          </cell>
          <cell r="AG122">
            <v>4.6233633822712503E-14</v>
          </cell>
          <cell r="AH122">
            <v>6.5559250819544716E-3</v>
          </cell>
          <cell r="AI122">
            <v>-0.21911719632641127</v>
          </cell>
        </row>
        <row r="123">
          <cell r="Y123">
            <v>50221</v>
          </cell>
          <cell r="Z123">
            <v>-0.104179261591118</v>
          </cell>
          <cell r="AA123">
            <v>-9.2798319727709994E-2</v>
          </cell>
          <cell r="AB123">
            <v>0.16347787544595799</v>
          </cell>
          <cell r="AC123">
            <v>-0.1856398054742637</v>
          </cell>
          <cell r="AD123">
            <v>-2.7188512615912399E-2</v>
          </cell>
          <cell r="AE123">
            <v>2.4543256038895199E-2</v>
          </cell>
          <cell r="AF123">
            <v>-5.6144816657157597E-15</v>
          </cell>
          <cell r="AG123">
            <v>4.6095415050259097E-14</v>
          </cell>
          <cell r="AH123">
            <v>6.4791322742743006E-3</v>
          </cell>
          <cell r="AI123">
            <v>-0.2153056356498361</v>
          </cell>
        </row>
        <row r="124">
          <cell r="Y124">
            <v>50313</v>
          </cell>
          <cell r="Z124">
            <v>-0.102959736746475</v>
          </cell>
          <cell r="AA124">
            <v>-9.1870336530432903E-2</v>
          </cell>
          <cell r="AB124">
            <v>0.16184309668944399</v>
          </cell>
          <cell r="AC124">
            <v>-0.1825355760718447</v>
          </cell>
          <cell r="AD124">
            <v>-2.6600840382909399E-2</v>
          </cell>
          <cell r="AE124">
            <v>2.4116054020375099E-2</v>
          </cell>
          <cell r="AF124">
            <v>-5.4363013972645398E-15</v>
          </cell>
          <cell r="AG124">
            <v>4.5951626858045799E-14</v>
          </cell>
          <cell r="AH124">
            <v>6.4032764110240545E-3</v>
          </cell>
          <cell r="AI124">
            <v>-0.21160406261077835</v>
          </cell>
        </row>
        <row r="125">
          <cell r="Y125">
            <v>50405</v>
          </cell>
          <cell r="Z125">
            <v>-0.10175543540582301</v>
          </cell>
          <cell r="AA125">
            <v>-9.0951633165128595E-2</v>
          </cell>
          <cell r="AB125">
            <v>0.16022466572111899</v>
          </cell>
          <cell r="AC125">
            <v>-0.17952431303878569</v>
          </cell>
          <cell r="AD125">
            <v>-2.60256729740709E-2</v>
          </cell>
          <cell r="AE125">
            <v>2.3695821834835901E-2</v>
          </cell>
          <cell r="AF125">
            <v>-5.2631539402921101E-15</v>
          </cell>
          <cell r="AG125">
            <v>4.5802475998265497E-14</v>
          </cell>
          <cell r="AH125">
            <v>6.3283452572092062E-3</v>
          </cell>
          <cell r="AI125">
            <v>-0.20800822177060357</v>
          </cell>
        </row>
        <row r="126">
          <cell r="Y126">
            <v>50495</v>
          </cell>
          <cell r="Z126">
            <v>-0.100566147458614</v>
          </cell>
          <cell r="AA126">
            <v>-9.0042116833477306E-2</v>
          </cell>
          <cell r="AB126">
            <v>0.158622419062912</v>
          </cell>
          <cell r="AC126">
            <v>-0.17660203500394531</v>
          </cell>
          <cell r="AD126">
            <v>-2.54628581038931E-2</v>
          </cell>
          <cell r="AE126">
            <v>2.3282398391159202E-2</v>
          </cell>
          <cell r="AF126">
            <v>-5.0948801106463197E-15</v>
          </cell>
          <cell r="AG126">
            <v>4.5648163945507302E-14</v>
          </cell>
          <cell r="AH126">
            <v>6.2543267499675353E-3</v>
          </cell>
          <cell r="AI126">
            <v>-0.20451401319585044</v>
          </cell>
        </row>
        <row r="127">
          <cell r="Y127">
            <v>50586</v>
          </cell>
          <cell r="Z127">
            <v>-9.9391666000196305E-2</v>
          </cell>
          <cell r="AA127">
            <v>-8.9141695665142601E-2</v>
          </cell>
          <cell r="AB127">
            <v>0.15703619487158799</v>
          </cell>
          <cell r="AC127">
            <v>-0.1737649376674294</v>
          </cell>
          <cell r="AD127">
            <v>-2.4912230299187502E-2</v>
          </cell>
          <cell r="AE127">
            <v>2.2875634892336998E-2</v>
          </cell>
          <cell r="AF127">
            <v>-4.9313250005529297E-15</v>
          </cell>
          <cell r="AG127">
            <v>4.5488886956807002E-14</v>
          </cell>
          <cell r="AH127">
            <v>6.1812089960212252E-3</v>
          </cell>
          <cell r="AI127">
            <v>-0.20111749087196903</v>
          </cell>
        </row>
        <row r="128">
          <cell r="Y128">
            <v>50678</v>
          </cell>
          <cell r="Z128">
            <v>-9.8231787290570194E-2</v>
          </cell>
          <cell r="AA128">
            <v>-8.8250278708491101E-2</v>
          </cell>
          <cell r="AB128">
            <v>0.155465832922389</v>
          </cell>
          <cell r="AC128">
            <v>-0.17100938778624761</v>
          </cell>
          <cell r="AD128">
            <v>-2.4373613176223101E-2</v>
          </cell>
          <cell r="AE128">
            <v>2.24753933300646E-2</v>
          </cell>
          <cell r="AF128">
            <v>-4.7723382079753302E-15</v>
          </cell>
          <cell r="AG128">
            <v>4.5324836143466602E-14</v>
          </cell>
          <cell r="AH128">
            <v>6.1089802691664599E-3</v>
          </cell>
          <cell r="AI128">
            <v>-0.19781486043987143</v>
          </cell>
        </row>
        <row r="129">
          <cell r="Y129">
            <v>50770</v>
          </cell>
          <cell r="Z129">
            <v>-9.7086310711829896E-2</v>
          </cell>
          <cell r="AA129">
            <v>-8.7367775921406293E-2</v>
          </cell>
          <cell r="AB129">
            <v>0.15391117459282799</v>
          </cell>
          <cell r="AC129">
            <v>-0.16833191707537562</v>
          </cell>
          <cell r="AD129">
            <v>-2.3846821434824601E-2</v>
          </cell>
          <cell r="AE129">
            <v>2.20815451628384E-2</v>
          </cell>
          <cell r="AF129">
            <v>-4.6177739983728499E-15</v>
          </cell>
          <cell r="AG129">
            <v>4.5156197552615602E-14</v>
          </cell>
          <cell r="AH129">
            <v>6.0376290077996846E-3</v>
          </cell>
          <cell r="AI129">
            <v>-0.19460247637992981</v>
          </cell>
        </row>
        <row r="130">
          <cell r="Y130">
            <v>50860</v>
          </cell>
          <cell r="Z130">
            <v>-9.5955038724581804E-2</v>
          </cell>
          <cell r="AA130">
            <v>-8.6494098162192196E-2</v>
          </cell>
          <cell r="AB130">
            <v>0.15237206284666499</v>
          </cell>
          <cell r="AC130">
            <v>-0.16572921607659871</v>
          </cell>
          <cell r="AD130">
            <v>-2.3331662602699699E-2</v>
          </cell>
          <cell r="AE130">
            <v>2.16939701557387E-2</v>
          </cell>
          <cell r="AF130">
            <v>-4.46749140742063E-15</v>
          </cell>
          <cell r="AG130">
            <v>4.4983152256700099E-14</v>
          </cell>
          <cell r="AH130">
            <v>5.9671438124803368E-3</v>
          </cell>
          <cell r="AI130">
            <v>-0.19147683875114785</v>
          </cell>
        </row>
        <row r="131">
          <cell r="Y131">
            <v>50951</v>
          </cell>
          <cell r="Z131">
            <v>-9.4837776823610997E-2</v>
          </cell>
          <cell r="AA131">
            <v>-8.5629157180570306E-2</v>
          </cell>
          <cell r="AB131">
            <v>0.150848342218035</v>
          </cell>
          <cell r="AC131">
            <v>-0.1631981280391688</v>
          </cell>
          <cell r="AD131">
            <v>-2.2827938559430098E-2</v>
          </cell>
          <cell r="AE131">
            <v>2.1312555362649799E-2</v>
          </cell>
          <cell r="AF131">
            <v>-4.32135429260645E-15</v>
          </cell>
          <cell r="AG131">
            <v>4.4805876449282203E-14</v>
          </cell>
          <cell r="AH131">
            <v>5.8975134435298483E-3</v>
          </cell>
          <cell r="AI131">
            <v>-0.18843458957852507</v>
          </cell>
        </row>
        <row r="132">
          <cell r="Y132">
            <v>51043</v>
          </cell>
          <cell r="Z132">
            <v>-9.3734333493014105E-2</v>
          </cell>
          <cell r="AA132">
            <v>-8.4772865608764597E-2</v>
          </cell>
          <cell r="AB132">
            <v>0.14933985879574099</v>
          </cell>
          <cell r="AC132">
            <v>-0.16073564284903361</v>
          </cell>
          <cell r="AD132">
            <v>-2.2335446866154501E-2</v>
          </cell>
          <cell r="AE132">
            <v>2.09371942339318E-2</v>
          </cell>
          <cell r="AF132">
            <v>-4.17923134096909E-15</v>
          </cell>
          <cell r="AG132">
            <v>4.4624541545722797E-14</v>
          </cell>
          <cell r="AH132">
            <v>5.8287268186654681E-3</v>
          </cell>
          <cell r="AI132">
            <v>-0.18547250896858808</v>
          </cell>
        </row>
      </sheetData>
      <sheetData sheetId="5">
        <row r="1">
          <cell r="Z1" t="str">
            <v>Government</v>
          </cell>
          <cell r="AA1" t="str">
            <v>Liquidity</v>
          </cell>
          <cell r="AB1" t="str">
            <v>Safety</v>
          </cell>
          <cell r="AC1" t="str">
            <v>Technology</v>
          </cell>
          <cell r="AD1" t="str">
            <v>Financial Frictions</v>
          </cell>
          <cell r="AE1" t="str">
            <v>Investment Specific Technology</v>
          </cell>
          <cell r="AF1" t="str">
            <v>Price Markups</v>
          </cell>
          <cell r="AG1" t="str">
            <v>Wage Markups</v>
          </cell>
          <cell r="AH1" t="str">
            <v>Others</v>
          </cell>
          <cell r="AI1" t="str">
            <v>DSGE r* (with FG)</v>
          </cell>
        </row>
        <row r="2">
          <cell r="Y2">
            <v>39172</v>
          </cell>
          <cell r="Z2">
            <v>-9.9978563028760903E-2</v>
          </cell>
          <cell r="AA2">
            <v>-0.154985917120638</v>
          </cell>
          <cell r="AB2">
            <v>0.25348034143512199</v>
          </cell>
          <cell r="AC2">
            <v>2.6012713958478401E-2</v>
          </cell>
          <cell r="AD2">
            <v>-2.71815691609784E-2</v>
          </cell>
          <cell r="AE2">
            <v>-5.37370862362977E-2</v>
          </cell>
          <cell r="AF2">
            <v>3.36271760934325E-16</v>
          </cell>
          <cell r="AG2">
            <v>-3.5538777794089401E-15</v>
          </cell>
          <cell r="AH2">
            <v>3.232848152251621E-2</v>
          </cell>
          <cell r="AI2">
            <v>-2.4061598630561593E-2</v>
          </cell>
        </row>
        <row r="3">
          <cell r="Y3">
            <v>39263</v>
          </cell>
          <cell r="Z3">
            <v>-9.0493735072627104E-2</v>
          </cell>
          <cell r="AA3">
            <v>-0.179892931784915</v>
          </cell>
          <cell r="AB3">
            <v>0.28516777923665598</v>
          </cell>
          <cell r="AC3">
            <v>-0.14548643390483512</v>
          </cell>
          <cell r="AD3">
            <v>-2.2411350467598901E-2</v>
          </cell>
          <cell r="AE3">
            <v>-4.7822201797398697E-2</v>
          </cell>
          <cell r="AF3">
            <v>5.0574402008378302E-16</v>
          </cell>
          <cell r="AG3">
            <v>-2.38970184704017E-15</v>
          </cell>
          <cell r="AH3">
            <v>3.192574738856431E-2</v>
          </cell>
          <cell r="AI3">
            <v>-0.16901312640215643</v>
          </cell>
        </row>
        <row r="4">
          <cell r="Y4">
            <v>39355</v>
          </cell>
          <cell r="Z4">
            <v>-9.5177672176048805E-2</v>
          </cell>
          <cell r="AA4">
            <v>-0.35852263038029097</v>
          </cell>
          <cell r="AB4">
            <v>0.271119077925911</v>
          </cell>
          <cell r="AC4">
            <v>-0.18167839855996798</v>
          </cell>
          <cell r="AD4">
            <v>-5.7796504554363498E-2</v>
          </cell>
          <cell r="AE4">
            <v>-6.6368456841346901E-2</v>
          </cell>
          <cell r="AF4">
            <v>2.14207133349111E-16</v>
          </cell>
          <cell r="AG4">
            <v>-1.40618989657912E-15</v>
          </cell>
          <cell r="AH4">
            <v>3.1528307303669054E-2</v>
          </cell>
          <cell r="AI4">
            <v>-0.4568962772824392</v>
          </cell>
        </row>
        <row r="5">
          <cell r="Y5">
            <v>39447</v>
          </cell>
          <cell r="Z5">
            <v>-9.2548084284100995E-2</v>
          </cell>
          <cell r="AA5">
            <v>-0.506098476332139</v>
          </cell>
          <cell r="AB5">
            <v>0.22217413049781101</v>
          </cell>
          <cell r="AC5">
            <v>-0.17533458223127002</v>
          </cell>
          <cell r="AD5">
            <v>-9.3789740909321698E-2</v>
          </cell>
          <cell r="AE5">
            <v>-8.0581711640427101E-2</v>
          </cell>
          <cell r="AF5">
            <v>-2.8771882256727301E-16</v>
          </cell>
          <cell r="AG5">
            <v>-8.7528508921538303E-16</v>
          </cell>
          <cell r="AH5">
            <v>3.1136089791837525E-2</v>
          </cell>
          <cell r="AI5">
            <v>-0.69504237510761147</v>
          </cell>
        </row>
        <row r="6">
          <cell r="Y6">
            <v>39538</v>
          </cell>
          <cell r="Z6">
            <v>-9.4542247696871196E-2</v>
          </cell>
          <cell r="AA6">
            <v>-0.68145357352049596</v>
          </cell>
          <cell r="AB6">
            <v>0.14069021783895999</v>
          </cell>
          <cell r="AC6">
            <v>-0.31026915175671199</v>
          </cell>
          <cell r="AD6">
            <v>-0.109486097677952</v>
          </cell>
          <cell r="AE6">
            <v>-7.6086186044821605E-2</v>
          </cell>
          <cell r="AF6">
            <v>9.6958302726864193E-18</v>
          </cell>
          <cell r="AG6">
            <v>-3.0911534257937398E-16</v>
          </cell>
          <cell r="AH6">
            <v>3.0749024292872861E-2</v>
          </cell>
          <cell r="AI6">
            <v>-1.1003980145650201</v>
          </cell>
        </row>
        <row r="7">
          <cell r="Y7">
            <v>39629</v>
          </cell>
          <cell r="Z7">
            <v>-9.7854644907691302E-2</v>
          </cell>
          <cell r="AA7">
            <v>-0.666296647567858</v>
          </cell>
          <cell r="AB7">
            <v>0.143021395832999</v>
          </cell>
          <cell r="AC7">
            <v>-0.38679345200314497</v>
          </cell>
          <cell r="AD7">
            <v>-0.11393175295270599</v>
          </cell>
          <cell r="AE7">
            <v>-7.9067412144778304E-2</v>
          </cell>
          <cell r="AF7">
            <v>1.5710799493211001E-16</v>
          </cell>
          <cell r="AG7">
            <v>6.8567456859447195E-16</v>
          </cell>
          <cell r="AH7">
            <v>3.0367041153361845E-2</v>
          </cell>
          <cell r="AI7">
            <v>-1.1705554725898168</v>
          </cell>
        </row>
        <row r="8">
          <cell r="Y8">
            <v>39721</v>
          </cell>
          <cell r="Z8">
            <v>-8.3694545503773005E-2</v>
          </cell>
          <cell r="AA8">
            <v>-0.80494646858027896</v>
          </cell>
          <cell r="AB8">
            <v>8.1173996017254904E-2</v>
          </cell>
          <cell r="AC8">
            <v>-0.47302325516203603</v>
          </cell>
          <cell r="AD8">
            <v>-0.116166310851506</v>
          </cell>
          <cell r="AE8">
            <v>-7.3477842749108305E-2</v>
          </cell>
          <cell r="AF8">
            <v>-3.5447992945964202E-16</v>
          </cell>
          <cell r="AG8">
            <v>1.39550553860256E-15</v>
          </cell>
          <cell r="AH8">
            <v>2.9990071617660336E-2</v>
          </cell>
          <cell r="AI8">
            <v>-1.4401443552117861</v>
          </cell>
        </row>
        <row r="9">
          <cell r="Y9">
            <v>39813</v>
          </cell>
          <cell r="Z9">
            <v>-5.1162173705283698E-2</v>
          </cell>
          <cell r="AA9">
            <v>-1.4348625525810099</v>
          </cell>
          <cell r="AB9">
            <v>-0.25044652137629397</v>
          </cell>
          <cell r="AC9">
            <v>-0.66069652168062409</v>
          </cell>
          <cell r="AD9">
            <v>-0.199745841702548</v>
          </cell>
          <cell r="AE9">
            <v>-2.0281187527067299E-2</v>
          </cell>
          <cell r="AF9">
            <v>1.8820057070423001E-15</v>
          </cell>
          <cell r="AG9">
            <v>1.8210975872744201E-15</v>
          </cell>
          <cell r="AH9">
            <v>2.9618047818907225E-2</v>
          </cell>
          <cell r="AI9">
            <v>-2.5875767507539167</v>
          </cell>
        </row>
        <row r="10">
          <cell r="Y10">
            <v>39903</v>
          </cell>
          <cell r="Z10">
            <v>-3.7464436438336302E-2</v>
          </cell>
          <cell r="AA10">
            <v>-1.22032408378082</v>
          </cell>
          <cell r="AB10">
            <v>-0.18175419755265901</v>
          </cell>
          <cell r="AC10">
            <v>-0.68661682411273306</v>
          </cell>
          <cell r="AD10">
            <v>-0.24990048711444601</v>
          </cell>
          <cell r="AE10">
            <v>-9.5038465573967196E-2</v>
          </cell>
          <cell r="AF10">
            <v>2.1298367857910398E-15</v>
          </cell>
          <cell r="AG10">
            <v>3.9846043693999302E-15</v>
          </cell>
          <cell r="AH10">
            <v>2.9250902770002647E-2</v>
          </cell>
          <cell r="AI10">
            <v>-2.4418475918029525</v>
          </cell>
        </row>
        <row r="11">
          <cell r="Y11">
            <v>39994</v>
          </cell>
          <cell r="Z11">
            <v>-2.64737763419211E-2</v>
          </cell>
          <cell r="AA11">
            <v>-0.99360084831872397</v>
          </cell>
          <cell r="AB11">
            <v>-0.104578481002988</v>
          </cell>
          <cell r="AC11">
            <v>-0.5975758282252952</v>
          </cell>
          <cell r="AD11">
            <v>-0.18003742541470899</v>
          </cell>
          <cell r="AE11">
            <v>-0.100501557072669</v>
          </cell>
          <cell r="AF11">
            <v>1.87539003982617E-15</v>
          </cell>
          <cell r="AG11">
            <v>3.6850300896788798E-15</v>
          </cell>
          <cell r="AH11">
            <v>2.8888570354634348E-2</v>
          </cell>
          <cell r="AI11">
            <v>-1.9738793460216666</v>
          </cell>
        </row>
        <row r="12">
          <cell r="Y12">
            <v>40086</v>
          </cell>
          <cell r="Z12">
            <v>-4.33175668424031E-2</v>
          </cell>
          <cell r="AA12">
            <v>-0.68899371157153999</v>
          </cell>
          <cell r="AB12">
            <v>3.3900906970862899E-2</v>
          </cell>
          <cell r="AC12">
            <v>-0.54116995321701711</v>
          </cell>
          <cell r="AD12">
            <v>-8.24370851725163E-2</v>
          </cell>
          <cell r="AE12">
            <v>-0.138065073654387</v>
          </cell>
          <cell r="AF12">
            <v>1.59563076971597E-15</v>
          </cell>
          <cell r="AG12">
            <v>3.96618183425944E-15</v>
          </cell>
          <cell r="AH12">
            <v>2.8530985318305314E-2</v>
          </cell>
          <cell r="AI12">
            <v>-1.4315514981686894</v>
          </cell>
        </row>
        <row r="13">
          <cell r="Y13">
            <v>40178</v>
          </cell>
          <cell r="Z13">
            <v>-3.0099007684472E-2</v>
          </cell>
          <cell r="AA13">
            <v>-0.60245974479715503</v>
          </cell>
          <cell r="AB13">
            <v>6.09114293776674E-2</v>
          </cell>
          <cell r="AC13">
            <v>-0.47979895596503402</v>
          </cell>
          <cell r="AD13">
            <v>-2.1856783957947899E-2</v>
          </cell>
          <cell r="AE13">
            <v>-0.122545870815777</v>
          </cell>
          <cell r="AF13">
            <v>3.9066384251192198E-16</v>
          </cell>
          <cell r="AG13">
            <v>4.4551475393455699E-15</v>
          </cell>
          <cell r="AH13">
            <v>2.8178083259358423E-2</v>
          </cell>
          <cell r="AI13">
            <v>-1.1676708505833555</v>
          </cell>
        </row>
        <row r="14">
          <cell r="Y14">
            <v>40268</v>
          </cell>
          <cell r="Z14">
            <v>-3.1649797445328302E-2</v>
          </cell>
          <cell r="AA14">
            <v>-0.46842204801781701</v>
          </cell>
          <cell r="AB14">
            <v>0.124013420035627</v>
          </cell>
          <cell r="AC14">
            <v>-0.61171059371434222</v>
          </cell>
          <cell r="AD14">
            <v>-4.45041979082458E-2</v>
          </cell>
          <cell r="AE14">
            <v>-0.162006547988397</v>
          </cell>
          <cell r="AF14">
            <v>4.6556230746414597E-16</v>
          </cell>
          <cell r="AG14">
            <v>5.8434920144823E-15</v>
          </cell>
          <cell r="AH14">
            <v>2.7829800620052653E-2</v>
          </cell>
          <cell r="AI14">
            <v>-1.1664499644184445</v>
          </cell>
        </row>
        <row r="15">
          <cell r="Y15">
            <v>40359</v>
          </cell>
          <cell r="Z15">
            <v>-3.1615645625158999E-2</v>
          </cell>
          <cell r="AA15">
            <v>-0.54831253436719896</v>
          </cell>
          <cell r="AB15">
            <v>4.4095324864127601E-2</v>
          </cell>
          <cell r="AC15">
            <v>-0.70778796719107595</v>
          </cell>
          <cell r="AD15">
            <v>1.74160616301348E-3</v>
          </cell>
          <cell r="AE15">
            <v>-0.113842815197804</v>
          </cell>
          <cell r="AF15">
            <v>5.21522787382365E-16</v>
          </cell>
          <cell r="AG15">
            <v>6.42327760641727E-15</v>
          </cell>
          <cell r="AH15">
            <v>2.7486074677595701E-2</v>
          </cell>
          <cell r="AI15">
            <v>-1.3282359566764941</v>
          </cell>
        </row>
        <row r="16">
          <cell r="Y16">
            <v>40451</v>
          </cell>
          <cell r="Z16">
            <v>-2.1774607847629E-2</v>
          </cell>
          <cell r="AA16">
            <v>-0.64699129918790999</v>
          </cell>
          <cell r="AB16">
            <v>2.6367831959021301E-2</v>
          </cell>
          <cell r="AC16">
            <v>-0.67516062221199136</v>
          </cell>
          <cell r="AD16">
            <v>-5.6494932586814997E-2</v>
          </cell>
          <cell r="AE16">
            <v>-0.150012718937128</v>
          </cell>
          <cell r="AF16">
            <v>9.7371559294166407E-16</v>
          </cell>
          <cell r="AG16">
            <v>7.1491412984076604E-15</v>
          </cell>
          <cell r="AH16">
            <v>2.7146843535275175E-2</v>
          </cell>
          <cell r="AI16">
            <v>-1.4969195052771691</v>
          </cell>
        </row>
        <row r="17">
          <cell r="Y17">
            <v>40543</v>
          </cell>
          <cell r="Z17">
            <v>-4.3319194618868302E-2</v>
          </cell>
          <cell r="AA17">
            <v>-0.64320730083890298</v>
          </cell>
          <cell r="AB17">
            <v>7.2999260802330601E-2</v>
          </cell>
          <cell r="AC17">
            <v>-0.66226823050049599</v>
          </cell>
          <cell r="AD17">
            <v>-1.25136706536238E-2</v>
          </cell>
          <cell r="AE17">
            <v>-0.12093770156528</v>
          </cell>
          <cell r="AF17">
            <v>9.4346117391533305E-17</v>
          </cell>
          <cell r="AG17">
            <v>8.0498173325317994E-15</v>
          </cell>
          <cell r="AH17">
            <v>2.6812046113556125E-2</v>
          </cell>
          <cell r="AI17">
            <v>-1.3824347912612764</v>
          </cell>
        </row>
        <row r="18">
          <cell r="Y18">
            <v>40633</v>
          </cell>
          <cell r="Z18">
            <v>-6.0369892570148201E-2</v>
          </cell>
          <cell r="AA18">
            <v>-0.50339195366031597</v>
          </cell>
          <cell r="AB18">
            <v>9.5046537643726295E-2</v>
          </cell>
          <cell r="AC18">
            <v>-0.54907073089427438</v>
          </cell>
          <cell r="AD18">
            <v>-4.1942178668980298E-2</v>
          </cell>
          <cell r="AE18">
            <v>-0.15940118263389599</v>
          </cell>
          <cell r="AF18">
            <v>-1.82898841589132E-16</v>
          </cell>
          <cell r="AG18">
            <v>8.1726712722246794E-15</v>
          </cell>
          <cell r="AH18">
            <v>2.6481622141234347E-2</v>
          </cell>
          <cell r="AI18">
            <v>-1.1926477786426462</v>
          </cell>
        </row>
        <row r="19">
          <cell r="Y19">
            <v>40724</v>
          </cell>
          <cell r="Z19">
            <v>-6.5645686375101805E-2</v>
          </cell>
          <cell r="AA19">
            <v>-0.59893156260416203</v>
          </cell>
          <cell r="AB19">
            <v>0.11655462761706099</v>
          </cell>
          <cell r="AC19">
            <v>-0.76795731238212994</v>
          </cell>
          <cell r="AD19">
            <v>9.7854710040585803E-3</v>
          </cell>
          <cell r="AE19">
            <v>-0.12561262853362801</v>
          </cell>
          <cell r="AF19">
            <v>-1.3253199927269799E-15</v>
          </cell>
          <cell r="AG19">
            <v>9.5693701403301796E-15</v>
          </cell>
          <cell r="AH19">
            <v>2.6155512146595981E-2</v>
          </cell>
          <cell r="AI19">
            <v>-1.4056515791272981</v>
          </cell>
        </row>
        <row r="20">
          <cell r="Y20">
            <v>40816</v>
          </cell>
          <cell r="Z20">
            <v>-8.7670251988722997E-2</v>
          </cell>
          <cell r="AA20">
            <v>-0.77002926116769899</v>
          </cell>
          <cell r="AB20">
            <v>1.58039091327947E-2</v>
          </cell>
          <cell r="AC20">
            <v>-0.91154792977368926</v>
          </cell>
          <cell r="AD20">
            <v>3.9583459916772402E-2</v>
          </cell>
          <cell r="AE20">
            <v>-8.7863663992559404E-2</v>
          </cell>
          <cell r="AF20">
            <v>-1.49581122817398E-15</v>
          </cell>
          <cell r="AG20">
            <v>1.04262272376988E-14</v>
          </cell>
          <cell r="AH20">
            <v>2.5833657448609836E-2</v>
          </cell>
          <cell r="AI20">
            <v>-1.7758900804244848</v>
          </cell>
        </row>
        <row r="21">
          <cell r="Y21">
            <v>40908</v>
          </cell>
          <cell r="Z21">
            <v>-8.3000839878612606E-2</v>
          </cell>
          <cell r="AA21">
            <v>-0.81965246808738901</v>
          </cell>
          <cell r="AB21">
            <v>1.3125574144345399E-2</v>
          </cell>
          <cell r="AC21">
            <v>-1.105879942866302</v>
          </cell>
          <cell r="AD21">
            <v>1.09570966101385E-3</v>
          </cell>
          <cell r="AE21">
            <v>-8.7570204613177202E-2</v>
          </cell>
          <cell r="AF21">
            <v>-1.2432495585551801E-15</v>
          </cell>
          <cell r="AG21">
            <v>1.22479272379491E-14</v>
          </cell>
          <cell r="AH21">
            <v>2.551600014817576E-2</v>
          </cell>
          <cell r="AI21">
            <v>-2.0563661714919346</v>
          </cell>
        </row>
        <row r="22">
          <cell r="Y22">
            <v>40999</v>
          </cell>
          <cell r="Z22">
            <v>-8.0661363496129707E-2</v>
          </cell>
          <cell r="AA22">
            <v>-0.793225297604635</v>
          </cell>
          <cell r="AB22">
            <v>-3.9682129831459297E-3</v>
          </cell>
          <cell r="AC22">
            <v>-0.89428045377117227</v>
          </cell>
          <cell r="AD22">
            <v>1.0466462621198601E-2</v>
          </cell>
          <cell r="AE22">
            <v>-7.2933510971363302E-2</v>
          </cell>
          <cell r="AF22">
            <v>-2.4397014997962502E-15</v>
          </cell>
          <cell r="AG22">
            <v>1.24258814862817E-14</v>
          </cell>
          <cell r="AH22">
            <v>2.520248311935373E-2</v>
          </cell>
          <cell r="AI22">
            <v>-1.8093998930858841</v>
          </cell>
        </row>
        <row r="23">
          <cell r="Y23">
            <v>41090</v>
          </cell>
          <cell r="Z23">
            <v>-8.5178942393604504E-2</v>
          </cell>
          <cell r="AA23">
            <v>-0.89312555677446204</v>
          </cell>
          <cell r="AB23">
            <v>-1.6085192019755602E-2</v>
          </cell>
          <cell r="AC23">
            <v>-1.0574704481859629</v>
          </cell>
          <cell r="AD23">
            <v>8.2756969786282695E-3</v>
          </cell>
          <cell r="AE23">
            <v>-7.9462252544886494E-2</v>
          </cell>
          <cell r="AF23">
            <v>-2.1256701289985198E-15</v>
          </cell>
          <cell r="AG23">
            <v>1.32218495838939E-14</v>
          </cell>
          <cell r="AH23">
            <v>2.4893050000710626E-2</v>
          </cell>
          <cell r="AI23">
            <v>-2.0981536449393214</v>
          </cell>
        </row>
        <row r="24">
          <cell r="Y24">
            <v>41182</v>
          </cell>
          <cell r="Z24">
            <v>-9.1634835600739303E-2</v>
          </cell>
          <cell r="AA24">
            <v>-0.80663224821920798</v>
          </cell>
          <cell r="AB24">
            <v>-3.1785859017389902E-2</v>
          </cell>
          <cell r="AC24">
            <v>-0.97484466512675005</v>
          </cell>
          <cell r="AD24">
            <v>-3.1650235217454501E-3</v>
          </cell>
          <cell r="AE24">
            <v>-8.5824882606039002E-2</v>
          </cell>
          <cell r="AF24">
            <v>-2.1381603035211299E-15</v>
          </cell>
          <cell r="AG24">
            <v>1.4391811645812798E-14</v>
          </cell>
          <cell r="AH24">
            <v>2.4587645186609171E-2</v>
          </cell>
          <cell r="AI24">
            <v>-1.9692998689052503</v>
          </cell>
        </row>
        <row r="25">
          <cell r="Y25">
            <v>41274</v>
          </cell>
          <cell r="Z25">
            <v>-8.5820764811643899E-2</v>
          </cell>
          <cell r="AA25">
            <v>-0.791665063186343</v>
          </cell>
          <cell r="AB25">
            <v>6.9560367802039696E-3</v>
          </cell>
          <cell r="AC25">
            <v>-0.822398628293037</v>
          </cell>
          <cell r="AD25">
            <v>2.2486741726721399E-2</v>
          </cell>
          <cell r="AE25">
            <v>-8.71450115906066E-2</v>
          </cell>
          <cell r="AF25">
            <v>-2.2222804331107202E-15</v>
          </cell>
          <cell r="AG25">
            <v>1.4272069785535101E-14</v>
          </cell>
          <cell r="AH25">
            <v>2.4286213818608904E-2</v>
          </cell>
          <cell r="AI25">
            <v>-1.7333004755560844</v>
          </cell>
        </row>
        <row r="26">
          <cell r="Y26">
            <v>41364</v>
          </cell>
          <cell r="Z26">
            <v>-9.7468929113137898E-2</v>
          </cell>
          <cell r="AA26">
            <v>-0.79932566522366899</v>
          </cell>
          <cell r="AB26">
            <v>6.2179440533428297E-2</v>
          </cell>
          <cell r="AC26">
            <v>-0.96780030176211385</v>
          </cell>
          <cell r="AD26">
            <v>3.7650947350231202E-2</v>
          </cell>
          <cell r="AE26">
            <v>-8.0838065432750197E-2</v>
          </cell>
          <cell r="AF26">
            <v>-2.5839103126186101E-15</v>
          </cell>
          <cell r="AG26">
            <v>1.59325580617839E-14</v>
          </cell>
          <cell r="AH26">
            <v>2.3988701776875784E-2</v>
          </cell>
          <cell r="AI26">
            <v>-1.8216138718711223</v>
          </cell>
        </row>
        <row r="27">
          <cell r="Y27">
            <v>41455</v>
          </cell>
          <cell r="Z27">
            <v>-9.1119812649056206E-2</v>
          </cell>
          <cell r="AA27">
            <v>-0.80624194975637897</v>
          </cell>
          <cell r="AB27">
            <v>0.10984965041917</v>
          </cell>
          <cell r="AC27">
            <v>-0.9739997554717218</v>
          </cell>
          <cell r="AD27">
            <v>4.58668791457549E-2</v>
          </cell>
          <cell r="AE27">
            <v>-7.0760689233571997E-2</v>
          </cell>
          <cell r="AF27">
            <v>-2.2516902592332801E-15</v>
          </cell>
          <cell r="AG27">
            <v>1.6791398349593001E-14</v>
          </cell>
          <cell r="AH27">
            <v>2.3695055671628069E-2</v>
          </cell>
          <cell r="AI27">
            <v>-1.7627106218741613</v>
          </cell>
        </row>
        <row r="28">
          <cell r="Y28">
            <v>41547</v>
          </cell>
          <cell r="Z28">
            <v>-9.5154334832446896E-2</v>
          </cell>
          <cell r="AA28">
            <v>-0.73869767374041795</v>
          </cell>
          <cell r="AB28">
            <v>0.12294896632847099</v>
          </cell>
          <cell r="AC28">
            <v>-0.98494010029274903</v>
          </cell>
          <cell r="AD28">
            <v>6.87106751772492E-2</v>
          </cell>
          <cell r="AE28">
            <v>-5.3476410394696902E-2</v>
          </cell>
          <cell r="AF28">
            <v>-3.12575269569257E-15</v>
          </cell>
          <cell r="AG28">
            <v>1.81081833167386E-14</v>
          </cell>
          <cell r="AH28">
            <v>2.3405222834653006E-2</v>
          </cell>
          <cell r="AI28">
            <v>-1.6572036549199225</v>
          </cell>
        </row>
        <row r="29">
          <cell r="Y29">
            <v>41639</v>
          </cell>
          <cell r="Z29">
            <v>-0.105457437300936</v>
          </cell>
          <cell r="AA29">
            <v>-0.72062203820079895</v>
          </cell>
          <cell r="AB29">
            <v>0.18194056694239</v>
          </cell>
          <cell r="AC29">
            <v>-1.030379425217844</v>
          </cell>
          <cell r="AD29">
            <v>6.7501859959511204E-2</v>
          </cell>
          <cell r="AE29">
            <v>-5.7086859043375703E-2</v>
          </cell>
          <cell r="AF29">
            <v>-3.7113090173220201E-15</v>
          </cell>
          <cell r="AG29">
            <v>1.9047528886909899E-14</v>
          </cell>
          <cell r="AH29">
            <v>2.3119151310852001E-2</v>
          </cell>
          <cell r="AI29">
            <v>-1.6409841815501862</v>
          </cell>
        </row>
        <row r="30">
          <cell r="Y30">
            <v>41729</v>
          </cell>
          <cell r="Z30">
            <v>-0.11834689783023999</v>
          </cell>
          <cell r="AA30">
            <v>-0.69414312161213698</v>
          </cell>
          <cell r="AB30">
            <v>0.167453054008771</v>
          </cell>
          <cell r="AC30">
            <v>-0.95379376845669794</v>
          </cell>
          <cell r="AD30">
            <v>7.6480554050939495E-2</v>
          </cell>
          <cell r="AE30">
            <v>-5.8085960709708499E-2</v>
          </cell>
          <cell r="AF30">
            <v>-3.26612613002799E-15</v>
          </cell>
          <cell r="AG30">
            <v>1.9316449462914101E-14</v>
          </cell>
          <cell r="AH30">
            <v>2.2836789849823215E-2</v>
          </cell>
          <cell r="AI30">
            <v>-1.5575993506992338</v>
          </cell>
        </row>
        <row r="31">
          <cell r="Y31">
            <v>41820</v>
          </cell>
          <cell r="Z31">
            <v>-0.111275213585285</v>
          </cell>
          <cell r="AA31">
            <v>-0.71435160837171896</v>
          </cell>
          <cell r="AB31">
            <v>0.18325447602850001</v>
          </cell>
          <cell r="AC31">
            <v>-0.99027125240216696</v>
          </cell>
          <cell r="AD31">
            <v>8.3783305179253906E-2</v>
          </cell>
          <cell r="AE31">
            <v>-4.6469994737028703E-2</v>
          </cell>
          <cell r="AF31">
            <v>-4.1295484105175698E-15</v>
          </cell>
          <cell r="AG31">
            <v>2.06656574161374E-14</v>
          </cell>
          <cell r="AH31">
            <v>2.2558087897527324E-2</v>
          </cell>
          <cell r="AI31">
            <v>-1.5727721999909021</v>
          </cell>
        </row>
        <row r="32">
          <cell r="Y32">
            <v>41912</v>
          </cell>
          <cell r="Z32">
            <v>-0.11510662483526</v>
          </cell>
          <cell r="AA32">
            <v>-0.76647834064271303</v>
          </cell>
          <cell r="AB32">
            <v>0.18963334411617</v>
          </cell>
          <cell r="AC32">
            <v>-1.0035448939573941</v>
          </cell>
          <cell r="AD32">
            <v>7.4002361067374497E-2</v>
          </cell>
          <cell r="AE32">
            <v>-3.9949969397049097E-2</v>
          </cell>
          <cell r="AF32">
            <v>-4.3384639342795499E-15</v>
          </cell>
          <cell r="AG32">
            <v>2.16751363352797E-14</v>
          </cell>
          <cell r="AH32">
            <v>2.2282995587957717E-2</v>
          </cell>
          <cell r="AI32">
            <v>-1.6391611280608966</v>
          </cell>
        </row>
        <row r="33">
          <cell r="Y33">
            <v>42004</v>
          </cell>
          <cell r="Z33">
            <v>-0.119160945552541</v>
          </cell>
          <cell r="AA33">
            <v>-0.86898244355102605</v>
          </cell>
          <cell r="AB33">
            <v>0.13837637634446001</v>
          </cell>
          <cell r="AC33">
            <v>-0.96281043534510802</v>
          </cell>
          <cell r="AD33">
            <v>3.4887217761289002E-2</v>
          </cell>
          <cell r="AE33">
            <v>-3.6764408242339702E-2</v>
          </cell>
          <cell r="AF33">
            <v>-3.8141283771203704E-15</v>
          </cell>
          <cell r="AG33">
            <v>2.22473435413016E-14</v>
          </cell>
          <cell r="AH33">
            <v>2.2011463734905378E-2</v>
          </cell>
          <cell r="AI33">
            <v>-1.7924431748503422</v>
          </cell>
        </row>
        <row r="34">
          <cell r="Y34">
            <v>42094</v>
          </cell>
          <cell r="Z34">
            <v>-0.11487555311808401</v>
          </cell>
          <cell r="AA34">
            <v>-0.93971533081906999</v>
          </cell>
          <cell r="AB34">
            <v>0.100175333248047</v>
          </cell>
          <cell r="AC34">
            <v>-0.90114934955455495</v>
          </cell>
          <cell r="AD34">
            <v>3.0459427628007199E-2</v>
          </cell>
          <cell r="AE34">
            <v>-2.8734016662419901E-2</v>
          </cell>
          <cell r="AF34">
            <v>-3.1623015757181599E-15</v>
          </cell>
          <cell r="AG34">
            <v>2.2546023291761899E-14</v>
          </cell>
          <cell r="AH34">
            <v>2.1743443823740539E-2</v>
          </cell>
          <cell r="AI34">
            <v>-1.8320960454543147</v>
          </cell>
        </row>
        <row r="35">
          <cell r="Y35">
            <v>42185</v>
          </cell>
          <cell r="Z35">
            <v>-0.117953135471455</v>
          </cell>
          <cell r="AA35">
            <v>-0.96519906872184202</v>
          </cell>
          <cell r="AB35">
            <v>0.110533828238294</v>
          </cell>
          <cell r="AC35">
            <v>-0.83875959269782696</v>
          </cell>
          <cell r="AD35">
            <v>2.04485117197701E-2</v>
          </cell>
          <cell r="AE35">
            <v>-2.48412627424262E-2</v>
          </cell>
          <cell r="AF35">
            <v>-4.4943823306969198E-15</v>
          </cell>
          <cell r="AG35">
            <v>2.2991790309205901E-14</v>
          </cell>
          <cell r="AH35">
            <v>2.147888800328953E-2</v>
          </cell>
          <cell r="AI35">
            <v>-1.7942918316721781</v>
          </cell>
        </row>
        <row r="36">
          <cell r="Y36">
            <v>42277</v>
          </cell>
          <cell r="Z36">
            <v>-0.125597913387717</v>
          </cell>
          <cell r="AA36">
            <v>-1.11319310325527</v>
          </cell>
          <cell r="AB36">
            <v>6.1113727907729801E-2</v>
          </cell>
          <cell r="AC36">
            <v>-0.86434725582429395</v>
          </cell>
          <cell r="AD36">
            <v>3.4823216788481999E-3</v>
          </cell>
          <cell r="AE36">
            <v>-8.3156350266481594E-3</v>
          </cell>
          <cell r="AF36">
            <v>-4.2295913481771498E-15</v>
          </cell>
          <cell r="AG36">
            <v>2.3555789364936001E-14</v>
          </cell>
          <cell r="AH36">
            <v>2.121774907772284E-2</v>
          </cell>
          <cell r="AI36">
            <v>-2.025640108829609</v>
          </cell>
        </row>
        <row r="37">
          <cell r="Y37">
            <v>42369</v>
          </cell>
          <cell r="Z37">
            <v>-0.123385816084379</v>
          </cell>
          <cell r="AA37">
            <v>-1.10253625282666</v>
          </cell>
          <cell r="AB37">
            <v>3.91082061710884E-2</v>
          </cell>
          <cell r="AC37">
            <v>-0.8585520848219359</v>
          </cell>
          <cell r="AD37">
            <v>-1.7979388833935701E-2</v>
          </cell>
          <cell r="AE37">
            <v>-4.1530978142240299E-3</v>
          </cell>
          <cell r="AF37">
            <v>-3.8584636180738897E-15</v>
          </cell>
          <cell r="AG37">
            <v>2.44216231788512E-14</v>
          </cell>
          <cell r="AH37">
            <v>2.0959980498521207E-2</v>
          </cell>
          <cell r="AI37">
            <v>-2.0465384537115048</v>
          </cell>
        </row>
        <row r="38">
          <cell r="Y38">
            <v>42460</v>
          </cell>
          <cell r="Z38">
            <v>-0.121891486435752</v>
          </cell>
          <cell r="AA38">
            <v>-1.26056272834667</v>
          </cell>
          <cell r="AB38">
            <v>2.7336973852379501E-2</v>
          </cell>
          <cell r="AC38">
            <v>-0.8471148485446629</v>
          </cell>
          <cell r="AD38">
            <v>-2.9904165698923301E-2</v>
          </cell>
          <cell r="AE38">
            <v>-5.7038221653730901E-3</v>
          </cell>
          <cell r="AF38">
            <v>-4.1431140076853697E-15</v>
          </cell>
          <cell r="AG38">
            <v>2.5156568581220699E-14</v>
          </cell>
          <cell r="AH38">
            <v>2.0705536356511758E-2</v>
          </cell>
          <cell r="AI38">
            <v>-2.2171345409824688</v>
          </cell>
        </row>
        <row r="39">
          <cell r="Y39">
            <v>42551</v>
          </cell>
          <cell r="Z39">
            <v>-0.13450480537767101</v>
          </cell>
          <cell r="AA39">
            <v>-1.12590633440943</v>
          </cell>
          <cell r="AB39">
            <v>6.0937053373189998E-2</v>
          </cell>
          <cell r="AC39">
            <v>-0.84732038247686603</v>
          </cell>
          <cell r="AD39">
            <v>9.45385798320688E-3</v>
          </cell>
          <cell r="AE39">
            <v>-1.6619202436823501E-2</v>
          </cell>
          <cell r="AF39">
            <v>-5.6564843041237601E-15</v>
          </cell>
          <cell r="AG39">
            <v>2.6019731422664299E-14</v>
          </cell>
          <cell r="AH39">
            <v>2.0454371373930736E-2</v>
          </cell>
          <cell r="AI39">
            <v>-2.0335054419704428</v>
          </cell>
        </row>
        <row r="40">
          <cell r="Y40">
            <v>42643</v>
          </cell>
          <cell r="Z40">
            <v>-0.13551749456593401</v>
          </cell>
          <cell r="AA40">
            <v>-1.08539973037889</v>
          </cell>
          <cell r="AB40">
            <v>0.104377790531262</v>
          </cell>
          <cell r="AC40">
            <v>-0.84006567507358298</v>
          </cell>
          <cell r="AD40">
            <v>2.0183166506804798E-2</v>
          </cell>
          <cell r="AE40">
            <v>-1.76948868614424E-2</v>
          </cell>
          <cell r="AF40">
            <v>-5.4243665870615397E-15</v>
          </cell>
          <cell r="AG40">
            <v>2.6870512452392001E-14</v>
          </cell>
          <cell r="AH40">
            <v>2.0206440896591484E-2</v>
          </cell>
          <cell r="AI40">
            <v>-1.9339103889451699</v>
          </cell>
        </row>
        <row r="41">
          <cell r="Y41">
            <v>42735</v>
          </cell>
          <cell r="Z41">
            <v>-0.137526326878601</v>
          </cell>
          <cell r="AA41">
            <v>-0.93666726245213305</v>
          </cell>
          <cell r="AB41">
            <v>0.16580174034887499</v>
          </cell>
          <cell r="AC41">
            <v>-0.81724472131444104</v>
          </cell>
          <cell r="AD41">
            <v>3.7175312478348502E-2</v>
          </cell>
          <cell r="AE41">
            <v>-1.28710697974309E-2</v>
          </cell>
          <cell r="AF41">
            <v>-5.5508143237524598E-15</v>
          </cell>
          <cell r="AG41">
            <v>2.74351613588568E-14</v>
          </cell>
          <cell r="AH41">
            <v>1.9961700886055041E-2</v>
          </cell>
          <cell r="AI41">
            <v>-1.6813706267293054</v>
          </cell>
        </row>
        <row r="42">
          <cell r="Y42">
            <v>42825</v>
          </cell>
          <cell r="Z42">
            <v>-0.14395711345797599</v>
          </cell>
          <cell r="AA42">
            <v>-0.83494174381771402</v>
          </cell>
          <cell r="AB42">
            <v>0.191153053446878</v>
          </cell>
          <cell r="AC42">
            <v>-0.79364725948422499</v>
          </cell>
          <cell r="AD42">
            <v>3.6145267765120101E-2</v>
          </cell>
          <cell r="AE42">
            <v>-2.38010470093485E-2</v>
          </cell>
          <cell r="AF42">
            <v>-5.9099875123810497E-15</v>
          </cell>
          <cell r="AG42">
            <v>2.79481294664976E-14</v>
          </cell>
          <cell r="AH42">
            <v>1.9720107911916817E-2</v>
          </cell>
          <cell r="AI42">
            <v>-1.5493287346453266</v>
          </cell>
        </row>
        <row r="43">
          <cell r="Y43">
            <v>42916</v>
          </cell>
          <cell r="Z43">
            <v>-0.13970082214060001</v>
          </cell>
          <cell r="AA43">
            <v>-0.80127705063798604</v>
          </cell>
          <cell r="AB43">
            <v>0.185373910002222</v>
          </cell>
          <cell r="AC43">
            <v>-0.78733723528067801</v>
          </cell>
          <cell r="AD43">
            <v>4.2120163108155598E-2</v>
          </cell>
          <cell r="AE43">
            <v>-1.49993227933137E-2</v>
          </cell>
          <cell r="AF43">
            <v>-5.4047880540137696E-15</v>
          </cell>
          <cell r="AG43">
            <v>2.8562443017435299E-14</v>
          </cell>
          <cell r="AH43">
            <v>1.9481619144116863E-2</v>
          </cell>
          <cell r="AI43">
            <v>-1.4963387385980598</v>
          </cell>
        </row>
        <row r="44">
          <cell r="Y44">
            <v>43008</v>
          </cell>
          <cell r="Z44">
            <v>-0.13993463027939801</v>
          </cell>
          <cell r="AA44">
            <v>-0.71923842396916504</v>
          </cell>
          <cell r="AB44">
            <v>0.18103331610285101</v>
          </cell>
          <cell r="AC44">
            <v>-0.69834195864457405</v>
          </cell>
          <cell r="AD44">
            <v>3.5219664980268399E-2</v>
          </cell>
          <cell r="AE44">
            <v>-1.9303330985388101E-2</v>
          </cell>
          <cell r="AF44">
            <v>-5.5340510819394302E-15</v>
          </cell>
          <cell r="AG44">
            <v>2.8891264010407199E-14</v>
          </cell>
          <cell r="AH44">
            <v>1.9246192345334725E-2</v>
          </cell>
          <cell r="AI44">
            <v>-1.3413191704500478</v>
          </cell>
        </row>
        <row r="45">
          <cell r="Y45">
            <v>43100</v>
          </cell>
          <cell r="Z45">
            <v>-0.145297829673565</v>
          </cell>
          <cell r="AA45">
            <v>-0.62598101534480199</v>
          </cell>
          <cell r="AB45">
            <v>0.16751848937000999</v>
          </cell>
          <cell r="AC45">
            <v>-0.633010745696858</v>
          </cell>
          <cell r="AD45">
            <v>4.3322696420583999E-2</v>
          </cell>
          <cell r="AE45">
            <v>-5.1229632689408101E-3</v>
          </cell>
          <cell r="AF45">
            <v>-6.1154286988699499E-15</v>
          </cell>
          <cell r="AG45">
            <v>2.9131359507493102E-14</v>
          </cell>
          <cell r="AH45">
            <v>1.9013785863444179E-2</v>
          </cell>
          <cell r="AI45">
            <v>-1.1795575823301048</v>
          </cell>
        </row>
        <row r="46">
          <cell r="Y46">
            <v>43190</v>
          </cell>
          <cell r="Z46">
            <v>-0.14572709304308201</v>
          </cell>
          <cell r="AA46">
            <v>-0.53714645109719406</v>
          </cell>
          <cell r="AB46">
            <v>0.17663367974411401</v>
          </cell>
          <cell r="AC46">
            <v>-0.61697202778790694</v>
          </cell>
          <cell r="AD46">
            <v>4.3454715388481703E-2</v>
          </cell>
          <cell r="AE46">
            <v>6.7560800406798105E-4</v>
          </cell>
          <cell r="AF46">
            <v>-6.9893780978445799E-15</v>
          </cell>
          <cell r="AG46">
            <v>2.9685032715188102E-14</v>
          </cell>
          <cell r="AH46">
            <v>1.8784358624023129E-2</v>
          </cell>
          <cell r="AI46">
            <v>-1.0602972101674732</v>
          </cell>
        </row>
        <row r="47">
          <cell r="Y47">
            <v>43281</v>
          </cell>
          <cell r="Z47">
            <v>-0.140884736426341</v>
          </cell>
          <cell r="AA47">
            <v>-0.58721754073995303</v>
          </cell>
          <cell r="AB47">
            <v>0.16839157779556799</v>
          </cell>
          <cell r="AC47">
            <v>-0.66657682009865704</v>
          </cell>
          <cell r="AD47">
            <v>2.8146481314860701E-2</v>
          </cell>
          <cell r="AE47">
            <v>8.5878314608262007E-3</v>
          </cell>
          <cell r="AF47">
            <v>-7.4088920015999306E-15</v>
          </cell>
          <cell r="AG47">
            <v>3.0427574013937497E-14</v>
          </cell>
          <cell r="AH47">
            <v>1.855787012293773E-2</v>
          </cell>
          <cell r="AI47">
            <v>-1.1709953365707357</v>
          </cell>
        </row>
        <row r="48">
          <cell r="Y48">
            <v>43373</v>
          </cell>
          <cell r="Z48">
            <v>-0.132211963967964</v>
          </cell>
          <cell r="AA48">
            <v>-0.559680174782064</v>
          </cell>
          <cell r="AB48">
            <v>0.16537017809483301</v>
          </cell>
          <cell r="AC48">
            <v>-0.61890394583170394</v>
          </cell>
          <cell r="AD48">
            <v>1.47816146213325E-2</v>
          </cell>
          <cell r="AE48">
            <v>8.7231960608725508E-3</v>
          </cell>
          <cell r="AF48">
            <v>-6.85591405684712E-15</v>
          </cell>
          <cell r="AG48">
            <v>3.0958462046888902E-14</v>
          </cell>
          <cell r="AH48">
            <v>1.8334280418982177E-2</v>
          </cell>
          <cell r="AI48">
            <v>-1.1035868153856878</v>
          </cell>
        </row>
        <row r="49">
          <cell r="Y49">
            <v>43465</v>
          </cell>
          <cell r="Z49">
            <v>-0.127272466619057</v>
          </cell>
          <cell r="AA49">
            <v>-0.60738694391723602</v>
          </cell>
          <cell r="AB49">
            <v>0.12969325631001599</v>
          </cell>
          <cell r="AC49">
            <v>-0.61633290881155101</v>
          </cell>
          <cell r="AD49">
            <v>2.13994554136194E-3</v>
          </cell>
          <cell r="AE49">
            <v>1.3086717095133E-2</v>
          </cell>
          <cell r="AF49">
            <v>-7.2729328520955908E-15</v>
          </cell>
          <cell r="AG49">
            <v>3.1684033246646699E-14</v>
          </cell>
          <cell r="AH49">
            <v>1.8113550126605135E-2</v>
          </cell>
          <cell r="AI49">
            <v>-1.1879588502747034</v>
          </cell>
        </row>
        <row r="50">
          <cell r="Y50">
            <v>43555</v>
          </cell>
          <cell r="Z50">
            <v>-0.11222825198620601</v>
          </cell>
          <cell r="AA50">
            <v>-0.64862907995425301</v>
          </cell>
          <cell r="AB50">
            <v>7.3149497253332904E-2</v>
          </cell>
          <cell r="AC50">
            <v>-0.56642884471466592</v>
          </cell>
          <cell r="AD50">
            <v>6.8760020613094002E-4</v>
          </cell>
          <cell r="AE50">
            <v>2.3983689541636499E-2</v>
          </cell>
          <cell r="AF50">
            <v>-6.8517557257370098E-15</v>
          </cell>
          <cell r="AG50">
            <v>3.1376222161254699E-14</v>
          </cell>
          <cell r="AH50">
            <v>1.7895640408672128E-2</v>
          </cell>
          <cell r="AI50">
            <v>-1.2115697492453281</v>
          </cell>
        </row>
        <row r="51">
          <cell r="Y51">
            <v>43646</v>
          </cell>
          <cell r="Z51">
            <v>-0.12812934126296899</v>
          </cell>
          <cell r="AA51">
            <v>-0.66231419887295495</v>
          </cell>
          <cell r="AB51">
            <v>8.3008189016326603E-2</v>
          </cell>
          <cell r="AC51">
            <v>-0.631657654757661</v>
          </cell>
          <cell r="AD51">
            <v>1.4566512303119301E-2</v>
          </cell>
          <cell r="AE51">
            <v>2.4743168439793999E-2</v>
          </cell>
          <cell r="AF51">
            <v>-7.3345217164969705E-15</v>
          </cell>
          <cell r="AG51">
            <v>3.2040633874363401E-14</v>
          </cell>
          <cell r="AH51">
            <v>1.7680512969329515E-2</v>
          </cell>
          <cell r="AI51">
            <v>-1.2821028121649907</v>
          </cell>
        </row>
        <row r="52">
          <cell r="Y52">
            <v>43738</v>
          </cell>
          <cell r="Z52">
            <v>-0.127618424958238</v>
          </cell>
          <cell r="AA52">
            <v>-0.65676263748260599</v>
          </cell>
          <cell r="AB52">
            <v>9.9984981204624901E-2</v>
          </cell>
          <cell r="AC52">
            <v>-0.66519971779248099</v>
          </cell>
          <cell r="AD52">
            <v>-3.4536178463276E-3</v>
          </cell>
          <cell r="AE52">
            <v>2.63941895266159E-3</v>
          </cell>
          <cell r="AF52">
            <v>-7.2736265880624807E-15</v>
          </cell>
          <cell r="AG52">
            <v>3.2820085550210403E-14</v>
          </cell>
          <cell r="AH52">
            <v>1.7468130046901221E-2</v>
          </cell>
          <cell r="AI52">
            <v>-1.3329418678754392</v>
          </cell>
        </row>
        <row r="53">
          <cell r="Y53">
            <v>43830</v>
          </cell>
          <cell r="Z53">
            <v>-0.119345877141045</v>
          </cell>
          <cell r="AA53">
            <v>-0.58869135735862099</v>
          </cell>
          <cell r="AB53">
            <v>0.109662925668675</v>
          </cell>
          <cell r="AC53">
            <v>-0.556372153627404</v>
          </cell>
          <cell r="AD53">
            <v>-2.65852945151159E-2</v>
          </cell>
          <cell r="AE53">
            <v>-2.0275822295024601E-2</v>
          </cell>
          <cell r="AF53">
            <v>-7.07144908040621E-15</v>
          </cell>
          <cell r="AG53">
            <v>3.2791968178851198E-14</v>
          </cell>
          <cell r="AH53">
            <v>1.7258454406872261E-2</v>
          </cell>
          <cell r="AI53">
            <v>-1.1843491248616373</v>
          </cell>
        </row>
        <row r="54">
          <cell r="Y54">
            <v>43921</v>
          </cell>
          <cell r="Z54">
            <v>-0.123927026317042</v>
          </cell>
          <cell r="AA54">
            <v>-0.79307268770661998</v>
          </cell>
          <cell r="AB54">
            <v>1.01338406176753E-2</v>
          </cell>
          <cell r="AC54">
            <v>-0.57973025488227603</v>
          </cell>
          <cell r="AD54">
            <v>-3.2149122529001803E-2</v>
          </cell>
          <cell r="AE54">
            <v>-2.5731235584775899E-2</v>
          </cell>
          <cell r="AF54">
            <v>-7.38974476703336E-15</v>
          </cell>
          <cell r="AG54">
            <v>3.2821584578657701E-14</v>
          </cell>
          <cell r="AH54">
            <v>1.7051449334942615E-2</v>
          </cell>
          <cell r="AI54">
            <v>-1.5274250370670723</v>
          </cell>
        </row>
        <row r="55">
          <cell r="Y55">
            <v>44012</v>
          </cell>
          <cell r="Z55">
            <v>-0.12956773130857499</v>
          </cell>
          <cell r="AA55">
            <v>-0.88571520164976003</v>
          </cell>
          <cell r="AB55">
            <v>-7.9479266828179101E-2</v>
          </cell>
          <cell r="AC55">
            <v>-0.61089627040463301</v>
          </cell>
          <cell r="AD55">
            <v>-4.0312625187850198E-2</v>
          </cell>
          <cell r="AE55">
            <v>-3.2049964449024802E-3</v>
          </cell>
          <cell r="AF55">
            <v>-4.6508578276400899E-15</v>
          </cell>
          <cell r="AG55">
            <v>3.2710704771306901E-14</v>
          </cell>
          <cell r="AH55">
            <v>1.6847078630148622E-2</v>
          </cell>
          <cell r="AI55">
            <v>-1.7323290131937235</v>
          </cell>
        </row>
        <row r="56">
          <cell r="Y56">
            <v>44104</v>
          </cell>
          <cell r="Z56">
            <v>-0.139563165806877</v>
          </cell>
          <cell r="AA56">
            <v>-0.717624916921622</v>
          </cell>
          <cell r="AB56">
            <v>-7.0910403781761902E-2</v>
          </cell>
          <cell r="AC56">
            <v>-0.38299846067597898</v>
          </cell>
          <cell r="AD56">
            <v>1.29316228517165E-2</v>
          </cell>
          <cell r="AE56">
            <v>1.92651267021674E-3</v>
          </cell>
          <cell r="AF56">
            <v>-7.8598141503593193E-15</v>
          </cell>
          <cell r="AG56">
            <v>3.2594814404997302E-14</v>
          </cell>
          <cell r="AH56">
            <v>1.6645306598027945E-2</v>
          </cell>
          <cell r="AI56">
            <v>-1.2795935050662539</v>
          </cell>
        </row>
        <row r="57">
          <cell r="Y57">
            <v>44196</v>
          </cell>
          <cell r="Z57">
            <v>-0.13096935159433601</v>
          </cell>
          <cell r="AA57">
            <v>-0.58650216213405704</v>
          </cell>
          <cell r="AB57">
            <v>-5.09021146009557E-2</v>
          </cell>
          <cell r="AC57">
            <v>-0.41557375165791799</v>
          </cell>
          <cell r="AD57">
            <v>5.4270973234433598E-2</v>
          </cell>
          <cell r="AE57">
            <v>3.2900192090443099E-2</v>
          </cell>
          <cell r="AF57">
            <v>-7.6934295863349405E-15</v>
          </cell>
          <cell r="AG57">
            <v>3.18935026388154E-14</v>
          </cell>
          <cell r="AH57">
            <v>1.6446098043902374E-2</v>
          </cell>
          <cell r="AI57">
            <v>-1.0803301166184638</v>
          </cell>
        </row>
        <row r="58">
          <cell r="Y58">
            <v>44286</v>
          </cell>
          <cell r="Z58">
            <v>-0.158504681285563</v>
          </cell>
          <cell r="AA58">
            <v>-0.43924078489912999</v>
          </cell>
          <cell r="AB58">
            <v>6.6759392717142194E-2</v>
          </cell>
          <cell r="AC58">
            <v>-0.34706820394082</v>
          </cell>
          <cell r="AD58">
            <v>1.1294860433965799E-2</v>
          </cell>
          <cell r="AE58">
            <v>-1.2282021269391199E-2</v>
          </cell>
          <cell r="AF58">
            <v>-1.0188422056261099E-14</v>
          </cell>
          <cell r="AG58">
            <v>3.23193695960586E-14</v>
          </cell>
          <cell r="AH58">
            <v>1.624941826616353E-2</v>
          </cell>
          <cell r="AI58">
            <v>-0.86279201997761057</v>
          </cell>
        </row>
        <row r="59">
          <cell r="Y59">
            <v>44377</v>
          </cell>
          <cell r="Z59">
            <v>-0.198087475570313</v>
          </cell>
          <cell r="AA59">
            <v>-0.366174027445826</v>
          </cell>
          <cell r="AB59">
            <v>9.4109227003337501E-2</v>
          </cell>
          <cell r="AC59">
            <v>-0.26411224482448681</v>
          </cell>
          <cell r="AD59">
            <v>-5.0987896464084699E-2</v>
          </cell>
          <cell r="AE59">
            <v>-5.7444331932835303E-2</v>
          </cell>
          <cell r="AF59">
            <v>-1.3465110135713701E-14</v>
          </cell>
          <cell r="AG59">
            <v>3.2365755745878297E-14</v>
          </cell>
          <cell r="AH59">
            <v>1.6055233049691829E-2</v>
          </cell>
          <cell r="AI59">
            <v>-0.82664151618449744</v>
          </cell>
        </row>
        <row r="60">
          <cell r="Y60">
            <v>44469</v>
          </cell>
          <cell r="Z60">
            <v>-0.18253860796940199</v>
          </cell>
          <cell r="AA60">
            <v>-0.32735517720011498</v>
          </cell>
          <cell r="AB60">
            <v>0.10585840698514799</v>
          </cell>
          <cell r="AC60">
            <v>-0.40614982665432797</v>
          </cell>
          <cell r="AD60">
            <v>-2.9927182196509701E-2</v>
          </cell>
          <cell r="AE60">
            <v>-4.46995352392901E-2</v>
          </cell>
          <cell r="AF60">
            <v>-1.4678883821933699E-14</v>
          </cell>
          <cell r="AG60">
            <v>3.2676600783173003E-14</v>
          </cell>
          <cell r="AH60">
            <v>1.5863508659296987E-2</v>
          </cell>
          <cell r="AI60">
            <v>-0.86894841361518182</v>
          </cell>
        </row>
        <row r="61">
          <cell r="Y61">
            <v>44561</v>
          </cell>
          <cell r="Z61">
            <v>-0.16361501281638</v>
          </cell>
          <cell r="AA61">
            <v>-0.32193092488806602</v>
          </cell>
          <cell r="AB61">
            <v>0.13534883360642</v>
          </cell>
          <cell r="AC61">
            <v>-0.46480045708810702</v>
          </cell>
          <cell r="AD61">
            <v>-4.0471875940992497E-2</v>
          </cell>
          <cell r="AE61">
            <v>-3.6680630192912803E-2</v>
          </cell>
          <cell r="AF61">
            <v>-1.6451280744712401E-14</v>
          </cell>
          <cell r="AG61">
            <v>3.3065358764624903E-14</v>
          </cell>
          <cell r="AH61">
            <v>1.5674211833275203E-2</v>
          </cell>
          <cell r="AI61">
            <v>-0.87647585548674634</v>
          </cell>
        </row>
        <row r="62">
          <cell r="Y62">
            <v>44651</v>
          </cell>
          <cell r="Z62">
            <v>-0.16081164147108001</v>
          </cell>
          <cell r="AA62">
            <v>-0.44333422198414602</v>
          </cell>
          <cell r="AB62">
            <v>0.15819713977651101</v>
          </cell>
          <cell r="AC62">
            <v>-0.54024973049730596</v>
          </cell>
          <cell r="AD62">
            <v>6.0592638264893501E-4</v>
          </cell>
          <cell r="AE62">
            <v>3.1758349636247601E-2</v>
          </cell>
          <cell r="AF62">
            <v>-1.8833327346544299E-14</v>
          </cell>
          <cell r="AG62">
            <v>3.4203333217356298E-14</v>
          </cell>
          <cell r="AH62">
            <v>1.5487309776966525E-2</v>
          </cell>
          <cell r="AI62">
            <v>-0.93834686838014258</v>
          </cell>
        </row>
        <row r="63">
          <cell r="Y63">
            <v>44742</v>
          </cell>
          <cell r="Z63">
            <v>-0.16413371141581501</v>
          </cell>
          <cell r="AA63">
            <v>-0.35405222447881202</v>
          </cell>
          <cell r="AB63">
            <v>0.241343202347858</v>
          </cell>
          <cell r="AC63">
            <v>-0.78070210182132493</v>
          </cell>
          <cell r="AD63">
            <v>-4.0604788100907403E-2</v>
          </cell>
          <cell r="AE63">
            <v>2.8612543321535101E-2</v>
          </cell>
          <cell r="AF63">
            <v>-2.0440667265013699E-14</v>
          </cell>
          <cell r="AG63">
            <v>3.5984823855253002E-14</v>
          </cell>
          <cell r="AH63">
            <v>1.5302770156457134E-2</v>
          </cell>
          <cell r="AI63">
            <v>-1.0542343099909934</v>
          </cell>
        </row>
        <row r="64">
          <cell r="Y64">
            <v>44834</v>
          </cell>
          <cell r="Z64">
            <v>-0.15489273699270001</v>
          </cell>
          <cell r="AA64">
            <v>-0.29028640422250201</v>
          </cell>
          <cell r="AB64">
            <v>0.29374628590519702</v>
          </cell>
          <cell r="AC64">
            <v>-0.79981459743862005</v>
          </cell>
          <cell r="AD64">
            <v>-5.9955037064387498E-2</v>
          </cell>
          <cell r="AE64">
            <v>3.9412626292984303E-2</v>
          </cell>
          <cell r="AF64">
            <v>-2.0641202691026501E-14</v>
          </cell>
          <cell r="AG64">
            <v>3.67248659805942E-14</v>
          </cell>
          <cell r="AH64">
            <v>1.5120561092279087E-2</v>
          </cell>
          <cell r="AI64">
            <v>-0.95666930242773307</v>
          </cell>
        </row>
        <row r="65">
          <cell r="Y65">
            <v>44926</v>
          </cell>
          <cell r="Z65">
            <v>-0.154920537043373</v>
          </cell>
          <cell r="AA65">
            <v>-0.23935864198090601</v>
          </cell>
          <cell r="AB65">
            <v>0.34232106472177298</v>
          </cell>
          <cell r="AC65">
            <v>-0.95125695440741198</v>
          </cell>
          <cell r="AD65">
            <v>-7.1823439263221905E-2</v>
          </cell>
          <cell r="AE65">
            <v>3.6397984120373997E-2</v>
          </cell>
          <cell r="AF65">
            <v>-2.12692810912844E-14</v>
          </cell>
          <cell r="AG65">
            <v>3.80205563965848E-14</v>
          </cell>
          <cell r="AH65">
            <v>1.4940651153249239E-2</v>
          </cell>
          <cell r="AI65">
            <v>-1.0236998726994999</v>
          </cell>
        </row>
        <row r="66">
          <cell r="Y66">
            <v>45016</v>
          </cell>
          <cell r="Z66">
            <v>-0.15587828197259501</v>
          </cell>
          <cell r="AA66">
            <v>-0.233489262319095</v>
          </cell>
          <cell r="AB66">
            <v>0.31739258191987602</v>
          </cell>
          <cell r="AC66">
            <v>-0.61488270078752394</v>
          </cell>
          <cell r="AD66">
            <v>-5.7007910613677402E-2</v>
          </cell>
          <cell r="AE66">
            <v>5.9713552194289803E-2</v>
          </cell>
          <cell r="AF66">
            <v>-2.2327032836956201E-14</v>
          </cell>
          <cell r="AG66">
            <v>3.90715927863564E-14</v>
          </cell>
          <cell r="AH66">
            <v>1.4763009350312406E-2</v>
          </cell>
          <cell r="AI66">
            <v>-0.66938901222839642</v>
          </cell>
        </row>
        <row r="67">
          <cell r="Y67">
            <v>45107</v>
          </cell>
          <cell r="Z67">
            <v>-0.161835902942537</v>
          </cell>
          <cell r="AA67">
            <v>-0.23971461638024799</v>
          </cell>
          <cell r="AB67">
            <v>0.34550865978247702</v>
          </cell>
          <cell r="AC67">
            <v>-0.67812788498431797</v>
          </cell>
          <cell r="AD67">
            <v>-1.9889655247962299E-2</v>
          </cell>
          <cell r="AE67">
            <v>8.8485534828335197E-2</v>
          </cell>
          <cell r="AF67">
            <v>-2.2079440016881799E-14</v>
          </cell>
          <cell r="AG67">
            <v>3.9593114829579002E-14</v>
          </cell>
          <cell r="AH67">
            <v>1.458760513050446E-2</v>
          </cell>
          <cell r="AI67">
            <v>-0.65098625981373093</v>
          </cell>
        </row>
        <row r="68">
          <cell r="Y68">
            <v>45199</v>
          </cell>
          <cell r="Z68">
            <v>-0.15250710932225001</v>
          </cell>
          <cell r="AA68">
            <v>-7.9030365234388694E-2</v>
          </cell>
          <cell r="AB68">
            <v>0.41855031136103799</v>
          </cell>
          <cell r="AC68">
            <v>-0.62179102362729999</v>
          </cell>
          <cell r="AD68">
            <v>-3.8211549356562402E-2</v>
          </cell>
          <cell r="AE68">
            <v>6.7983067163841601E-2</v>
          </cell>
          <cell r="AF68">
            <v>-2.1891699045423799E-14</v>
          </cell>
          <cell r="AG68">
            <v>4.0177487967300999E-14</v>
          </cell>
          <cell r="AH68">
            <v>1.4414408370947859E-2</v>
          </cell>
          <cell r="AI68">
            <v>-0.3905922606446553</v>
          </cell>
        </row>
        <row r="69">
          <cell r="Y69">
            <v>45291</v>
          </cell>
          <cell r="Z69">
            <v>-0.15286543478265999</v>
          </cell>
          <cell r="AA69">
            <v>-6.0451129937793703E-2</v>
          </cell>
          <cell r="AB69">
            <v>0.42227925788713699</v>
          </cell>
          <cell r="AC69">
            <v>-0.66625214898787699</v>
          </cell>
          <cell r="AD69">
            <v>-3.1496433560984201E-2</v>
          </cell>
          <cell r="AE69">
            <v>5.7833958696511201E-2</v>
          </cell>
          <cell r="AF69">
            <v>-2.12830987272179E-14</v>
          </cell>
          <cell r="AG69">
            <v>4.0666901433997401E-14</v>
          </cell>
          <cell r="AH69">
            <v>1.4243389372927321E-2</v>
          </cell>
          <cell r="AI69">
            <v>-0.41670854131271995</v>
          </cell>
        </row>
        <row r="70">
          <cell r="Y70">
            <v>45382</v>
          </cell>
          <cell r="Z70">
            <v>-0.16249663397403899</v>
          </cell>
          <cell r="AA70">
            <v>-9.6077797829872094E-2</v>
          </cell>
          <cell r="AB70">
            <v>0.43522038244167199</v>
          </cell>
          <cell r="AC70">
            <v>-0.49462664838708803</v>
          </cell>
          <cell r="AD70">
            <v>9.1978312410350696E-4</v>
          </cell>
          <cell r="AE70">
            <v>6.6223182648320195E-2</v>
          </cell>
          <cell r="AF70">
            <v>-2.2700397586364601E-14</v>
          </cell>
          <cell r="AG70">
            <v>4.04395864923198E-14</v>
          </cell>
          <cell r="AH70">
            <v>1.4074518856033261E-2</v>
          </cell>
          <cell r="AI70">
            <v>-0.23676321312085244</v>
          </cell>
        </row>
        <row r="71">
          <cell r="Y71">
            <v>45473</v>
          </cell>
          <cell r="Z71">
            <v>-0.16478724063563199</v>
          </cell>
          <cell r="AA71">
            <v>-8.98709283629609E-2</v>
          </cell>
          <cell r="AB71">
            <v>0.48627179567766698</v>
          </cell>
          <cell r="AC71">
            <v>-0.58420603598251297</v>
          </cell>
          <cell r="AD71">
            <v>-1.19339740527403E-2</v>
          </cell>
          <cell r="AE71">
            <v>4.7973355258498801E-2</v>
          </cell>
          <cell r="AF71">
            <v>-2.2742835611200001E-14</v>
          </cell>
          <cell r="AG71">
            <v>4.1182123489524502E-14</v>
          </cell>
          <cell r="AH71">
            <v>1.3907767952399761E-2</v>
          </cell>
          <cell r="AI71">
            <v>-0.30264526014526216</v>
          </cell>
        </row>
        <row r="72">
          <cell r="Y72">
            <v>45565</v>
          </cell>
          <cell r="Z72">
            <v>-0.17306390857123399</v>
          </cell>
          <cell r="AA72">
            <v>-0.12828041779680899</v>
          </cell>
          <cell r="AB72">
            <v>0.477826531351566</v>
          </cell>
          <cell r="AC72">
            <v>-0.65396894964448904</v>
          </cell>
          <cell r="AD72">
            <v>-1.2844082556844501E-2</v>
          </cell>
          <cell r="AE72">
            <v>4.3044514256790498E-2</v>
          </cell>
          <cell r="AF72">
            <v>-2.2484249134806501E-14</v>
          </cell>
          <cell r="AG72">
            <v>4.2016076568960299E-14</v>
          </cell>
          <cell r="AH72">
            <v>1.3743108200941566E-2</v>
          </cell>
          <cell r="AI72">
            <v>-0.43354320476005892</v>
          </cell>
        </row>
        <row r="73">
          <cell r="Y73">
            <v>45657</v>
          </cell>
          <cell r="Z73">
            <v>-0.17107207284220799</v>
          </cell>
          <cell r="AA73">
            <v>-0.12699781963962101</v>
          </cell>
          <cell r="AB73">
            <v>0.472690257236627</v>
          </cell>
          <cell r="AC73">
            <v>-0.64433304553764104</v>
          </cell>
          <cell r="AD73">
            <v>-1.70154527183097E-2</v>
          </cell>
          <cell r="AE73">
            <v>3.8913803715301003E-2</v>
          </cell>
          <cell r="AF73">
            <v>-2.2135135202931101E-14</v>
          </cell>
          <cell r="AG73">
            <v>4.2495849287064102E-14</v>
          </cell>
          <cell r="AH73">
            <v>1.3580511541731649E-2</v>
          </cell>
          <cell r="AI73">
            <v>-0.43423381824409968</v>
          </cell>
        </row>
        <row r="74">
          <cell r="Y74">
            <v>45747</v>
          </cell>
          <cell r="Z74">
            <v>-0.169082893810171</v>
          </cell>
          <cell r="AA74">
            <v>-0.125727948389079</v>
          </cell>
          <cell r="AB74">
            <v>0.46771396900566697</v>
          </cell>
          <cell r="AC74">
            <v>-0.63420018632127406</v>
          </cell>
          <cell r="AD74">
            <v>-2.0663114487445199E-2</v>
          </cell>
          <cell r="AE74">
            <v>3.5200104663305497E-2</v>
          </cell>
          <cell r="AF74">
            <v>-2.17765658951801E-14</v>
          </cell>
          <cell r="AG74">
            <v>4.2955120816308199E-14</v>
          </cell>
          <cell r="AH74">
            <v>1.3419950310407519E-2</v>
          </cell>
          <cell r="AI74">
            <v>-0.43334011902856806</v>
          </cell>
        </row>
        <row r="75">
          <cell r="Y75">
            <v>45838</v>
          </cell>
          <cell r="Z75">
            <v>-0.16710071510637101</v>
          </cell>
          <cell r="AA75">
            <v>-0.124470724421024</v>
          </cell>
          <cell r="AB75">
            <v>0.46286310954541299</v>
          </cell>
          <cell r="AC75">
            <v>-0.62365945521939192</v>
          </cell>
          <cell r="AD75">
            <v>-2.38299220350453E-2</v>
          </cell>
          <cell r="AE75">
            <v>3.1865479729335601E-2</v>
          </cell>
          <cell r="AF75">
            <v>-2.1409647413498701E-14</v>
          </cell>
          <cell r="AG75">
            <v>4.3394601943611298E-14</v>
          </cell>
          <cell r="AH75">
            <v>1.3261397232650081E-2</v>
          </cell>
          <cell r="AI75">
            <v>-0.43107083027441156</v>
          </cell>
        </row>
        <row r="76">
          <cell r="Y76">
            <v>45930</v>
          </cell>
          <cell r="Z76">
            <v>-0.16512898712159799</v>
          </cell>
          <cell r="AA76">
            <v>-0.123226045995211</v>
          </cell>
          <cell r="AB76">
            <v>0.45811346684597298</v>
          </cell>
          <cell r="AC76">
            <v>-0.61279593183709702</v>
          </cell>
          <cell r="AD76">
            <v>-2.6558057773517801E-2</v>
          </cell>
          <cell r="AE76">
            <v>2.8874282464226499E-2</v>
          </cell>
          <cell r="AF76">
            <v>-2.1035275272705902E-14</v>
          </cell>
          <cell r="AG76">
            <v>4.3814928822726799E-14</v>
          </cell>
          <cell r="AH76">
            <v>1.3104825418730731E-2</v>
          </cell>
          <cell r="AI76">
            <v>-0.42761644799847087</v>
          </cell>
        </row>
        <row r="77">
          <cell r="Y77">
            <v>46022</v>
          </cell>
          <cell r="Z77">
            <v>-0.16317044078583001</v>
          </cell>
          <cell r="AA77">
            <v>-0.12199380049495399</v>
          </cell>
          <cell r="AB77">
            <v>0.45344803660031702</v>
          </cell>
          <cell r="AC77">
            <v>-0.60168920521232505</v>
          </cell>
          <cell r="AD77">
            <v>-2.8888217679095999E-2</v>
          </cell>
          <cell r="AE77">
            <v>2.61933233670106E-2</v>
          </cell>
          <cell r="AF77">
            <v>-2.0654212145551301E-14</v>
          </cell>
          <cell r="AG77">
            <v>4.4216664726401803E-14</v>
          </cell>
          <cell r="AH77">
            <v>1.2950208358124776E-2</v>
          </cell>
          <cell r="AI77">
            <v>-0.42315009584672908</v>
          </cell>
        </row>
        <row r="78">
          <cell r="Y78">
            <v>46112</v>
          </cell>
          <cell r="Z78">
            <v>-0.16122722719916599</v>
          </cell>
          <cell r="AA78">
            <v>-0.12077387025561601</v>
          </cell>
          <cell r="AB78">
            <v>0.44885483670576598</v>
          </cell>
          <cell r="AC78">
            <v>-0.59041249160815601</v>
          </cell>
          <cell r="AD78">
            <v>-3.0859072793068699E-2</v>
          </cell>
          <cell r="AE78">
            <v>2.37919287194755E-2</v>
          </cell>
          <cell r="AF78">
            <v>-2.02671466655215E-14</v>
          </cell>
          <cell r="AG78">
            <v>4.4600304944164301E-14</v>
          </cell>
          <cell r="AH78">
            <v>1.2797519914188314E-2</v>
          </cell>
          <cell r="AI78">
            <v>-0.41782837651655258</v>
          </cell>
        </row>
        <row r="79">
          <cell r="Y79">
            <v>46203</v>
          </cell>
          <cell r="Z79">
            <v>-0.15930102989144601</v>
          </cell>
          <cell r="AA79">
            <v>-0.11956613558420599</v>
          </cell>
          <cell r="AB79">
            <v>0.44432538485186401</v>
          </cell>
          <cell r="AC79">
            <v>-0.57903219736157896</v>
          </cell>
          <cell r="AD79">
            <v>-3.2506938067046499E-2</v>
          </cell>
          <cell r="AE79">
            <v>2.1641922498048201E-2</v>
          </cell>
          <cell r="AF79">
            <v>-1.98747358379014E-14</v>
          </cell>
          <cell r="AG79">
            <v>4.4966283653669202E-14</v>
          </cell>
          <cell r="AH79">
            <v>1.2646734318902345E-2</v>
          </cell>
          <cell r="AI79">
            <v>-0.41179225923543783</v>
          </cell>
        </row>
        <row r="80">
          <cell r="Y80">
            <v>46295</v>
          </cell>
          <cell r="Z80">
            <v>-0.15739315513441801</v>
          </cell>
          <cell r="AA80">
            <v>-0.118370476320942</v>
          </cell>
          <cell r="AB80">
            <v>0.43985363800830002</v>
          </cell>
          <cell r="AC80">
            <v>-0.56760780384056297</v>
          </cell>
          <cell r="AD80">
            <v>-3.38655951402324E-2</v>
          </cell>
          <cell r="AE80">
            <v>1.97175545123656E-2</v>
          </cell>
          <cell r="AF80">
            <v>-1.9477633757279701E-14</v>
          </cell>
          <cell r="AG80">
            <v>4.5314981862520601E-14</v>
          </cell>
          <cell r="AH80">
            <v>1.2497826167680174E-2</v>
          </cell>
          <cell r="AI80">
            <v>-0.40516801174778372</v>
          </cell>
        </row>
        <row r="81">
          <cell r="Y81">
            <v>46387</v>
          </cell>
          <cell r="Z81">
            <v>-0.15550460464795399</v>
          </cell>
          <cell r="AA81">
            <v>-0.11718677264399401</v>
          </cell>
          <cell r="AB81">
            <v>0.43543525366831598</v>
          </cell>
          <cell r="AC81">
            <v>-0.55619198035149897</v>
          </cell>
          <cell r="AD81">
            <v>-3.4966227768746E-2</v>
          </cell>
          <cell r="AE81">
            <v>1.79953923553338E-2</v>
          </cell>
          <cell r="AF81">
            <v>-1.90765092161848E-14</v>
          </cell>
          <cell r="AG81">
            <v>4.5646735743698203E-14</v>
          </cell>
          <cell r="AH81">
            <v>1.2350770414239999E-2</v>
          </cell>
          <cell r="AI81">
            <v>-0.39806816897427666</v>
          </cell>
        </row>
        <row r="82">
          <cell r="Y82">
            <v>46477</v>
          </cell>
          <cell r="Z82">
            <v>-0.153636134176447</v>
          </cell>
          <cell r="AA82">
            <v>-0.116014905481435</v>
          </cell>
          <cell r="AB82">
            <v>0.43106707522419102</v>
          </cell>
          <cell r="AC82">
            <v>-0.54483085334918302</v>
          </cell>
          <cell r="AD82">
            <v>-3.5837438153012498E-2</v>
          </cell>
          <cell r="AE82">
            <v>1.6454190412179701E-2</v>
          </cell>
          <cell r="AF82">
            <v>-1.86720545763577E-14</v>
          </cell>
          <cell r="AG82">
            <v>4.59618448738261E-14</v>
          </cell>
          <cell r="AH82">
            <v>1.2205542365541116E-2</v>
          </cell>
          <cell r="AI82">
            <v>-0.39059252315813836</v>
          </cell>
        </row>
        <row r="83">
          <cell r="Y83">
            <v>46568</v>
          </cell>
          <cell r="Z83">
            <v>-0.151788300719332</v>
          </cell>
          <cell r="AA83">
            <v>-0.114854756719332</v>
          </cell>
          <cell r="AB83">
            <v>0.42674677347120599</v>
          </cell>
          <cell r="AC83">
            <v>-0.53356437785393296</v>
          </cell>
          <cell r="AD83">
            <v>-3.6505319873336099E-2</v>
          </cell>
          <cell r="AE83">
            <v>1.5074745806168299E-2</v>
          </cell>
          <cell r="AF83">
            <v>-1.82649880063517E-14</v>
          </cell>
          <cell r="AG83">
            <v>4.6260580033620399E-14</v>
          </cell>
          <cell r="AH83">
            <v>1.2062117676783434E-2</v>
          </cell>
          <cell r="AI83">
            <v>-0.38282911821174737</v>
          </cell>
        </row>
        <row r="84">
          <cell r="Y84">
            <v>46660</v>
          </cell>
          <cell r="Z84">
            <v>-0.14996150064613001</v>
          </cell>
          <cell r="AA84">
            <v>-0.113706209304086</v>
          </cell>
          <cell r="AB84">
            <v>0.42247259686941002</v>
          </cell>
          <cell r="AC84">
            <v>-0.52242677062418297</v>
          </cell>
          <cell r="AD84">
            <v>-3.6993568978278997E-2</v>
          </cell>
          <cell r="AE84">
            <v>1.3839748550311001E-2</v>
          </cell>
          <cell r="AF84">
            <v>-1.78560508988608E-14</v>
          </cell>
          <cell r="AG84">
            <v>4.6543190348572198E-14</v>
          </cell>
          <cell r="AH84">
            <v>1.1920472346470947E-2</v>
          </cell>
          <cell r="AI84">
            <v>-0.37485523178645735</v>
          </cell>
        </row>
        <row r="85">
          <cell r="Y85">
            <v>46752</v>
          </cell>
          <cell r="Z85">
            <v>-0.14815600048344599</v>
          </cell>
          <cell r="AA85">
            <v>-0.112569147289922</v>
          </cell>
          <cell r="AB85">
            <v>0.41824319756522998</v>
          </cell>
          <cell r="AC85">
            <v>-0.51144697519972004</v>
          </cell>
          <cell r="AD85">
            <v>-3.7323619318584599E-2</v>
          </cell>
          <cell r="AE85">
            <v>1.27336311643682E-2</v>
          </cell>
          <cell r="AF85">
            <v>-1.7446001990603399E-14</v>
          </cell>
          <cell r="AG85">
            <v>4.68099096399311E-14</v>
          </cell>
          <cell r="AH85">
            <v>1.1780582711536463E-2</v>
          </cell>
          <cell r="AI85">
            <v>-0.36673833085050855</v>
          </cell>
        </row>
        <row r="86">
          <cell r="Y86">
            <v>46843</v>
          </cell>
          <cell r="Z86">
            <v>-0.14637196180700901</v>
          </cell>
          <cell r="AA86">
            <v>-0.111443455857967</v>
          </cell>
          <cell r="AB86">
            <v>0.41405751018679599</v>
          </cell>
          <cell r="AC86">
            <v>-0.50064913707959002</v>
          </cell>
          <cell r="AD86">
            <v>-3.7514791753391299E-2</v>
          </cell>
          <cell r="AE86">
            <v>1.17424214756093E-2</v>
          </cell>
          <cell r="AF86">
            <v>-1.7035609431365801E-14</v>
          </cell>
          <cell r="AG86">
            <v>4.7060961925750102E-14</v>
          </cell>
          <cell r="AH86">
            <v>1.164242544252987E-2</v>
          </cell>
          <cell r="AI86">
            <v>-0.35853698939299217</v>
          </cell>
        </row>
        <row r="87">
          <cell r="Y87">
            <v>46934</v>
          </cell>
          <cell r="Z87">
            <v>-0.144609461388153</v>
          </cell>
          <cell r="AA87">
            <v>-0.110329021320642</v>
          </cell>
          <cell r="AB87">
            <v>0.40991466740110799</v>
          </cell>
          <cell r="AC87">
            <v>-0.49005307355101502</v>
          </cell>
          <cell r="AD87">
            <v>-3.7584449591229897E-2</v>
          </cell>
          <cell r="AE87">
            <v>1.08536011480429E-2</v>
          </cell>
          <cell r="AF87">
            <v>-1.6625641795892499E-14</v>
          </cell>
          <cell r="AG87">
            <v>4.7296566063138803E-14</v>
          </cell>
          <cell r="AH87">
            <v>1.1505977538867279E-2</v>
          </cell>
          <cell r="AI87">
            <v>-0.35030175976299111</v>
          </cell>
        </row>
        <row r="88">
          <cell r="Y88">
            <v>47026</v>
          </cell>
          <cell r="Z88">
            <v>-0.142868507517043</v>
          </cell>
          <cell r="AA88">
            <v>-0.109225731118469</v>
          </cell>
          <cell r="AB88">
            <v>0.40581394107927499</v>
          </cell>
          <cell r="AC88">
            <v>-0.47967472745386397</v>
          </cell>
          <cell r="AD88">
            <v>-3.7548154736809003E-2</v>
          </cell>
          <cell r="AE88">
            <v>1.00559715975215E-2</v>
          </cell>
          <cell r="AF88">
            <v>-1.62168588075395E-14</v>
          </cell>
          <cell r="AG88">
            <v>4.7516939559461698E-14</v>
          </cell>
          <cell r="AH88">
            <v>1.1371216324141287E-2</v>
          </cell>
          <cell r="AI88">
            <v>-0.34207599182521592</v>
          </cell>
        </row>
        <row r="89">
          <cell r="Y89">
            <v>47118</v>
          </cell>
          <cell r="Z89">
            <v>-0.14114905324313001</v>
          </cell>
          <cell r="AA89">
            <v>-0.108133473813012</v>
          </cell>
          <cell r="AB89">
            <v>0.40175470130024998</v>
          </cell>
          <cell r="AC89">
            <v>-0.46952659777500599</v>
          </cell>
          <cell r="AD89">
            <v>-3.7419820631210701E-2</v>
          </cell>
          <cell r="AE89">
            <v>9.3395282856681694E-3</v>
          </cell>
          <cell r="AF89">
            <v>-1.5810002347829701E-14</v>
          </cell>
          <cell r="AG89">
            <v>4.7722301605051101E-14</v>
          </cell>
          <cell r="AH89">
            <v>1.1238119441492897E-2</v>
          </cell>
          <cell r="AI89">
            <v>-0.3338965964349157</v>
          </cell>
        </row>
        <row r="90">
          <cell r="Y90">
            <v>47208</v>
          </cell>
          <cell r="Z90">
            <v>-0.13945100712762801</v>
          </cell>
          <cell r="AA90">
            <v>-0.107052139077855</v>
          </cell>
          <cell r="AB90">
            <v>0.39773638778079501</v>
          </cell>
          <cell r="AC90">
            <v>-0.45961814267511403</v>
          </cell>
          <cell r="AD90">
            <v>-3.7211859304854801E-2</v>
          </cell>
          <cell r="AE90">
            <v>8.6953438938703505E-3</v>
          </cell>
          <cell r="AF90">
            <v>-1.54057881611202E-14</v>
          </cell>
          <cell r="AG90">
            <v>4.7912875395647697E-14</v>
          </cell>
          <cell r="AH90">
            <v>1.1106664849042203E-2</v>
          </cell>
          <cell r="AI90">
            <v>-0.32579475166171185</v>
          </cell>
        </row>
        <row r="91">
          <cell r="Y91">
            <v>47299</v>
          </cell>
          <cell r="Z91">
            <v>-0.137774241986069</v>
          </cell>
          <cell r="AA91">
            <v>-0.105981617688619</v>
          </cell>
          <cell r="AB91">
            <v>0.39375848996159801</v>
          </cell>
          <cell r="AC91">
            <v>-0.44995615255956101</v>
          </cell>
          <cell r="AD91">
            <v>-3.69353207939613E-2</v>
          </cell>
          <cell r="AE91">
            <v>8.1154605202555501E-3</v>
          </cell>
          <cell r="AF91">
            <v>-1.50048985269599E-14</v>
          </cell>
          <cell r="AG91">
            <v>4.8088889821377901E-14</v>
          </cell>
          <cell r="AH91">
            <v>1.0976830815380504E-2</v>
          </cell>
          <cell r="AI91">
            <v>-0.31779655173094318</v>
          </cell>
        </row>
        <row r="92">
          <cell r="Y92">
            <v>47391</v>
          </cell>
          <cell r="Z92">
            <v>-0.13611860200543899</v>
          </cell>
          <cell r="AA92">
            <v>-0.104921801512534</v>
          </cell>
          <cell r="AB92">
            <v>0.38982053312329201</v>
          </cell>
          <cell r="AC92">
            <v>-0.44054509227404903</v>
          </cell>
          <cell r="AD92">
            <v>-3.6600023868930701E-2</v>
          </cell>
          <cell r="AE92">
            <v>7.5927907866934598E-3</v>
          </cell>
          <cell r="AF92">
            <v>-1.46079760620721E-14</v>
          </cell>
          <cell r="AG92">
            <v>4.8250580602392501E-14</v>
          </cell>
          <cell r="AH92">
            <v>1.0848595915120208E-2</v>
          </cell>
          <cell r="AI92">
            <v>-0.30992359983581336</v>
          </cell>
        </row>
        <row r="93">
          <cell r="Y93">
            <v>47483</v>
          </cell>
          <cell r="Z93">
            <v>-0.13448390854536399</v>
          </cell>
          <cell r="AA93">
            <v>-0.10387258349782499</v>
          </cell>
          <cell r="AB93">
            <v>0.38592206870296702</v>
          </cell>
          <cell r="AC93">
            <v>-0.43138741255958701</v>
          </cell>
          <cell r="AD93">
            <v>-3.6214677539554298E-2</v>
          </cell>
          <cell r="AE93">
            <v>7.1210275652532299E-3</v>
          </cell>
          <cell r="AF93">
            <v>-1.42156187264257E-14</v>
          </cell>
          <cell r="AG93">
            <v>4.8398190950742501E-14</v>
          </cell>
          <cell r="AH93">
            <v>1.0721939024504312E-2</v>
          </cell>
          <cell r="AI93">
            <v>-0.30219354684957156</v>
          </cell>
        </row>
        <row r="94">
          <cell r="Y94">
            <v>47573</v>
          </cell>
          <cell r="Z94">
            <v>-0.13286996487257799</v>
          </cell>
          <cell r="AA94">
            <v>-0.10283385766306199</v>
          </cell>
          <cell r="AB94">
            <v>0.38206266753684398</v>
          </cell>
          <cell r="AC94">
            <v>-0.42248383163793102</v>
          </cell>
          <cell r="AD94">
            <v>-3.5786993178565797E-2</v>
          </cell>
          <cell r="AE94">
            <v>6.6945619152742799E-3</v>
          </cell>
          <cell r="AF94">
            <v>-1.3828376040621801E-14</v>
          </cell>
          <cell r="AG94">
            <v>4.8531971834810003E-14</v>
          </cell>
          <cell r="AH94">
            <v>1.0596839317073706E-2</v>
          </cell>
          <cell r="AI94">
            <v>-0.29462057858291013</v>
          </cell>
        </row>
        <row r="95">
          <cell r="Y95">
            <v>47664</v>
          </cell>
          <cell r="Z95">
            <v>-0.131276560029635</v>
          </cell>
          <cell r="AA95">
            <v>-0.10180551908654401</v>
          </cell>
          <cell r="AB95">
            <v>0.378241915141389</v>
          </cell>
          <cell r="AC95">
            <v>-0.41383358829441097</v>
          </cell>
          <cell r="AD95">
            <v>-3.5323787374153898E-2</v>
          </cell>
          <cell r="AE95">
            <v>6.3084087485552297E-3</v>
          </cell>
          <cell r="AF95">
            <v>-1.34467464718716E-14</v>
          </cell>
          <cell r="AG95">
            <v>4.86521819175372E-14</v>
          </cell>
          <cell r="AH95">
            <v>1.0473276259392107E-2</v>
          </cell>
          <cell r="AI95">
            <v>-0.28721585463537236</v>
          </cell>
        </row>
        <row r="96">
          <cell r="Y96">
            <v>47756</v>
          </cell>
          <cell r="Z96">
            <v>-0.12970347199997501</v>
          </cell>
          <cell r="AA96">
            <v>-0.10078746389573701</v>
          </cell>
          <cell r="AB96">
            <v>0.37445940841451197</v>
          </cell>
          <cell r="AC96">
            <v>-0.40543466813943702</v>
          </cell>
          <cell r="AD96">
            <v>-3.4831075809056103E-2</v>
          </cell>
          <cell r="AE96">
            <v>5.9581396996933001E-3</v>
          </cell>
          <cell r="AF96">
            <v>-1.3071175910384E-14</v>
          </cell>
          <cell r="AG96">
            <v>4.8759087233504203E-14</v>
          </cell>
          <cell r="AH96">
            <v>1.0351229606828201E-2</v>
          </cell>
          <cell r="AI96">
            <v>-0.27998790212313596</v>
          </cell>
        </row>
        <row r="97">
          <cell r="Y97">
            <v>47848</v>
          </cell>
          <cell r="Z97">
            <v>-0.12815047030029</v>
          </cell>
          <cell r="AA97">
            <v>-9.9779589256809895E-2</v>
          </cell>
          <cell r="AB97">
            <v>0.37071475332609999</v>
          </cell>
          <cell r="AC97">
            <v>-0.39728400490936999</v>
          </cell>
          <cell r="AD97">
            <v>-3.4314158588553703E-2</v>
          </cell>
          <cell r="AE97">
            <v>5.6398226624728397E-3</v>
          </cell>
          <cell r="AF97">
            <v>-1.27020571344359E-14</v>
          </cell>
          <cell r="AG97">
            <v>4.8852960663135099E-14</v>
          </cell>
          <cell r="AH97">
            <v>1.0230679399394597E-2</v>
          </cell>
          <cell r="AI97">
            <v>-0.27294296766702003</v>
          </cell>
        </row>
        <row r="98">
          <cell r="Y98">
            <v>47938</v>
          </cell>
          <cell r="Z98">
            <v>-0.12661731810605401</v>
          </cell>
          <cell r="AA98">
            <v>-9.8781793364257395E-2</v>
          </cell>
          <cell r="AB98">
            <v>0.36700756329782402</v>
          </cell>
          <cell r="AC98">
            <v>-0.38937765874746788</v>
          </cell>
          <cell r="AD98">
            <v>-3.3777697517563897E-2</v>
          </cell>
          <cell r="AE98">
            <v>5.3499674545994099E-3</v>
          </cell>
          <cell r="AF98">
            <v>-1.23397301484635E-14</v>
          </cell>
          <cell r="AG98">
            <v>4.8934081255349999E-14</v>
          </cell>
          <cell r="AH98">
            <v>1.0111605957642491E-2</v>
          </cell>
          <cell r="AI98">
            <v>-0.26608533102524057</v>
          </cell>
        </row>
        <row r="99">
          <cell r="Y99">
            <v>48029</v>
          </cell>
          <cell r="Z99">
            <v>-0.12510377399591399</v>
          </cell>
          <cell r="AA99">
            <v>-9.7793975430623001E-2</v>
          </cell>
          <cell r="AB99">
            <v>0.363337458063207</v>
          </cell>
          <cell r="AC99">
            <v>-0.38171097341401439</v>
          </cell>
          <cell r="AD99">
            <v>-3.32257858700412E-2</v>
          </cell>
          <cell r="AE99">
            <v>5.0854770867940196E-3</v>
          </cell>
          <cell r="AF99">
            <v>-1.19844832721422E-14</v>
          </cell>
          <cell r="AG99">
            <v>4.9002733443124602E-14</v>
          </cell>
          <cell r="AH99">
            <v>9.993989878611961E-3</v>
          </cell>
          <cell r="AI99">
            <v>-0.25941758368194262</v>
          </cell>
        </row>
        <row r="100">
          <cell r="Y100">
            <v>48121</v>
          </cell>
          <cell r="Z100">
            <v>-0.12360959338437801</v>
          </cell>
          <cell r="AA100">
            <v>-9.6816035676320994E-2</v>
          </cell>
          <cell r="AB100">
            <v>0.35970406286234402</v>
          </cell>
          <cell r="AC100">
            <v>-0.37427871433242305</v>
          </cell>
          <cell r="AD100">
            <v>-3.2662011211345397E-2</v>
          </cell>
          <cell r="AE100">
            <v>4.8436041343351199E-3</v>
          </cell>
          <cell r="AF100">
            <v>-1.16365548578726E-14</v>
          </cell>
          <cell r="AG100">
            <v>4.90592061898671E-14</v>
          </cell>
          <cell r="AH100">
            <v>9.8778120318371888E-3</v>
          </cell>
          <cell r="AI100">
            <v>-0.25294087557591372</v>
          </cell>
        </row>
        <row r="101">
          <cell r="Y101">
            <v>48213</v>
          </cell>
          <cell r="Z101">
            <v>-0.122134529699154</v>
          </cell>
          <cell r="AA101">
            <v>-9.5847875319560003E-2</v>
          </cell>
          <cell r="AB101">
            <v>0.356107007869856</v>
          </cell>
          <cell r="AC101">
            <v>-0.3670751893012793</v>
          </cell>
          <cell r="AD101">
            <v>-3.2089511833252003E-2</v>
          </cell>
          <cell r="AE101">
            <v>4.6219117365756002E-3</v>
          </cell>
          <cell r="AF101">
            <v>-1.12961355178702E-14</v>
          </cell>
          <cell r="AG101">
            <v>4.9103792098405298E-14</v>
          </cell>
          <cell r="AH101">
            <v>9.763053555406298E-3</v>
          </cell>
          <cell r="AI101">
            <v>-0.24665513299136954</v>
          </cell>
        </row>
        <row r="102">
          <cell r="Y102">
            <v>48304</v>
          </cell>
          <cell r="Z102">
            <v>-0.12067833534892999</v>
          </cell>
          <cell r="AA102">
            <v>-9.4889396566365497E-2</v>
          </cell>
          <cell r="AB102">
            <v>0.35254592778542099</v>
          </cell>
          <cell r="AC102">
            <v>-0.36009435360301878</v>
          </cell>
          <cell r="AD102">
            <v>-3.1511027347319802E-2</v>
          </cell>
          <cell r="AE102">
            <v>4.4182387805303302E-3</v>
          </cell>
          <cell r="AF102">
            <v>-1.0963370748929399E-14</v>
          </cell>
          <cell r="AG102">
            <v>4.91367865087822E-14</v>
          </cell>
          <cell r="AH102">
            <v>9.6496958520748844E-3</v>
          </cell>
          <cell r="AI102">
            <v>-0.24055925044756968</v>
          </cell>
        </row>
        <row r="103">
          <cell r="Y103">
            <v>48395</v>
          </cell>
          <cell r="Z103">
            <v>-0.11924076251886</v>
          </cell>
          <cell r="AA103">
            <v>-9.3940502600702497E-2</v>
          </cell>
          <cell r="AB103">
            <v>0.34902046153766197</v>
          </cell>
          <cell r="AC103">
            <v>-0.3533299011273221</v>
          </cell>
          <cell r="AD103">
            <v>-3.0928943959585099E-2</v>
          </cell>
          <cell r="AE103">
            <v>4.2306688566817203E-3</v>
          </cell>
          <cell r="AF103">
            <v>-1.0638363851879801E-14</v>
          </cell>
          <cell r="AG103">
            <v>4.9158486606023E-14</v>
          </cell>
          <cell r="AH103">
            <v>9.5377205854327071E-3</v>
          </cell>
          <cell r="AI103">
            <v>-0.23465125922665475</v>
          </cell>
        </row>
        <row r="104">
          <cell r="Y104">
            <v>48487</v>
          </cell>
          <cell r="Z104">
            <v>-0.11782156382412599</v>
          </cell>
          <cell r="AA104">
            <v>-9.3001097574695796E-2</v>
          </cell>
          <cell r="AB104">
            <v>0.34553025206711402</v>
          </cell>
          <cell r="AC104">
            <v>-0.34677534300804208</v>
          </cell>
          <cell r="AD104">
            <v>-3.0345334921126399E-2</v>
          </cell>
          <cell r="AE104">
            <v>4.0575026074867399E-3</v>
          </cell>
          <cell r="AF104">
            <v>-1.0321179052963199E-14</v>
          </cell>
          <cell r="AG104">
            <v>4.9169190554570101E-14</v>
          </cell>
          <cell r="AH104">
            <v>9.4271096761235108E-3</v>
          </cell>
          <cell r="AI104">
            <v>-0.22892847497722713</v>
          </cell>
        </row>
        <row r="105">
          <cell r="Y105">
            <v>48579</v>
          </cell>
          <cell r="Z105">
            <v>-0.116420492846368</v>
          </cell>
          <cell r="AA105">
            <v>-9.2071086598948901E-2</v>
          </cell>
          <cell r="AB105">
            <v>0.342074946164375</v>
          </cell>
          <cell r="AC105">
            <v>-0.34042407515141981</v>
          </cell>
          <cell r="AD105">
            <v>-2.9761996617302399E-2</v>
          </cell>
          <cell r="AE105">
            <v>3.8972331208406998E-3</v>
          </cell>
          <cell r="AF105">
            <v>-1.0011844745183E-14</v>
          </cell>
          <cell r="AG105">
            <v>4.9169196672181303E-14</v>
          </cell>
          <cell r="AH105">
            <v>9.3178452981166615E-3</v>
          </cell>
          <cell r="AI105">
            <v>-0.22338762663066758</v>
          </cell>
        </row>
        <row r="106">
          <cell r="Y106">
            <v>48669</v>
          </cell>
          <cell r="Z106">
            <v>-0.115037304573281</v>
          </cell>
          <cell r="AA106">
            <v>-9.1150375732959504E-2</v>
          </cell>
          <cell r="AB106">
            <v>0.33865419434681299</v>
          </cell>
          <cell r="AC106">
            <v>-0.33426943591403846</v>
          </cell>
          <cell r="AD106">
            <v>-2.91804807251436E-2</v>
          </cell>
          <cell r="AE106">
            <v>3.7485240513741901E-3</v>
          </cell>
          <cell r="AF106">
            <v>-9.7103567786222506E-15</v>
          </cell>
          <cell r="AG106">
            <v>4.9158802652716801E-14</v>
          </cell>
          <cell r="AH106">
            <v>9.2099098750308313E-3</v>
          </cell>
          <cell r="AI106">
            <v>-0.21802496867216511</v>
          </cell>
        </row>
        <row r="107">
          <cell r="Y107">
            <v>48760</v>
          </cell>
          <cell r="Z107">
            <v>-0.11367175575796901</v>
          </cell>
          <cell r="AA107">
            <v>-9.0238871975629895E-2</v>
          </cell>
          <cell r="AB107">
            <v>0.33526765076223403</v>
          </cell>
          <cell r="AC107">
            <v>-0.32830475507368667</v>
          </cell>
          <cell r="AD107">
            <v>-2.8602122834723701E-2</v>
          </cell>
          <cell r="AE107">
            <v>3.6101901815456198E-3</v>
          </cell>
          <cell r="AF107">
            <v>-9.4166817394148801E-15</v>
          </cell>
          <cell r="AG107">
            <v>4.91383048443777E-14</v>
          </cell>
          <cell r="AH107">
            <v>9.1032860765082775E-3</v>
          </cell>
          <cell r="AI107">
            <v>-0.21283637862168162</v>
          </cell>
        </row>
        <row r="108">
          <cell r="Y108">
            <v>48852</v>
          </cell>
          <cell r="Z108">
            <v>-0.112323605211718</v>
          </cell>
          <cell r="AA108">
            <v>-8.9336483255873594E-2</v>
          </cell>
          <cell r="AB108">
            <v>0.33191497311142898</v>
          </cell>
          <cell r="AC108">
            <v>-0.32252339512678507</v>
          </cell>
          <cell r="AD108">
            <v>-2.80280678972449E-2</v>
          </cell>
          <cell r="AE108">
            <v>3.4811801618062502E-3</v>
          </cell>
          <cell r="AF108">
            <v>-9.1307601672255195E-15</v>
          </cell>
          <cell r="AG108">
            <v>4.9107997587547603E-14</v>
          </cell>
          <cell r="AH108">
            <v>8.997956814640223E-3</v>
          </cell>
          <cell r="AI108">
            <v>-0.20781744140370614</v>
          </cell>
        </row>
        <row r="109">
          <cell r="Y109">
            <v>48944</v>
          </cell>
          <cell r="Z109">
            <v>-0.110992614041399</v>
          </cell>
          <cell r="AA109">
            <v>-8.8443118423314898E-2</v>
          </cell>
          <cell r="AB109">
            <v>0.32859582258398401</v>
          </cell>
          <cell r="AC109">
            <v>-0.31691878584315181</v>
          </cell>
          <cell r="AD109">
            <v>-2.7459292830663899E-2</v>
          </cell>
          <cell r="AE109">
            <v>3.3605611945353598E-3</v>
          </cell>
          <cell r="AF109">
            <v>-8.8525096705522003E-15</v>
          </cell>
          <cell r="AG109">
            <v>4.9068172614399703E-14</v>
          </cell>
          <cell r="AH109">
            <v>8.8939052404415492E-3</v>
          </cell>
          <cell r="AI109">
            <v>-0.20296352211952845</v>
          </cell>
        </row>
        <row r="110">
          <cell r="Y110">
            <v>49034</v>
          </cell>
          <cell r="Z110">
            <v>-0.10967854584075599</v>
          </cell>
          <cell r="AA110">
            <v>-8.7558687239081806E-2</v>
          </cell>
          <cell r="AB110">
            <v>0.32530986380342802</v>
          </cell>
          <cell r="AC110">
            <v>-0.31148445291321653</v>
          </cell>
          <cell r="AD110">
            <v>-2.6896626583372801E-2</v>
          </cell>
          <cell r="AE110">
            <v>3.24750544992635E-3</v>
          </cell>
          <cell r="AF110">
            <v>-8.5818279078110503E-15</v>
          </cell>
          <cell r="AG110">
            <v>4.9019118510812298E-14</v>
          </cell>
          <cell r="AH110">
            <v>8.7911147403756402E-3</v>
          </cell>
          <cell r="AI110">
            <v>-0.19826982858265668</v>
          </cell>
        </row>
        <row r="111">
          <cell r="Y111">
            <v>49125</v>
          </cell>
          <cell r="Z111">
            <v>-0.108381166843209</v>
          </cell>
          <cell r="AA111">
            <v>-8.6683100366690996E-2</v>
          </cell>
          <cell r="AB111">
            <v>0.32205676477898298</v>
          </cell>
          <cell r="AC111">
            <v>-0.30621404143453979</v>
          </cell>
          <cell r="AD111">
            <v>-2.6340767927957798E-2</v>
          </cell>
          <cell r="AE111">
            <v>3.1412780235673399E-3</v>
          </cell>
          <cell r="AF111">
            <v>-8.3185954099184396E-15</v>
          </cell>
          <cell r="AG111">
            <v>4.8961120239837502E-14</v>
          </cell>
          <cell r="AH111">
            <v>8.6895689329274505E-3</v>
          </cell>
          <cell r="AI111">
            <v>-0.1937314648368792</v>
          </cell>
        </row>
        <row r="112">
          <cell r="Y112">
            <v>49217</v>
          </cell>
          <cell r="Z112">
            <v>-0.10710024604250699</v>
          </cell>
          <cell r="AA112">
            <v>-8.5816269363024097E-2</v>
          </cell>
          <cell r="AB112">
            <v>0.31883619686202302</v>
          </cell>
          <cell r="AC112">
            <v>-0.3011013349035998</v>
          </cell>
          <cell r="AD112">
            <v>-2.5792301230556602E-2</v>
          </cell>
          <cell r="AE112">
            <v>3.0412262651582302E-3</v>
          </cell>
          <cell r="AF112">
            <v>-8.0626782269427E-15</v>
          </cell>
          <cell r="AG112">
            <v>4.8894458724961E-14</v>
          </cell>
          <cell r="AH112">
            <v>8.5892516652252855E-3</v>
          </cell>
          <cell r="AI112">
            <v>-0.18934347674724009</v>
          </cell>
        </row>
        <row r="113">
          <cell r="Y113">
            <v>49309</v>
          </cell>
          <cell r="Z113">
            <v>-0.105835555286471</v>
          </cell>
          <cell r="AA113">
            <v>-8.4958106669393796E-2</v>
          </cell>
          <cell r="AB113">
            <v>0.31564783470590202</v>
          </cell>
          <cell r="AC113">
            <v>-0.29614027030507617</v>
          </cell>
          <cell r="AD113">
            <v>-2.5251710416830699E-2</v>
          </cell>
          <cell r="AE113">
            <v>2.9467703257248798E-3</v>
          </cell>
          <cell r="AF113">
            <v>-7.8139303873628801E-15</v>
          </cell>
          <cell r="AG113">
            <v>4.8819410490621898E-14</v>
          </cell>
          <cell r="AH113">
            <v>8.4901470097101164E-3</v>
          </cell>
          <cell r="AI113">
            <v>-0.18510089063639362</v>
          </cell>
        </row>
        <row r="114">
          <cell r="Y114">
            <v>49399</v>
          </cell>
          <cell r="Z114">
            <v>-0.104586869348192</v>
          </cell>
          <cell r="AA114">
            <v>-8.4108525602699893E-2</v>
          </cell>
          <cell r="AB114">
            <v>0.31249135622823099</v>
          </cell>
          <cell r="AC114">
            <v>-0.29132494982400009</v>
          </cell>
          <cell r="AD114">
            <v>-2.4719391333073101E-2</v>
          </cell>
          <cell r="AE114">
            <v>2.8573947869310998E-3</v>
          </cell>
          <cell r="AF114">
            <v>-7.5721961635811794E-15</v>
          </cell>
          <cell r="AG114">
            <v>4.8736247356905301E-14</v>
          </cell>
          <cell r="AH114">
            <v>8.3922392608520996E-3</v>
          </cell>
          <cell r="AI114">
            <v>-0.18099874583190972</v>
          </cell>
        </row>
        <row r="115">
          <cell r="Y115">
            <v>49490</v>
          </cell>
          <cell r="Z115">
            <v>-0.103353965978325</v>
          </cell>
          <cell r="AA115">
            <v>-8.3267440346672897E-2</v>
          </cell>
          <cell r="AB115">
            <v>0.30936644257496598</v>
          </cell>
          <cell r="AC115">
            <v>-0.2866496496456723</v>
          </cell>
          <cell r="AD115">
            <v>-2.4195662680424699E-2</v>
          </cell>
          <cell r="AE115">
            <v>2.7726412507621599E-3</v>
          </cell>
          <cell r="AF115">
            <v>-7.3373121416403098E-15</v>
          </cell>
          <cell r="AG115">
            <v>4.8645236184937401E-14</v>
          </cell>
          <cell r="AH115">
            <v>8.2955129319140144E-3</v>
          </cell>
          <cell r="AI115">
            <v>-0.17703212189341141</v>
          </cell>
        </row>
        <row r="116">
          <cell r="Y116">
            <v>49582</v>
          </cell>
          <cell r="Z116">
            <v>-0.102136625941502</v>
          </cell>
          <cell r="AA116">
            <v>-8.2434765943206104E-2</v>
          </cell>
          <cell r="AB116">
            <v>0.30627277808583803</v>
          </cell>
          <cell r="AC116">
            <v>-0.28210882625390543</v>
          </cell>
          <cell r="AD116">
            <v>-2.3680775681461E-2</v>
          </cell>
          <cell r="AE116">
            <v>2.6921017810743802E-3</v>
          </cell>
          <cell r="AF116">
            <v>-7.1091090966584296E-15</v>
          </cell>
          <cell r="AG116">
            <v>4.8546638669272702E-14</v>
          </cell>
          <cell r="AH116">
            <v>8.1999527517602599E-3</v>
          </cell>
          <cell r="AI116">
            <v>-0.17319616120136044</v>
          </cell>
        </row>
        <row r="117">
          <cell r="Y117">
            <v>49674</v>
          </cell>
          <cell r="Z117">
            <v>-0.100934633039429</v>
          </cell>
          <cell r="AA117">
            <v>-8.1610418283774105E-2</v>
          </cell>
          <cell r="AB117">
            <v>0.30321005026083198</v>
          </cell>
          <cell r="AC117">
            <v>-0.27769712058927143</v>
          </cell>
          <cell r="AD117">
            <v>-2.3174922621471399E-2</v>
          </cell>
          <cell r="AE117">
            <v>2.6154131003907101E-3</v>
          </cell>
          <cell r="AF117">
            <v>-6.8874136783803697E-15</v>
          </cell>
          <cell r="AG117">
            <v>4.8440711173447798E-14</v>
          </cell>
          <cell r="AH117">
            <v>8.1055436617120322E-3</v>
          </cell>
          <cell r="AI117">
            <v>-0.16948608751096964</v>
          </cell>
        </row>
        <row r="118">
          <cell r="Y118">
            <v>49765</v>
          </cell>
          <cell r="Z118">
            <v>-9.9747774122779895E-2</v>
          </cell>
          <cell r="AA118">
            <v>-8.0794314100936293E-2</v>
          </cell>
          <cell r="AB118">
            <v>0.30017794972746997</v>
          </cell>
          <cell r="AC118">
            <v>-0.27340936038540581</v>
          </cell>
          <cell r="AD118">
            <v>-2.2678244391433702E-2</v>
          </cell>
          <cell r="AE118">
            <v>2.5422514559844101E-3</v>
          </cell>
          <cell r="AF118">
            <v>-6.6720499135238196E-15</v>
          </cell>
          <cell r="AG118">
            <v>4.8327704604850003E-14</v>
          </cell>
          <cell r="AH118">
            <v>8.0122708124470143E-3</v>
          </cell>
          <cell r="AI118">
            <v>-0.16589722100461265</v>
          </cell>
        </row>
        <row r="119">
          <cell r="Y119">
            <v>49856</v>
          </cell>
          <cell r="Z119">
            <v>-9.8575839093689804E-2</v>
          </cell>
          <cell r="AA119">
            <v>-7.9986370959927E-2</v>
          </cell>
          <cell r="AB119">
            <v>0.29717617020877302</v>
          </cell>
          <cell r="AC119">
            <v>-0.2692405609623682</v>
          </cell>
          <cell r="AD119">
            <v>-2.2190837145888799E-2</v>
          </cell>
          <cell r="AE119">
            <v>2.47232807884095E-3</v>
          </cell>
          <cell r="AF119">
            <v>-6.4628405333452102E-15</v>
          </cell>
          <cell r="AG119">
            <v>4.82078643251037E-14</v>
          </cell>
          <cell r="AH119">
            <v>7.920119560943694E-3</v>
          </cell>
          <cell r="AI119">
            <v>-0.1624249903132744</v>
          </cell>
        </row>
        <row r="120">
          <cell r="Y120">
            <v>49948</v>
          </cell>
          <cell r="Z120">
            <v>-9.7418620900366695E-2</v>
          </cell>
          <cell r="AA120">
            <v>-7.9186507250327706E-2</v>
          </cell>
          <cell r="AB120">
            <v>0.29420440849176199</v>
          </cell>
          <cell r="AC120">
            <v>-0.26518592472136437</v>
          </cell>
          <cell r="AD120">
            <v>-2.1712758176509701E-2</v>
          </cell>
          <cell r="AE120">
            <v>2.4053851676256199E-3</v>
          </cell>
          <cell r="AF120">
            <v>-6.2596081361279602E-15</v>
          </cell>
          <cell r="AG120">
            <v>4.8081430092289503E-14</v>
          </cell>
          <cell r="AH120">
            <v>7.8290754674696841E-3</v>
          </cell>
          <cell r="AI120">
            <v>-0.15906494192166937</v>
          </cell>
        </row>
        <row r="121">
          <cell r="Y121">
            <v>50040</v>
          </cell>
          <cell r="Z121">
            <v>-9.6275915525084799E-2</v>
          </cell>
          <cell r="AA121">
            <v>-7.8394642177824395E-2</v>
          </cell>
          <cell r="AB121">
            <v>0.29126236439644998</v>
          </cell>
          <cell r="AC121">
            <v>-0.2612408395542416</v>
          </cell>
          <cell r="AD121">
            <v>-2.12440310910341E-2</v>
          </cell>
          <cell r="AE121">
            <v>2.34119233740652E-3</v>
          </cell>
          <cell r="AF121">
            <v>-6.0621761951728498E-15</v>
          </cell>
          <cell r="AG121">
            <v>4.7948636031466001E-14</v>
          </cell>
          <cell r="AH121">
            <v>7.7391242926132513E-3</v>
          </cell>
          <cell r="AI121">
            <v>-0.15581274732167322</v>
          </cell>
        </row>
        <row r="122">
          <cell r="Y122">
            <v>50130</v>
          </cell>
          <cell r="Z122">
            <v>-9.5147521966648496E-2</v>
          </cell>
          <cell r="AA122">
            <v>-7.7610695756046205E-2</v>
          </cell>
          <cell r="AB122">
            <v>0.288349740745244</v>
          </cell>
          <cell r="AC122">
            <v>-0.25740087635379183</v>
          </cell>
          <cell r="AD122">
            <v>-2.0784650377259999E-2</v>
          </cell>
          <cell r="AE122">
            <v>2.2795434796802402E-3</v>
          </cell>
          <cell r="AF122">
            <v>-5.87036992340464E-15</v>
          </cell>
          <cell r="AG122">
            <v>4.7809710630151698E-14</v>
          </cell>
          <cell r="AH122">
            <v>7.6502519943577882E-3</v>
          </cell>
          <cell r="AI122">
            <v>-0.15266420823442256</v>
          </cell>
        </row>
        <row r="123">
          <cell r="Y123">
            <v>50221</v>
          </cell>
          <cell r="Z123">
            <v>-9.4033242218240803E-2</v>
          </cell>
          <cell r="AA123">
            <v>-7.6834588798485703E-2</v>
          </cell>
          <cell r="AB123">
            <v>0.285466243332748</v>
          </cell>
          <cell r="AC123">
            <v>-0.2536617857866581</v>
          </cell>
          <cell r="AD123">
            <v>-2.0334585422887401E-2</v>
          </cell>
          <cell r="AE123">
            <v>2.22025398630279E-3</v>
          </cell>
          <cell r="AF123">
            <v>-5.6840170059583999E-15</v>
          </cell>
          <cell r="AG123">
            <v>4.7664876755635202E-14</v>
          </cell>
          <cell r="AH123">
            <v>7.5624447251985945E-3</v>
          </cell>
          <cell r="AI123">
            <v>-0.14961526018198065</v>
          </cell>
        </row>
        <row r="124">
          <cell r="Y124">
            <v>50313</v>
          </cell>
          <cell r="Z124">
            <v>-9.2932881241433299E-2</v>
          </cell>
          <cell r="AA124">
            <v>-7.6066242910500903E-2</v>
          </cell>
          <cell r="AB124">
            <v>0.28261158089590699</v>
          </cell>
          <cell r="AC124">
            <v>-0.25001949446918942</v>
          </cell>
          <cell r="AD124">
            <v>-1.98937840540396E-2</v>
          </cell>
          <cell r="AE124">
            <v>2.1631582953174E-3</v>
          </cell>
          <cell r="AF124">
            <v>-5.5029482121220898E-15</v>
          </cell>
          <cell r="AG124">
            <v>4.7514351691201197E-14</v>
          </cell>
          <cell r="AH124">
            <v>7.4756888293013319E-3</v>
          </cell>
          <cell r="AI124">
            <v>-0.14666197465459546</v>
          </cell>
        </row>
        <row r="125">
          <cell r="Y125">
            <v>50405</v>
          </cell>
          <cell r="Z125">
            <v>-9.18462469370179E-2</v>
          </cell>
          <cell r="AA125">
            <v>-7.5305580481395795E-2</v>
          </cell>
          <cell r="AB125">
            <v>0.27978546508449997</v>
          </cell>
          <cell r="AC125">
            <v>-0.24647010066769409</v>
          </cell>
          <cell r="AD125">
            <v>-1.9462175648194201E-2</v>
          </cell>
          <cell r="AE125">
            <v>2.1081077214621202E-3</v>
          </cell>
          <cell r="AF125">
            <v>-5.3269978978346498E-15</v>
          </cell>
          <cell r="AG125">
            <v>4.7358347188591002E-14</v>
          </cell>
          <cell r="AH125">
            <v>7.3899708397019365E-3</v>
          </cell>
          <cell r="AI125">
            <v>-0.14380056008859593</v>
          </cell>
        </row>
        <row r="126">
          <cell r="Y126">
            <v>50495</v>
          </cell>
          <cell r="Z126">
            <v>-9.0773150113225606E-2</v>
          </cell>
          <cell r="AA126">
            <v>-7.4552524676581897E-2</v>
          </cell>
          <cell r="AB126">
            <v>0.27698761043195003</v>
          </cell>
          <cell r="AC126">
            <v>-0.24300986962787502</v>
          </cell>
          <cell r="AD126">
            <v>-1.90396738709343E-2</v>
          </cell>
          <cell r="AE126">
            <v>2.0549685383982998E-3</v>
          </cell>
          <cell r="AF126">
            <v>-5.1560044096108298E-15</v>
          </cell>
          <cell r="AG126">
            <v>4.7197069534242897E-14</v>
          </cell>
          <cell r="AH126">
            <v>7.3052774755468994E-3</v>
          </cell>
          <cell r="AI126">
            <v>-0.14102736184267958</v>
          </cell>
        </row>
        <row r="127">
          <cell r="Y127">
            <v>50586</v>
          </cell>
          <cell r="Z127">
            <v>-8.9713404451810905E-2</v>
          </cell>
          <cell r="AA127">
            <v>-7.3806999429816098E-2</v>
          </cell>
          <cell r="AB127">
            <v>0.27421773432644297</v>
          </cell>
          <cell r="AC127">
            <v>-0.23963522862354919</v>
          </cell>
          <cell r="AD127">
            <v>-1.86261790803076E-2</v>
          </cell>
          <cell r="AE127">
            <v>2.00362028348072E-3</v>
          </cell>
          <cell r="AF127">
            <v>-4.98981040031965E-15</v>
          </cell>
          <cell r="AG127">
            <v>4.7030719627083399E-14</v>
          </cell>
          <cell r="AH127">
            <v>7.2215956393742444E-3</v>
          </cell>
          <cell r="AI127">
            <v>-0.13833886133614381</v>
          </cell>
        </row>
        <row r="128">
          <cell r="Y128">
            <v>50678</v>
          </cell>
          <cell r="Z128">
            <v>-8.8666826472412294E-2</v>
          </cell>
          <cell r="AA128">
            <v>-7.3068929435517904E-2</v>
          </cell>
          <cell r="AB128">
            <v>0.27147555698235198</v>
          </cell>
          <cell r="AC128">
            <v>-0.23634276180192609</v>
          </cell>
          <cell r="AD128">
            <v>-1.8221580437573499E-2</v>
          </cell>
          <cell r="AE128">
            <v>1.9539542592450802E-3</v>
          </cell>
          <cell r="AF128">
            <v>-4.8282630667139497E-15</v>
          </cell>
          <cell r="AG128">
            <v>4.6859493065859799E-14</v>
          </cell>
          <cell r="AH128">
            <v>7.1389124144336886E-3</v>
          </cell>
          <cell r="AI128">
            <v>-0.13573167449135703</v>
          </cell>
        </row>
        <row r="129">
          <cell r="Y129">
            <v>50770</v>
          </cell>
          <cell r="Z129">
            <v>-8.76332354955391E-2</v>
          </cell>
          <cell r="AA129">
            <v>-7.2338240141162705E-2</v>
          </cell>
          <cell r="AB129">
            <v>0.26876080141195202</v>
          </cell>
          <cell r="AC129">
            <v>-0.23312920489137151</v>
          </cell>
          <cell r="AD129">
            <v>-1.7825757758678899E-2</v>
          </cell>
          <cell r="AE129">
            <v>1.9058722087632899E-3</v>
          </cell>
          <cell r="AF129">
            <v>-4.6712143180181199E-15</v>
          </cell>
          <cell r="AG129">
            <v>4.6683580244211503E-14</v>
          </cell>
          <cell r="AH129">
            <v>7.0572150620463311E-3</v>
          </cell>
          <cell r="AI129">
            <v>-0.13320254960394856</v>
          </cell>
        </row>
        <row r="130">
          <cell r="Y130">
            <v>50860</v>
          </cell>
          <cell r="Z130">
            <v>-8.6612453604484593E-2</v>
          </cell>
          <cell r="AA130">
            <v>-7.1614857739751098E-2</v>
          </cell>
          <cell r="AB130">
            <v>0.26607319339743102</v>
          </cell>
          <cell r="AC130">
            <v>-0.22999143982775269</v>
          </cell>
          <cell r="AD130">
            <v>-1.7438583136852499E-2</v>
          </cell>
          <cell r="AE130">
            <v>1.8592851446544701E-3</v>
          </cell>
          <cell r="AF130">
            <v>-4.5185208842529201E-15</v>
          </cell>
          <cell r="AG130">
            <v>4.65031664518754E-14</v>
          </cell>
          <cell r="AH130">
            <v>6.9764910190028033E-3</v>
          </cell>
          <cell r="AI130">
            <v>-0.13074836474771062</v>
          </cell>
        </row>
        <row r="131">
          <cell r="Y131">
            <v>50951</v>
          </cell>
          <cell r="Z131">
            <v>-8.5604305606420295E-2</v>
          </cell>
          <cell r="AA131">
            <v>-7.0898709162353593E-2</v>
          </cell>
          <cell r="AB131">
            <v>0.26341246146317698</v>
          </cell>
          <cell r="AC131">
            <v>-0.22692648934677562</v>
          </cell>
          <cell r="AD131">
            <v>-1.70599223632097E-2</v>
          </cell>
          <cell r="AE131">
            <v>1.81411231387608E-3</v>
          </cell>
          <cell r="AF131">
            <v>-4.37004437232773E-15</v>
          </cell>
          <cell r="AG131">
            <v>4.6318431980607701E-14</v>
          </cell>
          <cell r="AH131">
            <v>6.8967278949998078E-3</v>
          </cell>
          <cell r="AI131">
            <v>-0.12836612480666434</v>
          </cell>
        </row>
        <row r="132">
          <cell r="Y132">
            <v>51043</v>
          </cell>
          <cell r="Z132">
            <v>-8.4608618992893E-2</v>
          </cell>
          <cell r="AA132">
            <v>-7.0189722070730098E-2</v>
          </cell>
          <cell r="AB132">
            <v>0.260778336848351</v>
          </cell>
          <cell r="AC132">
            <v>-0.2239315115822228</v>
          </cell>
          <cell r="AD132">
            <v>-1.6689636169152301E-2</v>
          </cell>
          <cell r="AE132">
            <v>1.77028028248953E-3</v>
          </cell>
          <cell r="AF132">
            <v>-4.2256512772761297E-15</v>
          </cell>
          <cell r="AG132">
            <v>4.6129552233573497E-14</v>
          </cell>
          <cell r="AH132">
            <v>6.81791347011398E-3</v>
          </cell>
          <cell r="AI132">
            <v>-0.12605295821400181</v>
          </cell>
        </row>
      </sheetData>
      <sheetData sheetId="6">
        <row r="1">
          <cell r="E1" t="str">
            <v>g</v>
          </cell>
          <cell r="F1" t="str">
            <v>b_liq</v>
          </cell>
          <cell r="G1" t="str">
            <v>b_safe</v>
          </cell>
          <cell r="H1" t="str">
            <v>FF</v>
          </cell>
          <cell r="I1" t="str">
            <v>z</v>
          </cell>
          <cell r="J1" t="str">
            <v>p-mkp</v>
          </cell>
          <cell r="K1" t="str">
            <v>w-mkp</v>
          </cell>
          <cell r="L1" t="str">
            <v>pol</v>
          </cell>
          <cell r="M1" t="str">
            <v>fg1</v>
          </cell>
          <cell r="N1" t="str">
            <v>fg2</v>
          </cell>
          <cell r="O1" t="str">
            <v>fg3</v>
          </cell>
          <cell r="P1" t="str">
            <v>fg4</v>
          </cell>
          <cell r="Q1" t="str">
            <v>fg5</v>
          </cell>
          <cell r="R1" t="str">
            <v>fg6</v>
          </cell>
          <cell r="S1" t="str">
            <v>pi-LR</v>
          </cell>
          <cell r="T1" t="str">
            <v>mu</v>
          </cell>
          <cell r="U1" t="str">
            <v>me</v>
          </cell>
          <cell r="V1" t="str">
            <v>zp</v>
          </cell>
          <cell r="W1" t="str">
            <v>dt</v>
          </cell>
        </row>
        <row r="2">
          <cell r="D2">
            <v>0.35147615454799802</v>
          </cell>
          <cell r="E2">
            <v>-0.10116499029808</v>
          </cell>
          <cell r="F2">
            <v>-0.14808542456621801</v>
          </cell>
          <cell r="G2">
            <v>0.49991387508665402</v>
          </cell>
          <cell r="H2">
            <v>-2.343352467547E-2</v>
          </cell>
          <cell r="I2">
            <v>0.13159806530743301</v>
          </cell>
          <cell r="J2">
            <v>3.8359980442891401E-16</v>
          </cell>
          <cell r="K2">
            <v>-3.6594233313568802E-15</v>
          </cell>
          <cell r="L2">
            <v>1.4552564246693899E-14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1.6220867641150401E-13</v>
          </cell>
          <cell r="T2">
            <v>-4.6038989020964899E-2</v>
          </cell>
          <cell r="U2">
            <v>0</v>
          </cell>
          <cell r="V2">
            <v>1.0149409321861201E-2</v>
          </cell>
          <cell r="W2">
            <v>2.8537733392609E-2</v>
          </cell>
        </row>
        <row r="3">
          <cell r="D3">
            <v>0.25186850602003202</v>
          </cell>
          <cell r="E3">
            <v>-9.1415602048891598E-2</v>
          </cell>
          <cell r="F3">
            <v>-0.16817797066353801</v>
          </cell>
          <cell r="G3">
            <v>0.55181563496361996</v>
          </cell>
          <cell r="H3">
            <v>-1.7256471294960898E-2</v>
          </cell>
          <cell r="I3">
            <v>0.114756438583211</v>
          </cell>
          <cell r="J3">
            <v>5.4879434627052497E-16</v>
          </cell>
          <cell r="K3">
            <v>-2.4440354632060701E-15</v>
          </cell>
          <cell r="L3">
            <v>1.34336526406168E-14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1.62912588605182E-13</v>
          </cell>
          <cell r="T3">
            <v>-3.9016156994497099E-2</v>
          </cell>
          <cell r="U3">
            <v>0</v>
          </cell>
          <cell r="V3">
            <v>-0.12701248220139899</v>
          </cell>
          <cell r="W3">
            <v>2.81751156763137E-2</v>
          </cell>
        </row>
        <row r="4">
          <cell r="D4">
            <v>1.66159822567713E-2</v>
          </cell>
          <cell r="E4">
            <v>-9.5807612147910698E-2</v>
          </cell>
          <cell r="F4">
            <v>-0.33979271461635702</v>
          </cell>
          <cell r="G4">
            <v>0.56002226080116702</v>
          </cell>
          <cell r="H4">
            <v>-5.1006151755923997E-2</v>
          </cell>
          <cell r="I4">
            <v>0.13362002273225801</v>
          </cell>
          <cell r="J4">
            <v>2.5037010554592901E-16</v>
          </cell>
          <cell r="K4">
            <v>-1.4001092115681899E-15</v>
          </cell>
          <cell r="L4">
            <v>1.39806094816383E-14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1.6359680119666501E-13</v>
          </cell>
          <cell r="T4">
            <v>-5.63059125769753E-2</v>
          </cell>
          <cell r="U4">
            <v>0</v>
          </cell>
          <cell r="V4">
            <v>-0.16193125561330499</v>
          </cell>
          <cell r="W4">
            <v>2.7817345433641699E-2</v>
          </cell>
        </row>
        <row r="5">
          <cell r="D5">
            <v>-0.159922052252716</v>
          </cell>
          <cell r="E5">
            <v>-9.28572460411968E-2</v>
          </cell>
          <cell r="F5">
            <v>-0.47721599214238702</v>
          </cell>
          <cell r="G5">
            <v>0.53555175219462903</v>
          </cell>
          <cell r="H5">
            <v>-8.5101433642590804E-2</v>
          </cell>
          <cell r="I5">
            <v>0.136427948159905</v>
          </cell>
          <cell r="J5">
            <v>-2.6306487630997802E-16</v>
          </cell>
          <cell r="K5">
            <v>-7.9837505956695004E-16</v>
          </cell>
          <cell r="L5">
            <v>1.5589941740625801E-14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1.63238342373083E-13</v>
          </cell>
          <cell r="T5">
            <v>-6.9077730500863396E-2</v>
          </cell>
          <cell r="U5">
            <v>0</v>
          </cell>
          <cell r="V5">
            <v>-0.13511370679031201</v>
          </cell>
          <cell r="W5">
            <v>2.7464356509920899E-2</v>
          </cell>
        </row>
        <row r="6">
          <cell r="D6">
            <v>-0.492426879311892</v>
          </cell>
          <cell r="E6">
            <v>-9.4503573302483102E-2</v>
          </cell>
          <cell r="F6">
            <v>-0.63793934161025601</v>
          </cell>
          <cell r="G6">
            <v>0.48092882731752601</v>
          </cell>
          <cell r="H6">
            <v>-9.8599139881687101E-2</v>
          </cell>
          <cell r="I6">
            <v>0.14786982116703401</v>
          </cell>
          <cell r="J6">
            <v>1.47120079540184E-17</v>
          </cell>
          <cell r="K6">
            <v>-1.49659762326061E-16</v>
          </cell>
          <cell r="L6">
            <v>1.68625442678304E-14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1.6300713842700299E-13</v>
          </cell>
          <cell r="T6">
            <v>-6.2903529816891096E-2</v>
          </cell>
          <cell r="U6">
            <v>0</v>
          </cell>
          <cell r="V6">
            <v>-0.25439602678284101</v>
          </cell>
          <cell r="W6">
            <v>2.71160835975265E-2</v>
          </cell>
        </row>
        <row r="7">
          <cell r="D7">
            <v>-0.47539678581757699</v>
          </cell>
          <cell r="E7">
            <v>-9.7453030409408406E-2</v>
          </cell>
          <cell r="F7">
            <v>-0.60173872227559899</v>
          </cell>
          <cell r="G7">
            <v>0.51265011203107302</v>
          </cell>
          <cell r="H7">
            <v>-0.100503109065549</v>
          </cell>
          <cell r="I7">
            <v>0.14329593049796999</v>
          </cell>
          <cell r="J7">
            <v>1.28587845422192E-16</v>
          </cell>
          <cell r="K7">
            <v>9.4075693347449101E-16</v>
          </cell>
          <cell r="L7">
            <v>1.81643185624036E-14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1.6292483876500601E-13</v>
          </cell>
          <cell r="T7">
            <v>-6.3892000981238303E-2</v>
          </cell>
          <cell r="U7">
            <v>0</v>
          </cell>
          <cell r="V7">
            <v>-0.29452842784282501</v>
          </cell>
          <cell r="W7">
            <v>2.6772462227816499E-2</v>
          </cell>
        </row>
        <row r="8">
          <cell r="D8">
            <v>-0.63918805529903899</v>
          </cell>
          <cell r="E8">
            <v>-8.2949480993659494E-2</v>
          </cell>
          <cell r="F8">
            <v>-0.71012196680319895</v>
          </cell>
          <cell r="G8">
            <v>0.482826613552436</v>
          </cell>
          <cell r="H8">
            <v>-9.9811080389714493E-2</v>
          </cell>
          <cell r="I8">
            <v>0.142540204993026</v>
          </cell>
          <cell r="J8">
            <v>-4.3849619980996501E-16</v>
          </cell>
          <cell r="K8">
            <v>1.76077486348156E-15</v>
          </cell>
          <cell r="L8">
            <v>1.6133420551396701E-14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1.6112465723575101E-13</v>
          </cell>
          <cell r="T8">
            <v>-5.5883768839224197E-2</v>
          </cell>
          <cell r="U8">
            <v>0</v>
          </cell>
          <cell r="V8">
            <v>-0.34222200558193999</v>
          </cell>
          <cell r="W8">
            <v>2.6433428763057199E-2</v>
          </cell>
        </row>
        <row r="9">
          <cell r="D9">
            <v>-1.6704625677823199</v>
          </cell>
          <cell r="E9">
            <v>-5.01476530084006E-2</v>
          </cell>
          <cell r="F9">
            <v>-1.3069466116369099</v>
          </cell>
          <cell r="G9">
            <v>0.18081284878985401</v>
          </cell>
          <cell r="H9">
            <v>-0.17998263684848601</v>
          </cell>
          <cell r="I9">
            <v>0.20167214643596201</v>
          </cell>
          <cell r="J9">
            <v>1.6922842930974801E-15</v>
          </cell>
          <cell r="K9">
            <v>2.3099358154234702E-15</v>
          </cell>
          <cell r="L9">
            <v>1.40702517791727E-14</v>
          </cell>
          <cell r="M9">
            <v>-1.7239041892842601E-15</v>
          </cell>
          <cell r="N9">
            <v>-1.3504512043663101E-15</v>
          </cell>
          <cell r="O9">
            <v>-3.33054990189172E-16</v>
          </cell>
          <cell r="P9">
            <v>-9.9132012939256601E-17</v>
          </cell>
          <cell r="Q9">
            <v>-6.5835308575849595E-17</v>
          </cell>
          <cell r="R9">
            <v>-1.50807025169916E-16</v>
          </cell>
          <cell r="S9">
            <v>1.6300676038367499E-13</v>
          </cell>
          <cell r="T9">
            <v>5.2017786098958298E-3</v>
          </cell>
          <cell r="U9">
            <v>0</v>
          </cell>
          <cell r="V9">
            <v>-0.54717136051275095</v>
          </cell>
          <cell r="W9">
            <v>2.60989203883406E-2</v>
          </cell>
        </row>
        <row r="10">
          <cell r="D10">
            <v>-1.53933248498433</v>
          </cell>
          <cell r="E10">
            <v>-3.5773165114307497E-2</v>
          </cell>
          <cell r="F10">
            <v>-1.0855520118558799</v>
          </cell>
          <cell r="G10">
            <v>0.23032624202458099</v>
          </cell>
          <cell r="H10">
            <v>-0.228412744086056</v>
          </cell>
          <cell r="I10">
            <v>0.18945894089971199</v>
          </cell>
          <cell r="J10">
            <v>1.9281286187395E-15</v>
          </cell>
          <cell r="K10">
            <v>4.61746737370402E-15</v>
          </cell>
          <cell r="L10">
            <v>1.08876212942286E-14</v>
          </cell>
          <cell r="M10">
            <v>-2.5280718879520801E-15</v>
          </cell>
          <cell r="N10">
            <v>-2.2738057038245599E-15</v>
          </cell>
          <cell r="O10">
            <v>-1.1581985133686199E-15</v>
          </cell>
          <cell r="P10">
            <v>-2.09568924410209E-16</v>
          </cell>
          <cell r="Q10">
            <v>-5.3446487632399399E-16</v>
          </cell>
          <cell r="R10">
            <v>-1.1975055416329699E-15</v>
          </cell>
          <cell r="S10">
            <v>1.6519549449845701E-13</v>
          </cell>
          <cell r="T10">
            <v>-7.8812431872975305E-2</v>
          </cell>
          <cell r="U10">
            <v>0</v>
          </cell>
          <cell r="V10">
            <v>-0.556336190083077</v>
          </cell>
          <cell r="W10">
            <v>2.5768875103496E-2</v>
          </cell>
        </row>
        <row r="11">
          <cell r="D11">
            <v>-1.20822307358798</v>
          </cell>
          <cell r="E11">
            <v>-2.4089109529469799E-2</v>
          </cell>
          <cell r="F11">
            <v>-0.87630026865846899</v>
          </cell>
          <cell r="G11">
            <v>0.24041405514629799</v>
          </cell>
          <cell r="H11">
            <v>-0.157732681028249</v>
          </cell>
          <cell r="I11">
            <v>0.148642018125347</v>
          </cell>
          <cell r="J11">
            <v>1.7068415980213701E-15</v>
          </cell>
          <cell r="K11">
            <v>4.4703200978657002E-15</v>
          </cell>
          <cell r="L11">
            <v>9.4894501958564406E-15</v>
          </cell>
          <cell r="M11">
            <v>-2.4944878407031402E-15</v>
          </cell>
          <cell r="N11">
            <v>-2.2743882135680899E-15</v>
          </cell>
          <cell r="O11">
            <v>-1.87777797184265E-15</v>
          </cell>
          <cell r="P11">
            <v>-1.04365267865196E-15</v>
          </cell>
          <cell r="Q11">
            <v>-4.60689881238061E-16</v>
          </cell>
          <cell r="R11">
            <v>-2.81054011347677E-15</v>
          </cell>
          <cell r="S11">
            <v>1.60622513916429E-13</v>
          </cell>
          <cell r="T11">
            <v>-0.104803321941799</v>
          </cell>
          <cell r="U11">
            <v>0</v>
          </cell>
          <cell r="V11">
            <v>-0.45979699741681002</v>
          </cell>
          <cell r="W11">
            <v>2.5443231714999199E-2</v>
          </cell>
        </row>
        <row r="12">
          <cell r="D12">
            <v>-1.1317976375635299</v>
          </cell>
          <cell r="E12">
            <v>-3.9925576677519101E-2</v>
          </cell>
          <cell r="F12">
            <v>-0.66815747751135102</v>
          </cell>
          <cell r="G12">
            <v>0.19466108133605001</v>
          </cell>
          <cell r="H12">
            <v>-6.1837082560996501E-2</v>
          </cell>
          <cell r="I12">
            <v>0.120921641053823</v>
          </cell>
          <cell r="J12">
            <v>1.5949460666182599E-15</v>
          </cell>
          <cell r="K12">
            <v>4.8995216364697702E-15</v>
          </cell>
          <cell r="L12">
            <v>9.5693580122128993E-15</v>
          </cell>
          <cell r="M12">
            <v>-1.46931922063309E-15</v>
          </cell>
          <cell r="N12">
            <v>-1.38867409190896E-15</v>
          </cell>
          <cell r="O12">
            <v>-1.09594463286912E-15</v>
          </cell>
          <cell r="P12">
            <v>-7.3554123485900698E-16</v>
          </cell>
          <cell r="Q12">
            <v>-2.09578997470837E-16</v>
          </cell>
          <cell r="R12">
            <v>-4.1411505681121199E-15</v>
          </cell>
          <cell r="S12">
            <v>1.5140306523824699E-13</v>
          </cell>
          <cell r="T12">
            <v>-0.190469314826472</v>
          </cell>
          <cell r="U12">
            <v>0</v>
          </cell>
          <cell r="V12">
            <v>-0.512112838205112</v>
          </cell>
          <cell r="W12">
            <v>2.5121929827879998E-2</v>
          </cell>
        </row>
        <row r="13">
          <cell r="D13">
            <v>-0.97113352136574005</v>
          </cell>
          <cell r="E13">
            <v>-2.7038449102135001E-2</v>
          </cell>
          <cell r="F13">
            <v>-0.58178558866152896</v>
          </cell>
          <cell r="G13">
            <v>0.15426066736204899</v>
          </cell>
          <cell r="H13">
            <v>1.94376392961126E-4</v>
          </cell>
          <cell r="I13">
            <v>6.3221109042336604E-2</v>
          </cell>
          <cell r="J13">
            <v>3.2339766918551799E-16</v>
          </cell>
          <cell r="K13">
            <v>5.509701977865E-15</v>
          </cell>
          <cell r="L13">
            <v>6.8087841291587897E-15</v>
          </cell>
          <cell r="M13">
            <v>-1.6704527438965E-15</v>
          </cell>
          <cell r="N13">
            <v>-1.3798323363857E-15</v>
          </cell>
          <cell r="O13">
            <v>-1.66334522847543E-15</v>
          </cell>
          <cell r="P13">
            <v>-7.8438804280151099E-16</v>
          </cell>
          <cell r="Q13">
            <v>-3.6540949484849201E-16</v>
          </cell>
          <cell r="R13">
            <v>-5.6765717907724103E-15</v>
          </cell>
          <cell r="S13">
            <v>1.4402764723143601E-13</v>
          </cell>
          <cell r="T13">
            <v>-0.18235299897498999</v>
          </cell>
          <cell r="U13">
            <v>0</v>
          </cell>
          <cell r="V13">
            <v>-0.422437547262212</v>
          </cell>
          <cell r="W13">
            <v>2.4804909837632502E-2</v>
          </cell>
        </row>
        <row r="14">
          <cell r="D14">
            <v>-1.2301489533646699</v>
          </cell>
          <cell r="E14">
            <v>-2.8494113734741599E-2</v>
          </cell>
          <cell r="F14">
            <v>-0.48620875558308602</v>
          </cell>
          <cell r="G14">
            <v>9.5901011351545204E-2</v>
          </cell>
          <cell r="H14">
            <v>-2.2461200865772E-2</v>
          </cell>
          <cell r="I14">
            <v>5.0777858026416399E-2</v>
          </cell>
          <cell r="J14">
            <v>4.29296942041903E-16</v>
          </cell>
          <cell r="K14">
            <v>7.0121020189308404E-15</v>
          </cell>
          <cell r="L14">
            <v>5.9508455978795901E-15</v>
          </cell>
          <cell r="M14">
            <v>-1.37430749009016E-15</v>
          </cell>
          <cell r="N14">
            <v>-7.3505144734594002E-16</v>
          </cell>
          <cell r="O14">
            <v>-9.11823834851449E-16</v>
          </cell>
          <cell r="P14">
            <v>-2.8358020348555699E-16</v>
          </cell>
          <cell r="Q14">
            <v>2.4666828590363E-16</v>
          </cell>
          <cell r="R14">
            <v>-7.1570848811025205E-15</v>
          </cell>
          <cell r="S14">
            <v>1.4282600826113901E-13</v>
          </cell>
          <cell r="T14">
            <v>-0.24381378230140999</v>
          </cell>
          <cell r="U14">
            <v>0</v>
          </cell>
          <cell r="V14">
            <v>-0.62034208317989903</v>
          </cell>
          <cell r="W14">
            <v>2.4492112922129199E-2</v>
          </cell>
        </row>
        <row r="15">
          <cell r="D15">
            <v>-1.78880898400729</v>
          </cell>
          <cell r="E15">
            <v>-2.82922007426669E-2</v>
          </cell>
          <cell r="F15">
            <v>-0.640383925170946</v>
          </cell>
          <cell r="G15">
            <v>-0.15320738753542701</v>
          </cell>
          <cell r="H15">
            <v>2.39212531687522E-2</v>
          </cell>
          <cell r="I15">
            <v>4.4856098907450598E-2</v>
          </cell>
          <cell r="J15">
            <v>5.8130182106596099E-16</v>
          </cell>
          <cell r="K15">
            <v>7.6845370628177707E-15</v>
          </cell>
          <cell r="L15">
            <v>6.4761527247765398E-15</v>
          </cell>
          <cell r="M15">
            <v>-2.9412868346637699E-16</v>
          </cell>
          <cell r="N15">
            <v>2.54166548230689E-16</v>
          </cell>
          <cell r="O15">
            <v>5.4233853890238497E-16</v>
          </cell>
          <cell r="P15">
            <v>1.37469860548053E-15</v>
          </cell>
          <cell r="Q15">
            <v>2.4406688924942E-15</v>
          </cell>
          <cell r="R15">
            <v>-7.0450527442541398E-15</v>
          </cell>
          <cell r="S15">
            <v>1.3597169923741101E-13</v>
          </cell>
          <cell r="T15">
            <v>-0.22687690642835501</v>
          </cell>
          <cell r="U15">
            <v>0</v>
          </cell>
          <cell r="V15">
            <v>-0.83300939723979495</v>
          </cell>
          <cell r="W15">
            <v>2.4183481033541499E-2</v>
          </cell>
        </row>
        <row r="16">
          <cell r="D16">
            <v>-1.9157605408812199</v>
          </cell>
          <cell r="E16">
            <v>-1.9280872158649001E-2</v>
          </cell>
          <cell r="F16">
            <v>-0.70215744037565397</v>
          </cell>
          <cell r="G16">
            <v>-0.18872773973873899</v>
          </cell>
          <cell r="H16">
            <v>-3.2718492765900699E-2</v>
          </cell>
          <cell r="I16">
            <v>1.49896415860364E-2</v>
          </cell>
          <cell r="J16">
            <v>9.4034412713698303E-16</v>
          </cell>
          <cell r="K16">
            <v>8.4771861144891194E-15</v>
          </cell>
          <cell r="L16">
            <v>5.1772545155356597E-15</v>
          </cell>
          <cell r="M16">
            <v>-6.3320226498485999E-16</v>
          </cell>
          <cell r="N16">
            <v>3.7648074321591603E-17</v>
          </cell>
          <cell r="O16">
            <v>5.2978913170686695E-16</v>
          </cell>
          <cell r="P16">
            <v>1.08646875658229E-15</v>
          </cell>
          <cell r="Q16">
            <v>2.8906969298189E-15</v>
          </cell>
          <cell r="R16">
            <v>-6.52251092237534E-15</v>
          </cell>
          <cell r="S16">
            <v>1.34863894033361E-13</v>
          </cell>
          <cell r="T16">
            <v>-0.25348782470067199</v>
          </cell>
          <cell r="U16">
            <v>0</v>
          </cell>
          <cell r="V16">
            <v>-0.75825676961806499</v>
          </cell>
          <cell r="W16">
            <v>2.38789568902695E-2</v>
          </cell>
        </row>
        <row r="17">
          <cell r="D17">
            <v>-1.8084537213804299</v>
          </cell>
          <cell r="E17">
            <v>-4.1303004539159603E-2</v>
          </cell>
          <cell r="F17">
            <v>-0.67840625215024497</v>
          </cell>
          <cell r="G17">
            <v>-0.17135993149501</v>
          </cell>
          <cell r="H17">
            <v>1.13560930928052E-2</v>
          </cell>
          <cell r="I17">
            <v>-2.5747730866651501E-3</v>
          </cell>
          <cell r="J17">
            <v>2.9945298170541502E-17</v>
          </cell>
          <cell r="K17">
            <v>9.4410290562619697E-15</v>
          </cell>
          <cell r="L17">
            <v>4.13764700580826E-15</v>
          </cell>
          <cell r="M17">
            <v>-5.6129978665641503E-16</v>
          </cell>
          <cell r="N17">
            <v>3.6109500632866398E-17</v>
          </cell>
          <cell r="O17">
            <v>4.4604030870362404E-16</v>
          </cell>
          <cell r="P17">
            <v>9.173482271486399E-16</v>
          </cell>
          <cell r="Q17">
            <v>2.1349316447767301E-15</v>
          </cell>
          <cell r="R17">
            <v>-6.8069097875930702E-15</v>
          </cell>
          <cell r="S17">
            <v>1.3152426044135399E-13</v>
          </cell>
          <cell r="T17">
            <v>-0.22157962997979899</v>
          </cell>
          <cell r="U17">
            <v>0</v>
          </cell>
          <cell r="V17">
            <v>-0.72816470719138604</v>
          </cell>
          <cell r="W17">
            <v>2.35784839688831E-2</v>
          </cell>
        </row>
        <row r="18">
          <cell r="D18">
            <v>-1.6000125577095401</v>
          </cell>
          <cell r="E18">
            <v>-5.8766053904821799E-2</v>
          </cell>
          <cell r="F18">
            <v>-0.51321703243347105</v>
          </cell>
          <cell r="G18">
            <v>-0.16770908393975201</v>
          </cell>
          <cell r="H18">
            <v>-1.7824100309387001E-2</v>
          </cell>
          <cell r="I18">
            <v>9.7107511037770201E-3</v>
          </cell>
          <cell r="J18">
            <v>-2.6544696605558401E-16</v>
          </cell>
          <cell r="K18">
            <v>9.6208028431271392E-15</v>
          </cell>
          <cell r="L18">
            <v>4.1057007469899501E-15</v>
          </cell>
          <cell r="M18">
            <v>-7.1979731764247496E-16</v>
          </cell>
          <cell r="N18">
            <v>-2.1076330109875401E-16</v>
          </cell>
          <cell r="O18">
            <v>-1.45723464758882E-16</v>
          </cell>
          <cell r="P18">
            <v>2.6837131434762502E-16</v>
          </cell>
          <cell r="Q18">
            <v>1.9792750922214001E-15</v>
          </cell>
          <cell r="R18">
            <v>-7.9221250475968695E-15</v>
          </cell>
          <cell r="S18">
            <v>1.2901762241072799E-13</v>
          </cell>
          <cell r="T18">
            <v>-0.255698318547109</v>
          </cell>
          <cell r="U18">
            <v>0</v>
          </cell>
          <cell r="V18">
            <v>-0.61979072617499298</v>
          </cell>
          <cell r="W18">
            <v>2.3282006496076198E-2</v>
          </cell>
        </row>
        <row r="19">
          <cell r="D19">
            <v>-2.0840122473954099</v>
          </cell>
          <cell r="E19">
            <v>-6.4203684109087805E-2</v>
          </cell>
          <cell r="F19">
            <v>-0.66377755849394904</v>
          </cell>
          <cell r="G19">
            <v>-0.26294852069524499</v>
          </cell>
          <cell r="H19">
            <v>3.32736995985526E-2</v>
          </cell>
          <cell r="I19">
            <v>-7.88531349655207E-3</v>
          </cell>
          <cell r="J19">
            <v>-1.3348807338964999E-15</v>
          </cell>
          <cell r="K19">
            <v>1.1060741227392201E-14</v>
          </cell>
          <cell r="L19">
            <v>3.5339243635134599E-15</v>
          </cell>
          <cell r="M19">
            <v>-2.4823424938176899E-17</v>
          </cell>
          <cell r="N19">
            <v>5.1353853507345205E-16</v>
          </cell>
          <cell r="O19">
            <v>9.5507083096538708E-16</v>
          </cell>
          <cell r="P19">
            <v>1.0181726223983399E-15</v>
          </cell>
          <cell r="Q19">
            <v>3.2953984615938901E-15</v>
          </cell>
          <cell r="R19">
            <v>-8.2755686491046002E-15</v>
          </cell>
          <cell r="S19">
            <v>1.2598598425707199E-13</v>
          </cell>
          <cell r="T19">
            <v>-0.23838521145157801</v>
          </cell>
          <cell r="U19">
            <v>0</v>
          </cell>
          <cell r="V19">
            <v>-0.90307512818832603</v>
          </cell>
          <cell r="W19">
            <v>2.2989469440637601E-2</v>
          </cell>
        </row>
        <row r="20">
          <cell r="D20">
            <v>-2.56737925082497</v>
          </cell>
          <cell r="E20">
            <v>-8.6900799934183606E-2</v>
          </cell>
          <cell r="F20">
            <v>-0.85099195434994901</v>
          </cell>
          <cell r="G20">
            <v>-0.42649476645304502</v>
          </cell>
          <cell r="H20">
            <v>6.3751313247036007E-2</v>
          </cell>
          <cell r="I20">
            <v>-6.5642487319438397E-3</v>
          </cell>
          <cell r="J20">
            <v>-1.51064288775646E-15</v>
          </cell>
          <cell r="K20">
            <v>1.1936811150279201E-14</v>
          </cell>
          <cell r="L20">
            <v>2.9277483899132701E-15</v>
          </cell>
          <cell r="M20">
            <v>3.9697482573465299E-16</v>
          </cell>
          <cell r="N20">
            <v>1.13167964891852E-15</v>
          </cell>
          <cell r="O20">
            <v>1.61251312891187E-15</v>
          </cell>
          <cell r="P20">
            <v>1.8225527847237199E-15</v>
          </cell>
          <cell r="Q20">
            <v>4.1062368641910397E-15</v>
          </cell>
          <cell r="R20">
            <v>-7.2342955470973303E-15</v>
          </cell>
          <cell r="S20">
            <v>1.220537404237E-13</v>
          </cell>
          <cell r="T20">
            <v>-0.200701991062048</v>
          </cell>
          <cell r="U20">
            <v>0</v>
          </cell>
          <cell r="V20">
            <v>-1.0821776220464101</v>
          </cell>
          <cell r="W20">
            <v>2.2700818505439199E-2</v>
          </cell>
        </row>
        <row r="21">
          <cell r="D21">
            <v>-2.7116381173842599</v>
          </cell>
          <cell r="E21">
            <v>-8.3203926639219203E-2</v>
          </cell>
          <cell r="F21">
            <v>-0.85369932669293103</v>
          </cell>
          <cell r="G21">
            <v>-0.40323598286951901</v>
          </cell>
          <cell r="H21">
            <v>2.6030734663384E-2</v>
          </cell>
          <cell r="I21">
            <v>-1.9401080821082401E-2</v>
          </cell>
          <cell r="J21">
            <v>-1.3414644586246899E-15</v>
          </cell>
          <cell r="K21">
            <v>1.3766677851375599E-14</v>
          </cell>
          <cell r="L21">
            <v>2.4672520610248901E-15</v>
          </cell>
          <cell r="M21">
            <v>2.8408205786617498E-16</v>
          </cell>
          <cell r="N21">
            <v>8.7613000035899305E-16</v>
          </cell>
          <cell r="O21">
            <v>1.3397694394274299E-15</v>
          </cell>
          <cell r="P21">
            <v>2.02653307764473E-15</v>
          </cell>
          <cell r="Q21">
            <v>3.2649097336209998E-15</v>
          </cell>
          <cell r="R21">
            <v>-6.49349410294807E-15</v>
          </cell>
          <cell r="S21">
            <v>1.2624528433856E-13</v>
          </cell>
          <cell r="T21">
            <v>-0.18104280315018001</v>
          </cell>
          <cell r="U21">
            <v>0</v>
          </cell>
          <cell r="V21">
            <v>-1.2195017319943</v>
          </cell>
          <cell r="W21">
            <v>2.24160001194454E-2</v>
          </cell>
        </row>
        <row r="22">
          <cell r="D22">
            <v>-2.5206935019169001</v>
          </cell>
          <cell r="E22">
            <v>-8.1138714250120703E-2</v>
          </cell>
          <cell r="F22">
            <v>-0.83168688383171596</v>
          </cell>
          <cell r="G22">
            <v>-0.45546684473196097</v>
          </cell>
          <cell r="H22">
            <v>3.4973103966933101E-2</v>
          </cell>
          <cell r="I22">
            <v>-4.99401830033019E-2</v>
          </cell>
          <cell r="J22">
            <v>-2.4848228021115301E-15</v>
          </cell>
          <cell r="K22">
            <v>1.3954166710326999E-14</v>
          </cell>
          <cell r="L22">
            <v>3.1897676599201998E-15</v>
          </cell>
          <cell r="M22">
            <v>6.2364856293148497E-16</v>
          </cell>
          <cell r="N22">
            <v>1.06761748524706E-15</v>
          </cell>
          <cell r="O22">
            <v>1.0064178893686901E-15</v>
          </cell>
          <cell r="P22">
            <v>2.54052884670754E-15</v>
          </cell>
          <cell r="Q22">
            <v>2.5632276129852698E-15</v>
          </cell>
          <cell r="R22">
            <v>-5.8978813017871203E-15</v>
          </cell>
          <cell r="S22">
            <v>1.20921666881585E-13</v>
          </cell>
          <cell r="T22">
            <v>-0.168173296532138</v>
          </cell>
          <cell r="U22">
            <v>0</v>
          </cell>
          <cell r="V22">
            <v>-0.99139564496447696</v>
          </cell>
          <cell r="W22">
            <v>2.2134961429743499E-2</v>
          </cell>
        </row>
        <row r="23">
          <cell r="D23">
            <v>-2.7564374464750299</v>
          </cell>
          <cell r="E23">
            <v>-8.6544570595947307E-2</v>
          </cell>
          <cell r="F23">
            <v>-0.91228283520751197</v>
          </cell>
          <cell r="G23">
            <v>-0.46567873466017501</v>
          </cell>
          <cell r="H23">
            <v>3.2918110871365598E-2</v>
          </cell>
          <cell r="I23">
            <v>-5.3861519321066101E-2</v>
          </cell>
          <cell r="J23">
            <v>-2.2305881443885399E-15</v>
          </cell>
          <cell r="K23">
            <v>1.4744143196458299E-14</v>
          </cell>
          <cell r="L23">
            <v>1.8187031918261002E-15</v>
          </cell>
          <cell r="M23">
            <v>1.8522609936471401E-16</v>
          </cell>
          <cell r="N23">
            <v>1.23039534822855E-15</v>
          </cell>
          <cell r="O23">
            <v>8.4086862734448203E-16</v>
          </cell>
          <cell r="P23">
            <v>2.9511624078602002E-15</v>
          </cell>
          <cell r="Q23">
            <v>2.43757625818819E-15</v>
          </cell>
          <cell r="R23">
            <v>-6.0432399019560303E-15</v>
          </cell>
          <cell r="S23">
            <v>1.2113332819926401E-13</v>
          </cell>
          <cell r="T23">
            <v>-0.16183162380209101</v>
          </cell>
          <cell r="U23">
            <v>0</v>
          </cell>
          <cell r="V23">
            <v>-1.1310139240533399</v>
          </cell>
          <cell r="W23">
            <v>2.1857650293600199E-2</v>
          </cell>
        </row>
        <row r="24">
          <cell r="D24">
            <v>-2.66450749760818</v>
          </cell>
          <cell r="E24">
            <v>-9.3431333735875505E-2</v>
          </cell>
          <cell r="F24">
            <v>-0.82773010770516697</v>
          </cell>
          <cell r="G24">
            <v>-0.50848157933904603</v>
          </cell>
          <cell r="H24">
            <v>2.10232468627733E-2</v>
          </cell>
          <cell r="I24">
            <v>-3.0110261472689099E-2</v>
          </cell>
          <cell r="J24">
            <v>-2.2150346629327699E-15</v>
          </cell>
          <cell r="K24">
            <v>1.5907837335826399E-14</v>
          </cell>
          <cell r="L24">
            <v>1.62369532319323E-15</v>
          </cell>
          <cell r="M24">
            <v>6.7186014030272804E-17</v>
          </cell>
          <cell r="N24">
            <v>1.1295984615027099E-15</v>
          </cell>
          <cell r="O24">
            <v>9.0266926573289405E-16</v>
          </cell>
          <cell r="P24">
            <v>3.1087477336973602E-15</v>
          </cell>
          <cell r="Q24">
            <v>3.1896517473799099E-15</v>
          </cell>
          <cell r="R24">
            <v>-5.3921702125948603E-15</v>
          </cell>
          <cell r="S24">
            <v>1.1835190013262499E-13</v>
          </cell>
          <cell r="T24">
            <v>-0.16779250167547</v>
          </cell>
          <cell r="U24">
            <v>0</v>
          </cell>
          <cell r="V24">
            <v>-1.07956897581339</v>
          </cell>
          <cell r="W24">
            <v>2.1584015270543499E-2</v>
          </cell>
        </row>
        <row r="25">
          <cell r="D25">
            <v>-2.5420009291821901</v>
          </cell>
          <cell r="E25">
            <v>-8.7928026169745002E-2</v>
          </cell>
          <cell r="F25">
            <v>-0.83546715004463301</v>
          </cell>
          <cell r="G25">
            <v>-0.52003960568431895</v>
          </cell>
          <cell r="H25">
            <v>4.4604313872376199E-2</v>
          </cell>
          <cell r="I25">
            <v>-4.4603210560651599E-2</v>
          </cell>
          <cell r="J25">
            <v>-2.2146122261473598E-15</v>
          </cell>
          <cell r="K25">
            <v>1.5774363853769001E-14</v>
          </cell>
          <cell r="L25">
            <v>2.38737694441996E-15</v>
          </cell>
          <cell r="M25">
            <v>5.57119021028049E-16</v>
          </cell>
          <cell r="N25">
            <v>1.39824978645005E-15</v>
          </cell>
          <cell r="O25">
            <v>1.10728374482689E-15</v>
          </cell>
          <cell r="P25">
            <v>3.2609477157440401E-15</v>
          </cell>
          <cell r="Q25">
            <v>3.29628950568082E-15</v>
          </cell>
          <cell r="R25">
            <v>-5.29157003359824E-15</v>
          </cell>
          <cell r="S25">
            <v>1.13335427416351E-13</v>
          </cell>
          <cell r="T25">
            <v>-0.17679415136660401</v>
          </cell>
          <cell r="U25">
            <v>0</v>
          </cell>
          <cell r="V25">
            <v>-0.943087104843225</v>
          </cell>
          <cell r="W25">
            <v>2.1314005614473299E-2</v>
          </cell>
        </row>
        <row r="26">
          <cell r="D26">
            <v>-2.6045112109037798</v>
          </cell>
          <cell r="E26">
            <v>-0.10048847835562</v>
          </cell>
          <cell r="F26">
            <v>-0.83427278019528905</v>
          </cell>
          <cell r="G26">
            <v>-0.467456678300393</v>
          </cell>
          <cell r="H26">
            <v>5.9427910575460201E-2</v>
          </cell>
          <cell r="I26">
            <v>-6.76817008421359E-2</v>
          </cell>
          <cell r="J26">
            <v>-2.60156423178714E-15</v>
          </cell>
          <cell r="K26">
            <v>1.74047206256603E-14</v>
          </cell>
          <cell r="L26">
            <v>1.0803618489566E-15</v>
          </cell>
          <cell r="M26">
            <v>7.7326853121428699E-16</v>
          </cell>
          <cell r="N26">
            <v>1.26057417649996E-15</v>
          </cell>
          <cell r="O26">
            <v>9.8654567250087407E-16</v>
          </cell>
          <cell r="P26">
            <v>3.1209825876856099E-15</v>
          </cell>
          <cell r="Q26">
            <v>3.1859159955374102E-15</v>
          </cell>
          <cell r="R26">
            <v>-4.6661688240574604E-15</v>
          </cell>
          <cell r="S26">
            <v>1.1391031173898101E-13</v>
          </cell>
          <cell r="T26">
            <v>-0.16055451944788801</v>
          </cell>
          <cell r="U26">
            <v>0</v>
          </cell>
          <cell r="V26">
            <v>-1.05453253560386</v>
          </cell>
          <cell r="W26">
            <v>2.10475712658027E-2</v>
          </cell>
        </row>
        <row r="27">
          <cell r="D27">
            <v>-2.4546079213352998</v>
          </cell>
          <cell r="E27">
            <v>-9.5000335052677701E-2</v>
          </cell>
          <cell r="F27">
            <v>-0.81569416031677799</v>
          </cell>
          <cell r="G27">
            <v>-0.39843797107590101</v>
          </cell>
          <cell r="H27">
            <v>6.7178437172280697E-2</v>
          </cell>
          <cell r="I27">
            <v>-7.8477805539584E-2</v>
          </cell>
          <cell r="J27">
            <v>-2.3095901050375302E-15</v>
          </cell>
          <cell r="K27">
            <v>1.8229757166513398E-14</v>
          </cell>
          <cell r="L27">
            <v>-2.48555380851121E-17</v>
          </cell>
          <cell r="M27">
            <v>5.7970266985564797E-16</v>
          </cell>
          <cell r="N27">
            <v>7.1073929595997698E-16</v>
          </cell>
          <cell r="O27">
            <v>9.2235847293481297E-16</v>
          </cell>
          <cell r="P27">
            <v>2.9877747835325901E-15</v>
          </cell>
          <cell r="Q27">
            <v>2.5365887214396001E-15</v>
          </cell>
          <cell r="R27">
            <v>-4.7494394357274704E-15</v>
          </cell>
          <cell r="S27">
            <v>1.1400592159753599E-13</v>
          </cell>
          <cell r="T27">
            <v>-0.13620928407861299</v>
          </cell>
          <cell r="U27">
            <v>0</v>
          </cell>
          <cell r="V27">
            <v>-1.01875146528779</v>
          </cell>
          <cell r="W27">
            <v>2.0784662843631001E-2</v>
          </cell>
        </row>
        <row r="28">
          <cell r="D28">
            <v>-2.4635192089418099</v>
          </cell>
          <cell r="E28">
            <v>-9.9459504432794402E-2</v>
          </cell>
          <cell r="F28">
            <v>-0.77734899788628598</v>
          </cell>
          <cell r="G28">
            <v>-0.43271204947258002</v>
          </cell>
          <cell r="H28">
            <v>8.8510750032914004E-2</v>
          </cell>
          <cell r="I28">
            <v>-0.101174806423609</v>
          </cell>
          <cell r="J28">
            <v>-3.1245184586860102E-15</v>
          </cell>
          <cell r="K28">
            <v>1.95100390744406E-14</v>
          </cell>
          <cell r="L28">
            <v>-8.2764100264466199E-16</v>
          </cell>
          <cell r="M28">
            <v>1.09232349957525E-15</v>
          </cell>
          <cell r="N28">
            <v>9.3942998486313201E-16</v>
          </cell>
          <cell r="O28">
            <v>1.5796265699509999E-15</v>
          </cell>
          <cell r="P28">
            <v>3.19887392239496E-15</v>
          </cell>
          <cell r="Q28">
            <v>3.3165455953169499E-15</v>
          </cell>
          <cell r="R28">
            <v>-4.7353458917090299E-15</v>
          </cell>
          <cell r="S28">
            <v>1.11151981221429E-13</v>
          </cell>
          <cell r="T28">
            <v>-0.123329439230251</v>
          </cell>
          <cell r="U28">
            <v>0</v>
          </cell>
          <cell r="V28">
            <v>-1.03853039316728</v>
          </cell>
          <cell r="W28">
            <v>2.0525231637951301E-2</v>
          </cell>
        </row>
        <row r="29">
          <cell r="D29">
            <v>-2.4649684857893801</v>
          </cell>
          <cell r="E29">
            <v>-0.11045848026907</v>
          </cell>
          <cell r="F29">
            <v>-0.76365399612470897</v>
          </cell>
          <cell r="G29">
            <v>-0.38715663446493698</v>
          </cell>
          <cell r="H29">
            <v>8.55751031330238E-2</v>
          </cell>
          <cell r="I29">
            <v>-0.13467821267022001</v>
          </cell>
          <cell r="J29">
            <v>-3.6928666610898597E-15</v>
          </cell>
          <cell r="K29">
            <v>2.0401116122654499E-14</v>
          </cell>
          <cell r="L29">
            <v>-1.70716168221467E-15</v>
          </cell>
          <cell r="M29">
            <v>1.36244305129392E-15</v>
          </cell>
          <cell r="N29">
            <v>1.19058480744414E-15</v>
          </cell>
          <cell r="O29">
            <v>2.1225679362232701E-15</v>
          </cell>
          <cell r="P29">
            <v>2.7615683813673601E-15</v>
          </cell>
          <cell r="Q29">
            <v>3.4712208582769099E-15</v>
          </cell>
          <cell r="R29">
            <v>-4.6518672383989501E-15</v>
          </cell>
          <cell r="S29">
            <v>1.1141049994639E-13</v>
          </cell>
          <cell r="T29">
            <v>-0.12257446400395899</v>
          </cell>
          <cell r="U29">
            <v>0</v>
          </cell>
          <cell r="V29">
            <v>-1.0522910309915301</v>
          </cell>
          <cell r="W29">
            <v>2.02692296018935E-2</v>
          </cell>
        </row>
        <row r="30">
          <cell r="D30">
            <v>-2.3512444900150302</v>
          </cell>
          <cell r="E30">
            <v>-0.12407675743687099</v>
          </cell>
          <cell r="F30">
            <v>-0.72984968092035296</v>
          </cell>
          <cell r="G30">
            <v>-0.39725795766882199</v>
          </cell>
          <cell r="H30">
            <v>9.2730713974741599E-2</v>
          </cell>
          <cell r="I30">
            <v>-0.124190009853006</v>
          </cell>
          <cell r="J30">
            <v>-3.25020582270169E-15</v>
          </cell>
          <cell r="K30">
            <v>2.06148900568879E-14</v>
          </cell>
          <cell r="L30">
            <v>-1.98864909742059E-15</v>
          </cell>
          <cell r="M30">
            <v>1.23059706163421E-15</v>
          </cell>
          <cell r="N30">
            <v>1.3549064608252801E-15</v>
          </cell>
          <cell r="O30">
            <v>2.6480388623036199E-15</v>
          </cell>
          <cell r="P30">
            <v>2.82066417838354E-15</v>
          </cell>
          <cell r="Q30">
            <v>3.0187914908726001E-15</v>
          </cell>
          <cell r="R30">
            <v>-5.17139737464948E-15</v>
          </cell>
          <cell r="S30">
            <v>1.0863109838493099E-13</v>
          </cell>
          <cell r="T30">
            <v>-0.115147705275277</v>
          </cell>
          <cell r="U30">
            <v>0</v>
          </cell>
          <cell r="V30">
            <v>-0.97346970217957995</v>
          </cell>
          <cell r="W30">
            <v>2.0016609344004802E-2</v>
          </cell>
        </row>
        <row r="31">
          <cell r="D31">
            <v>-2.33825957178869</v>
          </cell>
          <cell r="E31">
            <v>-0.11765066591697</v>
          </cell>
          <cell r="F31">
            <v>-0.74516318341305898</v>
          </cell>
          <cell r="G31">
            <v>-0.376128980011809</v>
          </cell>
          <cell r="H31">
            <v>9.8668435884457603E-2</v>
          </cell>
          <cell r="I31">
            <v>-0.14530305388068701</v>
          </cell>
          <cell r="J31">
            <v>-4.1044178198248501E-15</v>
          </cell>
          <cell r="K31">
            <v>2.19055508323665E-14</v>
          </cell>
          <cell r="L31">
            <v>-1.5882079675090601E-15</v>
          </cell>
          <cell r="M31">
            <v>1.6044157159188E-15</v>
          </cell>
          <cell r="N31">
            <v>1.4782914167743201E-15</v>
          </cell>
          <cell r="O31">
            <v>2.6236558044183702E-15</v>
          </cell>
          <cell r="P31">
            <v>3.1882537085752598E-15</v>
          </cell>
          <cell r="Q31">
            <v>2.6479894000597302E-15</v>
          </cell>
          <cell r="R31">
            <v>-5.4318837155731401E-15</v>
          </cell>
          <cell r="S31">
            <v>1.0853531952988401E-13</v>
          </cell>
          <cell r="T31">
            <v>-9.5589872912087398E-2</v>
          </cell>
          <cell r="U31">
            <v>0</v>
          </cell>
          <cell r="V31">
            <v>-0.97685957565923798</v>
          </cell>
          <cell r="W31">
            <v>1.9767324120569401E-2</v>
          </cell>
        </row>
        <row r="32">
          <cell r="D32">
            <v>-2.3678182440700102</v>
          </cell>
          <cell r="E32">
            <v>-0.122205790077314</v>
          </cell>
          <cell r="F32">
            <v>-0.79292065503802001</v>
          </cell>
          <cell r="G32">
            <v>-0.36058546645293399</v>
          </cell>
          <cell r="H32">
            <v>8.7895204086533299E-2</v>
          </cell>
          <cell r="I32">
            <v>-0.171636627945042</v>
          </cell>
          <cell r="J32">
            <v>-4.3259702029358401E-15</v>
          </cell>
          <cell r="K32">
            <v>2.2851239009496301E-14</v>
          </cell>
          <cell r="L32">
            <v>-2.25871648781104E-15</v>
          </cell>
          <cell r="M32">
            <v>1.6838312609539499E-15</v>
          </cell>
          <cell r="N32">
            <v>1.8325304993732399E-15</v>
          </cell>
          <cell r="O32">
            <v>2.5071296300873899E-15</v>
          </cell>
          <cell r="P32">
            <v>3.0647557815872502E-15</v>
          </cell>
          <cell r="Q32">
            <v>2.5514254703496201E-15</v>
          </cell>
          <cell r="R32">
            <v>-5.5659425071384096E-15</v>
          </cell>
          <cell r="S32">
            <v>1.08698078700828E-13</v>
          </cell>
          <cell r="T32">
            <v>-7.8805676771005306E-2</v>
          </cell>
          <cell r="U32">
            <v>0</v>
          </cell>
          <cell r="V32">
            <v>-0.949080559700337</v>
          </cell>
          <cell r="W32">
            <v>1.95213278279683E-2</v>
          </cell>
        </row>
        <row r="33">
          <cell r="D33">
            <v>-2.4719241456598402</v>
          </cell>
          <cell r="E33">
            <v>-0.12684931984071601</v>
          </cell>
          <cell r="F33">
            <v>-0.88704236973166894</v>
          </cell>
          <cell r="G33">
            <v>-0.39777607549070698</v>
          </cell>
          <cell r="H33">
            <v>4.81651994883113E-2</v>
          </cell>
          <cell r="I33">
            <v>-0.16827674420518901</v>
          </cell>
          <cell r="J33">
            <v>-3.8045495914073499E-15</v>
          </cell>
          <cell r="K33">
            <v>2.33589691384261E-14</v>
          </cell>
          <cell r="L33">
            <v>-1.7351205837513499E-15</v>
          </cell>
          <cell r="M33">
            <v>1.74457730148635E-15</v>
          </cell>
          <cell r="N33">
            <v>1.83085711387667E-15</v>
          </cell>
          <cell r="O33">
            <v>2.6595256426257599E-15</v>
          </cell>
          <cell r="P33">
            <v>3.23154579363867E-15</v>
          </cell>
          <cell r="Q33">
            <v>2.6190268186991199E-15</v>
          </cell>
          <cell r="R33">
            <v>-5.0991797428987201E-15</v>
          </cell>
          <cell r="S33">
            <v>1.09356966400974E-13</v>
          </cell>
          <cell r="T33">
            <v>-6.6108421019990704E-2</v>
          </cell>
          <cell r="U33">
            <v>0</v>
          </cell>
          <cell r="V33">
            <v>-0.89331498985510505</v>
          </cell>
          <cell r="W33">
            <v>1.9278574995082599E-2</v>
          </cell>
        </row>
        <row r="34">
          <cell r="D34">
            <v>-2.4693079245249301</v>
          </cell>
          <cell r="E34">
            <v>-0.123198816062282</v>
          </cell>
          <cell r="F34">
            <v>-0.95276737021667901</v>
          </cell>
          <cell r="G34">
            <v>-0.42348341441113402</v>
          </cell>
          <cell r="H34">
            <v>4.2675092088514797E-2</v>
          </cell>
          <cell r="I34">
            <v>-0.18807420498631899</v>
          </cell>
          <cell r="J34">
            <v>-3.16563916966231E-15</v>
          </cell>
          <cell r="K34">
            <v>2.3591558580295401E-14</v>
          </cell>
          <cell r="L34">
            <v>-2.97816499494933E-15</v>
          </cell>
          <cell r="M34">
            <v>1.65527609784499E-15</v>
          </cell>
          <cell r="N34">
            <v>1.8540339031768698E-15</v>
          </cell>
          <cell r="O34">
            <v>2.6920534139873399E-15</v>
          </cell>
          <cell r="P34">
            <v>3.1591562522494899E-15</v>
          </cell>
          <cell r="Q34">
            <v>2.8120045095894002E-15</v>
          </cell>
          <cell r="R34">
            <v>-4.97092676412931E-15</v>
          </cell>
          <cell r="S34">
            <v>1.07293540224498E-13</v>
          </cell>
          <cell r="T34">
            <v>-4.9090149813096298E-2</v>
          </cell>
          <cell r="U34">
            <v>0</v>
          </cell>
          <cell r="V34">
            <v>-0.79440808189980805</v>
          </cell>
          <cell r="W34">
            <v>1.90390207757383E-2</v>
          </cell>
        </row>
        <row r="35">
          <cell r="D35">
            <v>-2.3958301673466398</v>
          </cell>
          <cell r="E35">
            <v>-0.12668424897153499</v>
          </cell>
          <cell r="F35">
            <v>-0.97219316774667297</v>
          </cell>
          <cell r="G35">
            <v>-0.40195218199766602</v>
          </cell>
          <cell r="H35">
            <v>3.1196392626740999E-2</v>
          </cell>
          <cell r="I35">
            <v>-0.20204988904581</v>
          </cell>
          <cell r="J35">
            <v>-4.4773785621788903E-15</v>
          </cell>
          <cell r="K35">
            <v>2.3974305600054601E-14</v>
          </cell>
          <cell r="L35">
            <v>-2.88602473659342E-15</v>
          </cell>
          <cell r="M35">
            <v>1.5836707318328899E-15</v>
          </cell>
          <cell r="N35">
            <v>1.8040708419249299E-15</v>
          </cell>
          <cell r="O35">
            <v>2.57372229462001E-15</v>
          </cell>
          <cell r="P35">
            <v>3.2832737192819499E-15</v>
          </cell>
          <cell r="Q35">
            <v>2.8396855216266902E-15</v>
          </cell>
          <cell r="R35">
            <v>-4.7752520495353397E-15</v>
          </cell>
          <cell r="S35">
            <v>1.06716106992688E-13</v>
          </cell>
          <cell r="T35">
            <v>-4.0533219287402597E-2</v>
          </cell>
          <cell r="U35">
            <v>0</v>
          </cell>
          <cell r="V35">
            <v>-0.702416473865624</v>
          </cell>
          <cell r="W35">
            <v>1.8802620941197501E-2</v>
          </cell>
        </row>
        <row r="36">
          <cell r="D36">
            <v>-2.5995542290152098</v>
          </cell>
          <cell r="E36">
            <v>-0.13477040855068201</v>
          </cell>
          <cell r="F36">
            <v>-1.11634732833506</v>
          </cell>
          <cell r="G36">
            <v>-0.442634854941513</v>
          </cell>
          <cell r="H36">
            <v>1.2887355722566199E-2</v>
          </cell>
          <cell r="I36">
            <v>-0.197648970080195</v>
          </cell>
          <cell r="J36">
            <v>-4.1984328628498603E-15</v>
          </cell>
          <cell r="K36">
            <v>2.4475179376844001E-14</v>
          </cell>
          <cell r="L36">
            <v>-2.2361377204571501E-15</v>
          </cell>
          <cell r="M36">
            <v>1.73097986610455E-15</v>
          </cell>
          <cell r="N36">
            <v>1.8700705484973702E-15</v>
          </cell>
          <cell r="O36">
            <v>2.8297129349372901E-15</v>
          </cell>
          <cell r="P36">
            <v>3.4255114192909001E-15</v>
          </cell>
          <cell r="Q36">
            <v>3.0395693468810999E-15</v>
          </cell>
          <cell r="R36">
            <v>-4.5551332223423502E-15</v>
          </cell>
          <cell r="S36">
            <v>1.07279789679456E-13</v>
          </cell>
          <cell r="T36">
            <v>-1.98997430648617E-2</v>
          </cell>
          <cell r="U36">
            <v>0</v>
          </cell>
          <cell r="V36">
            <v>-0.71970961163829195</v>
          </cell>
          <cell r="W36">
            <v>1.8569331872696101E-2</v>
          </cell>
        </row>
        <row r="37">
          <cell r="D37">
            <v>-2.5994898998285798</v>
          </cell>
          <cell r="E37">
            <v>-0.133004716171574</v>
          </cell>
          <cell r="F37">
            <v>-1.1033280133183101</v>
          </cell>
          <cell r="G37">
            <v>-0.45807815884756897</v>
          </cell>
          <cell r="H37">
            <v>-9.8239354586208295E-3</v>
          </cell>
          <cell r="I37">
            <v>-0.183258001378728</v>
          </cell>
          <cell r="J37">
            <v>-3.8171753544476604E-15</v>
          </cell>
          <cell r="K37">
            <v>2.5278088427139501E-14</v>
          </cell>
          <cell r="L37">
            <v>-2.4722115003277998E-15</v>
          </cell>
          <cell r="M37">
            <v>1.6155518994065201E-15</v>
          </cell>
          <cell r="N37">
            <v>1.95407645286986E-15</v>
          </cell>
          <cell r="O37">
            <v>2.8381661565078702E-15</v>
          </cell>
          <cell r="P37">
            <v>3.4998982395434202E-15</v>
          </cell>
          <cell r="Q37">
            <v>3.09042362176623E-15</v>
          </cell>
          <cell r="R37">
            <v>-4.4390970311832902E-15</v>
          </cell>
          <cell r="S37">
            <v>1.07861565737413E-13</v>
          </cell>
          <cell r="T37">
            <v>-1.2177543419582101E-2</v>
          </cell>
          <cell r="U37">
            <v>0</v>
          </cell>
          <cell r="V37">
            <v>-0.71815864178835997</v>
          </cell>
          <cell r="W37">
            <v>1.8339110554027201E-2</v>
          </cell>
        </row>
        <row r="38">
          <cell r="D38">
            <v>-2.7547289789553702</v>
          </cell>
          <cell r="E38">
            <v>-0.13194735417491199</v>
          </cell>
          <cell r="F38">
            <v>-1.2599329042393499</v>
          </cell>
          <cell r="G38">
            <v>-0.46526367204682401</v>
          </cell>
          <cell r="H38">
            <v>-2.2938741565291399E-2</v>
          </cell>
          <cell r="I38">
            <v>-0.18918108866894801</v>
          </cell>
          <cell r="J38">
            <v>-4.0936819320477097E-15</v>
          </cell>
          <cell r="K38">
            <v>2.5950379497952499E-14</v>
          </cell>
          <cell r="L38">
            <v>-1.9047692398691001E-15</v>
          </cell>
          <cell r="M38">
            <v>1.8816960092209901E-15</v>
          </cell>
          <cell r="N38">
            <v>2.1296303562730998E-15</v>
          </cell>
          <cell r="O38">
            <v>3.03791119894133E-15</v>
          </cell>
          <cell r="P38">
            <v>3.6437649799192598E-15</v>
          </cell>
          <cell r="Q38">
            <v>3.1981260422831899E-15</v>
          </cell>
          <cell r="R38">
            <v>-4.2773787781268201E-15</v>
          </cell>
          <cell r="S38">
            <v>1.08509971547193E-13</v>
          </cell>
          <cell r="T38">
            <v>-1.07475694808329E-2</v>
          </cell>
          <cell r="U38">
            <v>0</v>
          </cell>
          <cell r="V38">
            <v>-0.69282956334352996</v>
          </cell>
          <cell r="W38">
            <v>1.8111914564175501E-2</v>
          </cell>
        </row>
        <row r="39">
          <cell r="D39">
            <v>-2.5605516854796599</v>
          </cell>
          <cell r="E39">
            <v>-0.14498140937162601</v>
          </cell>
          <cell r="F39">
            <v>-1.12437643140966</v>
          </cell>
          <cell r="G39">
            <v>-0.428891193222874</v>
          </cell>
          <cell r="H39">
            <v>1.52694929428106E-2</v>
          </cell>
          <cell r="I39">
            <v>-0.172990188275638</v>
          </cell>
          <cell r="J39">
            <v>-5.5993200431517601E-15</v>
          </cell>
          <cell r="K39">
            <v>2.6751144559874999E-14</v>
          </cell>
          <cell r="L39">
            <v>-2.2251751580298701E-15</v>
          </cell>
          <cell r="M39">
            <v>1.73604528338232E-15</v>
          </cell>
          <cell r="N39">
            <v>2.0284342495288001E-15</v>
          </cell>
          <cell r="O39">
            <v>2.9038147735071301E-15</v>
          </cell>
          <cell r="P39">
            <v>3.4687251225590998E-15</v>
          </cell>
          <cell r="Q39">
            <v>2.9910319721406798E-15</v>
          </cell>
          <cell r="R39">
            <v>-4.2893586169068103E-15</v>
          </cell>
          <cell r="S39">
            <v>1.06340368245509E-13</v>
          </cell>
          <cell r="T39">
            <v>-1.9302232362252002E-2</v>
          </cell>
          <cell r="U39">
            <v>0</v>
          </cell>
          <cell r="V39">
            <v>-0.70316742585055303</v>
          </cell>
          <cell r="W39">
            <v>1.7887702070000001E-2</v>
          </cell>
        </row>
        <row r="40">
          <cell r="D40">
            <v>-2.4547579780787698</v>
          </cell>
          <cell r="E40">
            <v>-0.14639908930706599</v>
          </cell>
          <cell r="F40">
            <v>-1.0832642945775699</v>
          </cell>
          <cell r="G40">
            <v>-0.384407744894182</v>
          </cell>
          <cell r="H40">
            <v>2.4889234861636599E-2</v>
          </cell>
          <cell r="I40">
            <v>-0.18494255405828</v>
          </cell>
          <cell r="J40">
            <v>-5.3593155067733401E-15</v>
          </cell>
          <cell r="K40">
            <v>2.75396532514738E-14</v>
          </cell>
          <cell r="L40">
            <v>-2.1071479932727602E-15</v>
          </cell>
          <cell r="M40">
            <v>1.7817143304466802E-15</v>
          </cell>
          <cell r="N40">
            <v>2.0369492161791599E-15</v>
          </cell>
          <cell r="O40">
            <v>2.8776923711875102E-15</v>
          </cell>
          <cell r="P40">
            <v>3.4085131219538799E-15</v>
          </cell>
          <cell r="Q40">
            <v>3.0312983048321802E-15</v>
          </cell>
          <cell r="R40">
            <v>-4.0546667698885401E-15</v>
          </cell>
          <cell r="S40">
            <v>1.06342042663763E-13</v>
          </cell>
          <cell r="T40">
            <v>-1.8614333216942301E-2</v>
          </cell>
          <cell r="U40">
            <v>0</v>
          </cell>
          <cell r="V40">
            <v>-0.679685628705474</v>
          </cell>
          <cell r="W40">
            <v>1.7666431818967598E-2</v>
          </cell>
        </row>
        <row r="41">
          <cell r="D41">
            <v>-2.2001651358593399</v>
          </cell>
          <cell r="E41">
            <v>-0.14880179390116</v>
          </cell>
          <cell r="F41">
            <v>-0.93414742720614596</v>
          </cell>
          <cell r="G41">
            <v>-0.32365282323799499</v>
          </cell>
          <cell r="H41">
            <v>4.0817602844639103E-2</v>
          </cell>
          <cell r="I41">
            <v>-0.19183765107599801</v>
          </cell>
          <cell r="J41">
            <v>-5.4778526988335303E-15</v>
          </cell>
          <cell r="K41">
            <v>2.804191438763E-14</v>
          </cell>
          <cell r="L41">
            <v>-2.6510612192812001E-15</v>
          </cell>
          <cell r="M41">
            <v>1.6299792909456301E-15</v>
          </cell>
          <cell r="N41">
            <v>1.8740148203790498E-15</v>
          </cell>
          <cell r="O41">
            <v>2.7126416444546399E-15</v>
          </cell>
          <cell r="P41">
            <v>3.3347524846047002E-15</v>
          </cell>
          <cell r="Q41">
            <v>3.0662808231720401E-15</v>
          </cell>
          <cell r="R41">
            <v>-4.1432975645381398E-15</v>
          </cell>
          <cell r="S41">
            <v>1.05930982578599E-13</v>
          </cell>
          <cell r="T41">
            <v>-1.2550744105492199E-2</v>
          </cell>
          <cell r="U41">
            <v>0</v>
          </cell>
          <cell r="V41">
            <v>-0.64744036230927104</v>
          </cell>
          <cell r="W41">
            <v>1.74480631319405E-2</v>
          </cell>
        </row>
        <row r="42">
          <cell r="D42">
            <v>-2.0701337203344798</v>
          </cell>
          <cell r="E42">
            <v>-0.155620411539487</v>
          </cell>
          <cell r="F42">
            <v>-0.83224877818954501</v>
          </cell>
          <cell r="G42">
            <v>-0.30069155474305698</v>
          </cell>
          <cell r="H42">
            <v>3.8768377305605901E-2</v>
          </cell>
          <cell r="I42">
            <v>-0.195525123630822</v>
          </cell>
          <cell r="J42">
            <v>-5.8293455364732001E-15</v>
          </cell>
          <cell r="K42">
            <v>2.8492063724448899E-14</v>
          </cell>
          <cell r="L42">
            <v>-2.3415528372017599E-15</v>
          </cell>
          <cell r="M42">
            <v>1.6478465097235301E-15</v>
          </cell>
          <cell r="N42">
            <v>1.86565331069964E-15</v>
          </cell>
          <cell r="O42">
            <v>2.77216026547613E-15</v>
          </cell>
          <cell r="P42">
            <v>3.4701909182461401E-15</v>
          </cell>
          <cell r="Q42">
            <v>3.0203957256879698E-15</v>
          </cell>
          <cell r="R42">
            <v>-4.1239566130674902E-15</v>
          </cell>
          <cell r="S42">
            <v>1.0554732394054999E-13</v>
          </cell>
          <cell r="T42">
            <v>-2.2688969379257198E-2</v>
          </cell>
          <cell r="U42">
            <v>0</v>
          </cell>
          <cell r="V42">
            <v>-0.61935981605406898</v>
          </cell>
          <cell r="W42">
            <v>1.72325558960136E-2</v>
          </cell>
        </row>
        <row r="43">
          <cell r="D43">
            <v>-2.0231550843876298</v>
          </cell>
          <cell r="E43">
            <v>-0.15174884053153301</v>
          </cell>
          <cell r="F43">
            <v>-0.79859986214712597</v>
          </cell>
          <cell r="G43">
            <v>-0.31058661660043202</v>
          </cell>
          <cell r="H43">
            <v>4.3764540903195898E-2</v>
          </cell>
          <cell r="I43">
            <v>-0.18528046016007199</v>
          </cell>
          <cell r="J43">
            <v>-5.3166670514298398E-15</v>
          </cell>
          <cell r="K43">
            <v>2.9042770837043502E-14</v>
          </cell>
          <cell r="L43">
            <v>-2.15469226802187E-15</v>
          </cell>
          <cell r="M43">
            <v>1.6519990132261901E-15</v>
          </cell>
          <cell r="N43">
            <v>1.93502122292221E-15</v>
          </cell>
          <cell r="O43">
            <v>2.8992880372803501E-15</v>
          </cell>
          <cell r="P43">
            <v>3.4207711676479599E-15</v>
          </cell>
          <cell r="Q43">
            <v>2.9423388406103399E-15</v>
          </cell>
          <cell r="R43">
            <v>-4.10581449341767E-15</v>
          </cell>
          <cell r="S43">
            <v>1.04800831759105E-13</v>
          </cell>
          <cell r="T43">
            <v>-1.34972037312406E-2</v>
          </cell>
          <cell r="U43">
            <v>0</v>
          </cell>
          <cell r="V43">
            <v>-0.62422651267797502</v>
          </cell>
          <cell r="W43">
            <v>1.7019870557408799E-2</v>
          </cell>
        </row>
        <row r="44">
          <cell r="D44">
            <v>-1.8781681732102999</v>
          </cell>
          <cell r="E44">
            <v>-0.15236736903801101</v>
          </cell>
          <cell r="F44">
            <v>-0.71677423421539199</v>
          </cell>
          <cell r="G44">
            <v>-0.32079100944390998</v>
          </cell>
          <cell r="H44">
            <v>3.5917425815295098E-2</v>
          </cell>
          <cell r="I44">
            <v>-0.19526608832529499</v>
          </cell>
          <cell r="J44">
            <v>-5.4386195983887604E-15</v>
          </cell>
          <cell r="K44">
            <v>2.9306772659770202E-14</v>
          </cell>
          <cell r="L44">
            <v>-2.39857375922835E-15</v>
          </cell>
          <cell r="M44">
            <v>1.6334316527170901E-15</v>
          </cell>
          <cell r="N44">
            <v>1.9860550439037798E-15</v>
          </cell>
          <cell r="O44">
            <v>2.8090983662186802E-15</v>
          </cell>
          <cell r="P44">
            <v>3.3147434698821699E-15</v>
          </cell>
          <cell r="Q44">
            <v>2.8686107708270802E-15</v>
          </cell>
          <cell r="R44">
            <v>-4.2040762579539797E-15</v>
          </cell>
          <cell r="S44">
            <v>1.02883443764807E-13</v>
          </cell>
          <cell r="T44">
            <v>-1.7774060727591402E-2</v>
          </cell>
          <cell r="U44">
            <v>0</v>
          </cell>
          <cell r="V44">
            <v>-0.52792280538995495</v>
          </cell>
          <cell r="W44">
            <v>1.6809968114421901E-2</v>
          </cell>
        </row>
        <row r="45">
          <cell r="D45">
            <v>-1.7305616663418399</v>
          </cell>
          <cell r="E45">
            <v>-0.15811855472518099</v>
          </cell>
          <cell r="F45">
            <v>-0.62396588878066295</v>
          </cell>
          <cell r="G45">
            <v>-0.34195585541617102</v>
          </cell>
          <cell r="H45">
            <v>4.3094342964824797E-2</v>
          </cell>
          <cell r="I45">
            <v>-0.22001335812688999</v>
          </cell>
          <cell r="J45">
            <v>-6.0128059019120702E-15</v>
          </cell>
          <cell r="K45">
            <v>2.9480340649216501E-14</v>
          </cell>
          <cell r="L45">
            <v>-1.8643648899579199E-15</v>
          </cell>
          <cell r="M45">
            <v>1.78275795477886E-15</v>
          </cell>
          <cell r="N45">
            <v>1.9995739279293201E-15</v>
          </cell>
          <cell r="O45">
            <v>2.7886748179129801E-15</v>
          </cell>
          <cell r="P45">
            <v>3.2893684843960299E-15</v>
          </cell>
          <cell r="Q45">
            <v>2.7243304462418901E-15</v>
          </cell>
          <cell r="R45">
            <v>-4.1973375874349802E-15</v>
          </cell>
          <cell r="S45">
            <v>1.0062868048825299E-13</v>
          </cell>
          <cell r="T45">
            <v>-3.8975879756323198E-3</v>
          </cell>
          <cell r="U45">
            <v>0</v>
          </cell>
          <cell r="V45">
            <v>-0.44230757439268398</v>
          </cell>
          <cell r="W45">
            <v>1.66028101104258E-2</v>
          </cell>
        </row>
        <row r="46">
          <cell r="D46">
            <v>-1.62976517474377</v>
          </cell>
          <cell r="E46">
            <v>-0.15894250476521901</v>
          </cell>
          <cell r="F46">
            <v>-0.53588973528596895</v>
          </cell>
          <cell r="G46">
            <v>-0.34233077060443001</v>
          </cell>
          <cell r="H46">
            <v>4.2305393891680601E-2</v>
          </cell>
          <cell r="I46">
            <v>-0.215111253364037</v>
          </cell>
          <cell r="J46">
            <v>-6.8795978121033899E-15</v>
          </cell>
          <cell r="K46">
            <v>2.9965207693004399E-14</v>
          </cell>
          <cell r="L46">
            <v>-1.5297914712787801E-15</v>
          </cell>
          <cell r="M46">
            <v>1.7206370755008301E-15</v>
          </cell>
          <cell r="N46">
            <v>1.9231438524599701E-15</v>
          </cell>
          <cell r="O46">
            <v>2.7244209393113398E-15</v>
          </cell>
          <cell r="P46">
            <v>3.1282105437720401E-15</v>
          </cell>
          <cell r="Q46">
            <v>2.6390763336470599E-15</v>
          </cell>
          <cell r="R46">
            <v>-3.7848804891020499E-15</v>
          </cell>
          <cell r="S46">
            <v>9.9551859603541906E-14</v>
          </cell>
          <cell r="T46">
            <v>1.2906096117853E-3</v>
          </cell>
          <cell r="U46">
            <v>0</v>
          </cell>
          <cell r="V46">
            <v>-0.43748527285464101</v>
          </cell>
          <cell r="W46">
            <v>1.6398358626930499E-2</v>
          </cell>
        </row>
        <row r="47">
          <cell r="D47">
            <v>-1.76352680565082</v>
          </cell>
          <cell r="E47">
            <v>-0.154505222129946</v>
          </cell>
          <cell r="F47">
            <v>-0.58714840279428504</v>
          </cell>
          <cell r="G47">
            <v>-0.3619735452981</v>
          </cell>
          <cell r="H47">
            <v>2.6059590782198699E-2</v>
          </cell>
          <cell r="I47">
            <v>-0.212171299334209</v>
          </cell>
          <cell r="J47">
            <v>-7.2918554582758705E-15</v>
          </cell>
          <cell r="K47">
            <v>3.0636010615200998E-14</v>
          </cell>
          <cell r="L47">
            <v>-1.5576397977547201E-15</v>
          </cell>
          <cell r="M47">
            <v>1.6788148722743799E-15</v>
          </cell>
          <cell r="N47">
            <v>1.8991967945041401E-15</v>
          </cell>
          <cell r="O47">
            <v>2.62194240864538E-15</v>
          </cell>
          <cell r="P47">
            <v>3.0891886969674501E-15</v>
          </cell>
          <cell r="Q47">
            <v>2.9740476803422299E-15</v>
          </cell>
          <cell r="R47">
            <v>-2.9633389377328102E-15</v>
          </cell>
          <cell r="S47">
            <v>9.9957630662544794E-14</v>
          </cell>
          <cell r="T47">
            <v>8.3035309344911892E-3</v>
          </cell>
          <cell r="U47">
            <v>0</v>
          </cell>
          <cell r="V47">
            <v>-0.49828803408780797</v>
          </cell>
          <cell r="W47">
            <v>1.61965762766994E-2</v>
          </cell>
        </row>
        <row r="48">
          <cell r="D48">
            <v>-1.7242856942834</v>
          </cell>
          <cell r="E48">
            <v>-0.146252175261569</v>
          </cell>
          <cell r="F48">
            <v>-0.56143841932122895</v>
          </cell>
          <cell r="G48">
            <v>-0.378408071559379</v>
          </cell>
          <cell r="H48">
            <v>1.1674742600136E-2</v>
          </cell>
          <cell r="I48">
            <v>-0.22026993479665699</v>
          </cell>
          <cell r="J48">
            <v>-6.73147316395779E-15</v>
          </cell>
          <cell r="K48">
            <v>3.1091450751650899E-14</v>
          </cell>
          <cell r="L48">
            <v>-1.8469631146033002E-15</v>
          </cell>
          <cell r="M48">
            <v>1.60024525173307E-15</v>
          </cell>
          <cell r="N48">
            <v>1.7553606101562799E-15</v>
          </cell>
          <cell r="O48">
            <v>2.5432963136550399E-15</v>
          </cell>
          <cell r="P48">
            <v>3.3279289663498E-15</v>
          </cell>
          <cell r="Q48">
            <v>3.5837444773084201E-15</v>
          </cell>
          <cell r="R48">
            <v>-3.1486988110944698E-15</v>
          </cell>
          <cell r="S48">
            <v>9.8752610356030602E-14</v>
          </cell>
          <cell r="T48">
            <v>7.2541151139920599E-3</v>
          </cell>
          <cell r="U48">
            <v>0</v>
          </cell>
          <cell r="V48">
            <v>-0.45284337725575402</v>
          </cell>
          <cell r="W48">
            <v>1.59974261969234E-2</v>
          </cell>
        </row>
        <row r="49">
          <cell r="D49">
            <v>-1.84069848059168</v>
          </cell>
          <cell r="E49">
            <v>-0.14174911758501199</v>
          </cell>
          <cell r="F49">
            <v>-0.61139699285145899</v>
          </cell>
          <cell r="G49">
            <v>-0.42936541839826098</v>
          </cell>
          <cell r="H49">
            <v>-1.1751911728982299E-3</v>
          </cell>
          <cell r="I49">
            <v>-0.200754303522619</v>
          </cell>
          <cell r="J49">
            <v>-7.1383372622096306E-15</v>
          </cell>
          <cell r="K49">
            <v>3.17374978587907E-14</v>
          </cell>
          <cell r="L49">
            <v>-1.61709268548566E-15</v>
          </cell>
          <cell r="M49">
            <v>1.56095648664131E-15</v>
          </cell>
          <cell r="N49">
            <v>1.76742822818265E-15</v>
          </cell>
          <cell r="O49">
            <v>2.8180795899654801E-15</v>
          </cell>
          <cell r="P49">
            <v>3.8986384831139102E-15</v>
          </cell>
          <cell r="Q49">
            <v>3.3938841137821099E-15</v>
          </cell>
          <cell r="R49">
            <v>-2.2127216264054199E-15</v>
          </cell>
          <cell r="S49">
            <v>9.8006873102095305E-14</v>
          </cell>
          <cell r="T49">
            <v>1.0430946135317601E-2</v>
          </cell>
          <cell r="U49">
            <v>0</v>
          </cell>
          <cell r="V49">
            <v>-0.48248927523933699</v>
          </cell>
          <cell r="W49">
            <v>1.5800872042453801E-2</v>
          </cell>
        </row>
        <row r="50">
          <cell r="D50">
            <v>-1.9027223300682601</v>
          </cell>
          <cell r="E50">
            <v>-0.127167986116826</v>
          </cell>
          <cell r="F50">
            <v>-0.65580593873903803</v>
          </cell>
          <cell r="G50">
            <v>-0.503168187816739</v>
          </cell>
          <cell r="H50">
            <v>-3.6156992360162499E-3</v>
          </cell>
          <cell r="I50">
            <v>-0.218055355311186</v>
          </cell>
          <cell r="J50">
            <v>-6.7045645061351797E-15</v>
          </cell>
          <cell r="K50">
            <v>3.1345214412574699E-14</v>
          </cell>
          <cell r="L50">
            <v>-1.99432999850369E-15</v>
          </cell>
          <cell r="M50">
            <v>1.4964815667425501E-15</v>
          </cell>
          <cell r="N50">
            <v>1.9546533174197899E-15</v>
          </cell>
          <cell r="O50">
            <v>3.2499432155017502E-15</v>
          </cell>
          <cell r="P50">
            <v>3.6617805554454003E-15</v>
          </cell>
          <cell r="Q50">
            <v>4.0701749000475497E-15</v>
          </cell>
          <cell r="R50">
            <v>-2.4088303398320299E-15</v>
          </cell>
          <cell r="S50">
            <v>9.5025100995293105E-14</v>
          </cell>
          <cell r="T50">
            <v>1.9369290333258401E-2</v>
          </cell>
          <cell r="U50">
            <v>0</v>
          </cell>
          <cell r="V50">
            <v>-0.42988533116094302</v>
          </cell>
          <cell r="W50">
            <v>1.56068779790939E-2</v>
          </cell>
        </row>
        <row r="51">
          <cell r="D51">
            <v>-2.0182665610193098</v>
          </cell>
          <cell r="E51">
            <v>-0.14356819057544701</v>
          </cell>
          <cell r="F51">
            <v>-0.67390626051545099</v>
          </cell>
          <cell r="G51">
            <v>-0.51262041959164695</v>
          </cell>
          <cell r="H51">
            <v>8.8174179537818705E-3</v>
          </cell>
          <cell r="I51">
            <v>-0.238465739042864</v>
          </cell>
          <cell r="J51">
            <v>-7.1702808043328304E-15</v>
          </cell>
          <cell r="K51">
            <v>3.1919387436701401E-14</v>
          </cell>
          <cell r="L51">
            <v>-1.9376401230722401E-15</v>
          </cell>
          <cell r="M51">
            <v>1.68905103502753E-15</v>
          </cell>
          <cell r="N51">
            <v>2.3790263545632099E-15</v>
          </cell>
          <cell r="O51">
            <v>3.0575430997572799E-15</v>
          </cell>
          <cell r="P51">
            <v>4.2347936582218196E-15</v>
          </cell>
          <cell r="Q51">
            <v>3.8178349627115901E-15</v>
          </cell>
          <cell r="R51">
            <v>-2.2924298424315601E-15</v>
          </cell>
          <cell r="S51">
            <v>9.3634110369057902E-14</v>
          </cell>
          <cell r="T51">
            <v>1.7581890223256201E-2</v>
          </cell>
          <cell r="U51">
            <v>0</v>
          </cell>
          <cell r="V51">
            <v>-0.49152066814802198</v>
          </cell>
          <cell r="W51">
            <v>1.54154086769494E-2</v>
          </cell>
        </row>
        <row r="52">
          <cell r="D52">
            <v>-2.1219699379316501</v>
          </cell>
          <cell r="E52">
            <v>-0.14360995690214901</v>
          </cell>
          <cell r="F52">
            <v>-0.67461405975975197</v>
          </cell>
          <cell r="G52">
            <v>-0.51710266353459899</v>
          </cell>
          <cell r="H52">
            <v>-1.1335063944641399E-2</v>
          </cell>
          <cell r="I52">
            <v>-0.247209010313646</v>
          </cell>
          <cell r="J52">
            <v>-7.0854510106694004E-15</v>
          </cell>
          <cell r="K52">
            <v>3.2601781178525902E-14</v>
          </cell>
          <cell r="L52">
            <v>-1.59228734342726E-15</v>
          </cell>
          <cell r="M52">
            <v>1.9394754563294201E-15</v>
          </cell>
          <cell r="N52">
            <v>2.1130358089693502E-15</v>
          </cell>
          <cell r="O52">
            <v>3.4972855161172898E-15</v>
          </cell>
          <cell r="P52">
            <v>3.9906654732559601E-15</v>
          </cell>
          <cell r="Q52">
            <v>3.8751908413254603E-15</v>
          </cell>
          <cell r="R52">
            <v>-1.99593994396705E-15</v>
          </cell>
          <cell r="S52">
            <v>9.3008563226478696E-14</v>
          </cell>
          <cell r="T52">
            <v>-7.7129502157431097E-3</v>
          </cell>
          <cell r="U52">
            <v>0</v>
          </cell>
          <cell r="V52">
            <v>-0.53561266256509699</v>
          </cell>
          <cell r="W52">
            <v>1.522642930384E-2</v>
          </cell>
        </row>
        <row r="53">
          <cell r="D53">
            <v>-2.0355561661188299</v>
          </cell>
          <cell r="E53">
            <v>-0.135974576005187</v>
          </cell>
          <cell r="F53">
            <v>-0.61580943525124399</v>
          </cell>
          <cell r="G53">
            <v>-0.53133953832335901</v>
          </cell>
          <cell r="H53">
            <v>-3.6812328347410897E-2</v>
          </cell>
          <cell r="I53">
            <v>-0.247872281145252</v>
          </cell>
          <cell r="J53">
            <v>-6.8489265443147202E-15</v>
          </cell>
          <cell r="K53">
            <v>3.2468454578501603E-14</v>
          </cell>
          <cell r="L53">
            <v>-1.35121876463366E-15</v>
          </cell>
          <cell r="M53">
            <v>1.5279394447525099E-15</v>
          </cell>
          <cell r="N53">
            <v>2.3634433869437199E-15</v>
          </cell>
          <cell r="O53">
            <v>3.16170880669054E-15</v>
          </cell>
          <cell r="P53">
            <v>3.9336618345266501E-15</v>
          </cell>
          <cell r="Q53">
            <v>3.9935475765882902E-15</v>
          </cell>
          <cell r="R53">
            <v>-1.60889782186172E-15</v>
          </cell>
          <cell r="S53">
            <v>9.0291371431560304E-14</v>
          </cell>
          <cell r="T53">
            <v>-3.3923690741129997E-2</v>
          </cell>
          <cell r="U53">
            <v>0</v>
          </cell>
          <cell r="V53">
            <v>-0.44886422182414698</v>
          </cell>
          <cell r="W53">
            <v>1.503990551877E-2</v>
          </cell>
        </row>
        <row r="54">
          <cell r="D54">
            <v>-2.4520464592661599</v>
          </cell>
          <cell r="E54">
            <v>-0.14070548318876799</v>
          </cell>
          <cell r="F54">
            <v>-0.82818985368917697</v>
          </cell>
          <cell r="G54">
            <v>-0.65634565566833103</v>
          </cell>
          <cell r="H54">
            <v>-4.3387879872656E-2</v>
          </cell>
          <cell r="I54">
            <v>-0.225099686578732</v>
          </cell>
          <cell r="J54">
            <v>-7.1425610309918408E-15</v>
          </cell>
          <cell r="K54">
            <v>3.24591065324231E-14</v>
          </cell>
          <cell r="L54">
            <v>-3.45031531360218E-15</v>
          </cell>
          <cell r="M54">
            <v>1.62016146528883E-15</v>
          </cell>
          <cell r="N54">
            <v>1.9469564869553801E-15</v>
          </cell>
          <cell r="O54">
            <v>3.0060249395139901E-15</v>
          </cell>
          <cell r="P54">
            <v>3.9124926512206204E-15</v>
          </cell>
          <cell r="Q54">
            <v>4.1340093017734E-15</v>
          </cell>
          <cell r="R54">
            <v>-1.0143900053863299E-15</v>
          </cell>
          <cell r="S54">
            <v>8.5387646345057703E-14</v>
          </cell>
          <cell r="T54">
            <v>-4.4550044338998E-2</v>
          </cell>
          <cell r="U54">
            <v>0</v>
          </cell>
          <cell r="V54">
            <v>-0.52862365939507805</v>
          </cell>
          <cell r="W54">
            <v>1.48558034654604E-2</v>
          </cell>
        </row>
        <row r="55">
          <cell r="D55">
            <v>-2.5119875117946702</v>
          </cell>
          <cell r="E55">
            <v>-0.14597519741200499</v>
          </cell>
          <cell r="F55">
            <v>-0.89960537957736797</v>
          </cell>
          <cell r="G55">
            <v>-0.71173025959106195</v>
          </cell>
          <cell r="H55">
            <v>-4.1064196067013198E-2</v>
          </cell>
          <cell r="I55">
            <v>-0.19603882114506499</v>
          </cell>
          <cell r="J55">
            <v>-4.5013732369686302E-15</v>
          </cell>
          <cell r="K55">
            <v>3.2212548942759802E-14</v>
          </cell>
          <cell r="L55">
            <v>-6.09981048851339E-15</v>
          </cell>
          <cell r="M55">
            <v>7.4081107410975805E-16</v>
          </cell>
          <cell r="N55">
            <v>1.8951385356314801E-15</v>
          </cell>
          <cell r="O55">
            <v>3.1804462584913699E-15</v>
          </cell>
          <cell r="P55">
            <v>4.3049045144390601E-15</v>
          </cell>
          <cell r="Q55">
            <v>4.6193085352541102E-15</v>
          </cell>
          <cell r="R55">
            <v>5.3721699310281799E-17</v>
          </cell>
          <cell r="S55">
            <v>8.4095699789528194E-14</v>
          </cell>
          <cell r="T55">
            <v>1.3759978528344799E-2</v>
          </cell>
          <cell r="U55">
            <v>0</v>
          </cell>
          <cell r="V55">
            <v>-0.54600772629656802</v>
          </cell>
          <cell r="W55">
            <v>1.4674089765942099E-2</v>
          </cell>
        </row>
        <row r="56">
          <cell r="D56">
            <v>-2.2438663080695598</v>
          </cell>
          <cell r="E56">
            <v>-0.15723250297962801</v>
          </cell>
          <cell r="F56">
            <v>-0.76223677357929298</v>
          </cell>
          <cell r="G56">
            <v>-0.756876861060503</v>
          </cell>
          <cell r="H56">
            <v>6.6234981521532598E-3</v>
          </cell>
          <cell r="I56">
            <v>-0.187296817735459</v>
          </cell>
          <cell r="J56">
            <v>-7.6421999786640398E-15</v>
          </cell>
          <cell r="K56">
            <v>3.21265570237615E-14</v>
          </cell>
          <cell r="L56">
            <v>-6.2751995532625599E-15</v>
          </cell>
          <cell r="M56">
            <v>1.16312507466638E-15</v>
          </cell>
          <cell r="N56">
            <v>2.5723348489165702E-15</v>
          </cell>
          <cell r="O56">
            <v>3.89394844377372E-15</v>
          </cell>
          <cell r="P56">
            <v>5.0820949671594803E-15</v>
          </cell>
          <cell r="Q56">
            <v>5.2933731058087399E-15</v>
          </cell>
          <cell r="R56">
            <v>1.5060919116229699E-15</v>
          </cell>
          <cell r="S56">
            <v>7.5471288601400494E-14</v>
          </cell>
          <cell r="T56">
            <v>-2.1867603732011799E-3</v>
          </cell>
          <cell r="U56">
            <v>0</v>
          </cell>
          <cell r="V56">
            <v>-0.39915482200795899</v>
          </cell>
          <cell r="W56">
            <v>1.4494731514209901E-2</v>
          </cell>
        </row>
        <row r="57">
          <cell r="D57">
            <v>-2.2132873756596299</v>
          </cell>
          <cell r="E57">
            <v>-0.14900861625697101</v>
          </cell>
          <cell r="F57">
            <v>-0.67657394850098895</v>
          </cell>
          <cell r="G57">
            <v>-0.79308256715760805</v>
          </cell>
          <cell r="H57">
            <v>4.4418893885012703E-2</v>
          </cell>
          <cell r="I57">
            <v>-0.24265937753717201</v>
          </cell>
          <cell r="J57">
            <v>-7.3952964073849608E-15</v>
          </cell>
          <cell r="K57">
            <v>3.1341951615385499E-14</v>
          </cell>
          <cell r="L57">
            <v>-5.07263912896296E-15</v>
          </cell>
          <cell r="M57">
            <v>2.6462707841995801E-15</v>
          </cell>
          <cell r="N57">
            <v>3.9485108778945001E-15</v>
          </cell>
          <cell r="O57">
            <v>4.9100509950473198E-15</v>
          </cell>
          <cell r="P57">
            <v>5.9548590876016799E-15</v>
          </cell>
          <cell r="Q57">
            <v>6.10126920226193E-15</v>
          </cell>
          <cell r="R57">
            <v>3.2679231777089802E-15</v>
          </cell>
          <cell r="S57">
            <v>7.1592475154323196E-14</v>
          </cell>
          <cell r="T57">
            <v>1.8677991794626599E-2</v>
          </cell>
          <cell r="U57">
            <v>0</v>
          </cell>
          <cell r="V57">
            <v>-0.42937744815658502</v>
          </cell>
          <cell r="W57">
            <v>1.43176962699393E-2</v>
          </cell>
        </row>
        <row r="58">
          <cell r="D58">
            <v>-2.0650486503636798</v>
          </cell>
          <cell r="E58">
            <v>-0.17723473717681201</v>
          </cell>
          <cell r="F58">
            <v>-0.54943673284987704</v>
          </cell>
          <cell r="G58">
            <v>-0.69420756494740299</v>
          </cell>
          <cell r="H58">
            <v>-9.4263462583822101E-4</v>
          </cell>
          <cell r="I58">
            <v>-0.26118771436381299</v>
          </cell>
          <cell r="J58">
            <v>-9.8280855959158793E-15</v>
          </cell>
          <cell r="K58">
            <v>3.1660426578401998E-14</v>
          </cell>
          <cell r="L58">
            <v>-4.4430933256219699E-15</v>
          </cell>
          <cell r="M58">
            <v>3.5975718485340301E-15</v>
          </cell>
          <cell r="N58">
            <v>4.6102039682832603E-15</v>
          </cell>
          <cell r="O58">
            <v>5.4214633855324501E-15</v>
          </cell>
          <cell r="P58">
            <v>6.1775228723234302E-15</v>
          </cell>
          <cell r="Q58">
            <v>6.2465174567009404E-15</v>
          </cell>
          <cell r="R58">
            <v>4.5188425329120802E-15</v>
          </cell>
          <cell r="S58">
            <v>7.1115063386916398E-14</v>
          </cell>
          <cell r="T58">
            <v>-2.8450032999036399E-2</v>
          </cell>
          <cell r="U58">
            <v>0</v>
          </cell>
          <cell r="V58">
            <v>-0.36773218545328401</v>
          </cell>
          <cell r="W58">
            <v>1.41429520522639E-2</v>
          </cell>
        </row>
        <row r="59">
          <cell r="D59">
            <v>-2.06555997270863</v>
          </cell>
          <cell r="E59">
            <v>-0.21742854947951701</v>
          </cell>
          <cell r="F59">
            <v>-0.49451860889835803</v>
          </cell>
          <cell r="G59">
            <v>-0.66875265851152899</v>
          </cell>
          <cell r="H59">
            <v>-6.5658593233314702E-2</v>
          </cell>
          <cell r="I59">
            <v>-0.28225243983443099</v>
          </cell>
          <cell r="J59">
            <v>-1.3036399749259299E-14</v>
          </cell>
          <cell r="K59">
            <v>3.15830022601922E-14</v>
          </cell>
          <cell r="L59">
            <v>-2.1629780863442599E-15</v>
          </cell>
          <cell r="M59">
            <v>4.8836108059319101E-15</v>
          </cell>
          <cell r="N59">
            <v>5.3432596410694099E-15</v>
          </cell>
          <cell r="O59">
            <v>5.7975797037954803E-15</v>
          </cell>
          <cell r="P59">
            <v>6.2810001096677398E-15</v>
          </cell>
          <cell r="Q59">
            <v>6.2647099706298897E-15</v>
          </cell>
          <cell r="R59">
            <v>5.2580189142197199E-15</v>
          </cell>
          <cell r="S59">
            <v>7.0628679568519902E-14</v>
          </cell>
          <cell r="T59">
            <v>-7.1922955562220003E-2</v>
          </cell>
          <cell r="U59">
            <v>0</v>
          </cell>
          <cell r="V59">
            <v>-0.278996634522994</v>
          </cell>
          <cell r="W59">
            <v>1.39704673336158E-2</v>
          </cell>
        </row>
        <row r="60">
          <cell r="D60">
            <v>-1.6611795450826701</v>
          </cell>
          <cell r="E60">
            <v>-0.20354087391530101</v>
          </cell>
          <cell r="F60">
            <v>-0.357021753687077</v>
          </cell>
          <cell r="G60">
            <v>-0.49208540065170803</v>
          </cell>
          <cell r="H60">
            <v>-4.3690376227012502E-2</v>
          </cell>
          <cell r="I60">
            <v>-0.274476732830291</v>
          </cell>
          <cell r="J60">
            <v>-1.44572534728109E-14</v>
          </cell>
          <cell r="K60">
            <v>3.1756248562054997E-14</v>
          </cell>
          <cell r="L60">
            <v>-3.48544277282826E-15</v>
          </cell>
          <cell r="M60">
            <v>3.99551403775414E-15</v>
          </cell>
          <cell r="N60">
            <v>3.8537336031715503E-15</v>
          </cell>
          <cell r="O60">
            <v>5.1038164706279704E-15</v>
          </cell>
          <cell r="P60">
            <v>5.1189455812072799E-15</v>
          </cell>
          <cell r="Q60">
            <v>5.2645920536594897E-15</v>
          </cell>
          <cell r="R60">
            <v>4.8192422007488201E-15</v>
          </cell>
          <cell r="S60">
            <v>7.2667507075800605E-14</v>
          </cell>
          <cell r="T60">
            <v>-9.0928797707925096E-3</v>
          </cell>
          <cell r="U60">
            <v>0</v>
          </cell>
          <cell r="V60">
            <v>-0.295071739034236</v>
          </cell>
          <cell r="W60">
            <v>1.3800211033628501E-2</v>
          </cell>
        </row>
        <row r="61">
          <cell r="D61">
            <v>-1.8116027694022301</v>
          </cell>
          <cell r="E61">
            <v>-0.18437691906169901</v>
          </cell>
          <cell r="F61">
            <v>-0.40926937205261998</v>
          </cell>
          <cell r="G61">
            <v>-0.49051648935910103</v>
          </cell>
          <cell r="H61">
            <v>-5.8323422634952403E-2</v>
          </cell>
          <cell r="I61">
            <v>-0.28112480036520998</v>
          </cell>
          <cell r="J61">
            <v>-1.6071938190224899E-14</v>
          </cell>
          <cell r="K61">
            <v>3.20289125928848E-14</v>
          </cell>
          <cell r="L61">
            <v>-9.3557446276990296E-16</v>
          </cell>
          <cell r="M61">
            <v>5.5193458678949002E-15</v>
          </cell>
          <cell r="N61">
            <v>4.2296384372668101E-15</v>
          </cell>
          <cell r="O61">
            <v>5.8776005428875502E-15</v>
          </cell>
          <cell r="P61">
            <v>5.5979385323396201E-15</v>
          </cell>
          <cell r="Q61">
            <v>5.5215676603989301E-15</v>
          </cell>
          <cell r="R61">
            <v>4.5503954441030501E-15</v>
          </cell>
          <cell r="S61">
            <v>7.2684179869095504E-14</v>
          </cell>
          <cell r="T61">
            <v>-1.2267871401191E-2</v>
          </cell>
          <cell r="U61">
            <v>0</v>
          </cell>
          <cell r="V61">
            <v>-0.389356047040682</v>
          </cell>
          <cell r="W61">
            <v>1.36321525131011E-2</v>
          </cell>
        </row>
        <row r="62">
          <cell r="D62">
            <v>-1.69791966807745</v>
          </cell>
          <cell r="E62">
            <v>-0.182100768215638</v>
          </cell>
          <cell r="F62">
            <v>-0.50853150992892704</v>
          </cell>
          <cell r="G62">
            <v>-0.38741366169684799</v>
          </cell>
          <cell r="H62">
            <v>-1.8182181828015599E-2</v>
          </cell>
          <cell r="I62">
            <v>-0.241698779672118</v>
          </cell>
          <cell r="J62">
            <v>-1.84761899386877E-14</v>
          </cell>
          <cell r="K62">
            <v>3.3038815873052397E-14</v>
          </cell>
          <cell r="L62">
            <v>5.4240987367443895E-16</v>
          </cell>
          <cell r="M62">
            <v>4.80655986554104E-15</v>
          </cell>
          <cell r="N62">
            <v>4.3327689126807298E-15</v>
          </cell>
          <cell r="O62">
            <v>5.3489088553056897E-15</v>
          </cell>
          <cell r="P62">
            <v>5.2931623283881298E-15</v>
          </cell>
          <cell r="Q62">
            <v>5.6277581196101103E-15</v>
          </cell>
          <cell r="R62">
            <v>4.4603876778688902E-15</v>
          </cell>
          <cell r="S62">
            <v>7.44587857772954E-14</v>
          </cell>
          <cell r="T62">
            <v>7.6834077820794697E-2</v>
          </cell>
          <cell r="U62">
            <v>0</v>
          </cell>
          <cell r="V62">
            <v>-0.45029310612484702</v>
          </cell>
          <cell r="W62">
            <v>1.34662615680264E-2</v>
          </cell>
        </row>
        <row r="63">
          <cell r="D63">
            <v>-1.17471321029854</v>
          </cell>
          <cell r="E63">
            <v>-0.18647299575634599</v>
          </cell>
          <cell r="F63">
            <v>-0.28091443540622302</v>
          </cell>
          <cell r="G63">
            <v>-6.33510770980657E-2</v>
          </cell>
          <cell r="H63">
            <v>-5.5865439249847798E-2</v>
          </cell>
          <cell r="I63">
            <v>-0.21907434520508301</v>
          </cell>
          <cell r="J63">
            <v>-2.0291502401997101E-14</v>
          </cell>
          <cell r="K63">
            <v>3.4708802506276299E-14</v>
          </cell>
          <cell r="L63">
            <v>9.8669741525671695E-16</v>
          </cell>
          <cell r="M63">
            <v>3.8094220125943197E-15</v>
          </cell>
          <cell r="N63">
            <v>1.7956959164357098E-15</v>
          </cell>
          <cell r="O63">
            <v>3.2341132937133799E-15</v>
          </cell>
          <cell r="P63">
            <v>1.7476978585298399E-15</v>
          </cell>
          <cell r="Q63">
            <v>4.8668904660459503E-15</v>
          </cell>
          <cell r="R63">
            <v>3.7018506423867404E-15</v>
          </cell>
          <cell r="S63">
            <v>8.7281427187083094E-14</v>
          </cell>
          <cell r="T63">
            <v>0.13347880608198201</v>
          </cell>
          <cell r="U63">
            <v>0</v>
          </cell>
          <cell r="V63">
            <v>-0.51581623208876004</v>
          </cell>
          <cell r="W63">
            <v>1.3302508423680699E-2</v>
          </cell>
        </row>
        <row r="64">
          <cell r="D64">
            <v>-1.2295111158431</v>
          </cell>
          <cell r="E64">
            <v>-0.17668812436853101</v>
          </cell>
          <cell r="F64">
            <v>-0.29000435859491802</v>
          </cell>
          <cell r="G64">
            <v>-3.86112704935231E-2</v>
          </cell>
          <cell r="H64">
            <v>-7.6108775763447503E-2</v>
          </cell>
          <cell r="I64">
            <v>-0.24063757040643399</v>
          </cell>
          <cell r="J64">
            <v>-2.0391414134976199E-14</v>
          </cell>
          <cell r="K64">
            <v>3.53663045251247E-14</v>
          </cell>
          <cell r="L64">
            <v>-4.0257984607589002E-16</v>
          </cell>
          <cell r="M64">
            <v>4.54463719823712E-15</v>
          </cell>
          <cell r="N64">
            <v>1.1987840954965E-15</v>
          </cell>
          <cell r="O64">
            <v>5.1014544304687901E-15</v>
          </cell>
          <cell r="P64">
            <v>2.0016458420134898E-15</v>
          </cell>
          <cell r="Q64">
            <v>5.3030678826137896E-15</v>
          </cell>
          <cell r="R64">
            <v>3.9825663901061399E-15</v>
          </cell>
          <cell r="S64">
            <v>9.0041753234265998E-14</v>
          </cell>
          <cell r="T64">
            <v>0.13402580236141701</v>
          </cell>
          <cell r="U64">
            <v>0</v>
          </cell>
          <cell r="V64">
            <v>-0.554627682306571</v>
          </cell>
          <cell r="W64">
            <v>1.3140863728776399E-2</v>
          </cell>
        </row>
        <row r="65">
          <cell r="D65">
            <v>-0.93637783631222005</v>
          </cell>
          <cell r="E65">
            <v>-0.177210965600924</v>
          </cell>
          <cell r="F65">
            <v>-0.171490970456812</v>
          </cell>
          <cell r="G65">
            <v>0.15090416471766099</v>
          </cell>
          <cell r="H65">
            <v>-8.5434899795986702E-2</v>
          </cell>
          <cell r="I65">
            <v>-0.24627943810095801</v>
          </cell>
          <cell r="J65">
            <v>-2.1164890859327999E-14</v>
          </cell>
          <cell r="K65">
            <v>3.6583290247098298E-14</v>
          </cell>
          <cell r="L65">
            <v>-1.9596754023685E-15</v>
          </cell>
          <cell r="M65">
            <v>3.8274296625531696E-15</v>
          </cell>
          <cell r="N65">
            <v>-3.4572671163077202E-16</v>
          </cell>
          <cell r="O65">
            <v>3.46008452700826E-15</v>
          </cell>
          <cell r="P65">
            <v>2.20308799937841E-15</v>
          </cell>
          <cell r="Q65">
            <v>5.3574967983584197E-15</v>
          </cell>
          <cell r="R65">
            <v>4.8470526615174702E-15</v>
          </cell>
          <cell r="S65">
            <v>9.8071445413625298E-14</v>
          </cell>
          <cell r="T65">
            <v>0.16408172052063699</v>
          </cell>
          <cell r="U65">
            <v>0</v>
          </cell>
          <cell r="V65">
            <v>-0.58392874614564805</v>
          </cell>
          <cell r="W65">
            <v>1.29812985496777E-2</v>
          </cell>
        </row>
        <row r="66">
          <cell r="D66">
            <v>-0.47569121463305097</v>
          </cell>
          <cell r="E66">
            <v>-0.177323933130202</v>
          </cell>
          <cell r="F66">
            <v>-0.15413710853983001</v>
          </cell>
          <cell r="G66">
            <v>0.18346758395021501</v>
          </cell>
          <cell r="H66">
            <v>-7.1398242008570798E-2</v>
          </cell>
          <cell r="I66">
            <v>-0.21783783491217601</v>
          </cell>
          <cell r="J66">
            <v>-2.2137445958048002E-14</v>
          </cell>
          <cell r="K66">
            <v>3.7595622885945201E-14</v>
          </cell>
          <cell r="L66">
            <v>1.5499201374087999E-15</v>
          </cell>
          <cell r="M66">
            <v>4.0253331321986402E-15</v>
          </cell>
          <cell r="N66">
            <v>-5.7902631605318101E-16</v>
          </cell>
          <cell r="O66">
            <v>2.1506268026653202E-15</v>
          </cell>
          <cell r="P66">
            <v>1.2146769142255601E-15</v>
          </cell>
          <cell r="Q66">
            <v>4.90671850764569E-15</v>
          </cell>
          <cell r="R66">
            <v>5.0051917931702198E-15</v>
          </cell>
          <cell r="S66">
            <v>9.6724238065664502E-14</v>
          </cell>
          <cell r="T66">
            <v>0.183760012509363</v>
          </cell>
          <cell r="U66">
            <v>0</v>
          </cell>
          <cell r="V66">
            <v>-0.23504547686666</v>
          </cell>
          <cell r="W66">
            <v>1.28237843646784E-2</v>
          </cell>
        </row>
        <row r="67">
          <cell r="D67">
            <v>-0.442239846947723</v>
          </cell>
          <cell r="E67">
            <v>-0.18290673431329299</v>
          </cell>
          <cell r="F67">
            <v>-0.17310101550182999</v>
          </cell>
          <cell r="G67">
            <v>0.232561079504427</v>
          </cell>
          <cell r="H67">
            <v>-3.4379977701879803E-2</v>
          </cell>
          <cell r="I67">
            <v>-0.24122599886816101</v>
          </cell>
          <cell r="J67">
            <v>-2.1880191541809701E-14</v>
          </cell>
          <cell r="K67">
            <v>3.8086657234101801E-14</v>
          </cell>
          <cell r="L67">
            <v>4.4519872848782597E-16</v>
          </cell>
          <cell r="M67">
            <v>3.48542117054284E-15</v>
          </cell>
          <cell r="N67">
            <v>-8.8446807375296602E-16</v>
          </cell>
          <cell r="O67">
            <v>2.0574606835246601E-15</v>
          </cell>
          <cell r="P67">
            <v>8.0171539121929002E-16</v>
          </cell>
          <cell r="Q67">
            <v>5.0132401098617499E-15</v>
          </cell>
          <cell r="R67">
            <v>5.6403654139256596E-15</v>
          </cell>
          <cell r="S67">
            <v>9.8041793689856101E-14</v>
          </cell>
          <cell r="T67">
            <v>0.207891588927512</v>
          </cell>
          <cell r="U67">
            <v>0</v>
          </cell>
          <cell r="V67">
            <v>-0.26374708205297298</v>
          </cell>
          <cell r="W67">
            <v>1.26682930583426E-2</v>
          </cell>
        </row>
        <row r="68">
          <cell r="D68">
            <v>2.3851367174090301E-3</v>
          </cell>
          <cell r="E68">
            <v>-0.17327065089414501</v>
          </cell>
          <cell r="F68">
            <v>2.76898209863315E-2</v>
          </cell>
          <cell r="G68">
            <v>0.38188857174816698</v>
          </cell>
          <cell r="H68">
            <v>-5.2776747097178701E-2</v>
          </cell>
          <cell r="I68">
            <v>-0.24600919047844699</v>
          </cell>
          <cell r="J68">
            <v>-2.17227009755139E-14</v>
          </cell>
          <cell r="K68">
            <v>3.8660207282593803E-14</v>
          </cell>
          <cell r="L68">
            <v>6.84416771242102E-16</v>
          </cell>
          <cell r="M68">
            <v>2.8421585519481901E-15</v>
          </cell>
          <cell r="N68">
            <v>-2.2205495896558001E-15</v>
          </cell>
          <cell r="O68">
            <v>9.8340386656749705E-16</v>
          </cell>
          <cell r="P68">
            <v>-3.39341205814561E-16</v>
          </cell>
          <cell r="Q68">
            <v>3.6332563835919701E-15</v>
          </cell>
          <cell r="R68">
            <v>5.1568265766832797E-15</v>
          </cell>
          <cell r="S68">
            <v>1.02038818848323E-13</v>
          </cell>
          <cell r="T68">
            <v>0.192397938057358</v>
          </cell>
          <cell r="U68">
            <v>0</v>
          </cell>
          <cell r="V68">
            <v>-0.14004940252071399</v>
          </cell>
          <cell r="W68">
            <v>1.25147969159079E-2</v>
          </cell>
        </row>
        <row r="69">
          <cell r="D69">
            <v>-0.129907215206642</v>
          </cell>
          <cell r="E69">
            <v>-0.173017359007167</v>
          </cell>
          <cell r="F69">
            <v>1.28054676815732E-2</v>
          </cell>
          <cell r="G69">
            <v>0.35780253944451301</v>
          </cell>
          <cell r="H69">
            <v>-4.5924833188823497E-2</v>
          </cell>
          <cell r="I69">
            <v>-0.27315676513517001</v>
          </cell>
          <cell r="J69">
            <v>-2.1076980258482201E-14</v>
          </cell>
          <cell r="K69">
            <v>3.9154078594620997E-14</v>
          </cell>
          <cell r="L69">
            <v>5.7474899660091896E-16</v>
          </cell>
          <cell r="M69">
            <v>2.8135479572808001E-15</v>
          </cell>
          <cell r="N69">
            <v>-2.3524691178354898E-15</v>
          </cell>
          <cell r="O69">
            <v>9.7227419775324304E-16</v>
          </cell>
          <cell r="P69">
            <v>2.0328293755423501E-16</v>
          </cell>
          <cell r="Q69">
            <v>4.2395561291874399E-15</v>
          </cell>
          <cell r="R69">
            <v>5.5838669101554698E-15</v>
          </cell>
          <cell r="S69">
            <v>1.02111835371659E-13</v>
          </cell>
          <cell r="T69">
            <v>0.165478383348337</v>
          </cell>
          <cell r="U69">
            <v>0</v>
          </cell>
          <cell r="V69">
            <v>-0.18625791696778901</v>
          </cell>
          <cell r="W69">
            <v>1.2363268617750601E-2</v>
          </cell>
        </row>
        <row r="70">
          <cell r="D70">
            <v>4.6876991655627497E-2</v>
          </cell>
          <cell r="E70">
            <v>-0.18225651324893299</v>
          </cell>
          <cell r="F70">
            <v>-2.24714031504188E-2</v>
          </cell>
          <cell r="G70">
            <v>0.37466533133736102</v>
          </cell>
          <cell r="H70">
            <v>-1.35602103590377E-2</v>
          </cell>
          <cell r="I70">
            <v>-0.29194409406837801</v>
          </cell>
          <cell r="J70">
            <v>-2.2486432440819001E-14</v>
          </cell>
          <cell r="K70">
            <v>3.8939821739521199E-14</v>
          </cell>
          <cell r="L70">
            <v>2.0112718454962699E-17</v>
          </cell>
          <cell r="M70">
            <v>2.5625567648463999E-15</v>
          </cell>
          <cell r="N70">
            <v>-2.59190389563909E-15</v>
          </cell>
          <cell r="O70">
            <v>3.5613228951090901E-16</v>
          </cell>
          <cell r="P70">
            <v>-5.9116572693215995E-16</v>
          </cell>
          <cell r="Q70">
            <v>3.4028781557782501E-15</v>
          </cell>
          <cell r="R70">
            <v>5.3631613014484898E-15</v>
          </cell>
          <cell r="S70">
            <v>9.8488717361344404E-14</v>
          </cell>
          <cell r="T70">
            <v>0.164524636966671</v>
          </cell>
          <cell r="U70">
            <v>0</v>
          </cell>
          <cell r="V70">
            <v>5.7055629443233799E-3</v>
          </cell>
          <cell r="W70">
            <v>1.2213681233914499E-2</v>
          </cell>
        </row>
        <row r="71">
          <cell r="D71">
            <v>-0.33471717144378099</v>
          </cell>
          <cell r="E71">
            <v>-0.18375688302281101</v>
          </cell>
          <cell r="F71">
            <v>-9.4500506641697096E-2</v>
          </cell>
          <cell r="G71">
            <v>0.31979034430031</v>
          </cell>
          <cell r="H71">
            <v>-2.7945953294800301E-2</v>
          </cell>
          <cell r="I71">
            <v>-0.30476547967551798</v>
          </cell>
          <cell r="J71">
            <v>-2.24107890511158E-14</v>
          </cell>
          <cell r="K71">
            <v>3.9698738026061002E-14</v>
          </cell>
          <cell r="L71">
            <v>-6.2852771521553297E-16</v>
          </cell>
          <cell r="M71">
            <v>2.82145403538167E-15</v>
          </cell>
          <cell r="N71">
            <v>-1.5299776244675401E-15</v>
          </cell>
          <cell r="O71">
            <v>1.39924745678737E-15</v>
          </cell>
          <cell r="P71">
            <v>4.1861738812215001E-16</v>
          </cell>
          <cell r="Q71">
            <v>3.8955025918790302E-15</v>
          </cell>
          <cell r="R71">
            <v>5.5901826295546604E-15</v>
          </cell>
          <cell r="S71">
            <v>9.8185521111863595E-14</v>
          </cell>
          <cell r="T71">
            <v>0.112218444218849</v>
          </cell>
          <cell r="U71">
            <v>0</v>
          </cell>
          <cell r="V71">
            <v>-0.167823145546942</v>
          </cell>
          <cell r="W71">
            <v>1.20660082186996E-2</v>
          </cell>
        </row>
        <row r="72">
          <cell r="D72">
            <v>-0.57225742326919304</v>
          </cell>
          <cell r="E72">
            <v>-0.19188343666194799</v>
          </cell>
          <cell r="F72">
            <v>-0.154932393131886</v>
          </cell>
          <cell r="G72">
            <v>0.273651245990018</v>
          </cell>
          <cell r="H72">
            <v>-2.9170070590070301E-2</v>
          </cell>
          <cell r="I72">
            <v>-0.31110182694439897</v>
          </cell>
          <cell r="J72">
            <v>-2.21469824987669E-14</v>
          </cell>
          <cell r="K72">
            <v>4.0537499580228702E-14</v>
          </cell>
          <cell r="L72">
            <v>-1.44419686439848E-15</v>
          </cell>
          <cell r="M72">
            <v>2.93032905003664E-15</v>
          </cell>
          <cell r="N72">
            <v>-1.30630085037055E-15</v>
          </cell>
          <cell r="O72">
            <v>2.1956971690414499E-15</v>
          </cell>
          <cell r="P72">
            <v>1.13652631006834E-15</v>
          </cell>
          <cell r="Q72">
            <v>4.2574545558243002E-15</v>
          </cell>
          <cell r="R72">
            <v>5.8259256103454102E-15</v>
          </cell>
          <cell r="S72">
            <v>9.7737055826856197E-14</v>
          </cell>
          <cell r="T72">
            <v>9.5232374820941906E-2</v>
          </cell>
          <cell r="U72">
            <v>0</v>
          </cell>
          <cell r="V72">
            <v>-0.26597354015729602</v>
          </cell>
          <cell r="W72">
            <v>1.1920223405315299E-2</v>
          </cell>
        </row>
        <row r="73">
          <cell r="D73">
            <v>-0.57061468528216197</v>
          </cell>
          <cell r="E73">
            <v>-0.189659205835919</v>
          </cell>
          <cell r="F73">
            <v>-0.153383566285893</v>
          </cell>
          <cell r="G73">
            <v>0.27070547089783797</v>
          </cell>
          <cell r="H73">
            <v>-3.3458911614965697E-2</v>
          </cell>
          <cell r="I73">
            <v>-0.30331991799463698</v>
          </cell>
          <cell r="J73">
            <v>-2.1803529188159499E-14</v>
          </cell>
          <cell r="K73">
            <v>4.0999910242542599E-14</v>
          </cell>
          <cell r="L73">
            <v>-1.40050701209614E-15</v>
          </cell>
          <cell r="M73">
            <v>2.89287044608248E-15</v>
          </cell>
          <cell r="N73">
            <v>-1.31502615234535E-15</v>
          </cell>
          <cell r="O73">
            <v>2.1586128823062499E-15</v>
          </cell>
          <cell r="P73">
            <v>1.10691290213815E-15</v>
          </cell>
          <cell r="Q73">
            <v>4.2110532198212203E-15</v>
          </cell>
          <cell r="R73">
            <v>5.7861279973092802E-15</v>
          </cell>
          <cell r="S73">
            <v>9.7763225071504206E-14</v>
          </cell>
          <cell r="T73">
            <v>8.9719402389175099E-2</v>
          </cell>
          <cell r="U73">
            <v>0</v>
          </cell>
          <cell r="V73">
            <v>-0.26299425783848601</v>
          </cell>
          <cell r="W73">
            <v>1.1776301000593599E-2</v>
          </cell>
        </row>
        <row r="74">
          <cell r="D74">
            <v>-0.56741554189406695</v>
          </cell>
          <cell r="E74">
            <v>-0.18744074218276599</v>
          </cell>
          <cell r="F74">
            <v>-0.15184998866115601</v>
          </cell>
          <cell r="G74">
            <v>0.26785264575203499</v>
          </cell>
          <cell r="H74">
            <v>-3.7167146911832802E-2</v>
          </cell>
          <cell r="I74">
            <v>-0.29509439893802297</v>
          </cell>
          <cell r="J74">
            <v>-2.1450908426621399E-14</v>
          </cell>
          <cell r="K74">
            <v>4.1442486555669701E-14</v>
          </cell>
          <cell r="L74">
            <v>-1.36094735395031E-15</v>
          </cell>
          <cell r="M74">
            <v>2.8546517088600499E-15</v>
          </cell>
          <cell r="N74">
            <v>-1.3228647767400099E-15</v>
          </cell>
          <cell r="O74">
            <v>2.1220433058838901E-15</v>
          </cell>
          <cell r="P74">
            <v>1.0781908356884599E-15</v>
          </cell>
          <cell r="Q74">
            <v>4.16429154414319E-15</v>
          </cell>
          <cell r="R74">
            <v>5.7441757771442898E-15</v>
          </cell>
          <cell r="S74">
            <v>9.7779284669593104E-14</v>
          </cell>
          <cell r="T74">
            <v>8.4764872434021296E-2</v>
          </cell>
          <cell r="U74">
            <v>0</v>
          </cell>
          <cell r="V74">
            <v>-0.26011499896624302</v>
          </cell>
          <cell r="W74">
            <v>1.1634215579764901E-2</v>
          </cell>
        </row>
        <row r="75">
          <cell r="D75">
            <v>-0.56286971219190796</v>
          </cell>
          <cell r="E75">
            <v>-0.18523233876197001</v>
          </cell>
          <cell r="F75">
            <v>-0.15033162272271899</v>
          </cell>
          <cell r="G75">
            <v>0.26507257694067898</v>
          </cell>
          <cell r="H75">
            <v>-4.0344708865340598E-2</v>
          </cell>
          <cell r="I75">
            <v>-0.28651298424222099</v>
          </cell>
          <cell r="J75">
            <v>-2.1090147215265301E-14</v>
          </cell>
          <cell r="K75">
            <v>4.18659795462736E-14</v>
          </cell>
          <cell r="L75">
            <v>-1.32533722762361E-15</v>
          </cell>
          <cell r="M75">
            <v>2.8158900377318798E-15</v>
          </cell>
          <cell r="N75">
            <v>-1.3293936439020601E-15</v>
          </cell>
          <cell r="O75">
            <v>2.0863366015562401E-15</v>
          </cell>
          <cell r="P75">
            <v>1.0507218716132901E-15</v>
          </cell>
          <cell r="Q75">
            <v>4.1173765459657903E-15</v>
          </cell>
          <cell r="R75">
            <v>5.70018846781497E-15</v>
          </cell>
          <cell r="S75">
            <v>9.7785141653681199E-14</v>
          </cell>
          <cell r="T75">
            <v>8.0305545719614804E-2</v>
          </cell>
          <cell r="U75">
            <v>0</v>
          </cell>
          <cell r="V75">
            <v>-0.25732012234137702</v>
          </cell>
          <cell r="W75">
            <v>1.1493942081294201E-2</v>
          </cell>
        </row>
        <row r="76">
          <cell r="D76">
            <v>-0.55716986802481605</v>
          </cell>
          <cell r="E76">
            <v>-0.18303739874705399</v>
          </cell>
          <cell r="F76">
            <v>-0.14882837602829399</v>
          </cell>
          <cell r="G76">
            <v>0.26235111769576502</v>
          </cell>
          <cell r="H76">
            <v>-4.3040141884107597E-2</v>
          </cell>
          <cell r="I76">
            <v>-0.27765865488206698</v>
          </cell>
          <cell r="J76">
            <v>-2.0722079366089401E-14</v>
          </cell>
          <cell r="K76">
            <v>4.2271066709581498E-14</v>
          </cell>
          <cell r="L76">
            <v>-1.29337933639341E-15</v>
          </cell>
          <cell r="M76">
            <v>2.7767879701531099E-15</v>
          </cell>
          <cell r="N76">
            <v>-1.3343021345260901E-15</v>
          </cell>
          <cell r="O76">
            <v>2.05173833911782E-15</v>
          </cell>
          <cell r="P76">
            <v>1.0247554327713701E-15</v>
          </cell>
          <cell r="Q76">
            <v>4.0704834826582798E-15</v>
          </cell>
          <cell r="R76">
            <v>5.6542750365390496E-15</v>
          </cell>
          <cell r="S76">
            <v>9.7780709700376706E-14</v>
          </cell>
          <cell r="T76">
            <v>7.6285276770788196E-2</v>
          </cell>
          <cell r="U76">
            <v>0</v>
          </cell>
          <cell r="V76">
            <v>-0.25459714675175898</v>
          </cell>
          <cell r="W76">
            <v>1.13554558017799E-2</v>
          </cell>
        </row>
        <row r="77">
          <cell r="D77">
            <v>-0.55049177277193895</v>
          </cell>
          <cell r="E77">
            <v>-0.18085860840628001</v>
          </cell>
          <cell r="F77">
            <v>-0.14734012836264701</v>
          </cell>
          <cell r="G77">
            <v>0.25967833422632902</v>
          </cell>
          <cell r="H77">
            <v>-4.5299844015065399E-2</v>
          </cell>
          <cell r="I77">
            <v>-0.26860840106598899</v>
          </cell>
          <cell r="J77">
            <v>-2.0347420300364899E-14</v>
          </cell>
          <cell r="K77">
            <v>4.2658349666420402E-14</v>
          </cell>
          <cell r="L77">
            <v>-1.2647083044021201E-15</v>
          </cell>
          <cell r="M77">
            <v>2.7375305177144602E-15</v>
          </cell>
          <cell r="N77">
            <v>-1.3373790503552101E-15</v>
          </cell>
          <cell r="O77">
            <v>2.0184100419868302E-15</v>
          </cell>
          <cell r="P77">
            <v>1.0004475183307701E-15</v>
          </cell>
          <cell r="Q77">
            <v>4.0237587363582196E-15</v>
          </cell>
          <cell r="R77">
            <v>5.6065439518127202E-15</v>
          </cell>
          <cell r="S77">
            <v>9.7765914581708998E-14</v>
          </cell>
          <cell r="T77">
            <v>7.2654250315626695E-2</v>
          </cell>
          <cell r="U77">
            <v>0</v>
          </cell>
          <cell r="V77">
            <v>-0.25193610785495801</v>
          </cell>
          <cell r="W77">
            <v>1.12187323909116E-2</v>
          </cell>
        </row>
        <row r="78">
          <cell r="D78">
            <v>-0.54299469787033505</v>
          </cell>
          <cell r="E78">
            <v>-0.178698076126418</v>
          </cell>
          <cell r="F78">
            <v>-0.14586674581582701</v>
          </cell>
          <cell r="G78">
            <v>0.25704722825551202</v>
          </cell>
          <cell r="H78">
            <v>-4.7167583845686298E-2</v>
          </cell>
          <cell r="I78">
            <v>-0.25943251588537303</v>
          </cell>
          <cell r="J78">
            <v>-1.99668230430521E-14</v>
          </cell>
          <cell r="K78">
            <v>4.30283563961805E-14</v>
          </cell>
          <cell r="L78">
            <v>-1.23892702465151E-15</v>
          </cell>
          <cell r="M78">
            <v>2.6982836249068701E-15</v>
          </cell>
          <cell r="N78">
            <v>-1.33849901650091E-15</v>
          </cell>
          <cell r="O78">
            <v>1.9864456062744499E-15</v>
          </cell>
          <cell r="P78">
            <v>9.7787801942042605E-16</v>
          </cell>
          <cell r="Q78">
            <v>3.9773229177861297E-15</v>
          </cell>
          <cell r="R78">
            <v>5.55710932675891E-15</v>
          </cell>
          <cell r="S78">
            <v>9.7740698336876003E-14</v>
          </cell>
          <cell r="T78">
            <v>6.9368293177873797E-2</v>
          </cell>
          <cell r="U78">
            <v>0</v>
          </cell>
          <cell r="V78">
            <v>-0.24932904547704099</v>
          </cell>
          <cell r="W78">
            <v>1.1083747846490201E-2</v>
          </cell>
        </row>
        <row r="79">
          <cell r="D79">
            <v>-0.53482206057826698</v>
          </cell>
          <cell r="E79">
            <v>-0.17655744421438699</v>
          </cell>
          <cell r="F79">
            <v>-0.144408088083988</v>
          </cell>
          <cell r="G79">
            <v>0.25445284714364202</v>
          </cell>
          <cell r="H79">
            <v>-4.86842228078187E-2</v>
          </cell>
          <cell r="I79">
            <v>-0.25019429181521302</v>
          </cell>
          <cell r="J79">
            <v>-1.9580918139271899E-14</v>
          </cell>
          <cell r="K79">
            <v>4.3381546548681398E-14</v>
          </cell>
          <cell r="L79">
            <v>-1.21563312118809E-15</v>
          </cell>
          <cell r="M79">
            <v>2.6591936246855299E-15</v>
          </cell>
          <cell r="N79">
            <v>-1.33760905429181E-15</v>
          </cell>
          <cell r="O79">
            <v>1.95588554707953E-15</v>
          </cell>
          <cell r="P79">
            <v>9.5706616390963004E-16</v>
          </cell>
          <cell r="Q79">
            <v>3.9312739629504997E-15</v>
          </cell>
          <cell r="R79">
            <v>5.5060940725552999E-15</v>
          </cell>
          <cell r="S79">
            <v>9.7705022295022702E-14</v>
          </cell>
          <cell r="T79">
            <v>6.6388255635028606E-2</v>
          </cell>
          <cell r="U79">
            <v>0</v>
          </cell>
          <cell r="V79">
            <v>-0.246769594945172</v>
          </cell>
          <cell r="W79">
            <v>1.0950478509507E-2</v>
          </cell>
        </row>
        <row r="80">
          <cell r="D80">
            <v>-0.52610222616278401</v>
          </cell>
          <cell r="E80">
            <v>-0.17443797886708901</v>
          </cell>
          <cell r="F80">
            <v>-0.14296401225210301</v>
          </cell>
          <cell r="G80">
            <v>0.25189166400024998</v>
          </cell>
          <cell r="H80">
            <v>-4.9887588776409399E-2</v>
          </cell>
          <cell r="I80">
            <v>-0.24095000630615199</v>
          </cell>
          <cell r="J80">
            <v>-1.9190340222849801E-14</v>
          </cell>
          <cell r="K80">
            <v>4.3718318660099597E-14</v>
          </cell>
          <cell r="L80">
            <v>-1.1944375282684499E-15</v>
          </cell>
          <cell r="M80">
            <v>2.62038742883089E-15</v>
          </cell>
          <cell r="N80">
            <v>-1.33471581598857E-15</v>
          </cell>
          <cell r="O80">
            <v>1.92672915306042E-15</v>
          </cell>
          <cell r="P80">
            <v>9.3798400888398702E-16</v>
          </cell>
          <cell r="Q80">
            <v>3.8856900881417098E-15</v>
          </cell>
          <cell r="R80">
            <v>5.4536308553500603E-15</v>
          </cell>
          <cell r="S80">
            <v>9.7658869089420002E-14</v>
          </cell>
          <cell r="T80">
            <v>6.3679456380369495E-2</v>
          </cell>
          <cell r="U80">
            <v>0</v>
          </cell>
          <cell r="V80">
            <v>-0.24425266140106899</v>
          </cell>
          <cell r="W80">
            <v>1.0818901059283501E-2</v>
          </cell>
        </row>
        <row r="81">
          <cell r="D81">
            <v>-0.51694942267053201</v>
          </cell>
          <cell r="E81">
            <v>-0.17234064262458201</v>
          </cell>
          <cell r="F81">
            <v>-0.14153437475050601</v>
          </cell>
          <cell r="G81">
            <v>0.24936114586800001</v>
          </cell>
          <cell r="H81">
            <v>-5.0812459256178097E-2</v>
          </cell>
          <cell r="I81">
            <v>-0.231749109572222</v>
          </cell>
          <cell r="J81">
            <v>-1.8795743823561999E-14</v>
          </cell>
          <cell r="K81">
            <v>4.4039018373036899E-14</v>
          </cell>
          <cell r="L81">
            <v>-1.1749768828737901E-15</v>
          </cell>
          <cell r="M81">
            <v>2.5819732440973899E-15</v>
          </cell>
          <cell r="N81">
            <v>-1.32987379338335E-15</v>
          </cell>
          <cell r="O81">
            <v>1.8989447028307899E-15</v>
          </cell>
          <cell r="P81">
            <v>9.2056802012097995E-16</v>
          </cell>
          <cell r="Q81">
            <v>3.8406325285320298E-15</v>
          </cell>
          <cell r="R81">
            <v>5.3998615161710102E-15</v>
          </cell>
          <cell r="S81">
            <v>9.7602243804844895E-14</v>
          </cell>
          <cell r="T81">
            <v>6.1211185452191202E-2</v>
          </cell>
          <cell r="U81">
            <v>0</v>
          </cell>
          <cell r="V81">
            <v>-0.24177416029604201</v>
          </cell>
          <cell r="W81">
            <v>1.0688992508670499E-2</v>
          </cell>
        </row>
        <row r="82">
          <cell r="D82">
            <v>-0.50746472372135698</v>
          </cell>
          <cell r="E82">
            <v>-0.17026615276201701</v>
          </cell>
          <cell r="F82">
            <v>-0.14011903236352799</v>
          </cell>
          <cell r="G82">
            <v>0.246859452915867</v>
          </cell>
          <cell r="H82">
            <v>-5.1490622174020603E-2</v>
          </cell>
          <cell r="I82">
            <v>-0.22263454865930099</v>
          </cell>
          <cell r="J82">
            <v>-1.8397810767058701E-14</v>
          </cell>
          <cell r="K82">
            <v>4.4343946990084498E-14</v>
          </cell>
          <cell r="L82">
            <v>-1.15692114498435E-15</v>
          </cell>
          <cell r="M82">
            <v>2.5440416489161701E-15</v>
          </cell>
          <cell r="N82">
            <v>-1.32317467858984E-15</v>
          </cell>
          <cell r="O82">
            <v>1.8724779332849698E-15</v>
          </cell>
          <cell r="P82">
            <v>9.0472885102264005E-16</v>
          </cell>
          <cell r="Q82">
            <v>3.79614802455695E-15</v>
          </cell>
          <cell r="R82">
            <v>5.3449354849152997E-15</v>
          </cell>
          <cell r="S82">
            <v>9.7535174395596494E-14</v>
          </cell>
          <cell r="T82">
            <v>5.8956259785594697E-2</v>
          </cell>
          <cell r="U82">
            <v>0</v>
          </cell>
          <cell r="V82">
            <v>-0.23933081066339501</v>
          </cell>
          <cell r="W82">
            <v>1.05607301993064E-2</v>
          </cell>
        </row>
        <row r="83">
          <cell r="D83">
            <v>-0.49773706266642498</v>
          </cell>
          <cell r="E83">
            <v>-0.16821502838812399</v>
          </cell>
          <cell r="F83">
            <v>-0.13871784274614599</v>
          </cell>
          <cell r="G83">
            <v>0.24438522889223999</v>
          </cell>
          <cell r="H83">
            <v>-5.1950989904456402E-2</v>
          </cell>
          <cell r="I83">
            <v>-0.21364317821798201</v>
          </cell>
          <cell r="J83">
            <v>-1.79972512418824E-14</v>
          </cell>
          <cell r="K83">
            <v>4.4633369877675297E-14</v>
          </cell>
          <cell r="L83">
            <v>-1.1399776083408E-15</v>
          </cell>
          <cell r="M83">
            <v>2.50666690141451E-15</v>
          </cell>
          <cell r="N83">
            <v>-1.3147379572510601E-15</v>
          </cell>
          <cell r="O83">
            <v>1.84725896326398E-15</v>
          </cell>
          <cell r="P83">
            <v>8.90359474350931E-16</v>
          </cell>
          <cell r="Q83">
            <v>3.7522710450816498E-15</v>
          </cell>
          <cell r="R83">
            <v>5.2890076036798996E-15</v>
          </cell>
          <cell r="S83">
            <v>9.7457711503321806E-14</v>
          </cell>
          <cell r="T83">
            <v>5.6890626374534903E-2</v>
          </cell>
          <cell r="U83">
            <v>0</v>
          </cell>
          <cell r="V83">
            <v>-0.236919970473563</v>
          </cell>
          <cell r="W83">
            <v>1.04340917969347E-2</v>
          </cell>
        </row>
        <row r="84">
          <cell r="D84">
            <v>-0.487844249052719</v>
          </cell>
          <cell r="E84">
            <v>-0.166187628467965</v>
          </cell>
          <cell r="F84">
            <v>-0.137330664685302</v>
          </cell>
          <cell r="G84">
            <v>0.241937455148929</v>
          </cell>
          <cell r="H84">
            <v>-5.2219748094377398E-2</v>
          </cell>
          <cell r="I84">
            <v>-0.204806221085783</v>
          </cell>
          <cell r="J84">
            <v>-1.7594800311552099E-14</v>
          </cell>
          <cell r="K84">
            <v>4.49075243873945E-14</v>
          </cell>
          <cell r="L84">
            <v>-1.1238922447929201E-15</v>
          </cell>
          <cell r="M84">
            <v>2.46990837895858E-15</v>
          </cell>
          <cell r="N84">
            <v>-1.30470274403224E-15</v>
          </cell>
          <cell r="O84">
            <v>1.8232078745956101E-15</v>
          </cell>
          <cell r="P84">
            <v>8.7734183929836703E-16</v>
          </cell>
          <cell r="Q84">
            <v>3.7090257518092701E-15</v>
          </cell>
          <cell r="R84">
            <v>5.2322356744309497E-15</v>
          </cell>
          <cell r="S84">
            <v>9.7369927793149696E-14</v>
          </cell>
          <cell r="T84">
            <v>5.4993008384713001E-2</v>
          </cell>
          <cell r="U84">
            <v>0</v>
          </cell>
          <cell r="V84">
            <v>-0.23453950553985101</v>
          </cell>
          <cell r="W84">
            <v>1.03090552867803E-2</v>
          </cell>
        </row>
        <row r="85">
          <cell r="D85">
            <v>-0.47785396517286099</v>
          </cell>
          <cell r="E85">
            <v>-0.164184182547572</v>
          </cell>
          <cell r="F85">
            <v>-0.13595735822876101</v>
          </cell>
          <cell r="G85">
            <v>0.23951534894815801</v>
          </cell>
          <cell r="H85">
            <v>-5.2320525474556699E-2</v>
          </cell>
          <cell r="I85">
            <v>-0.19614975158773901</v>
          </cell>
          <cell r="J85">
            <v>-1.7191211356912001E-14</v>
          </cell>
          <cell r="K85">
            <v>4.5166627080318902E-14</v>
          </cell>
          <cell r="L85">
            <v>-1.1084491371005599E-15</v>
          </cell>
          <cell r="M85">
            <v>2.4338120733656498E-15</v>
          </cell>
          <cell r="N85">
            <v>-1.29322082132871E-15</v>
          </cell>
          <cell r="O85">
            <v>1.8002391422719301E-15</v>
          </cell>
          <cell r="P85">
            <v>8.6555223124935E-16</v>
          </cell>
          <cell r="Q85">
            <v>3.6664277185793099E-15</v>
          </cell>
          <cell r="R85">
            <v>5.1747779618717599E-15</v>
          </cell>
          <cell r="S85">
            <v>9.7271916914627302E-14</v>
          </cell>
          <cell r="T85">
            <v>5.3244589916898698E-2</v>
          </cell>
          <cell r="U85">
            <v>0</v>
          </cell>
          <cell r="V85">
            <v>-0.23218768516840901</v>
          </cell>
          <cell r="W85">
            <v>1.01855989689826E-2</v>
          </cell>
        </row>
        <row r="86">
          <cell r="D86">
            <v>-0.46782472636640499</v>
          </cell>
          <cell r="E86">
            <v>-0.162204815605898</v>
          </cell>
          <cell r="F86">
            <v>-0.13459778474526399</v>
          </cell>
          <cell r="G86">
            <v>0.23711829261675599</v>
          </cell>
          <cell r="H86">
            <v>-5.2274574428617201E-2</v>
          </cell>
          <cell r="I86">
            <v>-0.187695182009401</v>
          </cell>
          <cell r="J86">
            <v>-1.67872476581987E-14</v>
          </cell>
          <cell r="K86">
            <v>4.54108801313141E-14</v>
          </cell>
          <cell r="L86">
            <v>-1.0934685961342199E-15</v>
          </cell>
          <cell r="M86">
            <v>2.3984120852656401E-15</v>
          </cell>
          <cell r="N86">
            <v>-1.28045080959483E-15</v>
          </cell>
          <cell r="O86">
            <v>1.7782650902614199E-15</v>
          </cell>
          <cell r="P86">
            <v>8.5486550715891996E-16</v>
          </cell>
          <cell r="Q86">
            <v>3.6244854242391002E-15</v>
          </cell>
          <cell r="R86">
            <v>5.11679081356384E-15</v>
          </cell>
          <cell r="S86">
            <v>9.7163792181450199E-14</v>
          </cell>
          <cell r="T86">
            <v>5.16287354750554E-2</v>
          </cell>
          <cell r="U86">
            <v>0</v>
          </cell>
          <cell r="V86">
            <v>-0.229863099123263</v>
          </cell>
          <cell r="W86">
            <v>1.00637014540884E-2</v>
          </cell>
        </row>
        <row r="87">
          <cell r="D87">
            <v>-0.45780679364688998</v>
          </cell>
          <cell r="E87">
            <v>-0.16024956817757599</v>
          </cell>
          <cell r="F87">
            <v>-0.133251806949094</v>
          </cell>
          <cell r="G87">
            <v>0.2347457841883</v>
          </cell>
          <cell r="H87">
            <v>-5.2100954857201003E-2</v>
          </cell>
          <cell r="I87">
            <v>-0.179459738470996</v>
          </cell>
          <cell r="J87">
            <v>-1.6383673075577299E-14</v>
          </cell>
          <cell r="K87">
            <v>4.5640476859126997E-14</v>
          </cell>
          <cell r="L87">
            <v>-1.0788044260193399E-15</v>
          </cell>
          <cell r="M87">
            <v>2.3637320765880199E-15</v>
          </cell>
          <cell r="N87">
            <v>-1.2665533776115501E-15</v>
          </cell>
          <cell r="O87">
            <v>1.7571985317841901E-15</v>
          </cell>
          <cell r="P87">
            <v>8.45158369353323E-16</v>
          </cell>
          <cell r="Q87">
            <v>3.5832015400768304E-15</v>
          </cell>
          <cell r="R87">
            <v>5.0584265043997702E-15</v>
          </cell>
          <cell r="S87">
            <v>9.7045685051550496E-14</v>
          </cell>
          <cell r="T87">
            <v>5.0130740537087402E-2</v>
          </cell>
          <cell r="U87">
            <v>0</v>
          </cell>
          <cell r="V87">
            <v>-0.22756459157615</v>
          </cell>
          <cell r="W87">
            <v>9.9433416586007291E-3</v>
          </cell>
        </row>
        <row r="88">
          <cell r="D88">
            <v>-0.44784303121451902</v>
          </cell>
          <cell r="E88">
            <v>-0.15831841266427499</v>
          </cell>
          <cell r="F88">
            <v>-0.13191928890622501</v>
          </cell>
          <cell r="G88">
            <v>0.23239740301363901</v>
          </cell>
          <cell r="H88">
            <v>-5.1816716001492298E-2</v>
          </cell>
          <cell r="I88">
            <v>-0.17145691682239</v>
          </cell>
          <cell r="J88">
            <v>-1.5981242565364102E-14</v>
          </cell>
          <cell r="K88">
            <v>4.5855606378661699E-14</v>
          </cell>
          <cell r="L88">
            <v>-1.0643406917881301E-15</v>
          </cell>
          <cell r="M88">
            <v>2.3297866524635402E-15</v>
          </cell>
          <cell r="N88">
            <v>-1.25168739020953E-15</v>
          </cell>
          <cell r="O88">
            <v>1.7369547345038099E-15</v>
          </cell>
          <cell r="P88">
            <v>8.3631182720516998E-16</v>
          </cell>
          <cell r="Q88">
            <v>3.54257403335209E-15</v>
          </cell>
          <cell r="R88">
            <v>4.9998313696474797E-15</v>
          </cell>
          <cell r="S88">
            <v>9.6917743477175803E-14</v>
          </cell>
          <cell r="T88">
            <v>4.8737609953314803E-2</v>
          </cell>
          <cell r="U88">
            <v>0</v>
          </cell>
          <cell r="V88">
            <v>-0.22529120858781401</v>
          </cell>
          <cell r="W88">
            <v>9.8244988005847592E-3</v>
          </cell>
        </row>
        <row r="89">
          <cell r="D89">
            <v>-0.43796970457532802</v>
          </cell>
          <cell r="E89">
            <v>-0.15641126657162599</v>
          </cell>
          <cell r="F89">
            <v>-0.13060009603098099</v>
          </cell>
          <cell r="G89">
            <v>0.23007278579832999</v>
          </cell>
          <cell r="H89">
            <v>-5.1437072514890797E-2</v>
          </cell>
          <cell r="I89">
            <v>-0.16369691249055801</v>
          </cell>
          <cell r="J89">
            <v>-1.5580693078139001E-14</v>
          </cell>
          <cell r="K89">
            <v>4.6056457407609998E-14</v>
          </cell>
          <cell r="L89">
            <v>-1.04998825543765E-15</v>
          </cell>
          <cell r="M89">
            <v>2.2965826535179302E-15</v>
          </cell>
          <cell r="N89">
            <v>-1.2360068869744499E-15</v>
          </cell>
          <cell r="O89">
            <v>1.71745283308668E-15</v>
          </cell>
          <cell r="P89">
            <v>8.2821298124360999E-16</v>
          </cell>
          <cell r="Q89">
            <v>3.5025971079108599E-15</v>
          </cell>
          <cell r="R89">
            <v>4.9411442581535997E-15</v>
          </cell>
          <cell r="S89">
            <v>9.6780130183419003E-14</v>
          </cell>
          <cell r="T89">
            <v>4.7437861205966998E-2</v>
          </cell>
          <cell r="U89">
            <v>0</v>
          </cell>
          <cell r="V89">
            <v>-0.223042156367039</v>
          </cell>
          <cell r="W89">
            <v>9.7071523953310198E-3</v>
          </cell>
        </row>
        <row r="90">
          <cell r="D90">
            <v>-0.428217217437799</v>
          </cell>
          <cell r="E90">
            <v>-0.15452800326388699</v>
          </cell>
          <cell r="F90">
            <v>-0.12929409507784501</v>
          </cell>
          <cell r="G90">
            <v>0.22777160990343401</v>
          </cell>
          <cell r="H90">
            <v>-5.0975572304267698E-2</v>
          </cell>
          <cell r="I90">
            <v>-0.15618702068496201</v>
          </cell>
          <cell r="J90">
            <v>-1.5182735223931801E-14</v>
          </cell>
          <cell r="K90">
            <v>4.6243221283694697E-14</v>
          </cell>
          <cell r="L90">
            <v>-1.03568127498554E-15</v>
          </cell>
          <cell r="M90">
            <v>2.26412034706784E-15</v>
          </cell>
          <cell r="N90">
            <v>-1.2196587863432E-15</v>
          </cell>
          <cell r="O90">
            <v>1.69861679460201E-15</v>
          </cell>
          <cell r="P90">
            <v>8.2075624896424903E-16</v>
          </cell>
          <cell r="Q90">
            <v>3.46326200167279E-15</v>
          </cell>
          <cell r="R90">
            <v>4.8824953131701598E-15</v>
          </cell>
          <cell r="S90">
            <v>9.6633020923414297E-14</v>
          </cell>
          <cell r="T90">
            <v>4.6221349850387498E-2</v>
          </cell>
          <cell r="U90">
            <v>0</v>
          </cell>
          <cell r="V90">
            <v>-0.22081676811187301</v>
          </cell>
          <cell r="W90">
            <v>9.5912822510739598E-3</v>
          </cell>
        </row>
        <row r="91">
          <cell r="D91">
            <v>-0.41861078741082097</v>
          </cell>
          <cell r="E91">
            <v>-0.15266846071241899</v>
          </cell>
          <cell r="F91">
            <v>-0.12800115413079</v>
          </cell>
          <cell r="G91">
            <v>0.22549358170598199</v>
          </cell>
          <cell r="H91">
            <v>-5.04442545894591E-2</v>
          </cell>
          <cell r="I91">
            <v>-0.14893200519081001</v>
          </cell>
          <cell r="J91">
            <v>-1.47880459568759E-14</v>
          </cell>
          <cell r="K91">
            <v>4.64160942637587E-14</v>
          </cell>
          <cell r="L91">
            <v>-1.0213738044478601E-15</v>
          </cell>
          <cell r="M91">
            <v>2.23239451150456E-15</v>
          </cell>
          <cell r="N91">
            <v>-1.2027812137506699E-15</v>
          </cell>
          <cell r="O91">
            <v>1.68037602664618E-15</v>
          </cell>
          <cell r="P91">
            <v>8.1384413665035595E-16</v>
          </cell>
          <cell r="Q91">
            <v>3.4245576592283302E-15</v>
          </cell>
          <cell r="R91">
            <v>4.8240050710669298E-15</v>
          </cell>
          <cell r="S91">
            <v>9.6476602749188398E-14</v>
          </cell>
          <cell r="T91">
            <v>4.5079114724604602E-2</v>
          </cell>
          <cell r="U91">
            <v>0</v>
          </cell>
          <cell r="V91">
            <v>-0.21861447768283501</v>
          </cell>
          <cell r="W91">
            <v>9.4768684647666898E-3</v>
          </cell>
        </row>
        <row r="92">
          <cell r="D92">
            <v>-0.40917106188901398</v>
          </cell>
          <cell r="E92">
            <v>-0.150832448620983</v>
          </cell>
          <cell r="F92">
            <v>-0.12672114259141601</v>
          </cell>
          <cell r="G92">
            <v>0.22323842848401701</v>
          </cell>
          <cell r="H92">
            <v>-4.98537973197151E-2</v>
          </cell>
          <cell r="I92">
            <v>-0.1419344353044</v>
          </cell>
          <cell r="J92">
            <v>-1.4397262424662201E-14</v>
          </cell>
          <cell r="K92">
            <v>4.6575279183945898E-14</v>
          </cell>
          <cell r="L92">
            <v>-1.0070365882055699E-15</v>
          </cell>
          <cell r="M92">
            <v>2.2013954125019101E-15</v>
          </cell>
          <cell r="N92">
            <v>-1.1855023589520399E-15</v>
          </cell>
          <cell r="O92">
            <v>1.6626657040433699E-15</v>
          </cell>
          <cell r="P92">
            <v>8.0738764737438595E-16</v>
          </cell>
          <cell r="Q92">
            <v>3.38647129608099E-15</v>
          </cell>
          <cell r="R92">
            <v>4.7657838565185998E-15</v>
          </cell>
          <cell r="S92">
            <v>9.6311072328965099E-14</v>
          </cell>
          <cell r="T92">
            <v>4.4003240758485003E-2</v>
          </cell>
          <cell r="U92">
            <v>0</v>
          </cell>
          <cell r="V92">
            <v>-0.21643479871305299</v>
          </cell>
          <cell r="W92">
            <v>9.3638914179102802E-3</v>
          </cell>
        </row>
        <row r="93">
          <cell r="D93">
            <v>-0.39991467647714801</v>
          </cell>
          <cell r="E93">
            <v>-0.14901975423622199</v>
          </cell>
          <cell r="F93">
            <v>-0.12545393116650499</v>
          </cell>
          <cell r="G93">
            <v>0.22100589275690799</v>
          </cell>
          <cell r="H93">
            <v>-4.9213653592448697E-2</v>
          </cell>
          <cell r="I93">
            <v>-0.13519499140517199</v>
          </cell>
          <cell r="J93">
            <v>-1.4010977043921801E-14</v>
          </cell>
          <cell r="K93">
            <v>4.6720986563031802E-14</v>
          </cell>
          <cell r="L93">
            <v>-9.9265410883992493E-16</v>
          </cell>
          <cell r="M93">
            <v>2.17110967288925E-15</v>
          </cell>
          <cell r="N93">
            <v>-1.1679397754485499E-15</v>
          </cell>
          <cell r="O93">
            <v>1.64542687753936E-15</v>
          </cell>
          <cell r="P93">
            <v>8.0130640228998201E-16</v>
          </cell>
          <cell r="Q93">
            <v>3.34898886934216E-15</v>
          </cell>
          <cell r="R93">
            <v>4.7079314454130102E-15</v>
          </cell>
          <cell r="S93">
            <v>9.6136634334561597E-14</v>
          </cell>
          <cell r="T93">
            <v>4.2986737437364898E-2</v>
          </cell>
          <cell r="U93">
            <v>0</v>
          </cell>
          <cell r="V93">
            <v>-0.214277308043653</v>
          </cell>
          <cell r="W93">
            <v>9.2523317724387301E-3</v>
          </cell>
        </row>
        <row r="94">
          <cell r="D94">
            <v>-0.390854758956314</v>
          </cell>
          <cell r="E94">
            <v>-0.147230147091792</v>
          </cell>
          <cell r="F94">
            <v>-0.124199391855361</v>
          </cell>
          <cell r="G94">
            <v>0.218795728336038</v>
          </cell>
          <cell r="H94">
            <v>-4.8532177084998303E-2</v>
          </cell>
          <cell r="I94">
            <v>-0.12871274030709401</v>
          </cell>
          <cell r="J94">
            <v>-1.3629733798303499E-14</v>
          </cell>
          <cell r="K94">
            <v>4.6853435229995102E-14</v>
          </cell>
          <cell r="L94">
            <v>-9.7822192135687901E-16</v>
          </cell>
          <cell r="M94">
            <v>2.1415210403193699E-15</v>
          </cell>
          <cell r="N94">
            <v>-1.15020004343051E-15</v>
          </cell>
          <cell r="O94">
            <v>1.6286064170259E-15</v>
          </cell>
          <cell r="P94">
            <v>7.95528540486166E-16</v>
          </cell>
          <cell r="Q94">
            <v>3.3120954680131402E-15</v>
          </cell>
          <cell r="R94">
            <v>4.65053696270525E-15</v>
          </cell>
          <cell r="S94">
            <v>9.59534999163362E-14</v>
          </cell>
          <cell r="T94">
            <v>4.2023431178732099E-2</v>
          </cell>
          <cell r="U94">
            <v>0</v>
          </cell>
          <cell r="V94">
            <v>-0.212141632598637</v>
          </cell>
          <cell r="W94">
            <v>9.1421704666574798E-3</v>
          </cell>
        </row>
        <row r="95">
          <cell r="D95">
            <v>-0.382001382199599</v>
          </cell>
          <cell r="E95">
            <v>-0.14546338288652</v>
          </cell>
          <cell r="F95">
            <v>-0.122957397937077</v>
          </cell>
          <cell r="G95">
            <v>0.21660769756700901</v>
          </cell>
          <cell r="H95">
            <v>-4.78167367673E-2</v>
          </cell>
          <cell r="I95">
            <v>-0.122485381958665</v>
          </cell>
          <cell r="J95">
            <v>-1.3254025708554E-14</v>
          </cell>
          <cell r="K95">
            <v>4.6972852553310199E-14</v>
          </cell>
          <cell r="L95">
            <v>-9.6374428720953192E-16</v>
          </cell>
          <cell r="M95">
            <v>2.1126110584263799E-15</v>
          </cell>
          <cell r="N95">
            <v>-1.1323787263392501E-15</v>
          </cell>
          <cell r="O95">
            <v>1.6121568324174099E-15</v>
          </cell>
          <cell r="P95">
            <v>7.8999045210140196E-16</v>
          </cell>
          <cell r="Q95">
            <v>3.2757756344174702E-15</v>
          </cell>
          <cell r="R95">
            <v>4.5936789809100303E-15</v>
          </cell>
          <cell r="S95">
            <v>9.5761885277887798E-14</v>
          </cell>
          <cell r="T95">
            <v>4.1107870065289001E-2</v>
          </cell>
          <cell r="U95">
            <v>0</v>
          </cell>
          <cell r="V95">
            <v>-0.21002743899371101</v>
          </cell>
          <cell r="W95">
            <v>9.0333887112359901E-3</v>
          </cell>
        </row>
        <row r="96">
          <cell r="D96">
            <v>-0.37336196966115898</v>
          </cell>
          <cell r="E96">
            <v>-0.143719206658318</v>
          </cell>
          <cell r="F96">
            <v>-0.121727823957847</v>
          </cell>
          <cell r="G96">
            <v>0.21444156940189299</v>
          </cell>
          <cell r="H96">
            <v>-4.7073821338242297E-2</v>
          </cell>
          <cell r="I96">
            <v>-0.11650946932165</v>
          </cell>
          <cell r="J96">
            <v>-1.28842933905536E-14</v>
          </cell>
          <cell r="K96">
            <v>4.7079474344075E-14</v>
          </cell>
          <cell r="L96">
            <v>-9.4923210733618599E-16</v>
          </cell>
          <cell r="M96">
            <v>2.0843596481665302E-15</v>
          </cell>
          <cell r="N96">
            <v>-1.1145605596977101E-15</v>
          </cell>
          <cell r="O96">
            <v>1.5960360072295699E-15</v>
          </cell>
          <cell r="P96">
            <v>7.8463639006703101E-16</v>
          </cell>
          <cell r="Q96">
            <v>3.2400136269016199E-15</v>
          </cell>
          <cell r="R96">
            <v>4.5374257852013796E-15</v>
          </cell>
          <cell r="S96">
            <v>9.5562010358292902E-14</v>
          </cell>
          <cell r="T96">
            <v>4.0235239544777902E-2</v>
          </cell>
          <cell r="U96">
            <v>0</v>
          </cell>
          <cell r="V96">
            <v>-0.20793442531716799</v>
          </cell>
          <cell r="W96">
            <v>8.9259679852539808E-3</v>
          </cell>
        </row>
        <row r="97">
          <cell r="D97">
            <v>-0.36494165713637799</v>
          </cell>
          <cell r="E97">
            <v>-0.141997355384547</v>
          </cell>
          <cell r="F97">
            <v>-0.12051054571834099</v>
          </cell>
          <cell r="G97">
            <v>0.212297118049775</v>
          </cell>
          <cell r="H97">
            <v>-4.6309133941196602E-2</v>
          </cell>
          <cell r="I97">
            <v>-0.110780603396589</v>
          </cell>
          <cell r="J97">
            <v>-1.25209245954693E-14</v>
          </cell>
          <cell r="K97">
            <v>4.7173544498667297E-14</v>
          </cell>
          <cell r="L97">
            <v>-9.3470114344877107E-16</v>
          </cell>
          <cell r="M97">
            <v>2.0567456065945602E-15</v>
          </cell>
          <cell r="N97">
            <v>-1.09681981902935E-15</v>
          </cell>
          <cell r="O97">
            <v>1.58020687304939E-15</v>
          </cell>
          <cell r="P97">
            <v>7.7941799770903504E-16</v>
          </cell>
          <cell r="Q97">
            <v>3.2047936326135201E-15</v>
          </cell>
          <cell r="R97">
            <v>4.4818357726314398E-15</v>
          </cell>
          <cell r="S97">
            <v>9.5354097626010599E-14</v>
          </cell>
          <cell r="T97">
            <v>3.9401287857566698E-2</v>
          </cell>
          <cell r="U97">
            <v>0</v>
          </cell>
          <cell r="V97">
            <v>-0.20586231463548599</v>
          </cell>
          <cell r="W97">
            <v>8.8198900322999391E-3</v>
          </cell>
        </row>
        <row r="98">
          <cell r="D98">
            <v>-0.35674361445974301</v>
          </cell>
          <cell r="E98">
            <v>-0.14029756011455399</v>
          </cell>
          <cell r="F98">
            <v>-0.11930544026119599</v>
          </cell>
          <cell r="G98">
            <v>0.210174122030171</v>
          </cell>
          <cell r="H98">
            <v>-4.5527677780493402E-2</v>
          </cell>
          <cell r="I98">
            <v>-0.105293605411307</v>
          </cell>
          <cell r="J98">
            <v>-1.2164254613669E-14</v>
          </cell>
          <cell r="K98">
            <v>4.7255314439659102E-14</v>
          </cell>
          <cell r="L98">
            <v>-9.2017051011272391E-16</v>
          </cell>
          <cell r="M98">
            <v>2.02974703055426E-15</v>
          </cell>
          <cell r="N98">
            <v>-1.0792208213241201E-15</v>
          </cell>
          <cell r="O98">
            <v>1.56463704730351E-15</v>
          </cell>
          <cell r="P98">
            <v>7.7429378240157798E-16</v>
          </cell>
          <cell r="Q98">
            <v>3.1700999379970399E-15</v>
          </cell>
          <cell r="R98">
            <v>4.42695795536044E-15</v>
          </cell>
          <cell r="S98">
            <v>9.5138370985617105E-14</v>
          </cell>
          <cell r="T98">
            <v>3.86022600884681E-2</v>
          </cell>
          <cell r="U98">
            <v>0</v>
          </cell>
          <cell r="V98">
            <v>-0.20381084986759501</v>
          </cell>
          <cell r="W98">
            <v>8.7151368566226392E-3</v>
          </cell>
        </row>
        <row r="99">
          <cell r="D99">
            <v>-0.34876933070081501</v>
          </cell>
          <cell r="E99">
            <v>-0.13861954771996701</v>
          </cell>
          <cell r="F99">
            <v>-0.11811238585860299</v>
          </cell>
          <cell r="G99">
            <v>0.20807236350717501</v>
          </cell>
          <cell r="H99">
            <v>-4.47338332925762E-2</v>
          </cell>
          <cell r="I99">
            <v>-0.100042668172638</v>
          </cell>
          <cell r="J99">
            <v>-1.18145674188064E-14</v>
          </cell>
          <cell r="K99">
            <v>4.7325042406611798E-14</v>
          </cell>
          <cell r="L99">
            <v>-9.0566141600146498E-16</v>
          </cell>
          <cell r="M99">
            <v>2.0033416727384502E-15</v>
          </cell>
          <cell r="N99">
            <v>-1.0618185215248601E-15</v>
          </cell>
          <cell r="O99">
            <v>1.54929845189389E-15</v>
          </cell>
          <cell r="P99">
            <v>7.6922855944007604E-16</v>
          </cell>
          <cell r="Q99">
            <v>3.1359170636015898E-15</v>
          </cell>
          <cell r="R99">
            <v>4.3728325406750401E-15</v>
          </cell>
          <cell r="S99">
            <v>9.4915054796154204E-14</v>
          </cell>
          <cell r="T99">
            <v>3.7834839860857103E-2</v>
          </cell>
          <cell r="U99">
            <v>0</v>
          </cell>
          <cell r="V99">
            <v>-0.201779789744538</v>
          </cell>
          <cell r="W99">
            <v>8.6116907193342605E-3</v>
          </cell>
        </row>
        <row r="100">
          <cell r="D100">
            <v>-0.34101886626069899</v>
          </cell>
          <cell r="E100">
            <v>-0.136963042332194</v>
          </cell>
          <cell r="F100">
            <v>-0.116931262000028</v>
          </cell>
          <cell r="G100">
            <v>0.20599162781920399</v>
          </cell>
          <cell r="H100">
            <v>-4.3931427532615003E-2</v>
          </cell>
          <cell r="I100">
            <v>-9.5021488520760602E-2</v>
          </cell>
          <cell r="J100">
            <v>-1.14720974288176E-14</v>
          </cell>
          <cell r="K100">
            <v>4.7382992641400701E-14</v>
          </cell>
          <cell r="L100">
            <v>-8.9119613047373806E-16</v>
          </cell>
          <cell r="M100">
            <v>1.9775072373686E-15</v>
          </cell>
          <cell r="N100">
            <v>-1.04465917185358E-15</v>
          </cell>
          <cell r="O100">
            <v>1.53416692625551E-15</v>
          </cell>
          <cell r="P100">
            <v>7.6419288518490601E-16</v>
          </cell>
          <cell r="Q100">
            <v>3.1022298688904399E-15</v>
          </cell>
          <cell r="R100">
            <v>4.3194915637109997E-15</v>
          </cell>
          <cell r="S100">
            <v>9.4684372998023602E-14</v>
          </cell>
          <cell r="T100">
            <v>3.7096097800088199E-2</v>
          </cell>
          <cell r="U100">
            <v>0</v>
          </cell>
          <cell r="V100">
            <v>-0.19976890562919999</v>
          </cell>
          <cell r="W100">
            <v>8.5095341346648895E-3</v>
          </cell>
        </row>
        <row r="101">
          <cell r="D101">
            <v>-0.33349107507984299</v>
          </cell>
          <cell r="E101">
            <v>-0.13532776652346701</v>
          </cell>
          <cell r="F101">
            <v>-0.11576194938003299</v>
          </cell>
          <cell r="G101">
            <v>0.203931703145073</v>
          </cell>
          <cell r="H101">
            <v>-4.3123796426658298E-2</v>
          </cell>
          <cell r="I101">
            <v>-9.0223382734794105E-2</v>
          </cell>
          <cell r="J101">
            <v>-1.11370317650156E-14</v>
          </cell>
          <cell r="K101">
            <v>4.7429434506080102E-14</v>
          </cell>
          <cell r="L101">
            <v>-8.7679715081713801E-16</v>
          </cell>
          <cell r="M101">
            <v>1.9522216224117601E-15</v>
          </cell>
          <cell r="N101">
            <v>-1.0277810174616999E-15</v>
          </cell>
          <cell r="O101">
            <v>1.5192218450848399E-15</v>
          </cell>
          <cell r="P101">
            <v>7.5916249421911501E-16</v>
          </cell>
          <cell r="Q101">
            <v>3.0690236319296E-15</v>
          </cell>
          <cell r="R101">
            <v>4.2669595520003196E-15</v>
          </cell>
          <cell r="S101">
            <v>9.44465483439551E-14</v>
          </cell>
          <cell r="T101">
            <v>3.6383445990642797E-2</v>
          </cell>
          <cell r="U101">
            <v>0</v>
          </cell>
          <cell r="V101">
            <v>-0.19777797901701599</v>
          </cell>
          <cell r="W101">
            <v>8.4086498662679903E-3</v>
          </cell>
        </row>
        <row r="102">
          <cell r="D102">
            <v>-0.32618379995667601</v>
          </cell>
          <cell r="E102">
            <v>-0.133713442277271</v>
          </cell>
          <cell r="F102">
            <v>-0.11460432988623501</v>
          </cell>
          <cell r="G102">
            <v>0.20189238026508799</v>
          </cell>
          <cell r="H102">
            <v>-4.23138405164857E-2</v>
          </cell>
          <cell r="I102">
            <v>-8.5641386628656793E-2</v>
          </cell>
          <cell r="J102">
            <v>-1.0809512897829999E-14</v>
          </cell>
          <cell r="K102">
            <v>4.7464641565112302E-14</v>
          </cell>
          <cell r="L102">
            <v>-8.6248654573299897E-16</v>
          </cell>
          <cell r="M102">
            <v>1.9274631148346699E-15</v>
          </cell>
          <cell r="N102">
            <v>-1.01121500688652E-15</v>
          </cell>
          <cell r="O102">
            <v>1.50444574828779E-15</v>
          </cell>
          <cell r="P102">
            <v>7.5411775166781705E-16</v>
          </cell>
          <cell r="Q102">
            <v>3.0362841081395802E-15</v>
          </cell>
          <cell r="R102">
            <v>4.2152542040990499E-15</v>
          </cell>
          <cell r="S102">
            <v>9.4201801728549399E-14</v>
          </cell>
          <cell r="T102">
            <v>3.5694597738468697E-2</v>
          </cell>
          <cell r="U102">
            <v>0</v>
          </cell>
          <cell r="V102">
            <v>-0.195806799575302</v>
          </cell>
          <cell r="W102">
            <v>8.3090209235765697E-3</v>
          </cell>
        </row>
        <row r="103">
          <cell r="D103">
            <v>-0.31909404375595402</v>
          </cell>
          <cell r="E103">
            <v>-0.132119791785477</v>
          </cell>
          <cell r="F103">
            <v>-0.113458286587374</v>
          </cell>
          <cell r="G103">
            <v>0.19987345238840201</v>
          </cell>
          <cell r="H103">
            <v>-4.1504074793300601E-2</v>
          </cell>
          <cell r="I103">
            <v>-8.12683419559697E-2</v>
          </cell>
          <cell r="J103">
            <v>-1.04896415770235E-14</v>
          </cell>
          <cell r="K103">
            <v>4.74888906581438E-14</v>
          </cell>
          <cell r="L103">
            <v>-8.4828545159597995E-16</v>
          </cell>
          <cell r="M103">
            <v>1.9032105449250901E-15</v>
          </cell>
          <cell r="N103">
            <v>-9.9498550015676406E-16</v>
          </cell>
          <cell r="O103">
            <v>1.48982398851123E-15</v>
          </cell>
          <cell r="P103">
            <v>7.4904312885246797E-16</v>
          </cell>
          <cell r="Q103">
            <v>3.00399757168473E-15</v>
          </cell>
          <cell r="R103">
            <v>4.1643870675259298E-15</v>
          </cell>
          <cell r="S103">
            <v>9.3950351610194903E-14</v>
          </cell>
          <cell r="T103">
            <v>3.5027532027592297E-2</v>
          </cell>
          <cell r="U103">
            <v>0</v>
          </cell>
          <cell r="V103">
            <v>-0.19385516360817601</v>
          </cell>
          <cell r="W103">
            <v>8.2106305582087397E-3</v>
          </cell>
        </row>
        <row r="104">
          <cell r="D104">
            <v>-0.31221811906354302</v>
          </cell>
          <cell r="E104">
            <v>-0.13054653810261299</v>
          </cell>
          <cell r="F104">
            <v>-0.11232370372150099</v>
          </cell>
          <cell r="G104">
            <v>0.19787471502658199</v>
          </cell>
          <cell r="H104">
            <v>-4.0696673180439701E-2</v>
          </cell>
          <cell r="I104">
            <v>-7.7096970618045907E-2</v>
          </cell>
          <cell r="J104">
            <v>-1.0177479954645999E-14</v>
          </cell>
          <cell r="K104">
            <v>4.75024609844406E-14</v>
          </cell>
          <cell r="L104">
            <v>-8.3421369946425599E-16</v>
          </cell>
          <cell r="M104">
            <v>1.8794434052135898E-15</v>
          </cell>
          <cell r="N104">
            <v>-9.7911096115453508E-16</v>
          </cell>
          <cell r="O104">
            <v>1.47534439987074E-15</v>
          </cell>
          <cell r="P104">
            <v>7.4392670801623604E-16</v>
          </cell>
          <cell r="Q104">
            <v>2.97215084254829E-15</v>
          </cell>
          <cell r="R104">
            <v>4.1143642039944099E-15</v>
          </cell>
          <cell r="S104">
            <v>9.3692413518715694E-14</v>
          </cell>
          <cell r="T104">
            <v>3.4380462129260998E-2</v>
          </cell>
          <cell r="U104">
            <v>0</v>
          </cell>
          <cell r="V104">
            <v>-0.19192287285735099</v>
          </cell>
          <cell r="W104">
            <v>8.1134622604232404E-3</v>
          </cell>
        </row>
        <row r="105">
          <cell r="D105">
            <v>-0.30555177862618499</v>
          </cell>
          <cell r="E105">
            <v>-0.12899340568215101</v>
          </cell>
          <cell r="F105">
            <v>-0.111200466684287</v>
          </cell>
          <cell r="G105">
            <v>0.195895965899436</v>
          </cell>
          <cell r="H105">
            <v>-3.9893508186651203E-2</v>
          </cell>
          <cell r="I105">
            <v>-7.3119938044123506E-2</v>
          </cell>
          <cell r="J105">
            <v>-9.8730548199334695E-15</v>
          </cell>
          <cell r="K105">
            <v>4.7505633215601203E-14</v>
          </cell>
          <cell r="L105">
            <v>-8.2028955255686903E-16</v>
          </cell>
          <cell r="M105">
            <v>1.85614193902555E-15</v>
          </cell>
          <cell r="N105">
            <v>-9.6360462405741897E-16</v>
          </cell>
          <cell r="O105">
            <v>1.46099699009949E-15</v>
          </cell>
          <cell r="P105">
            <v>7.38759719880992E-16</v>
          </cell>
          <cell r="Q105">
            <v>2.9407313018862502E-15</v>
          </cell>
          <cell r="R105">
            <v>4.0651868324151196E-15</v>
          </cell>
          <cell r="S105">
            <v>9.3428199641889999E-14</v>
          </cell>
          <cell r="T105">
            <v>3.3751807883436902E-2</v>
          </cell>
          <cell r="U105">
            <v>0</v>
          </cell>
          <cell r="V105">
            <v>-0.19000973356761</v>
          </cell>
          <cell r="W105">
            <v>8.0174997556234293E-3</v>
          </cell>
        </row>
        <row r="106">
          <cell r="D106">
            <v>-0.29909032870454899</v>
          </cell>
          <cell r="E106">
            <v>-0.127460120815165</v>
          </cell>
          <cell r="F106">
            <v>-0.110088462017444</v>
          </cell>
          <cell r="G106">
            <v>0.19393700486336499</v>
          </cell>
          <cell r="H106">
            <v>-3.90961862119414E-2</v>
          </cell>
          <cell r="I106">
            <v>-6.9329906991077397E-2</v>
          </cell>
          <cell r="J106">
            <v>-9.5763608763496699E-15</v>
          </cell>
          <cell r="K106">
            <v>4.7498688649253902E-14</v>
          </cell>
          <cell r="L106">
            <v>-8.0652953581240998E-16</v>
          </cell>
          <cell r="M106">
            <v>1.8332872031956301E-15</v>
          </cell>
          <cell r="N106">
            <v>-9.484751264031091E-16</v>
          </cell>
          <cell r="O106">
            <v>1.44677365725811E-15</v>
          </cell>
          <cell r="P106">
            <v>7.3353611621396601E-16</v>
          </cell>
          <cell r="Q106">
            <v>2.9097268978608402E-15</v>
          </cell>
          <cell r="R106">
            <v>4.0168519423668401E-15</v>
          </cell>
          <cell r="S106">
            <v>9.3157918483928098E-14</v>
          </cell>
          <cell r="T106">
            <v>3.3140171227225297E-2</v>
          </cell>
          <cell r="U106">
            <v>0</v>
          </cell>
          <cell r="V106">
            <v>-0.18811555576056199</v>
          </cell>
          <cell r="W106">
            <v>7.9227270009100594E-3</v>
          </cell>
        </row>
        <row r="107">
          <cell r="D107">
            <v>-0.29282872726818898</v>
          </cell>
          <cell r="E107">
            <v>-0.12594641198804701</v>
          </cell>
          <cell r="F107">
            <v>-0.10898757739727</v>
          </cell>
          <cell r="G107">
            <v>0.191997633855472</v>
          </cell>
          <cell r="H107">
            <v>-3.8306078948688697E-2</v>
          </cell>
          <cell r="I107">
            <v>-6.5719582892959205E-2</v>
          </cell>
          <cell r="J107">
            <v>-9.2873640016545604E-15</v>
          </cell>
          <cell r="K107">
            <v>4.7481908413064402E-14</v>
          </cell>
          <cell r="L107">
            <v>-7.9294834109295101E-16</v>
          </cell>
          <cell r="M107">
            <v>1.81086110899781E-15</v>
          </cell>
          <cell r="N107">
            <v>-9.3372710359198408E-16</v>
          </cell>
          <cell r="O107">
            <v>1.43266793130942E-15</v>
          </cell>
          <cell r="P107">
            <v>7.2825217833197802E-16</v>
          </cell>
          <cell r="Q107">
            <v>2.8791261438167499E-15</v>
          </cell>
          <cell r="R107">
            <v>3.9693528726787996E-15</v>
          </cell>
          <cell r="S107">
            <v>9.2881774589093506E-14</v>
          </cell>
          <cell r="T107">
            <v>3.2544314593479097E-2</v>
          </cell>
          <cell r="U107">
            <v>0</v>
          </cell>
          <cell r="V107">
            <v>-0.186240152671998</v>
          </cell>
          <cell r="W107">
            <v>7.8291281816816292E-3</v>
          </cell>
        </row>
        <row r="108">
          <cell r="D108">
            <v>-0.28676166877341303</v>
          </cell>
          <cell r="E108">
            <v>-0.124452010173002</v>
          </cell>
          <cell r="F108">
            <v>-0.107897701623297</v>
          </cell>
          <cell r="G108">
            <v>0.19007765684870601</v>
          </cell>
          <cell r="H108">
            <v>-3.7524351282554699E-2</v>
          </cell>
          <cell r="I108">
            <v>-6.2281751780244199E-2</v>
          </cell>
          <cell r="J108">
            <v>-9.0060044420000992E-15</v>
          </cell>
          <cell r="K108">
            <v>4.7455572725510303E-14</v>
          </cell>
          <cell r="L108">
            <v>-7.7955879352315399E-16</v>
          </cell>
          <cell r="M108">
            <v>1.7888464448878501E-15</v>
          </cell>
          <cell r="N108">
            <v>-9.19361741520748E-16</v>
          </cell>
          <cell r="O108">
            <v>1.41867474023163E-15</v>
          </cell>
          <cell r="P108">
            <v>7.2290616150033796E-16</v>
          </cell>
          <cell r="Q108">
            <v>2.8489181103726801E-15</v>
          </cell>
          <cell r="R108">
            <v>3.9226798514428701E-15</v>
          </cell>
          <cell r="S108">
            <v>9.2599968323849904E-14</v>
          </cell>
          <cell r="T108">
            <v>3.1963141846036297E-2</v>
          </cell>
          <cell r="U108">
            <v>0</v>
          </cell>
          <cell r="V108">
            <v>-0.18438334031748099</v>
          </cell>
          <cell r="W108">
            <v>7.7366877082824196E-3</v>
          </cell>
        </row>
        <row r="109">
          <cell r="D109">
            <v>-0.28088365709056001</v>
          </cell>
          <cell r="E109">
            <v>-0.122976649062614</v>
          </cell>
          <cell r="F109">
            <v>-0.106818724607064</v>
          </cell>
          <cell r="G109">
            <v>0.18817687981475001</v>
          </cell>
          <cell r="H109">
            <v>-3.6751986061239403E-2</v>
          </cell>
          <cell r="I109">
            <v>-5.9009311685386499E-2</v>
          </cell>
          <cell r="J109">
            <v>-8.7321999004431893E-15</v>
          </cell>
          <cell r="K109">
            <v>4.7419960217473801E-14</v>
          </cell>
          <cell r="L109">
            <v>-7.6637186630348904E-16</v>
          </cell>
          <cell r="M109">
            <v>1.76722688422928E-15</v>
          </cell>
          <cell r="N109">
            <v>-9.05377285571144E-16</v>
          </cell>
          <cell r="O109">
            <v>1.4047901998796299E-15</v>
          </cell>
          <cell r="P109">
            <v>7.1749797444509798E-16</v>
          </cell>
          <cell r="Q109">
            <v>2.81909241275224E-15</v>
          </cell>
          <cell r="R109">
            <v>3.8768204951963803E-15</v>
          </cell>
          <cell r="S109">
            <v>9.2312695711192501E-14</v>
          </cell>
          <cell r="T109">
            <v>3.1395681456395999E-2</v>
          </cell>
          <cell r="U109">
            <v>0</v>
          </cell>
          <cell r="V109">
            <v>-0.182544937158239</v>
          </cell>
          <cell r="W109">
            <v>7.6453902126972003E-3</v>
          </cell>
        </row>
        <row r="110">
          <cell r="D110">
            <v>-0.275189067985949</v>
          </cell>
          <cell r="E110">
            <v>-0.121520065257797</v>
          </cell>
          <cell r="F110">
            <v>-0.105750537360993</v>
          </cell>
          <cell r="G110">
            <v>0.18629511069235999</v>
          </cell>
          <cell r="H110">
            <v>-3.59898060647076E-2</v>
          </cell>
          <cell r="I110">
            <v>-5.5895298355603397E-2</v>
          </cell>
          <cell r="J110">
            <v>-8.4658484888105401E-15</v>
          </cell>
          <cell r="K110">
            <v>4.7375347316712603E-14</v>
          </cell>
          <cell r="L110">
            <v>-7.53396733073095E-16</v>
          </cell>
          <cell r="M110">
            <v>1.74598698077854E-15</v>
          </cell>
          <cell r="N110">
            <v>-8.9176950540718001E-16</v>
          </cell>
          <cell r="O110">
            <v>1.3910114264750999E-15</v>
          </cell>
          <cell r="P110">
            <v>7.1202889265128997E-16</v>
          </cell>
          <cell r="Q110">
            <v>2.7896391944642E-15</v>
          </cell>
          <cell r="R110">
            <v>3.8317602662020297E-15</v>
          </cell>
          <cell r="S110">
            <v>9.2020148311165194E-14</v>
          </cell>
          <cell r="T110">
            <v>3.0841071660655101E-2</v>
          </cell>
          <cell r="U110">
            <v>0</v>
          </cell>
          <cell r="V110">
            <v>-0.18072476384529401</v>
          </cell>
          <cell r="W110">
            <v>7.5552205452923803E-3</v>
          </cell>
        </row>
        <row r="111">
          <cell r="D111">
            <v>-0.26967220241580497</v>
          </cell>
          <cell r="E111">
            <v>-0.120081998416828</v>
          </cell>
          <cell r="F111">
            <v>-0.104693031987383</v>
          </cell>
          <cell r="G111">
            <v>0.18443215935957299</v>
          </cell>
          <cell r="H111">
            <v>-3.5238493478352798E-2</v>
          </cell>
          <cell r="I111">
            <v>-5.2932906005809098E-2</v>
          </cell>
          <cell r="J111">
            <v>-8.2068315195043001E-15</v>
          </cell>
          <cell r="K111">
            <v>4.7322007695654199E-14</v>
          </cell>
          <cell r="L111">
            <v>-7.4064084850030303E-16</v>
          </cell>
          <cell r="M111">
            <v>1.72511215434345E-15</v>
          </cell>
          <cell r="N111">
            <v>-8.7853211600407696E-16</v>
          </cell>
          <cell r="O111">
            <v>1.37733637038472E-15</v>
          </cell>
          <cell r="P111">
            <v>7.0650130373114505E-16</v>
          </cell>
          <cell r="Q111">
            <v>2.7605491082600998E-15</v>
          </cell>
          <cell r="R111">
            <v>3.7874828877240401E-15</v>
          </cell>
          <cell r="S111">
            <v>9.1722513141933894E-14</v>
          </cell>
          <cell r="T111">
            <v>3.02985473656858E-2</v>
          </cell>
          <cell r="U111">
            <v>0</v>
          </cell>
          <cell r="V111">
            <v>-0.178922643024432</v>
          </cell>
          <cell r="W111">
            <v>7.4661637716029903E-3</v>
          </cell>
        </row>
        <row r="112">
          <cell r="D112">
            <v>-0.26432733175441497</v>
          </cell>
          <cell r="E112">
            <v>-0.11866219137185401</v>
          </cell>
          <cell r="F112">
            <v>-0.10364610166751</v>
          </cell>
          <cell r="G112">
            <v>0.182587837608642</v>
          </cell>
          <cell r="H112">
            <v>-3.4498607140766503E-2</v>
          </cell>
          <cell r="I112">
            <v>-5.0115503764173397E-2</v>
          </cell>
          <cell r="J112">
            <v>-7.9550161205838497E-15</v>
          </cell>
          <cell r="K112">
            <v>4.7260211781670399E-14</v>
          </cell>
          <cell r="L112">
            <v>-7.2811004923561804E-16</v>
          </cell>
          <cell r="M112">
            <v>1.7045886686998701E-15</v>
          </cell>
          <cell r="N112">
            <v>-8.6565715608025199E-16</v>
          </cell>
          <cell r="O112">
            <v>1.36376366970997E-15</v>
          </cell>
          <cell r="P112">
            <v>7.00918482885457E-16</v>
          </cell>
          <cell r="Q112">
            <v>2.7318132951405398E-15</v>
          </cell>
          <cell r="R112">
            <v>3.74397071798006E-15</v>
          </cell>
          <cell r="S112">
            <v>9.1419972636192095E-14</v>
          </cell>
          <cell r="T112">
            <v>2.97674286002526E-2</v>
          </cell>
          <cell r="U112">
            <v>0</v>
          </cell>
          <cell r="V112">
            <v>-0.17713839918831101</v>
          </cell>
          <cell r="W112">
            <v>7.3782051691651702E-3</v>
          </cell>
        </row>
        <row r="113">
          <cell r="D113">
            <v>-0.25914873595599403</v>
          </cell>
          <cell r="E113">
            <v>-0.11726039021816299</v>
          </cell>
          <cell r="F113">
            <v>-0.102609640650835</v>
          </cell>
          <cell r="G113">
            <v>0.180761959122958</v>
          </cell>
          <cell r="H113">
            <v>-3.3770597810344097E-2</v>
          </cell>
          <cell r="I113">
            <v>-4.7436648389629597E-2</v>
          </cell>
          <cell r="J113">
            <v>-7.7102576633148302E-15</v>
          </cell>
          <cell r="K113">
            <v>4.7190226327981602E-14</v>
          </cell>
          <cell r="L113">
            <v>-7.1580866866941197E-16</v>
          </cell>
          <cell r="M113">
            <v>1.68440360355511E-15</v>
          </cell>
          <cell r="N113">
            <v>-8.5313532566450196E-16</v>
          </cell>
          <cell r="O113">
            <v>1.3502925221422601E-15</v>
          </cell>
          <cell r="P113">
            <v>6.9528439632296798E-16</v>
          </cell>
          <cell r="Q113">
            <v>2.7034233620488602E-15</v>
          </cell>
          <cell r="R113">
            <v>3.7012050840599698E-15</v>
          </cell>
          <cell r="S113">
            <v>9.1112704628081405E-14</v>
          </cell>
          <cell r="T113">
            <v>2.9247110330444599E-2</v>
          </cell>
          <cell r="U113">
            <v>0</v>
          </cell>
          <cell r="V113">
            <v>-0.17537185856495699</v>
          </cell>
          <cell r="W113">
            <v>7.2913302243932396E-3</v>
          </cell>
        </row>
        <row r="114">
          <cell r="D114">
            <v>-0.254130735538665</v>
          </cell>
          <cell r="E114">
            <v>-0.115876344380642</v>
          </cell>
          <cell r="F114">
            <v>-0.101583544244326</v>
          </cell>
          <cell r="G114">
            <v>0.178954339455383</v>
          </cell>
          <cell r="H114">
            <v>-3.3054821669844699E-2</v>
          </cell>
          <cell r="I114">
            <v>-4.4890093774428798E-2</v>
          </cell>
          <cell r="J114">
            <v>-7.4724019963809903E-15</v>
          </cell>
          <cell r="K114">
            <v>4.71123140425847E-14</v>
          </cell>
          <cell r="L114">
            <v>-7.03739660096515E-16</v>
          </cell>
          <cell r="M114">
            <v>1.6645448220809101E-15</v>
          </cell>
          <cell r="N114">
            <v>-8.40956284934474E-16</v>
          </cell>
          <cell r="O114">
            <v>1.3369225735193201E-15</v>
          </cell>
          <cell r="P114">
            <v>6.8960353042567098E-16</v>
          </cell>
          <cell r="Q114">
            <v>2.6753713587770101E-15</v>
          </cell>
          <cell r="R114">
            <v>3.6591665775671598E-15</v>
          </cell>
          <cell r="S114">
            <v>9.0800882366223394E-14</v>
          </cell>
          <cell r="T114">
            <v>2.87370534797491E-2</v>
          </cell>
          <cell r="U114">
            <v>0</v>
          </cell>
          <cell r="V114">
            <v>-0.173622849034196</v>
          </cell>
          <cell r="W114">
            <v>7.20552462950135E-3</v>
          </cell>
        </row>
        <row r="115">
          <cell r="D115">
            <v>-0.24926771817871499</v>
          </cell>
          <cell r="E115">
            <v>-0.114509806661082</v>
          </cell>
          <cell r="F115">
            <v>-0.100567708801883</v>
          </cell>
          <cell r="G115">
            <v>0.17716479600764801</v>
          </cell>
          <cell r="H115">
            <v>-3.2351552265130597E-2</v>
          </cell>
          <cell r="I115">
            <v>-4.2469797685110597E-2</v>
          </cell>
          <cell r="J115">
            <v>-7.2412874851599402E-15</v>
          </cell>
          <cell r="K115">
            <v>4.7026733272043199E-14</v>
          </cell>
          <cell r="L115">
            <v>-6.9190472390795904E-16</v>
          </cell>
          <cell r="M115">
            <v>1.6450009353028099E-15</v>
          </cell>
          <cell r="N115">
            <v>-8.2910891673650903E-16</v>
          </cell>
          <cell r="O115">
            <v>1.3236538215388199E-15</v>
          </cell>
          <cell r="P115">
            <v>6.8388074443427703E-16</v>
          </cell>
          <cell r="Q115">
            <v>2.6476497545123001E-15</v>
          </cell>
          <cell r="R115">
            <v>3.6178353140756803E-15</v>
          </cell>
          <cell r="S115">
            <v>9.0484674548863695E-14</v>
          </cell>
          <cell r="T115">
            <v>2.8236777012652401E-2</v>
          </cell>
          <cell r="U115">
            <v>0</v>
          </cell>
          <cell r="V115">
            <v>-0.171891200065417</v>
          </cell>
          <cell r="W115">
            <v>7.1207742794687596E-3</v>
          </cell>
        </row>
        <row r="116">
          <cell r="D116">
            <v>-0.24455416061313601</v>
          </cell>
          <cell r="E116">
            <v>-0.113160533269432</v>
          </cell>
          <cell r="F116">
            <v>-9.9562031713864602E-2</v>
          </cell>
          <cell r="G116">
            <v>0.175393148010526</v>
          </cell>
          <cell r="H116">
            <v>-3.1660991053535897E-2</v>
          </cell>
          <cell r="I116">
            <v>-4.0169926141577897E-2</v>
          </cell>
          <cell r="J116">
            <v>-7.0167468579333399E-15</v>
          </cell>
          <cell r="K116">
            <v>4.6933737736606801E-14</v>
          </cell>
          <cell r="L116">
            <v>-6.8030443531480601E-16</v>
          </cell>
          <cell r="M116">
            <v>1.6257612644237899E-15</v>
          </cell>
          <cell r="N116">
            <v>-8.1758155536457501E-16</v>
          </cell>
          <cell r="O116">
            <v>1.31048653313468E-15</v>
          </cell>
          <cell r="P116">
            <v>6.7812114446303101E-16</v>
          </cell>
          <cell r="Q116">
            <v>2.6202514143716302E-15</v>
          </cell>
          <cell r="R116">
            <v>3.57719115872774E-15</v>
          </cell>
          <cell r="S116">
            <v>9.0164245377520598E-14</v>
          </cell>
          <cell r="T116">
            <v>2.77458509570651E-2</v>
          </cell>
          <cell r="U116">
            <v>0</v>
          </cell>
          <cell r="V116">
            <v>-0.17017674267150501</v>
          </cell>
          <cell r="W116">
            <v>7.0370652690485199E-3</v>
          </cell>
        </row>
        <row r="117">
          <cell r="D117">
            <v>-0.23998464646763101</v>
          </cell>
          <cell r="E117">
            <v>-0.111828283841561</v>
          </cell>
          <cell r="F117">
            <v>-9.8566411396725895E-2</v>
          </cell>
          <cell r="G117">
            <v>0.173639216504616</v>
          </cell>
          <cell r="H117">
            <v>-3.0983276718518901E-2</v>
          </cell>
          <cell r="I117">
            <v>-3.7984855785861603E-2</v>
          </cell>
          <cell r="J117">
            <v>-6.7986088637060303E-15</v>
          </cell>
          <cell r="K117">
            <v>4.6833576312889101E-14</v>
          </cell>
          <cell r="L117">
            <v>-6.6893836987022299E-16</v>
          </cell>
          <cell r="M117">
            <v>1.6068158019768599E-15</v>
          </cell>
          <cell r="N117">
            <v>-8.0636218425752604E-16</v>
          </cell>
          <cell r="O117">
            <v>1.2974211740900301E-15</v>
          </cell>
          <cell r="P117">
            <v>6.7232997672423204E-16</v>
          </cell>
          <cell r="Q117">
            <v>2.5931695762003899E-15</v>
          </cell>
          <cell r="R117">
            <v>3.53721392043683E-15</v>
          </cell>
          <cell r="S117">
            <v>8.9839754625908097E-14</v>
          </cell>
          <cell r="T117">
            <v>2.72638902553945E-2</v>
          </cell>
          <cell r="U117">
            <v>0</v>
          </cell>
          <cell r="V117">
            <v>-0.168479309374932</v>
          </cell>
          <cell r="W117">
            <v>6.9543838898190897E-3</v>
          </cell>
        </row>
        <row r="118">
          <cell r="D118">
            <v>-0.23555388055487</v>
          </cell>
          <cell r="E118">
            <v>-0.110512821445699</v>
          </cell>
          <cell r="F118">
            <v>-9.7580747282758701E-2</v>
          </cell>
          <cell r="G118">
            <v>0.17190282432159401</v>
          </cell>
          <cell r="H118">
            <v>-3.0318493390289199E-2</v>
          </cell>
          <cell r="I118">
            <v>-3.5909174549169802E-2</v>
          </cell>
          <cell r="J118">
            <v>-6.5866997485148403E-15</v>
          </cell>
          <cell r="K118">
            <v>4.6726492860226003E-14</v>
          </cell>
          <cell r="L118">
            <v>-6.57805224704522E-16</v>
          </cell>
          <cell r="M118">
            <v>1.58815517254105E-15</v>
          </cell>
          <cell r="N118">
            <v>-7.9543860528711502E-16</v>
          </cell>
          <cell r="O118">
            <v>1.2844583495440499E-15</v>
          </cell>
          <cell r="P118">
            <v>6.6651253794012502E-16</v>
          </cell>
          <cell r="Q118">
            <v>2.5663978278550202E-15</v>
          </cell>
          <cell r="R118">
            <v>3.4978835172291199E-15</v>
          </cell>
          <cell r="S118">
            <v>8.9511357721255706E-14</v>
          </cell>
          <cell r="T118">
            <v>2.6790549346930599E-2</v>
          </cell>
          <cell r="U118">
            <v>0</v>
          </cell>
          <cell r="V118">
            <v>-0.16679873418289401</v>
          </cell>
          <cell r="W118">
            <v>6.8727166272778703E-3</v>
          </cell>
        </row>
        <row r="119">
          <cell r="D119">
            <v>-0.23125670012319399</v>
          </cell>
          <cell r="E119">
            <v>-0.109213912579381</v>
          </cell>
          <cell r="F119">
            <v>-9.6604939809931095E-2</v>
          </cell>
          <cell r="G119">
            <v>0.17018379606585601</v>
          </cell>
          <cell r="H119">
            <v>-2.9666677896852199E-2</v>
          </cell>
          <cell r="I119">
            <v>-3.3937680887490301E-2</v>
          </cell>
          <cell r="J119">
            <v>-6.3808445587893696E-15</v>
          </cell>
          <cell r="K119">
            <v>4.6612726086815699E-14</v>
          </cell>
          <cell r="L119">
            <v>-6.4690293393504999E-16</v>
          </cell>
          <cell r="M119">
            <v>1.56977059361625E-15</v>
          </cell>
          <cell r="N119">
            <v>-7.8479858226879602E-16</v>
          </cell>
          <cell r="O119">
            <v>1.27159875414077E-15</v>
          </cell>
          <cell r="P119">
            <v>6.6067410103514199E-16</v>
          </cell>
          <cell r="Q119">
            <v>2.53993008513845E-15</v>
          </cell>
          <cell r="R119">
            <v>3.4591801152631099E-15</v>
          </cell>
          <cell r="S119">
            <v>8.9179205835480303E-14</v>
          </cell>
          <cell r="T119">
            <v>2.6325517395572401E-2</v>
          </cell>
          <cell r="U119">
            <v>0</v>
          </cell>
          <cell r="V119">
            <v>-0.165134852569082</v>
          </cell>
          <cell r="W119">
            <v>6.7920501579770498E-3</v>
          </cell>
        </row>
        <row r="120">
          <cell r="D120">
            <v>-0.22708808347835899</v>
          </cell>
          <cell r="E120">
            <v>-0.107931327158433</v>
          </cell>
          <cell r="F120">
            <v>-9.5638890411831795E-2</v>
          </cell>
          <cell r="G120">
            <v>0.16848195809647501</v>
          </cell>
          <cell r="H120">
            <v>-2.9027826156203598E-2</v>
          </cell>
          <cell r="I120">
            <v>-3.2065381821923797E-2</v>
          </cell>
          <cell r="J120">
            <v>-6.1808682815498302E-15</v>
          </cell>
          <cell r="K120">
            <v>4.6492509451801102E-14</v>
          </cell>
          <cell r="L120">
            <v>-6.3622877716945703E-16</v>
          </cell>
          <cell r="M120">
            <v>1.55165383713245E-15</v>
          </cell>
          <cell r="N120">
            <v>-7.7442996124619902E-16</v>
          </cell>
          <cell r="O120">
            <v>1.25884313066332E-15</v>
          </cell>
          <cell r="P120">
            <v>6.5481985432812202E-16</v>
          </cell>
          <cell r="Q120">
            <v>2.5137605705165102E-15</v>
          </cell>
          <cell r="R120">
            <v>3.4210842440271602E-15</v>
          </cell>
          <cell r="S120">
            <v>8.8843445983976002E-14</v>
          </cell>
          <cell r="T120">
            <v>2.58685140869594E-2</v>
          </cell>
          <cell r="U120">
            <v>0</v>
          </cell>
          <cell r="V120">
            <v>-0.16348750146023899</v>
          </cell>
          <cell r="W120">
            <v>6.7123713467003602E-3</v>
          </cell>
        </row>
        <row r="121">
          <cell r="D121">
            <v>-0.223043156349679</v>
          </cell>
          <cell r="E121">
            <v>-0.106664838499288</v>
          </cell>
          <cell r="F121">
            <v>-9.4682501507713498E-2</v>
          </cell>
          <cell r="G121">
            <v>0.16679713850943401</v>
          </cell>
          <cell r="H121">
            <v>-2.8401898808132299E-2</v>
          </cell>
          <cell r="I121">
            <v>-3.02874899896594E-2</v>
          </cell>
          <cell r="J121">
            <v>-5.9865968320567202E-15</v>
          </cell>
          <cell r="K121">
            <v>4.6366071099570102E-14</v>
          </cell>
          <cell r="L121">
            <v>-6.2577948039779502E-16</v>
          </cell>
          <cell r="M121">
            <v>1.53379719196589E-15</v>
          </cell>
          <cell r="N121">
            <v>-7.6432076998881496E-16</v>
          </cell>
          <cell r="O121">
            <v>1.2461922360941899E-15</v>
          </cell>
          <cell r="P121">
            <v>6.4895485257696496E-16</v>
          </cell>
          <cell r="Q121">
            <v>2.4878837927088902E-15</v>
          </cell>
          <cell r="R121">
            <v>3.3835768901374001E-15</v>
          </cell>
          <cell r="S121">
            <v>8.8504221130069297E-14</v>
          </cell>
          <cell r="T121">
            <v>2.54192859279538E-2</v>
          </cell>
          <cell r="U121">
            <v>0</v>
          </cell>
          <cell r="V121">
            <v>-0.16185651922609101</v>
          </cell>
          <cell r="W121">
            <v>6.6336672436807598E-3</v>
          </cell>
        </row>
        <row r="122">
          <cell r="D122">
            <v>-0.21911719632641</v>
          </cell>
          <cell r="E122">
            <v>-0.10541422329575099</v>
          </cell>
          <cell r="F122">
            <v>-9.3735676492636394E-2</v>
          </cell>
          <cell r="G122">
            <v>0.165129167120107</v>
          </cell>
          <cell r="H122">
            <v>-2.7788826173108499E-2</v>
          </cell>
          <cell r="I122">
            <v>-2.85994198846913E-2</v>
          </cell>
          <cell r="J122">
            <v>-5.7978579000229198E-15</v>
          </cell>
          <cell r="K122">
            <v>4.6233633822712503E-14</v>
          </cell>
          <cell r="L122">
            <v>-6.1555130887591904E-16</v>
          </cell>
          <cell r="M122">
            <v>1.51619342774715E-15</v>
          </cell>
          <cell r="N122">
            <v>-7.5445929900972897E-16</v>
          </cell>
          <cell r="O122">
            <v>1.2336468141369499E-15</v>
          </cell>
          <cell r="P122">
            <v>6.4308397836297396E-16</v>
          </cell>
          <cell r="Q122">
            <v>2.4622945272192199E-15</v>
          </cell>
          <cell r="R122">
            <v>3.3466395720535098E-15</v>
          </cell>
          <cell r="S122">
            <v>8.8161670293452094E-14</v>
          </cell>
          <cell r="T122">
            <v>2.4977602989258999E-2</v>
          </cell>
          <cell r="U122">
            <v>0</v>
          </cell>
          <cell r="V122">
            <v>-0.160241745671585</v>
          </cell>
          <cell r="W122">
            <v>6.5559250818584798E-3</v>
          </cell>
        </row>
        <row r="123">
          <cell r="D123">
            <v>-0.21530563564983499</v>
          </cell>
          <cell r="E123">
            <v>-0.104179261591118</v>
          </cell>
          <cell r="F123">
            <v>-9.2798319727709994E-2</v>
          </cell>
          <cell r="G123">
            <v>0.16347787544595799</v>
          </cell>
          <cell r="H123">
            <v>-2.7188512615912399E-2</v>
          </cell>
          <cell r="I123">
            <v>-2.69967834436587E-2</v>
          </cell>
          <cell r="J123">
            <v>-5.6144816657157597E-15</v>
          </cell>
          <cell r="K123">
            <v>4.6095415050259097E-14</v>
          </cell>
          <cell r="L123">
            <v>-6.0554015184932598E-16</v>
          </cell>
          <cell r="M123">
            <v>1.49883576017204E-15</v>
          </cell>
          <cell r="N123">
            <v>-7.4483416626339501E-16</v>
          </cell>
          <cell r="O123">
            <v>1.2212075733280099E-15</v>
          </cell>
          <cell r="P123">
            <v>6.3721191243584599E-16</v>
          </cell>
          <cell r="Q123">
            <v>2.4369877978452499E-15</v>
          </cell>
          <cell r="R123">
            <v>3.3102543979046999E-15</v>
          </cell>
          <cell r="S123">
            <v>8.7815928661136196E-14</v>
          </cell>
          <cell r="T123">
            <v>2.4543256038895199E-2</v>
          </cell>
          <cell r="U123">
            <v>0</v>
          </cell>
          <cell r="V123">
            <v>-0.15864302203060501</v>
          </cell>
          <cell r="W123">
            <v>6.4791322741787304E-3</v>
          </cell>
        </row>
        <row r="124">
          <cell r="D124">
            <v>-0.21160406261077799</v>
          </cell>
          <cell r="E124">
            <v>-0.102959736746475</v>
          </cell>
          <cell r="F124">
            <v>-9.1870336530432903E-2</v>
          </cell>
          <cell r="G124">
            <v>0.16184309668944399</v>
          </cell>
          <cell r="H124">
            <v>-2.6600840382909399E-2</v>
          </cell>
          <cell r="I124">
            <v>-2.54753851112547E-2</v>
          </cell>
          <cell r="J124">
            <v>-5.4363013972645398E-15</v>
          </cell>
          <cell r="K124">
            <v>4.5951626858045799E-14</v>
          </cell>
          <cell r="L124">
            <v>-5.9574159916119602E-16</v>
          </cell>
          <cell r="M124">
            <v>1.4817178179634999E-15</v>
          </cell>
          <cell r="N124">
            <v>-7.3543436752850599E-16</v>
          </cell>
          <cell r="O124">
            <v>1.20887516995515E-15</v>
          </cell>
          <cell r="P124">
            <v>6.3134311177037796E-16</v>
          </cell>
          <cell r="Q124">
            <v>2.4119588591905601E-15</v>
          </cell>
          <cell r="R124">
            <v>3.2744041084797599E-15</v>
          </cell>
          <cell r="S124">
            <v>8.7467127699693797E-14</v>
          </cell>
          <cell r="T124">
            <v>2.4116054020375099E-2</v>
          </cell>
          <cell r="U124">
            <v>0</v>
          </cell>
          <cell r="V124">
            <v>-0.15706019096059001</v>
          </cell>
          <cell r="W124">
            <v>6.4032764109289101E-3</v>
          </cell>
        </row>
        <row r="125">
          <cell r="D125">
            <v>-0.20800822177060199</v>
          </cell>
          <cell r="E125">
            <v>-0.10175543540582301</v>
          </cell>
          <cell r="F125">
            <v>-9.0951633165128595E-2</v>
          </cell>
          <cell r="G125">
            <v>0.16022466572111899</v>
          </cell>
          <cell r="H125">
            <v>-2.60256729740709E-2</v>
          </cell>
          <cell r="I125">
            <v>-2.4031216501193699E-2</v>
          </cell>
          <cell r="J125">
            <v>-5.2631539402921101E-15</v>
          </cell>
          <cell r="K125">
            <v>4.5802475998265497E-14</v>
          </cell>
          <cell r="L125">
            <v>-5.8615100993881002E-16</v>
          </cell>
          <cell r="M125">
            <v>1.46483361158136E-15</v>
          </cell>
          <cell r="N125">
            <v>-7.2624931432246605E-16</v>
          </cell>
          <cell r="O125">
            <v>1.19665019508293E-15</v>
          </cell>
          <cell r="P125">
            <v>6.2548179421082802E-16</v>
          </cell>
          <cell r="Q125">
            <v>2.3872031801832E-15</v>
          </cell>
          <cell r="R125">
            <v>3.2390721072882102E-15</v>
          </cell>
          <cell r="S125">
            <v>8.71153952677337E-14</v>
          </cell>
          <cell r="T125">
            <v>2.3695821834835901E-2</v>
          </cell>
          <cell r="U125">
            <v>0</v>
          </cell>
          <cell r="V125">
            <v>-0.155493096537592</v>
          </cell>
          <cell r="W125">
            <v>6.3283452571144903E-3</v>
          </cell>
        </row>
        <row r="126">
          <cell r="D126">
            <v>-0.20451401319585</v>
          </cell>
          <cell r="E126">
            <v>-0.100566147458614</v>
          </cell>
          <cell r="F126">
            <v>-9.0042116833477306E-2</v>
          </cell>
          <cell r="G126">
            <v>0.158622419062912</v>
          </cell>
          <cell r="H126">
            <v>-2.54628581038931E-2</v>
          </cell>
          <cell r="I126">
            <v>-2.2660450752486301E-2</v>
          </cell>
          <cell r="J126">
            <v>-5.0948801106463197E-15</v>
          </cell>
          <cell r="K126">
            <v>4.5648163945507302E-14</v>
          </cell>
          <cell r="L126">
            <v>-5.7676357366561099E-16</v>
          </cell>
          <cell r="M126">
            <v>1.4481775037336499E-15</v>
          </cell>
          <cell r="N126">
            <v>-7.1726886103583997E-16</v>
          </cell>
          <cell r="O126">
            <v>1.1845331650632599E-15</v>
          </cell>
          <cell r="P126">
            <v>6.1963192869718204E-16</v>
          </cell>
          <cell r="Q126">
            <v>2.3627164285939999E-15</v>
          </cell>
          <cell r="R126">
            <v>3.2042424794491401E-15</v>
          </cell>
          <cell r="S126">
            <v>8.6760855727741696E-14</v>
          </cell>
          <cell r="T126">
            <v>2.3282398391159202E-2</v>
          </cell>
          <cell r="U126">
            <v>0</v>
          </cell>
          <cell r="V126">
            <v>-0.15394158425145901</v>
          </cell>
          <cell r="W126">
            <v>6.2543267498732496E-3</v>
          </cell>
        </row>
        <row r="127">
          <cell r="D127">
            <v>-0.20111749087196801</v>
          </cell>
          <cell r="E127">
            <v>-9.9391666000196305E-2</v>
          </cell>
          <cell r="F127">
            <v>-8.9141695665142601E-2</v>
          </cell>
          <cell r="G127">
            <v>0.15703619487158799</v>
          </cell>
          <cell r="H127">
            <v>-2.4912230299187502E-2</v>
          </cell>
          <cell r="I127">
            <v>-2.1359436666506401E-2</v>
          </cell>
          <cell r="J127">
            <v>-4.9313250005529297E-15</v>
          </cell>
          <cell r="K127">
            <v>4.5488886956807002E-14</v>
          </cell>
          <cell r="L127">
            <v>-5.6757436402800501E-16</v>
          </cell>
          <cell r="M127">
            <v>1.4317441817080999E-15</v>
          </cell>
          <cell r="N127">
            <v>-7.0848332282007895E-16</v>
          </cell>
          <cell r="O127">
            <v>1.17252451498123E-15</v>
          </cell>
          <cell r="P127">
            <v>6.1379723017859598E-16</v>
          </cell>
          <cell r="Q127">
            <v>2.3384944565369699E-15</v>
          </cell>
          <cell r="R127">
            <v>3.1699000010134201E-15</v>
          </cell>
          <cell r="S127">
            <v>8.6403630056561105E-14</v>
          </cell>
          <cell r="T127">
            <v>2.2875634892336998E-2</v>
          </cell>
          <cell r="U127">
            <v>0</v>
          </cell>
          <cell r="V127">
            <v>-0.15240550100092301</v>
          </cell>
          <cell r="W127">
            <v>6.1812089959273698E-3</v>
          </cell>
        </row>
        <row r="128">
          <cell r="D128">
            <v>-0.19781486043987101</v>
          </cell>
          <cell r="E128">
            <v>-9.8231787290570194E-2</v>
          </cell>
          <cell r="F128">
            <v>-8.8250278708491101E-2</v>
          </cell>
          <cell r="G128">
            <v>0.155465832922389</v>
          </cell>
          <cell r="H128">
            <v>-2.4373613176223101E-2</v>
          </cell>
          <cell r="I128">
            <v>-2.0124692697813602E-2</v>
          </cell>
          <cell r="J128">
            <v>-4.7723382079753302E-15</v>
          </cell>
          <cell r="K128">
            <v>4.5324836143466602E-14</v>
          </cell>
          <cell r="L128">
            <v>-5.58578385982034E-16</v>
          </cell>
          <cell r="M128">
            <v>1.41552863151465E-15</v>
          </cell>
          <cell r="N128">
            <v>-6.9988348561217402E-16</v>
          </cell>
          <cell r="O128">
            <v>1.1606245945527E-15</v>
          </cell>
          <cell r="P128">
            <v>6.0798115842248799E-16</v>
          </cell>
          <cell r="Q128">
            <v>2.3145332869261999E-15</v>
          </cell>
          <cell r="R128">
            <v>3.1360301401769598E-15</v>
          </cell>
          <cell r="S128">
            <v>8.6043835953924498E-14</v>
          </cell>
          <cell r="T128">
            <v>2.24753933300646E-2</v>
          </cell>
          <cell r="U128">
            <v>0</v>
          </cell>
          <cell r="V128">
            <v>-0.150884695088434</v>
          </cell>
          <cell r="W128">
            <v>6.1089802690730399E-3</v>
          </cell>
        </row>
        <row r="129">
          <cell r="D129">
            <v>-0.194602476379928</v>
          </cell>
          <cell r="E129">
            <v>-9.7086310711829896E-2</v>
          </cell>
          <cell r="F129">
            <v>-8.7367775921406293E-2</v>
          </cell>
          <cell r="G129">
            <v>0.15391117459282799</v>
          </cell>
          <cell r="H129">
            <v>-2.3846821434824601E-2</v>
          </cell>
          <cell r="I129">
            <v>-1.8952900860741601E-2</v>
          </cell>
          <cell r="J129">
            <v>-4.6177739983728499E-15</v>
          </cell>
          <cell r="K129">
            <v>4.5156197552615602E-14</v>
          </cell>
          <cell r="L129">
            <v>-5.4977061651994696E-16</v>
          </cell>
          <cell r="M129">
            <v>1.3995261138071699E-15</v>
          </cell>
          <cell r="N129">
            <v>-6.9146060953713003E-16</v>
          </cell>
          <cell r="O129">
            <v>1.14883366605054E-15</v>
          </cell>
          <cell r="P129">
            <v>6.0218692002298198E-16</v>
          </cell>
          <cell r="Q129">
            <v>2.2908291008576902E-15</v>
          </cell>
          <cell r="R129">
            <v>3.1026190516989201E-15</v>
          </cell>
          <cell r="S129">
            <v>8.5681587948570799E-14</v>
          </cell>
          <cell r="T129">
            <v>2.20815451628384E-2</v>
          </cell>
          <cell r="U129">
            <v>0</v>
          </cell>
          <cell r="V129">
            <v>-0.14937901621463401</v>
          </cell>
          <cell r="W129">
            <v>6.0376290077066999E-3</v>
          </cell>
        </row>
        <row r="130">
          <cell r="D130">
            <v>-0.19147683875114699</v>
          </cell>
          <cell r="E130">
            <v>-9.5955038724581804E-2</v>
          </cell>
          <cell r="F130">
            <v>-8.6494098162192196E-2</v>
          </cell>
          <cell r="G130">
            <v>0.15237206284666499</v>
          </cell>
          <cell r="H130">
            <v>-2.3331662602699699E-2</v>
          </cell>
          <cell r="I130">
            <v>-1.7840900604175699E-2</v>
          </cell>
          <cell r="J130">
            <v>-4.46749140742063E-15</v>
          </cell>
          <cell r="K130">
            <v>4.4983152256700099E-14</v>
          </cell>
          <cell r="L130">
            <v>-5.4114603963447898E-16</v>
          </cell>
          <cell r="M130">
            <v>1.3837321415351599E-15</v>
          </cell>
          <cell r="N130">
            <v>-6.8320642679449099E-16</v>
          </cell>
          <cell r="O130">
            <v>1.13715190389106E-15</v>
          </cell>
          <cell r="P130">
            <v>5.9641747299958097E-16</v>
          </cell>
          <cell r="Q130">
            <v>2.2673782258797599E-15</v>
          </cell>
          <cell r="R130">
            <v>3.0696535657018699E-15</v>
          </cell>
          <cell r="S130">
            <v>8.5316997501576104E-14</v>
          </cell>
          <cell r="T130">
            <v>2.16939701557387E-2</v>
          </cell>
          <cell r="U130">
            <v>0</v>
          </cell>
          <cell r="V130">
            <v>-0.14788831547242301</v>
          </cell>
          <cell r="W130">
            <v>5.9671438123877901E-3</v>
          </cell>
        </row>
        <row r="131">
          <cell r="D131">
            <v>-0.18843458957852299</v>
          </cell>
          <cell r="E131">
            <v>-9.4837776823610997E-2</v>
          </cell>
          <cell r="F131">
            <v>-8.5629157180570306E-2</v>
          </cell>
          <cell r="G131">
            <v>0.150848342218035</v>
          </cell>
          <cell r="H131">
            <v>-2.2827938559430098E-2</v>
          </cell>
          <cell r="I131">
            <v>-1.67856826985858E-2</v>
          </cell>
          <cell r="J131">
            <v>-4.32135429260645E-15</v>
          </cell>
          <cell r="K131">
            <v>4.4805876449282203E-14</v>
          </cell>
          <cell r="L131">
            <v>-5.3269967598287899E-16</v>
          </cell>
          <cell r="M131">
            <v>1.3681424592632301E-15</v>
          </cell>
          <cell r="N131">
            <v>-6.7511313500922796E-16</v>
          </cell>
          <cell r="O131">
            <v>1.1255793955616699E-15</v>
          </cell>
          <cell r="P131">
            <v>5.9067553345634996E-16</v>
          </cell>
          <cell r="Q131">
            <v>2.2441771251126799E-15</v>
          </cell>
          <cell r="R131">
            <v>3.03712117190057E-15</v>
          </cell>
          <cell r="S131">
            <v>8.4950173106625602E-14</v>
          </cell>
          <cell r="T131">
            <v>2.1312555362649799E-2</v>
          </cell>
          <cell r="U131">
            <v>0</v>
          </cell>
          <cell r="V131">
            <v>-0.14641244534058301</v>
          </cell>
          <cell r="W131">
            <v>5.8975134434377397E-3</v>
          </cell>
        </row>
        <row r="132">
          <cell r="D132">
            <v>-0.185472508968586</v>
          </cell>
          <cell r="E132">
            <v>-9.3734333493014105E-2</v>
          </cell>
          <cell r="F132">
            <v>-8.4772865608764597E-2</v>
          </cell>
          <cell r="G132">
            <v>0.14933985879574099</v>
          </cell>
          <cell r="H132">
            <v>-2.2335446866154501E-2</v>
          </cell>
          <cell r="I132">
            <v>-1.57843831720916E-2</v>
          </cell>
          <cell r="J132">
            <v>-4.17923134096909E-15</v>
          </cell>
          <cell r="K132">
            <v>4.4624541545722797E-14</v>
          </cell>
          <cell r="L132">
            <v>-5.2442660774633498E-16</v>
          </cell>
          <cell r="M132">
            <v>1.3527530240862399E-15</v>
          </cell>
          <cell r="N132">
            <v>-6.6717338691051997E-16</v>
          </cell>
          <cell r="O132">
            <v>1.1141161436148799E-15</v>
          </cell>
          <cell r="P132">
            <v>5.8496358384366204E-16</v>
          </cell>
          <cell r="Q132">
            <v>2.2212223871758099E-15</v>
          </cell>
          <cell r="R132">
            <v>3.00501000018503E-15</v>
          </cell>
          <cell r="S132">
            <v>8.4581220387022606E-14</v>
          </cell>
          <cell r="T132">
            <v>2.09371942339318E-2</v>
          </cell>
          <cell r="U132">
            <v>0</v>
          </cell>
          <cell r="V132">
            <v>-0.144951259676942</v>
          </cell>
          <cell r="W132">
            <v>5.8287268185738001E-3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03T18:50:46.5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03T18:50:30.1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0 0 32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1T19:54:07.1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1T19:53:55.2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1T19:53:55.3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9B6D-26CD-4C9C-B3F5-A807F301D75E}">
  <sheetPr codeName="Sheet1"/>
  <dimension ref="A1:CI132"/>
  <sheetViews>
    <sheetView zoomScale="40" zoomScaleNormal="40" workbookViewId="0">
      <selection activeCell="B2" sqref="B2:AE2"/>
    </sheetView>
  </sheetViews>
  <sheetFormatPr defaultRowHeight="15" x14ac:dyDescent="0.25"/>
  <cols>
    <col min="1" max="1" width="12.5703125" bestFit="1" customWidth="1"/>
    <col min="37" max="37" width="10" bestFit="1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J1" t="s">
        <v>32</v>
      </c>
      <c r="AK1" t="s">
        <v>33</v>
      </c>
      <c r="AL1" t="s">
        <v>35</v>
      </c>
      <c r="AM1" t="s">
        <v>37</v>
      </c>
      <c r="AN1" t="s">
        <v>36</v>
      </c>
      <c r="AO1" t="s">
        <v>39</v>
      </c>
      <c r="AP1" t="s">
        <v>38</v>
      </c>
      <c r="AQ1" t="s">
        <v>40</v>
      </c>
      <c r="AR1" t="s">
        <v>41</v>
      </c>
      <c r="AS1" t="s">
        <v>42</v>
      </c>
      <c r="AT1" t="s">
        <v>34</v>
      </c>
    </row>
    <row r="2" spans="1:46" x14ac:dyDescent="0.25">
      <c r="A2" s="1">
        <v>39172</v>
      </c>
      <c r="B2">
        <f>wFG!B2-woFG!B2</f>
        <v>-4.0182309103539982E-3</v>
      </c>
      <c r="C2">
        <f>wFG!C2-woFG!C2</f>
        <v>-3.4387814876300996E-9</v>
      </c>
      <c r="D2">
        <f>wFG!D2-woFG!D2</f>
        <v>1.5769102047200056E-4</v>
      </c>
      <c r="E2">
        <f>wFG!E2-woFG!E2</f>
        <v>-1.4191222041619886E-5</v>
      </c>
      <c r="F2">
        <f>wFG!F2-woFG!F2</f>
        <v>-6.976224816167198E-2</v>
      </c>
      <c r="G2">
        <f>wFG!G2-woFG!G2</f>
        <v>-1.0250825397767005E-2</v>
      </c>
      <c r="H2">
        <f>wFG!H2-woFG!H2</f>
        <v>9.1536633808680101E-3</v>
      </c>
      <c r="I2">
        <f>wFG!I2-woFG!I2</f>
        <v>-1.2691985099207559E-16</v>
      </c>
      <c r="J2">
        <f>wFG!J2-woFG!J2</f>
        <v>-3.5591269162781399E-16</v>
      </c>
      <c r="K2">
        <f>wFG!K2-woFG!K2</f>
        <v>-3.8115439804230074E-16</v>
      </c>
      <c r="L2">
        <f>wFG!L2-woFG!L2</f>
        <v>-1.1084738233279809E-4</v>
      </c>
      <c r="M2">
        <f>wFG!M2-woFG!M2</f>
        <v>0</v>
      </c>
      <c r="N2">
        <f>wFG!N2-woFG!N2</f>
        <v>0</v>
      </c>
      <c r="O2">
        <f>wFG!O2-woFG!O2</f>
        <v>4.9365286032910039E-15</v>
      </c>
      <c r="P2">
        <f>wFG!P2-woFG!P2</f>
        <v>0</v>
      </c>
      <c r="Q2">
        <f>wFG!Q2-woFG!Q2</f>
        <v>1.5634466635584151E-2</v>
      </c>
      <c r="R2">
        <f>wFG!R2-woFG!R2</f>
        <v>0</v>
      </c>
      <c r="S2">
        <f>wFG!S2-woFG!S2</f>
        <v>0</v>
      </c>
      <c r="T2">
        <f>wFG!T2-woFG!T2</f>
        <v>0</v>
      </c>
      <c r="U2">
        <f>wFG!U2-woFG!U2</f>
        <v>0</v>
      </c>
      <c r="V2">
        <f>wFG!V2-woFG!V2</f>
        <v>0</v>
      </c>
      <c r="W2">
        <f>wFG!W2-woFG!W2</f>
        <v>0</v>
      </c>
      <c r="X2">
        <f>wFG!X2-woFG!X2</f>
        <v>0</v>
      </c>
      <c r="Y2">
        <f>wFG!Y2-woFG!Y2</f>
        <v>0</v>
      </c>
      <c r="Z2">
        <f>wFG!Z2-woFG!Z2</f>
        <v>0</v>
      </c>
      <c r="AA2">
        <f>wFG!AA2-woFG!AA2</f>
        <v>0</v>
      </c>
      <c r="AB2">
        <f>wFG!AB2-woFG!AB2</f>
        <v>0</v>
      </c>
      <c r="AC2">
        <f>wFG!AC2-woFG!AC2</f>
        <v>0</v>
      </c>
      <c r="AD2">
        <f>wFG!AD2-woFG!AD2</f>
        <v>0</v>
      </c>
      <c r="AE2">
        <f>wFG!AE2-woFG!AE2</f>
        <v>-6.8006308448114033E-3</v>
      </c>
      <c r="AF2">
        <f>wFG!AF2-woFG!AF2</f>
        <v>-6.6011156320834985E-2</v>
      </c>
      <c r="AK2" s="1">
        <f>+A2</f>
        <v>39172</v>
      </c>
      <c r="AL2">
        <f>+B2</f>
        <v>-4.0182309103539982E-3</v>
      </c>
      <c r="AM2">
        <f t="shared" ref="AM2:AR2" si="0">+C2</f>
        <v>-3.4387814876300996E-9</v>
      </c>
      <c r="AN2">
        <f t="shared" si="0"/>
        <v>1.5769102047200056E-4</v>
      </c>
      <c r="AO2">
        <f t="shared" si="0"/>
        <v>-1.4191222041619886E-5</v>
      </c>
      <c r="AP2">
        <f t="shared" si="0"/>
        <v>-6.976224816167198E-2</v>
      </c>
      <c r="AQ2">
        <f t="shared" si="0"/>
        <v>-1.0250825397767005E-2</v>
      </c>
      <c r="AR2">
        <f t="shared" si="0"/>
        <v>9.1536633808680101E-3</v>
      </c>
      <c r="AS2">
        <f>+Q2</f>
        <v>1.5634466635584151E-2</v>
      </c>
      <c r="AT2">
        <f>+AF2-SUM(AL2:AS2)</f>
        <v>-6.911478227143053E-3</v>
      </c>
    </row>
    <row r="3" spans="1:46" x14ac:dyDescent="0.25">
      <c r="A3" s="1">
        <v>39263</v>
      </c>
      <c r="B3">
        <f>wFG!B3-woFG!B3</f>
        <v>-4.0255062183366941E-3</v>
      </c>
      <c r="C3">
        <f>wFG!C3-woFG!C3</f>
        <v>-7.1807698048228858E-9</v>
      </c>
      <c r="D3">
        <f>wFG!D3-woFG!D3</f>
        <v>2.9989416136699809E-4</v>
      </c>
      <c r="E3">
        <f>wFG!E3-woFG!E3</f>
        <v>-2.0146497042320029E-5</v>
      </c>
      <c r="F3">
        <f>wFG!F3-woFG!F3</f>
        <v>-7.0613878753428061E-2</v>
      </c>
      <c r="G3">
        <f>wFG!G3-woFG!G3</f>
        <v>-1.0212771595500398E-2</v>
      </c>
      <c r="H3">
        <f>wFG!H3-woFG!H3</f>
        <v>9.421977888381991E-3</v>
      </c>
      <c r="I3">
        <f>wFG!I3-woFG!I3</f>
        <v>-1.27345720693347E-16</v>
      </c>
      <c r="J3">
        <f>wFG!J3-woFG!J3</f>
        <v>-3.446513295840399E-16</v>
      </c>
      <c r="K3">
        <f>wFG!K3-woFG!K3</f>
        <v>-4.0730049251790048E-16</v>
      </c>
      <c r="L3">
        <f>wFG!L3-woFG!L3</f>
        <v>4.1047645053299622E-5</v>
      </c>
      <c r="M3">
        <f>wFG!M3-woFG!M3</f>
        <v>0</v>
      </c>
      <c r="N3">
        <f>wFG!N3-woFG!N3</f>
        <v>0</v>
      </c>
      <c r="O3">
        <f>wFG!O3-woFG!O3</f>
        <v>5.103254907792989E-15</v>
      </c>
      <c r="P3">
        <f>wFG!P3-woFG!P3</f>
        <v>0</v>
      </c>
      <c r="Q3">
        <f>wFG!Q3-woFG!Q3</f>
        <v>1.6937438598665006E-2</v>
      </c>
      <c r="R3">
        <f>wFG!R3-woFG!R3</f>
        <v>0</v>
      </c>
      <c r="S3">
        <f>wFG!S3-woFG!S3</f>
        <v>0</v>
      </c>
      <c r="T3">
        <f>wFG!T3-woFG!T3</f>
        <v>0</v>
      </c>
      <c r="U3">
        <f>wFG!U3-woFG!U3</f>
        <v>0</v>
      </c>
      <c r="V3">
        <f>wFG!V3-woFG!V3</f>
        <v>0</v>
      </c>
      <c r="W3">
        <f>wFG!W3-woFG!W3</f>
        <v>0</v>
      </c>
      <c r="X3">
        <f>wFG!X3-woFG!X3</f>
        <v>0</v>
      </c>
      <c r="Y3">
        <f>wFG!Y3-woFG!Y3</f>
        <v>0</v>
      </c>
      <c r="Z3">
        <f>wFG!Z3-woFG!Z3</f>
        <v>0</v>
      </c>
      <c r="AA3">
        <f>wFG!AA3-woFG!AA3</f>
        <v>0</v>
      </c>
      <c r="AB3">
        <f>wFG!AB3-woFG!AB3</f>
        <v>0</v>
      </c>
      <c r="AC3">
        <f>wFG!AC3-woFG!AC3</f>
        <v>0</v>
      </c>
      <c r="AD3">
        <f>wFG!AD3-woFG!AD3</f>
        <v>0</v>
      </c>
      <c r="AE3">
        <f>wFG!AE3-woFG!AE3</f>
        <v>-6.7289112656595956E-3</v>
      </c>
      <c r="AF3">
        <f>wFG!AF3-woFG!AF3</f>
        <v>-6.4900863217268012E-2</v>
      </c>
      <c r="AK3" s="1">
        <f t="shared" ref="AK3:AK66" si="1">+A3</f>
        <v>39263</v>
      </c>
      <c r="AL3">
        <f t="shared" ref="AL3:AL66" si="2">+B3</f>
        <v>-4.0255062183366941E-3</v>
      </c>
      <c r="AM3">
        <f t="shared" ref="AM3:AM66" si="3">+C3</f>
        <v>-7.1807698048228858E-9</v>
      </c>
      <c r="AN3">
        <f t="shared" ref="AN3:AN66" si="4">+D3</f>
        <v>2.9989416136699809E-4</v>
      </c>
      <c r="AO3">
        <f t="shared" ref="AO3:AO66" si="5">+E3</f>
        <v>-2.0146497042320029E-5</v>
      </c>
      <c r="AP3">
        <f t="shared" ref="AP3:AP66" si="6">+F3</f>
        <v>-7.0613878753428061E-2</v>
      </c>
      <c r="AQ3">
        <f t="shared" ref="AQ3:AQ66" si="7">+G3</f>
        <v>-1.0212771595500398E-2</v>
      </c>
      <c r="AR3">
        <f t="shared" ref="AR3:AR66" si="8">+H3</f>
        <v>9.421977888381991E-3</v>
      </c>
      <c r="AS3">
        <f t="shared" ref="AS3:AS66" si="9">+Q3</f>
        <v>1.6937438598665006E-2</v>
      </c>
      <c r="AT3">
        <f t="shared" ref="AT3:AT66" si="10">+AF3-SUM(AL3:AS3)</f>
        <v>-6.6878636206047365E-3</v>
      </c>
    </row>
    <row r="4" spans="1:46" x14ac:dyDescent="0.25">
      <c r="A4" s="1">
        <v>39355</v>
      </c>
      <c r="B4">
        <f>wFG!B4-woFG!B4</f>
        <v>-4.0315023699870056E-3</v>
      </c>
      <c r="C4">
        <f>wFG!C4-woFG!C4</f>
        <v>-1.2346094467629943E-8</v>
      </c>
      <c r="D4">
        <f>wFG!D4-woFG!D4</f>
        <v>5.0874442803294784E-4</v>
      </c>
      <c r="E4">
        <f>wFG!E4-woFG!E4</f>
        <v>-2.6772113373179978E-5</v>
      </c>
      <c r="F4">
        <f>wFG!F4-woFG!F4</f>
        <v>-7.1420982328955995E-2</v>
      </c>
      <c r="G4">
        <f>wFG!G4-woFG!G4</f>
        <v>-1.0163341467724699E-2</v>
      </c>
      <c r="H4">
        <f>wFG!H4-woFG!H4</f>
        <v>9.7164833307360199E-3</v>
      </c>
      <c r="I4">
        <f>wFG!I4-woFG!I4</f>
        <v>-1.278465334916253E-16</v>
      </c>
      <c r="J4">
        <f>wFG!J4-woFG!J4</f>
        <v>-3.324159220033903E-16</v>
      </c>
      <c r="K4">
        <f>wFG!K4-woFG!K4</f>
        <v>-4.3537489519470006E-16</v>
      </c>
      <c r="L4">
        <f>wFG!L4-woFG!L4</f>
        <v>2.0668393180420241E-4</v>
      </c>
      <c r="M4">
        <f>wFG!M4-woFG!M4</f>
        <v>0</v>
      </c>
      <c r="N4">
        <f>wFG!N4-woFG!N4</f>
        <v>0</v>
      </c>
      <c r="O4">
        <f>wFG!O4-woFG!O4</f>
        <v>5.2821350895699978E-15</v>
      </c>
      <c r="P4">
        <f>wFG!P4-woFG!P4</f>
        <v>0</v>
      </c>
      <c r="Q4">
        <f>wFG!Q4-woFG!Q4</f>
        <v>1.8388223378999008E-2</v>
      </c>
      <c r="R4">
        <f>wFG!R4-woFG!R4</f>
        <v>0</v>
      </c>
      <c r="S4">
        <f>wFG!S4-woFG!S4</f>
        <v>0</v>
      </c>
      <c r="T4">
        <f>wFG!T4-woFG!T4</f>
        <v>0</v>
      </c>
      <c r="U4">
        <f>wFG!U4-woFG!U4</f>
        <v>0</v>
      </c>
      <c r="V4">
        <f>wFG!V4-woFG!V4</f>
        <v>0</v>
      </c>
      <c r="W4">
        <f>wFG!W4-woFG!W4</f>
        <v>0</v>
      </c>
      <c r="X4">
        <f>wFG!X4-woFG!X4</f>
        <v>0</v>
      </c>
      <c r="Y4">
        <f>wFG!Y4-woFG!Y4</f>
        <v>0</v>
      </c>
      <c r="Z4">
        <f>wFG!Z4-woFG!Z4</f>
        <v>0</v>
      </c>
      <c r="AA4">
        <f>wFG!AA4-woFG!AA4</f>
        <v>0</v>
      </c>
      <c r="AB4">
        <f>wFG!AB4-woFG!AB4</f>
        <v>0</v>
      </c>
      <c r="AC4">
        <f>wFG!AC4-woFG!AC4</f>
        <v>0</v>
      </c>
      <c r="AD4">
        <f>wFG!AD4-woFG!AD4</f>
        <v>0</v>
      </c>
      <c r="AE4">
        <f>wFG!AE4-woFG!AE4</f>
        <v>-6.6579889424241978E-3</v>
      </c>
      <c r="AF4">
        <f>wFG!AF4-woFG!AF4</f>
        <v>-6.3480464498984007E-2</v>
      </c>
      <c r="AK4" s="1">
        <f t="shared" si="1"/>
        <v>39355</v>
      </c>
      <c r="AL4">
        <f t="shared" si="2"/>
        <v>-4.0315023699870056E-3</v>
      </c>
      <c r="AM4">
        <f t="shared" si="3"/>
        <v>-1.2346094467629943E-8</v>
      </c>
      <c r="AN4">
        <f t="shared" si="4"/>
        <v>5.0874442803294784E-4</v>
      </c>
      <c r="AO4">
        <f t="shared" si="5"/>
        <v>-2.6772113373179978E-5</v>
      </c>
      <c r="AP4">
        <f t="shared" si="6"/>
        <v>-7.1420982328955995E-2</v>
      </c>
      <c r="AQ4">
        <f t="shared" si="7"/>
        <v>-1.0163341467724699E-2</v>
      </c>
      <c r="AR4">
        <f t="shared" si="8"/>
        <v>9.7164833307360199E-3</v>
      </c>
      <c r="AS4">
        <f t="shared" si="9"/>
        <v>1.8388223378999008E-2</v>
      </c>
      <c r="AT4">
        <f t="shared" si="10"/>
        <v>-6.451305010616637E-3</v>
      </c>
    </row>
    <row r="5" spans="1:46" x14ac:dyDescent="0.25">
      <c r="A5" s="1">
        <v>39447</v>
      </c>
      <c r="B5">
        <f>wFG!B5-woFG!B5</f>
        <v>-4.0360770630329945E-3</v>
      </c>
      <c r="C5">
        <f>wFG!C5-woFG!C5</f>
        <v>-1.9785729411035985E-8</v>
      </c>
      <c r="D5">
        <f>wFG!D5-woFG!D5</f>
        <v>8.1319510356997471E-4</v>
      </c>
      <c r="E5">
        <f>wFG!E5-woFG!E5</f>
        <v>-3.4024381937239985E-5</v>
      </c>
      <c r="F5">
        <f>wFG!F5-woFG!F5</f>
        <v>-7.2174085617082939E-2</v>
      </c>
      <c r="G5">
        <f>wFG!G5-woFG!G5</f>
        <v>-1.0100534906748102E-2</v>
      </c>
      <c r="H5">
        <f>wFG!H5-woFG!H5</f>
        <v>1.0040547527412985E-2</v>
      </c>
      <c r="I5">
        <f>wFG!I5-woFG!I5</f>
        <v>-1.2847645093954105E-16</v>
      </c>
      <c r="J5">
        <f>wFG!J5-woFG!J5</f>
        <v>-3.1911153069164E-16</v>
      </c>
      <c r="K5">
        <f>wFG!K5-woFG!K5</f>
        <v>-4.6553464970259731E-16</v>
      </c>
      <c r="L5">
        <f>wFG!L5-woFG!L5</f>
        <v>3.8771405506170253E-4</v>
      </c>
      <c r="M5">
        <f>wFG!M5-woFG!M5</f>
        <v>0</v>
      </c>
      <c r="N5">
        <f>wFG!N5-woFG!N5</f>
        <v>0</v>
      </c>
      <c r="O5">
        <f>wFG!O5-woFG!O5</f>
        <v>5.4743034481760029E-15</v>
      </c>
      <c r="P5">
        <f>wFG!P5-woFG!P5</f>
        <v>0</v>
      </c>
      <c r="Q5">
        <f>wFG!Q5-woFG!Q5</f>
        <v>2.0009100450324002E-2</v>
      </c>
      <c r="R5">
        <f>wFG!R5-woFG!R5</f>
        <v>0</v>
      </c>
      <c r="S5">
        <f>wFG!S5-woFG!S5</f>
        <v>0</v>
      </c>
      <c r="T5">
        <f>wFG!T5-woFG!T5</f>
        <v>0</v>
      </c>
      <c r="U5">
        <f>wFG!U5-woFG!U5</f>
        <v>0</v>
      </c>
      <c r="V5">
        <f>wFG!V5-woFG!V5</f>
        <v>0</v>
      </c>
      <c r="W5">
        <f>wFG!W5-woFG!W5</f>
        <v>0</v>
      </c>
      <c r="X5">
        <f>wFG!X5-woFG!X5</f>
        <v>0</v>
      </c>
      <c r="Y5">
        <f>wFG!Y5-woFG!Y5</f>
        <v>0</v>
      </c>
      <c r="Z5">
        <f>wFG!Z5-woFG!Z5</f>
        <v>0</v>
      </c>
      <c r="AA5">
        <f>wFG!AA5-woFG!AA5</f>
        <v>0</v>
      </c>
      <c r="AB5">
        <f>wFG!AB5-woFG!AB5</f>
        <v>0</v>
      </c>
      <c r="AC5">
        <f>wFG!AC5-woFG!AC5</f>
        <v>0</v>
      </c>
      <c r="AD5">
        <f>wFG!AD5-woFG!AD5</f>
        <v>0</v>
      </c>
      <c r="AE5">
        <f>wFG!AE5-woFG!AE5</f>
        <v>-6.5878543717484001E-3</v>
      </c>
      <c r="AF5">
        <f>wFG!AF5-woFG!AF5</f>
        <v>-6.1682038989906693E-2</v>
      </c>
      <c r="AK5" s="1">
        <f t="shared" si="1"/>
        <v>39447</v>
      </c>
      <c r="AL5">
        <f t="shared" si="2"/>
        <v>-4.0360770630329945E-3</v>
      </c>
      <c r="AM5">
        <f t="shared" si="3"/>
        <v>-1.9785729411035985E-8</v>
      </c>
      <c r="AN5">
        <f t="shared" si="4"/>
        <v>8.1319510356997471E-4</v>
      </c>
      <c r="AO5">
        <f t="shared" si="5"/>
        <v>-3.4024381937239985E-5</v>
      </c>
      <c r="AP5">
        <f t="shared" si="6"/>
        <v>-7.2174085617082939E-2</v>
      </c>
      <c r="AQ5">
        <f t="shared" si="7"/>
        <v>-1.0100534906748102E-2</v>
      </c>
      <c r="AR5">
        <f t="shared" si="8"/>
        <v>1.0040547527412985E-2</v>
      </c>
      <c r="AS5">
        <f t="shared" si="9"/>
        <v>2.0009100450324002E-2</v>
      </c>
      <c r="AT5">
        <f t="shared" si="10"/>
        <v>-6.2001403166829644E-3</v>
      </c>
    </row>
    <row r="6" spans="1:46" x14ac:dyDescent="0.25">
      <c r="A6" s="1">
        <v>39538</v>
      </c>
      <c r="B6">
        <f>wFG!B6-woFG!B6</f>
        <v>-4.0391822042060016E-3</v>
      </c>
      <c r="C6">
        <f>wFG!C6-woFG!C6</f>
        <v>-3.0965542194566056E-8</v>
      </c>
      <c r="D6">
        <f>wFG!D6-woFG!D6</f>
        <v>1.2548505149160283E-3</v>
      </c>
      <c r="E6">
        <f>wFG!E6-woFG!E6</f>
        <v>-4.1743388615554392E-5</v>
      </c>
      <c r="F6">
        <f>wFG!F6-woFG!F6</f>
        <v>-7.2863325779027044E-2</v>
      </c>
      <c r="G6">
        <f>wFG!G6-woFG!G6</f>
        <v>-1.0021747851891097E-2</v>
      </c>
      <c r="H6">
        <f>wFG!H6-woFG!H6</f>
        <v>1.0398312194890014E-2</v>
      </c>
      <c r="I6">
        <f>wFG!I6-woFG!I6</f>
        <v>-1.2932767917137202E-16</v>
      </c>
      <c r="J6">
        <f>wFG!J6-woFG!J6</f>
        <v>-3.0463366358509012E-16</v>
      </c>
      <c r="K6">
        <f>wFG!K6-woFG!K6</f>
        <v>-4.9793277193740065E-16</v>
      </c>
      <c r="L6">
        <f>wFG!L6-woFG!L6</f>
        <v>5.8599038391848879E-4</v>
      </c>
      <c r="M6">
        <f>wFG!M6-woFG!M6</f>
        <v>0</v>
      </c>
      <c r="N6">
        <f>wFG!N6-woFG!N6</f>
        <v>0</v>
      </c>
      <c r="O6">
        <f>wFG!O6-woFG!O6</f>
        <v>5.6809871190559857E-15</v>
      </c>
      <c r="P6">
        <f>wFG!P6-woFG!P6</f>
        <v>0</v>
      </c>
      <c r="Q6">
        <f>wFG!Q6-woFG!Q6</f>
        <v>2.1827772133220014E-2</v>
      </c>
      <c r="R6">
        <f>wFG!R6-woFG!R6</f>
        <v>0</v>
      </c>
      <c r="S6">
        <f>wFG!S6-woFG!S6</f>
        <v>0</v>
      </c>
      <c r="T6">
        <f>wFG!T6-woFG!T6</f>
        <v>0</v>
      </c>
      <c r="U6">
        <f>wFG!U6-woFG!U6</f>
        <v>0</v>
      </c>
      <c r="V6">
        <f>wFG!V6-woFG!V6</f>
        <v>0</v>
      </c>
      <c r="W6">
        <f>wFG!W6-woFG!W6</f>
        <v>0</v>
      </c>
      <c r="X6">
        <f>wFG!X6-woFG!X6</f>
        <v>0</v>
      </c>
      <c r="Y6">
        <f>wFG!Y6-woFG!Y6</f>
        <v>0</v>
      </c>
      <c r="Z6">
        <f>wFG!Z6-woFG!Z6</f>
        <v>0</v>
      </c>
      <c r="AA6">
        <f>wFG!AA6-woFG!AA6</f>
        <v>0</v>
      </c>
      <c r="AB6">
        <f>wFG!AB6-woFG!AB6</f>
        <v>0</v>
      </c>
      <c r="AC6">
        <f>wFG!AC6-woFG!AC6</f>
        <v>0</v>
      </c>
      <c r="AD6">
        <f>wFG!AD6-woFG!AD6</f>
        <v>0</v>
      </c>
      <c r="AE6">
        <f>wFG!AE6-woFG!AE6</f>
        <v>-6.5184981729287002E-3</v>
      </c>
      <c r="AF6">
        <f>wFG!AF6-woFG!AF6</f>
        <v>-5.9417603135263009E-2</v>
      </c>
      <c r="AK6" s="1">
        <f t="shared" si="1"/>
        <v>39538</v>
      </c>
      <c r="AL6">
        <f t="shared" si="2"/>
        <v>-4.0391822042060016E-3</v>
      </c>
      <c r="AM6">
        <f t="shared" si="3"/>
        <v>-3.0965542194566056E-8</v>
      </c>
      <c r="AN6">
        <f t="shared" si="4"/>
        <v>1.2548505149160283E-3</v>
      </c>
      <c r="AO6">
        <f t="shared" si="5"/>
        <v>-4.1743388615554392E-5</v>
      </c>
      <c r="AP6">
        <f t="shared" si="6"/>
        <v>-7.2863325779027044E-2</v>
      </c>
      <c r="AQ6">
        <f t="shared" si="7"/>
        <v>-1.0021747851891097E-2</v>
      </c>
      <c r="AR6">
        <f t="shared" si="8"/>
        <v>1.0398312194890014E-2</v>
      </c>
      <c r="AS6">
        <f t="shared" si="9"/>
        <v>2.1827772133220014E-2</v>
      </c>
      <c r="AT6">
        <f t="shared" si="10"/>
        <v>-5.9325077890071687E-3</v>
      </c>
    </row>
    <row r="7" spans="1:46" x14ac:dyDescent="0.25">
      <c r="A7" s="1">
        <v>39629</v>
      </c>
      <c r="B7">
        <f>wFG!B7-woFG!B7</f>
        <v>-4.0410778266909975E-3</v>
      </c>
      <c r="C7">
        <f>wFG!C7-woFG!C7</f>
        <v>-4.8436926117405908E-8</v>
      </c>
      <c r="D7">
        <f>wFG!D7-woFG!D7</f>
        <v>1.8938809685909996E-3</v>
      </c>
      <c r="E7">
        <f>wFG!E7-woFG!E7</f>
        <v>-4.9545743446028929E-5</v>
      </c>
      <c r="F7">
        <f>wFG!F7-woFG!F7</f>
        <v>-7.3478816265112989E-2</v>
      </c>
      <c r="G7">
        <f>wFG!G7-woFG!G7</f>
        <v>-9.9234895739064091E-3</v>
      </c>
      <c r="H7">
        <f>wFG!H7-woFG!H7</f>
        <v>1.0795258573867011E-2</v>
      </c>
      <c r="I7">
        <f>wFG!I7-woFG!I7</f>
        <v>-1.305461563982671E-16</v>
      </c>
      <c r="J7">
        <f>wFG!J7-woFG!J7</f>
        <v>-2.8886751460831E-16</v>
      </c>
      <c r="K7">
        <f>wFG!K7-woFG!K7</f>
        <v>-5.3270266748059883E-16</v>
      </c>
      <c r="L7">
        <f>wFG!L7-woFG!L7</f>
        <v>8.0355461994140176E-4</v>
      </c>
      <c r="M7">
        <f>wFG!M7-woFG!M7</f>
        <v>0</v>
      </c>
      <c r="N7">
        <f>wFG!N7-woFG!N7</f>
        <v>0</v>
      </c>
      <c r="O7">
        <f>wFG!O7-woFG!O7</f>
        <v>5.9035041179240074E-15</v>
      </c>
      <c r="P7">
        <f>wFG!P7-woFG!P7</f>
        <v>0</v>
      </c>
      <c r="Q7">
        <f>wFG!Q7-woFG!Q7</f>
        <v>2.3879296206701983E-2</v>
      </c>
      <c r="R7">
        <f>wFG!R7-woFG!R7</f>
        <v>0</v>
      </c>
      <c r="S7">
        <f>wFG!S7-woFG!S7</f>
        <v>0</v>
      </c>
      <c r="T7">
        <f>wFG!T7-woFG!T7</f>
        <v>0</v>
      </c>
      <c r="U7">
        <f>wFG!U7-woFG!U7</f>
        <v>0</v>
      </c>
      <c r="V7">
        <f>wFG!V7-woFG!V7</f>
        <v>0</v>
      </c>
      <c r="W7">
        <f>wFG!W7-woFG!W7</f>
        <v>0</v>
      </c>
      <c r="X7">
        <f>wFG!X7-woFG!X7</f>
        <v>0</v>
      </c>
      <c r="Y7">
        <f>wFG!Y7-woFG!Y7</f>
        <v>0</v>
      </c>
      <c r="Z7">
        <f>wFG!Z7-woFG!Z7</f>
        <v>0</v>
      </c>
      <c r="AA7">
        <f>wFG!AA7-woFG!AA7</f>
        <v>0</v>
      </c>
      <c r="AB7">
        <f>wFG!AB7-woFG!AB7</f>
        <v>0</v>
      </c>
      <c r="AC7">
        <f>wFG!AC7-woFG!AC7</f>
        <v>0</v>
      </c>
      <c r="AD7">
        <f>wFG!AD7-woFG!AD7</f>
        <v>0</v>
      </c>
      <c r="AE7">
        <f>wFG!AE7-woFG!AE7</f>
        <v>-6.4499110862365032E-3</v>
      </c>
      <c r="AF7">
        <f>wFG!AF7-woFG!AF7</f>
        <v>-5.6570898563214012E-2</v>
      </c>
      <c r="AK7" s="1">
        <f t="shared" si="1"/>
        <v>39629</v>
      </c>
      <c r="AL7">
        <f t="shared" si="2"/>
        <v>-4.0410778266909975E-3</v>
      </c>
      <c r="AM7">
        <f t="shared" si="3"/>
        <v>-4.8436926117405908E-8</v>
      </c>
      <c r="AN7">
        <f t="shared" si="4"/>
        <v>1.8938809685909996E-3</v>
      </c>
      <c r="AO7">
        <f t="shared" si="5"/>
        <v>-4.9545743446028929E-5</v>
      </c>
      <c r="AP7">
        <f t="shared" si="6"/>
        <v>-7.3478816265112989E-2</v>
      </c>
      <c r="AQ7">
        <f t="shared" si="7"/>
        <v>-9.9234895739064091E-3</v>
      </c>
      <c r="AR7">
        <f t="shared" si="8"/>
        <v>1.0795258573867011E-2</v>
      </c>
      <c r="AS7">
        <f t="shared" si="9"/>
        <v>2.3879296206701983E-2</v>
      </c>
      <c r="AT7">
        <f t="shared" si="10"/>
        <v>-5.6463564662914689E-3</v>
      </c>
    </row>
    <row r="8" spans="1:46" x14ac:dyDescent="0.25">
      <c r="A8" s="1">
        <v>39721</v>
      </c>
      <c r="B8">
        <f>wFG!B8-woFG!B8</f>
        <v>-4.0426349869191053E-3</v>
      </c>
      <c r="C8">
        <f>wFG!C8-woFG!C8</f>
        <v>-7.6672541770989999E-8</v>
      </c>
      <c r="D8">
        <f>wFG!D8-woFG!D8</f>
        <v>2.8181785423819772E-3</v>
      </c>
      <c r="E8">
        <f>wFG!E8-woFG!E8</f>
        <v>-5.6622372996369998E-5</v>
      </c>
      <c r="F8">
        <f>wFG!F8-woFG!F8</f>
        <v>-7.4010944032862958E-2</v>
      </c>
      <c r="G8">
        <f>wFG!G8-woFG!G8</f>
        <v>-9.8010655457028001E-3</v>
      </c>
      <c r="H8">
        <f>wFG!H8-woFG!H8</f>
        <v>1.1239000468860005E-2</v>
      </c>
      <c r="I8">
        <f>wFG!I8-woFG!I8</f>
        <v>-1.3231450536233402E-16</v>
      </c>
      <c r="J8">
        <f>wFG!J8-woFG!J8</f>
        <v>-2.7168379981551996E-16</v>
      </c>
      <c r="K8">
        <f>wFG!K8-woFG!K8</f>
        <v>-5.6994804211440053E-16</v>
      </c>
      <c r="L8">
        <f>wFG!L8-woFG!L8</f>
        <v>1.0424612982341958E-3</v>
      </c>
      <c r="M8">
        <f>wFG!M8-woFG!M8</f>
        <v>0</v>
      </c>
      <c r="N8">
        <f>wFG!N8-woFG!N8</f>
        <v>0</v>
      </c>
      <c r="O8">
        <f>wFG!O8-woFG!O8</f>
        <v>6.1432753277990039E-15</v>
      </c>
      <c r="P8">
        <f>wFG!P8-woFG!P8</f>
        <v>0</v>
      </c>
      <c r="Q8">
        <f>wFG!Q8-woFG!Q8</f>
        <v>2.6207543688752999E-2</v>
      </c>
      <c r="R8">
        <f>wFG!R8-woFG!R8</f>
        <v>0</v>
      </c>
      <c r="S8">
        <f>wFG!S8-woFG!S8</f>
        <v>0</v>
      </c>
      <c r="T8">
        <f>wFG!T8-woFG!T8</f>
        <v>0</v>
      </c>
      <c r="U8">
        <f>wFG!U8-woFG!U8</f>
        <v>0</v>
      </c>
      <c r="V8">
        <f>wFG!V8-woFG!V8</f>
        <v>0</v>
      </c>
      <c r="W8">
        <f>wFG!W8-woFG!W8</f>
        <v>0</v>
      </c>
      <c r="X8">
        <f>wFG!X8-woFG!X8</f>
        <v>0</v>
      </c>
      <c r="Y8">
        <f>wFG!Y8-woFG!Y8</f>
        <v>0</v>
      </c>
      <c r="Z8">
        <f>wFG!Z8-woFG!Z8</f>
        <v>0</v>
      </c>
      <c r="AA8">
        <f>wFG!AA8-woFG!AA8</f>
        <v>0</v>
      </c>
      <c r="AB8">
        <f>wFG!AB8-woFG!AB8</f>
        <v>0</v>
      </c>
      <c r="AC8">
        <f>wFG!AC8-woFG!AC8</f>
        <v>0</v>
      </c>
      <c r="AD8">
        <f>wFG!AD8-woFG!AD8</f>
        <v>0</v>
      </c>
      <c r="AE8">
        <f>wFG!AE8-woFG!AE8</f>
        <v>-6.3820839712634969E-3</v>
      </c>
      <c r="AF8">
        <f>wFG!AF8-woFG!AF8</f>
        <v>-5.2986243584054016E-2</v>
      </c>
      <c r="AK8" s="1">
        <f t="shared" si="1"/>
        <v>39721</v>
      </c>
      <c r="AL8">
        <f t="shared" si="2"/>
        <v>-4.0426349869191053E-3</v>
      </c>
      <c r="AM8">
        <f t="shared" si="3"/>
        <v>-7.6672541770989999E-8</v>
      </c>
      <c r="AN8">
        <f t="shared" si="4"/>
        <v>2.8181785423819772E-3</v>
      </c>
      <c r="AO8">
        <f t="shared" si="5"/>
        <v>-5.6622372996369998E-5</v>
      </c>
      <c r="AP8">
        <f t="shared" si="6"/>
        <v>-7.4010944032862958E-2</v>
      </c>
      <c r="AQ8">
        <f t="shared" si="7"/>
        <v>-9.8010655457028001E-3</v>
      </c>
      <c r="AR8">
        <f t="shared" si="8"/>
        <v>1.1239000468860005E-2</v>
      </c>
      <c r="AS8">
        <f t="shared" si="9"/>
        <v>2.6207543688752999E-2</v>
      </c>
      <c r="AT8">
        <f t="shared" si="10"/>
        <v>-5.3396226730259982E-3</v>
      </c>
    </row>
    <row r="9" spans="1:46" x14ac:dyDescent="0.25">
      <c r="A9" s="1">
        <v>39813</v>
      </c>
      <c r="B9">
        <f>wFG!B9-woFG!B9</f>
        <v>-4.0461193879038973E-3</v>
      </c>
      <c r="C9">
        <f>wFG!C9-woFG!C9</f>
        <v>-8.5162634624069552E-8</v>
      </c>
      <c r="D9">
        <f>wFG!D9-woFG!D9</f>
        <v>3.6739114265700312E-3</v>
      </c>
      <c r="E9">
        <f>wFG!E9-woFG!E9</f>
        <v>-3.5714306579520076E-5</v>
      </c>
      <c r="F9">
        <f>wFG!F9-woFG!F9</f>
        <v>-7.4718524692216987E-2</v>
      </c>
      <c r="G9">
        <f>wFG!G9-woFG!G9</f>
        <v>-9.45435415865346E-3</v>
      </c>
      <c r="H9">
        <f>wFG!H9-woFG!H9</f>
        <v>1.173840887960198E-2</v>
      </c>
      <c r="I9">
        <f>wFG!I9-woFG!I9</f>
        <v>-1.3583330177403012E-16</v>
      </c>
      <c r="J9">
        <f>wFG!J9-woFG!J9</f>
        <v>-2.5310625965823998E-16</v>
      </c>
      <c r="K9">
        <f>wFG!K9-woFG!K9</f>
        <v>-6.1054574297230129E-16</v>
      </c>
      <c r="L9">
        <f>wFG!L9-woFG!L9</f>
        <v>1.2458390167479905E-3</v>
      </c>
      <c r="M9">
        <f>wFG!M9-woFG!M9</f>
        <v>0</v>
      </c>
      <c r="N9">
        <f>wFG!N9-woFG!N9</f>
        <v>0</v>
      </c>
      <c r="O9">
        <f>wFG!O9-woFG!O9</f>
        <v>6.418459451806003E-15</v>
      </c>
      <c r="P9">
        <f>wFG!P9-woFG!P9</f>
        <v>0</v>
      </c>
      <c r="Q9">
        <f>wFG!Q9-woFG!Q9</f>
        <v>2.8710685023519034E-2</v>
      </c>
      <c r="R9">
        <f>wFG!R9-woFG!R9</f>
        <v>0</v>
      </c>
      <c r="S9">
        <f>wFG!S9-woFG!S9</f>
        <v>0</v>
      </c>
      <c r="T9">
        <f>wFG!T9-woFG!T9</f>
        <v>0</v>
      </c>
      <c r="U9">
        <f>wFG!U9-woFG!U9</f>
        <v>0</v>
      </c>
      <c r="V9">
        <f>wFG!V9-woFG!V9</f>
        <v>0</v>
      </c>
      <c r="W9">
        <f>wFG!W9-woFG!W9</f>
        <v>0</v>
      </c>
      <c r="X9">
        <f>wFG!X9-woFG!X9</f>
        <v>0</v>
      </c>
      <c r="Y9">
        <f>wFG!Y9-woFG!Y9</f>
        <v>-3.820949111086996E-17</v>
      </c>
      <c r="Z9">
        <f>wFG!Z9-woFG!Z9</f>
        <v>-3.6688314710479881E-17</v>
      </c>
      <c r="AA9">
        <f>wFG!AA9-woFG!AA9</f>
        <v>-3.2781058003227998E-17</v>
      </c>
      <c r="AB9">
        <f>wFG!AB9-woFG!AB9</f>
        <v>-3.7284812080694601E-17</v>
      </c>
      <c r="AC9">
        <f>wFG!AC9-woFG!AC9</f>
        <v>-3.7697781269601998E-17</v>
      </c>
      <c r="AD9">
        <f>wFG!AD9-woFG!AD9</f>
        <v>-3.6830571069042994E-17</v>
      </c>
      <c r="AE9">
        <f>wFG!AE9-woFG!AE9</f>
        <v>-6.3150078052875043E-3</v>
      </c>
      <c r="AF9">
        <f>wFG!AF9-woFG!AF9</f>
        <v>-4.9200961166830037E-2</v>
      </c>
      <c r="AK9" s="1">
        <f t="shared" si="1"/>
        <v>39813</v>
      </c>
      <c r="AL9">
        <f t="shared" si="2"/>
        <v>-4.0461193879038973E-3</v>
      </c>
      <c r="AM9">
        <f t="shared" si="3"/>
        <v>-8.5162634624069552E-8</v>
      </c>
      <c r="AN9">
        <f t="shared" si="4"/>
        <v>3.6739114265700312E-3</v>
      </c>
      <c r="AO9">
        <f t="shared" si="5"/>
        <v>-3.5714306579520076E-5</v>
      </c>
      <c r="AP9">
        <f t="shared" si="6"/>
        <v>-7.4718524692216987E-2</v>
      </c>
      <c r="AQ9">
        <f t="shared" si="7"/>
        <v>-9.45435415865346E-3</v>
      </c>
      <c r="AR9">
        <f t="shared" si="8"/>
        <v>1.173840887960198E-2</v>
      </c>
      <c r="AS9">
        <f t="shared" si="9"/>
        <v>2.8710685023519034E-2</v>
      </c>
      <c r="AT9">
        <f t="shared" si="10"/>
        <v>-5.0691687885325853E-3</v>
      </c>
    </row>
    <row r="10" spans="1:46" x14ac:dyDescent="0.25">
      <c r="A10" s="1">
        <v>39903</v>
      </c>
      <c r="B10">
        <f>wFG!B10-woFG!B10</f>
        <v>-4.0301047169714055E-3</v>
      </c>
      <c r="C10">
        <f>wFG!C10-woFG!C10</f>
        <v>-6.0602450266640142E-8</v>
      </c>
      <c r="D10">
        <f>wFG!D10-woFG!D10</f>
        <v>2.8889888238299299E-3</v>
      </c>
      <c r="E10">
        <f>wFG!E10-woFG!E10</f>
        <v>-3.3891705150359847E-5</v>
      </c>
      <c r="F10">
        <f>wFG!F10-woFG!F10</f>
        <v>-7.8000084518210999E-2</v>
      </c>
      <c r="G10">
        <f>wFG!G10-woFG!G10</f>
        <v>-9.8535346156661957E-3</v>
      </c>
      <c r="H10">
        <f>wFG!H10-woFG!H10</f>
        <v>1.2224860586109998E-2</v>
      </c>
      <c r="I10">
        <f>wFG!I10-woFG!I10</f>
        <v>-1.3543634139086014E-16</v>
      </c>
      <c r="J10">
        <f>wFG!J10-woFG!J10</f>
        <v>-2.3290100377397932E-16</v>
      </c>
      <c r="K10">
        <f>wFG!K10-woFG!K10</f>
        <v>-6.2695304349140124E-16</v>
      </c>
      <c r="L10">
        <f>wFG!L10-woFG!L10</f>
        <v>1.435482746258987E-3</v>
      </c>
      <c r="M10">
        <f>wFG!M10-woFG!M10</f>
        <v>0</v>
      </c>
      <c r="N10">
        <f>wFG!N10-woFG!N10</f>
        <v>0</v>
      </c>
      <c r="O10">
        <f>wFG!O10-woFG!O10</f>
        <v>6.6498455690540136E-15</v>
      </c>
      <c r="P10">
        <f>wFG!P10-woFG!P10</f>
        <v>0</v>
      </c>
      <c r="Q10">
        <f>wFG!Q10-woFG!Q10</f>
        <v>2.9216069424241042E-2</v>
      </c>
      <c r="R10">
        <f>wFG!R10-woFG!R10</f>
        <v>0</v>
      </c>
      <c r="S10">
        <f>wFG!S10-woFG!S10</f>
        <v>0</v>
      </c>
      <c r="T10">
        <f>wFG!T10-woFG!T10</f>
        <v>0</v>
      </c>
      <c r="U10">
        <f>wFG!U10-woFG!U10</f>
        <v>0</v>
      </c>
      <c r="V10">
        <f>wFG!V10-woFG!V10</f>
        <v>0</v>
      </c>
      <c r="W10">
        <f>wFG!W10-woFG!W10</f>
        <v>0</v>
      </c>
      <c r="X10">
        <f>wFG!X10-woFG!X10</f>
        <v>0</v>
      </c>
      <c r="Y10">
        <f>wFG!Y10-woFG!Y10</f>
        <v>-5.6438478460760071E-17</v>
      </c>
      <c r="Z10">
        <f>wFG!Z10-woFG!Z10</f>
        <v>-5.2102905623029788E-17</v>
      </c>
      <c r="AA10">
        <f>wFG!AA10-woFG!AA10</f>
        <v>-4.4266783435439954E-17</v>
      </c>
      <c r="AB10">
        <f>wFG!AB10-woFG!AB10</f>
        <v>-4.8426488421324009E-17</v>
      </c>
      <c r="AC10">
        <f>wFG!AC10-woFG!AC10</f>
        <v>-4.7839323644610084E-17</v>
      </c>
      <c r="AD10">
        <f>wFG!AD10-woFG!AD10</f>
        <v>-7.8371956276710014E-17</v>
      </c>
      <c r="AE10">
        <f>wFG!AE10-woFG!AE10</f>
        <v>-6.248673681661699E-3</v>
      </c>
      <c r="AF10">
        <f>wFG!AF10-woFG!AF10</f>
        <v>-5.2400948259659907E-2</v>
      </c>
      <c r="AK10" s="1">
        <f t="shared" si="1"/>
        <v>39903</v>
      </c>
      <c r="AL10">
        <f t="shared" si="2"/>
        <v>-4.0301047169714055E-3</v>
      </c>
      <c r="AM10">
        <f t="shared" si="3"/>
        <v>-6.0602450266640142E-8</v>
      </c>
      <c r="AN10">
        <f t="shared" si="4"/>
        <v>2.8889888238299299E-3</v>
      </c>
      <c r="AO10">
        <f t="shared" si="5"/>
        <v>-3.3891705150359847E-5</v>
      </c>
      <c r="AP10">
        <f t="shared" si="6"/>
        <v>-7.8000084518210999E-2</v>
      </c>
      <c r="AQ10">
        <f t="shared" si="7"/>
        <v>-9.8535346156661957E-3</v>
      </c>
      <c r="AR10">
        <f t="shared" si="8"/>
        <v>1.2224860586109998E-2</v>
      </c>
      <c r="AS10">
        <f t="shared" si="9"/>
        <v>2.9216069424241042E-2</v>
      </c>
      <c r="AT10">
        <f t="shared" si="10"/>
        <v>-4.813190935391648E-3</v>
      </c>
    </row>
    <row r="11" spans="1:46" x14ac:dyDescent="0.25">
      <c r="A11" s="1">
        <v>39994</v>
      </c>
      <c r="B11">
        <f>wFG!B11-woFG!B11</f>
        <v>-4.0190832868298026E-3</v>
      </c>
      <c r="C11">
        <f>wFG!C11-woFG!C11</f>
        <v>-4.6865574046019916E-8</v>
      </c>
      <c r="D11">
        <f>wFG!D11-woFG!D11</f>
        <v>2.3742000111089956E-3</v>
      </c>
      <c r="E11">
        <f>wFG!E11-woFG!E11</f>
        <v>-3.2144490073229837E-5</v>
      </c>
      <c r="F11">
        <f>wFG!F11-woFG!F11</f>
        <v>-8.1375452106764973E-2</v>
      </c>
      <c r="G11">
        <f>wFG!G11-woFG!G11</f>
        <v>-1.0237583595139599E-2</v>
      </c>
      <c r="H11">
        <f>wFG!H11-woFG!H11</f>
        <v>1.2733707180095005E-2</v>
      </c>
      <c r="I11">
        <f>wFG!I11-woFG!I11</f>
        <v>-1.3540199002960006E-16</v>
      </c>
      <c r="J11">
        <f>wFG!J11-woFG!J11</f>
        <v>-2.1142783217857977E-16</v>
      </c>
      <c r="K11">
        <f>wFG!K11-woFG!K11</f>
        <v>-6.4014593442853881E-16</v>
      </c>
      <c r="L11">
        <f>wFG!L11-woFG!L11</f>
        <v>1.6464982300090081E-3</v>
      </c>
      <c r="M11">
        <f>wFG!M11-woFG!M11</f>
        <v>0</v>
      </c>
      <c r="N11">
        <f>wFG!N11-woFG!N11</f>
        <v>0</v>
      </c>
      <c r="O11">
        <f>wFG!O11-woFG!O11</f>
        <v>6.891893494948008E-15</v>
      </c>
      <c r="P11">
        <f>wFG!P11-woFG!P11</f>
        <v>0</v>
      </c>
      <c r="Q11">
        <f>wFG!Q11-woFG!Q11</f>
        <v>2.9915032177185052E-2</v>
      </c>
      <c r="R11">
        <f>wFG!R11-woFG!R11</f>
        <v>0</v>
      </c>
      <c r="S11">
        <f>wFG!S11-woFG!S11</f>
        <v>0</v>
      </c>
      <c r="T11">
        <f>wFG!T11-woFG!T11</f>
        <v>0</v>
      </c>
      <c r="U11">
        <f>wFG!U11-woFG!U11</f>
        <v>0</v>
      </c>
      <c r="V11">
        <f>wFG!V11-woFG!V11</f>
        <v>0</v>
      </c>
      <c r="W11">
        <f>wFG!W11-woFG!W11</f>
        <v>0</v>
      </c>
      <c r="X11">
        <f>wFG!X11-woFG!X11</f>
        <v>0</v>
      </c>
      <c r="Y11">
        <f>wFG!Y11-woFG!Y11</f>
        <v>-7.3686810214080286E-17</v>
      </c>
      <c r="Z11">
        <f>wFG!Z11-woFG!Z11</f>
        <v>-6.7053428453250001E-17</v>
      </c>
      <c r="AA11">
        <f>wFG!AA11-woFG!AA11</f>
        <v>-5.573005918757011E-17</v>
      </c>
      <c r="AB11">
        <f>wFG!AB11-woFG!AB11</f>
        <v>-5.9841410394749887E-17</v>
      </c>
      <c r="AC11">
        <f>wFG!AC11-woFG!AC11</f>
        <v>-5.8442603591357946E-17</v>
      </c>
      <c r="AD11">
        <f>wFG!AD11-woFG!AD11</f>
        <v>-1.2354423236944989E-16</v>
      </c>
      <c r="AE11">
        <f>wFG!AE11-woFG!AE11</f>
        <v>-6.1830728082251998E-3</v>
      </c>
      <c r="AF11">
        <f>wFG!AF11-woFG!AF11</f>
        <v>-5.5177945554199859E-2</v>
      </c>
      <c r="AK11" s="1">
        <f t="shared" si="1"/>
        <v>39994</v>
      </c>
      <c r="AL11">
        <f t="shared" si="2"/>
        <v>-4.0190832868298026E-3</v>
      </c>
      <c r="AM11">
        <f t="shared" si="3"/>
        <v>-4.6865574046019916E-8</v>
      </c>
      <c r="AN11">
        <f t="shared" si="4"/>
        <v>2.3742000111089956E-3</v>
      </c>
      <c r="AO11">
        <f t="shared" si="5"/>
        <v>-3.2144490073229837E-5</v>
      </c>
      <c r="AP11">
        <f t="shared" si="6"/>
        <v>-8.1375452106764973E-2</v>
      </c>
      <c r="AQ11">
        <f t="shared" si="7"/>
        <v>-1.0237583595139599E-2</v>
      </c>
      <c r="AR11">
        <f t="shared" si="8"/>
        <v>1.2733707180095005E-2</v>
      </c>
      <c r="AS11">
        <f t="shared" si="9"/>
        <v>2.9915032177185052E-2</v>
      </c>
      <c r="AT11">
        <f t="shared" si="10"/>
        <v>-4.5365745782072614E-3</v>
      </c>
    </row>
    <row r="12" spans="1:46" x14ac:dyDescent="0.25">
      <c r="A12" s="1">
        <v>40086</v>
      </c>
      <c r="B12">
        <f>wFG!B12-woFG!B12</f>
        <v>-4.0108679348649021E-3</v>
      </c>
      <c r="C12">
        <f>wFG!C12-woFG!C12</f>
        <v>-3.9373790179043917E-8</v>
      </c>
      <c r="D12">
        <f>wFG!D12-woFG!D12</f>
        <v>2.047310658486956E-3</v>
      </c>
      <c r="E12">
        <f>wFG!E12-woFG!E12</f>
        <v>-3.0611930668570254E-5</v>
      </c>
      <c r="F12">
        <f>wFG!F12-woFG!F12</f>
        <v>-8.485731679505798E-2</v>
      </c>
      <c r="G12">
        <f>wFG!G12-woFG!G12</f>
        <v>-1.061127898129402E-2</v>
      </c>
      <c r="H12">
        <f>wFG!H12-woFG!H12</f>
        <v>1.3262773641164002E-2</v>
      </c>
      <c r="I12">
        <f>wFG!I12-woFG!I12</f>
        <v>-1.3566985195050998E-16</v>
      </c>
      <c r="J12">
        <f>wFG!J12-woFG!J12</f>
        <v>-1.886386216158799E-16</v>
      </c>
      <c r="K12">
        <f>wFG!K12-woFG!K12</f>
        <v>-6.5141250910086937E-16</v>
      </c>
      <c r="L12">
        <f>wFG!L12-woFG!L12</f>
        <v>1.8750613502956995E-3</v>
      </c>
      <c r="M12">
        <f>wFG!M12-woFG!M12</f>
        <v>0</v>
      </c>
      <c r="N12">
        <f>wFG!N12-woFG!N12</f>
        <v>0</v>
      </c>
      <c r="O12">
        <f>wFG!O12-woFG!O12</f>
        <v>7.1444973070259768E-15</v>
      </c>
      <c r="P12">
        <f>wFG!P12-woFG!P12</f>
        <v>0</v>
      </c>
      <c r="Q12">
        <f>wFG!Q12-woFG!Q12</f>
        <v>3.0747312596418996E-2</v>
      </c>
      <c r="R12">
        <f>wFG!R12-woFG!R12</f>
        <v>0</v>
      </c>
      <c r="S12">
        <f>wFG!S12-woFG!S12</f>
        <v>0</v>
      </c>
      <c r="T12">
        <f>wFG!T12-woFG!T12</f>
        <v>0</v>
      </c>
      <c r="U12">
        <f>wFG!U12-woFG!U12</f>
        <v>0</v>
      </c>
      <c r="V12">
        <f>wFG!V12-woFG!V12</f>
        <v>0</v>
      </c>
      <c r="W12">
        <f>wFG!W12-woFG!W12</f>
        <v>0</v>
      </c>
      <c r="X12">
        <f>wFG!X12-woFG!X12</f>
        <v>0</v>
      </c>
      <c r="Y12">
        <f>wFG!Y12-woFG!Y12</f>
        <v>-9.0557384284899871E-17</v>
      </c>
      <c r="Z12">
        <f>wFG!Z12-woFG!Z12</f>
        <v>-8.197664146203005E-17</v>
      </c>
      <c r="AA12">
        <f>wFG!AA12-woFG!AA12</f>
        <v>-6.7416139919969986E-17</v>
      </c>
      <c r="AB12">
        <f>wFG!AB12-woFG!AB12</f>
        <v>-7.1674348350802012E-17</v>
      </c>
      <c r="AC12">
        <f>wFG!AC12-woFG!AC12</f>
        <v>-6.9559429144033995E-17</v>
      </c>
      <c r="AD12">
        <f>wFG!AD12-woFG!AD12</f>
        <v>-1.7165630937301018E-16</v>
      </c>
      <c r="AE12">
        <f>wFG!AE12-woFG!AE12</f>
        <v>-6.1181965057340963E-3</v>
      </c>
      <c r="AF12">
        <f>wFG!AF12-woFG!AF12</f>
        <v>-5.769585327504001E-2</v>
      </c>
      <c r="AK12" s="1">
        <f t="shared" si="1"/>
        <v>40086</v>
      </c>
      <c r="AL12">
        <f t="shared" si="2"/>
        <v>-4.0108679348649021E-3</v>
      </c>
      <c r="AM12">
        <f t="shared" si="3"/>
        <v>-3.9373790179043917E-8</v>
      </c>
      <c r="AN12">
        <f t="shared" si="4"/>
        <v>2.047310658486956E-3</v>
      </c>
      <c r="AO12">
        <f t="shared" si="5"/>
        <v>-3.0611930668570254E-5</v>
      </c>
      <c r="AP12">
        <f t="shared" si="6"/>
        <v>-8.485731679505798E-2</v>
      </c>
      <c r="AQ12">
        <f t="shared" si="7"/>
        <v>-1.061127898129402E-2</v>
      </c>
      <c r="AR12">
        <f t="shared" si="8"/>
        <v>1.3262773641164002E-2</v>
      </c>
      <c r="AS12">
        <f t="shared" si="9"/>
        <v>3.0747312596418996E-2</v>
      </c>
      <c r="AT12">
        <f t="shared" si="10"/>
        <v>-4.2431351554343133E-3</v>
      </c>
    </row>
    <row r="13" spans="1:46" x14ac:dyDescent="0.25">
      <c r="A13" s="1">
        <v>40178</v>
      </c>
      <c r="B13">
        <f>wFG!B13-woFG!B13</f>
        <v>-4.0042993839609006E-3</v>
      </c>
      <c r="C13">
        <f>wFG!C13-woFG!C13</f>
        <v>-3.5554502196429955E-8</v>
      </c>
      <c r="D13">
        <f>wFG!D13-woFG!D13</f>
        <v>1.8542439042970038E-3</v>
      </c>
      <c r="E13">
        <f>wFG!E13-woFG!E13</f>
        <v>-2.9284452892909887E-5</v>
      </c>
      <c r="F13">
        <f>wFG!F13-woFG!F13</f>
        <v>-8.8457387632254997E-2</v>
      </c>
      <c r="G13">
        <f>wFG!G13-woFG!G13</f>
        <v>-1.097767947563999E-2</v>
      </c>
      <c r="H13">
        <f>wFG!H13-woFG!H13</f>
        <v>1.3810976736230801E-2</v>
      </c>
      <c r="I13">
        <f>wFG!I13-woFG!I13</f>
        <v>-1.361552858143625E-16</v>
      </c>
      <c r="J13">
        <f>wFG!J13-woFG!J13</f>
        <v>-1.6448983768805109E-16</v>
      </c>
      <c r="K13">
        <f>wFG!K13-woFG!K13</f>
        <v>-6.6156754135411985E-16</v>
      </c>
      <c r="L13">
        <f>wFG!L13-woFG!L13</f>
        <v>2.1187541011275903E-3</v>
      </c>
      <c r="M13">
        <f>wFG!M13-woFG!M13</f>
        <v>0</v>
      </c>
      <c r="N13">
        <f>wFG!N13-woFG!N13</f>
        <v>0</v>
      </c>
      <c r="O13">
        <f>wFG!O13-woFG!O13</f>
        <v>7.4076178701639993E-15</v>
      </c>
      <c r="P13">
        <f>wFG!P13-woFG!P13</f>
        <v>0</v>
      </c>
      <c r="Q13">
        <f>wFG!Q13-woFG!Q13</f>
        <v>3.1677673396581008E-2</v>
      </c>
      <c r="R13">
        <f>wFG!R13-woFG!R13</f>
        <v>0</v>
      </c>
      <c r="S13">
        <f>wFG!S13-woFG!S13</f>
        <v>0</v>
      </c>
      <c r="T13">
        <f>wFG!T13-woFG!T13</f>
        <v>0</v>
      </c>
      <c r="U13">
        <f>wFG!U13-woFG!U13</f>
        <v>0</v>
      </c>
      <c r="V13">
        <f>wFG!V13-woFG!V13</f>
        <v>0</v>
      </c>
      <c r="W13">
        <f>wFG!W13-woFG!W13</f>
        <v>0</v>
      </c>
      <c r="X13">
        <f>wFG!X13-woFG!X13</f>
        <v>0</v>
      </c>
      <c r="Y13">
        <f>wFG!Y13-woFG!Y13</f>
        <v>-1.0745509173773995E-16</v>
      </c>
      <c r="Z13">
        <f>wFG!Z13-woFG!Z13</f>
        <v>-9.7177791406200116E-17</v>
      </c>
      <c r="AA13">
        <f>wFG!AA13-woFG!AA13</f>
        <v>-7.9506883805650146E-17</v>
      </c>
      <c r="AB13">
        <f>wFG!AB13-woFG!AB13</f>
        <v>-8.4043846080498028E-17</v>
      </c>
      <c r="AC13">
        <f>wFG!AC13-woFG!AC13</f>
        <v>-8.1244952968830992E-17</v>
      </c>
      <c r="AD13">
        <f>wFG!AD13-woFG!AD13</f>
        <v>-2.2227996429102008E-16</v>
      </c>
      <c r="AE13">
        <f>wFG!AE13-woFG!AE13</f>
        <v>-6.0540362063149986E-3</v>
      </c>
      <c r="AF13">
        <f>wFG!AF13-woFG!AF13</f>
        <v>-6.0061074567324013E-2</v>
      </c>
      <c r="AK13" s="1">
        <f t="shared" si="1"/>
        <v>40178</v>
      </c>
      <c r="AL13">
        <f t="shared" si="2"/>
        <v>-4.0042993839609006E-3</v>
      </c>
      <c r="AM13">
        <f t="shared" si="3"/>
        <v>-3.5554502196429955E-8</v>
      </c>
      <c r="AN13">
        <f t="shared" si="4"/>
        <v>1.8542439042970038E-3</v>
      </c>
      <c r="AO13">
        <f t="shared" si="5"/>
        <v>-2.9284452892909887E-5</v>
      </c>
      <c r="AP13">
        <f t="shared" si="6"/>
        <v>-8.8457387632254997E-2</v>
      </c>
      <c r="AQ13">
        <f t="shared" si="7"/>
        <v>-1.097767947563999E-2</v>
      </c>
      <c r="AR13">
        <f t="shared" si="8"/>
        <v>1.3810976736230801E-2</v>
      </c>
      <c r="AS13">
        <f t="shared" si="9"/>
        <v>3.1677673396581008E-2</v>
      </c>
      <c r="AT13">
        <f t="shared" si="10"/>
        <v>-3.9352821051818337E-3</v>
      </c>
    </row>
    <row r="14" spans="1:46" x14ac:dyDescent="0.25">
      <c r="A14" s="1">
        <v>40268</v>
      </c>
      <c r="B14">
        <f>wFG!B14-woFG!B14</f>
        <v>-3.9988901252843989E-3</v>
      </c>
      <c r="C14">
        <f>wFG!C14-woFG!C14</f>
        <v>-3.3951570365699051E-8</v>
      </c>
      <c r="D14">
        <f>wFG!D14-woFG!D14</f>
        <v>1.7593906013249616E-3</v>
      </c>
      <c r="E14">
        <f>wFG!E14-woFG!E14</f>
        <v>-2.8089642592329846E-5</v>
      </c>
      <c r="F14">
        <f>wFG!F14-woFG!F14</f>
        <v>-9.2187463234814498E-2</v>
      </c>
      <c r="G14">
        <f>wFG!G14-woFG!G14</f>
        <v>-1.1339264090515E-2</v>
      </c>
      <c r="H14">
        <f>wFG!H14-woFG!H14</f>
        <v>1.4377997522645597E-2</v>
      </c>
      <c r="I14">
        <f>wFG!I14-woFG!I14</f>
        <v>-1.367980520169057E-16</v>
      </c>
      <c r="J14">
        <f>wFG!J14-woFG!J14</f>
        <v>-1.389375088579001E-16</v>
      </c>
      <c r="K14">
        <f>wFG!K14-woFG!K14</f>
        <v>-6.7111109991823986E-16</v>
      </c>
      <c r="L14">
        <f>wFG!L14-woFG!L14</f>
        <v>2.3759316104598992E-3</v>
      </c>
      <c r="M14">
        <f>wFG!M14-woFG!M14</f>
        <v>0</v>
      </c>
      <c r="N14">
        <f>wFG!N14-woFG!N14</f>
        <v>0</v>
      </c>
      <c r="O14">
        <f>wFG!O14-woFG!O14</f>
        <v>7.6812784519130006E-15</v>
      </c>
      <c r="P14">
        <f>wFG!P14-woFG!P14</f>
        <v>0</v>
      </c>
      <c r="Q14">
        <f>wFG!Q14-woFG!Q14</f>
        <v>3.2683371483750001E-2</v>
      </c>
      <c r="R14">
        <f>wFG!R14-woFG!R14</f>
        <v>0</v>
      </c>
      <c r="S14">
        <f>wFG!S14-woFG!S14</f>
        <v>0</v>
      </c>
      <c r="T14">
        <f>wFG!T14-woFG!T14</f>
        <v>0</v>
      </c>
      <c r="U14">
        <f>wFG!U14-woFG!U14</f>
        <v>0</v>
      </c>
      <c r="V14">
        <f>wFG!V14-woFG!V14</f>
        <v>0</v>
      </c>
      <c r="W14">
        <f>wFG!W14-woFG!W14</f>
        <v>0</v>
      </c>
      <c r="X14">
        <f>wFG!X14-woFG!X14</f>
        <v>0</v>
      </c>
      <c r="Y14">
        <f>wFG!Y14-woFG!Y14</f>
        <v>-1.2465098171475009E-16</v>
      </c>
      <c r="Z14">
        <f>wFG!Z14-woFG!Z14</f>
        <v>-1.1287378778007698E-16</v>
      </c>
      <c r="AA14">
        <f>wFG!AA14-woFG!AA14</f>
        <v>-9.2141929356271064E-17</v>
      </c>
      <c r="AB14">
        <f>wFG!AB14-woFG!AB14</f>
        <v>-9.7051889710085013E-17</v>
      </c>
      <c r="AC14">
        <f>wFG!AC14-woFG!AC14</f>
        <v>-9.355813760805903E-17</v>
      </c>
      <c r="AD14">
        <f>wFG!AD14-woFG!AD14</f>
        <v>-2.7516841195421947E-16</v>
      </c>
      <c r="AE14">
        <f>wFG!AE14-woFG!AE14</f>
        <v>-5.9905834519395004E-3</v>
      </c>
      <c r="AF14">
        <f>wFG!AF14-woFG!AF14</f>
        <v>-6.234763327852999E-2</v>
      </c>
      <c r="AK14" s="1">
        <f t="shared" si="1"/>
        <v>40268</v>
      </c>
      <c r="AL14">
        <f t="shared" si="2"/>
        <v>-3.9988901252843989E-3</v>
      </c>
      <c r="AM14">
        <f t="shared" si="3"/>
        <v>-3.3951570365699051E-8</v>
      </c>
      <c r="AN14">
        <f t="shared" si="4"/>
        <v>1.7593906013249616E-3</v>
      </c>
      <c r="AO14">
        <f t="shared" si="5"/>
        <v>-2.8089642592329846E-5</v>
      </c>
      <c r="AP14">
        <f t="shared" si="6"/>
        <v>-9.2187463234814498E-2</v>
      </c>
      <c r="AQ14">
        <f t="shared" si="7"/>
        <v>-1.1339264090515E-2</v>
      </c>
      <c r="AR14">
        <f t="shared" si="8"/>
        <v>1.4377997522645597E-2</v>
      </c>
      <c r="AS14">
        <f t="shared" si="9"/>
        <v>3.2683371483750001E-2</v>
      </c>
      <c r="AT14">
        <f t="shared" si="10"/>
        <v>-3.6146518414739565E-3</v>
      </c>
    </row>
    <row r="15" spans="1:46" x14ac:dyDescent="0.25">
      <c r="A15" s="1">
        <v>40359</v>
      </c>
      <c r="B15">
        <f>wFG!B15-woFG!B15</f>
        <v>-3.9944657756756999E-3</v>
      </c>
      <c r="C15">
        <f>wFG!C15-woFG!C15</f>
        <v>-3.374058474958989E-8</v>
      </c>
      <c r="D15">
        <f>wFG!D15-woFG!D15</f>
        <v>1.7397079059460197E-3</v>
      </c>
      <c r="E15">
        <f>wFG!E15-woFG!E15</f>
        <v>-2.6928086576380027E-5</v>
      </c>
      <c r="F15">
        <f>wFG!F15-woFG!F15</f>
        <v>-9.6059970939330691E-2</v>
      </c>
      <c r="G15">
        <f>wFG!G15-woFG!G15</f>
        <v>-1.1698342489166985E-2</v>
      </c>
      <c r="H15">
        <f>wFG!H15-woFG!H15</f>
        <v>1.4963801556590196E-2</v>
      </c>
      <c r="I15">
        <f>wFG!I15-woFG!I15</f>
        <v>-1.3756195677272E-16</v>
      </c>
      <c r="J15">
        <f>wFG!J15-woFG!J15</f>
        <v>-1.1193728632020102E-16</v>
      </c>
      <c r="K15">
        <f>wFG!K15-woFG!K15</f>
        <v>-6.8034245818523957E-16</v>
      </c>
      <c r="L15">
        <f>wFG!L15-woFG!L15</f>
        <v>2.6454506826787995E-3</v>
      </c>
      <c r="M15">
        <f>wFG!M15-woFG!M15</f>
        <v>0</v>
      </c>
      <c r="N15">
        <f>wFG!N15-woFG!N15</f>
        <v>0</v>
      </c>
      <c r="O15">
        <f>wFG!O15-woFG!O15</f>
        <v>7.9655334397499998E-15</v>
      </c>
      <c r="P15">
        <f>wFG!P15-woFG!P15</f>
        <v>0</v>
      </c>
      <c r="Q15">
        <f>wFG!Q15-woFG!Q15</f>
        <v>3.37486139929839E-2</v>
      </c>
      <c r="R15">
        <f>wFG!R15-woFG!R15</f>
        <v>0</v>
      </c>
      <c r="S15">
        <f>wFG!S15-woFG!S15</f>
        <v>0</v>
      </c>
      <c r="T15">
        <f>wFG!T15-woFG!T15</f>
        <v>0</v>
      </c>
      <c r="U15">
        <f>wFG!U15-woFG!U15</f>
        <v>0</v>
      </c>
      <c r="V15">
        <f>wFG!V15-woFG!V15</f>
        <v>0</v>
      </c>
      <c r="W15">
        <f>wFG!W15-woFG!W15</f>
        <v>0</v>
      </c>
      <c r="X15">
        <f>wFG!X15-woFG!X15</f>
        <v>0</v>
      </c>
      <c r="Y15">
        <f>wFG!Y15-woFG!Y15</f>
        <v>-1.4232946495201698E-16</v>
      </c>
      <c r="Z15">
        <f>wFG!Z15-woFG!Z15</f>
        <v>-1.29226282504158E-16</v>
      </c>
      <c r="AA15">
        <f>wFG!AA15-woFG!AA15</f>
        <v>-1.0543644229962198E-16</v>
      </c>
      <c r="AB15">
        <f>wFG!AB15-woFG!AB15</f>
        <v>-1.1079366921823007E-16</v>
      </c>
      <c r="AC15">
        <f>wFG!AC15-woFG!AC15</f>
        <v>-1.0656452134408002E-16</v>
      </c>
      <c r="AD15">
        <f>wFG!AD15-woFG!AD15</f>
        <v>-3.3020501306106076E-16</v>
      </c>
      <c r="AE15">
        <f>wFG!AE15-woFG!AE15</f>
        <v>-5.9278298929180996E-3</v>
      </c>
      <c r="AF15">
        <f>wFG!AF15-woFG!AF15</f>
        <v>-6.4609996786050061E-2</v>
      </c>
      <c r="AK15" s="1">
        <f t="shared" si="1"/>
        <v>40359</v>
      </c>
      <c r="AL15">
        <f t="shared" si="2"/>
        <v>-3.9944657756756999E-3</v>
      </c>
      <c r="AM15">
        <f t="shared" si="3"/>
        <v>-3.374058474958989E-8</v>
      </c>
      <c r="AN15">
        <f t="shared" si="4"/>
        <v>1.7397079059460197E-3</v>
      </c>
      <c r="AO15">
        <f t="shared" si="5"/>
        <v>-2.6928086576380027E-5</v>
      </c>
      <c r="AP15">
        <f t="shared" si="6"/>
        <v>-9.6059970939330691E-2</v>
      </c>
      <c r="AQ15">
        <f t="shared" si="7"/>
        <v>-1.1698342489166985E-2</v>
      </c>
      <c r="AR15">
        <f t="shared" si="8"/>
        <v>1.4963801556590196E-2</v>
      </c>
      <c r="AS15">
        <f t="shared" si="9"/>
        <v>3.37486139929839E-2</v>
      </c>
      <c r="AT15">
        <f t="shared" si="10"/>
        <v>-3.2823792102356641E-3</v>
      </c>
    </row>
    <row r="16" spans="1:46" x14ac:dyDescent="0.25">
      <c r="A16" s="1">
        <v>40451</v>
      </c>
      <c r="B16">
        <f>wFG!B16-woFG!B16</f>
        <v>-3.9910022832682981E-3</v>
      </c>
      <c r="C16">
        <f>wFG!C16-woFG!C16</f>
        <v>-3.4459698484940095E-8</v>
      </c>
      <c r="D16">
        <f>wFG!D16-woFG!D16</f>
        <v>1.7809399516239832E-3</v>
      </c>
      <c r="E16">
        <f>wFG!E16-woFG!E16</f>
        <v>-2.5686700453878084E-5</v>
      </c>
      <c r="F16">
        <f>wFG!F16-woFG!F16</f>
        <v>-0.100088471941829</v>
      </c>
      <c r="G16">
        <f>wFG!G16-woFG!G16</f>
        <v>-1.2057250454682006E-2</v>
      </c>
      <c r="H16">
        <f>wFG!H16-woFG!H16</f>
        <v>1.556842353139393E-2</v>
      </c>
      <c r="I16">
        <f>wFG!I16-woFG!I16</f>
        <v>-1.3842766544940596E-16</v>
      </c>
      <c r="J16">
        <f>wFG!J16-woFG!J16</f>
        <v>-8.3445143883900946E-17</v>
      </c>
      <c r="K16">
        <f>wFG!K16-woFG!K16</f>
        <v>-6.8942988893042044E-16</v>
      </c>
      <c r="L16">
        <f>wFG!L16-woFG!L16</f>
        <v>2.926532705227497E-3</v>
      </c>
      <c r="M16">
        <f>wFG!M16-woFG!M16</f>
        <v>0</v>
      </c>
      <c r="N16">
        <f>wFG!N16-woFG!N16</f>
        <v>0</v>
      </c>
      <c r="O16">
        <f>wFG!O16-woFG!O16</f>
        <v>8.2604351317309974E-15</v>
      </c>
      <c r="P16">
        <f>wFG!P16-woFG!P16</f>
        <v>0</v>
      </c>
      <c r="Q16">
        <f>wFG!Q16-woFG!Q16</f>
        <v>3.4861487252533019E-2</v>
      </c>
      <c r="R16">
        <f>wFG!R16-woFG!R16</f>
        <v>0</v>
      </c>
      <c r="S16">
        <f>wFG!S16-woFG!S16</f>
        <v>0</v>
      </c>
      <c r="T16">
        <f>wFG!T16-woFG!T16</f>
        <v>0</v>
      </c>
      <c r="U16">
        <f>wFG!U16-woFG!U16</f>
        <v>0</v>
      </c>
      <c r="V16">
        <f>wFG!V16-woFG!V16</f>
        <v>0</v>
      </c>
      <c r="W16">
        <f>wFG!W16-woFG!W16</f>
        <v>0</v>
      </c>
      <c r="X16">
        <f>wFG!X16-woFG!X16</f>
        <v>0</v>
      </c>
      <c r="Y16">
        <f>wFG!Y16-woFG!Y16</f>
        <v>-1.6061916967394198E-16</v>
      </c>
      <c r="Z16">
        <f>wFG!Z16-woFG!Z16</f>
        <v>-1.4636423533222069E-16</v>
      </c>
      <c r="AA16">
        <f>wFG!AA16-woFG!AA16</f>
        <v>-1.1949418767744098E-16</v>
      </c>
      <c r="AB16">
        <f>wFG!AB16-woFG!AB16</f>
        <v>-1.2536580842085002E-16</v>
      </c>
      <c r="AC16">
        <f>wFG!AC16-woFG!AC16</f>
        <v>-1.2033979610920976E-16</v>
      </c>
      <c r="AD16">
        <f>wFG!AD16-woFG!AD16</f>
        <v>-3.8737213198013024E-16</v>
      </c>
      <c r="AE16">
        <f>wFG!AE16-woFG!AE16</f>
        <v>-5.8657672864169015E-3</v>
      </c>
      <c r="AF16">
        <f>wFG!AF16-woFG!AF16</f>
        <v>-6.6890829685560149E-2</v>
      </c>
      <c r="AK16" s="1">
        <f t="shared" si="1"/>
        <v>40451</v>
      </c>
      <c r="AL16">
        <f t="shared" si="2"/>
        <v>-3.9910022832682981E-3</v>
      </c>
      <c r="AM16">
        <f t="shared" si="3"/>
        <v>-3.4459698484940095E-8</v>
      </c>
      <c r="AN16">
        <f t="shared" si="4"/>
        <v>1.7809399516239832E-3</v>
      </c>
      <c r="AO16">
        <f t="shared" si="5"/>
        <v>-2.5686700453878084E-5</v>
      </c>
      <c r="AP16">
        <f t="shared" si="6"/>
        <v>-0.100088471941829</v>
      </c>
      <c r="AQ16">
        <f t="shared" si="7"/>
        <v>-1.2057250454682006E-2</v>
      </c>
      <c r="AR16">
        <f t="shared" si="8"/>
        <v>1.556842353139393E-2</v>
      </c>
      <c r="AS16">
        <f t="shared" si="9"/>
        <v>3.4861487252533019E-2</v>
      </c>
      <c r="AT16">
        <f t="shared" si="10"/>
        <v>-2.9392345811794091E-3</v>
      </c>
    </row>
    <row r="17" spans="1:87" x14ac:dyDescent="0.25">
      <c r="A17" s="1">
        <v>40543</v>
      </c>
      <c r="B17">
        <f>wFG!B17-woFG!B17</f>
        <v>-3.9885542438754043E-3</v>
      </c>
      <c r="C17">
        <f>wFG!C17-woFG!C17</f>
        <v>-3.5859169087879041E-8</v>
      </c>
      <c r="D17">
        <f>wFG!D17-woFG!D17</f>
        <v>1.8751674098970161E-3</v>
      </c>
      <c r="E17">
        <f>wFG!E17-woFG!E17</f>
        <v>-2.4240862822075965E-5</v>
      </c>
      <c r="F17">
        <f>wFG!F17-woFG!F17</f>
        <v>-0.10428820986859631</v>
      </c>
      <c r="G17">
        <f>wFG!G17-woFG!G17</f>
        <v>-1.2418480436144991E-2</v>
      </c>
      <c r="H17">
        <f>wFG!H17-woFG!H17</f>
        <v>1.619186664097336E-2</v>
      </c>
      <c r="I17">
        <f>wFG!I17-woFG!I17</f>
        <v>-1.3938699002105002E-16</v>
      </c>
      <c r="J17">
        <f>wFG!J17-woFG!J17</f>
        <v>-5.3418064166299789E-17</v>
      </c>
      <c r="K17">
        <f>wFG!K17-woFG!K17</f>
        <v>-6.9845139633278985E-16</v>
      </c>
      <c r="L17">
        <f>wFG!L17-woFG!L17</f>
        <v>3.2186701590670008E-3</v>
      </c>
      <c r="M17">
        <f>wFG!M17-woFG!M17</f>
        <v>0</v>
      </c>
      <c r="N17">
        <f>wFG!N17-woFG!N17</f>
        <v>0</v>
      </c>
      <c r="O17">
        <f>wFG!O17-woFG!O17</f>
        <v>8.5660035203970007E-15</v>
      </c>
      <c r="P17">
        <f>wFG!P17-woFG!P17</f>
        <v>0</v>
      </c>
      <c r="Q17">
        <f>wFG!Q17-woFG!Q17</f>
        <v>3.6011977879890966E-2</v>
      </c>
      <c r="R17">
        <f>wFG!R17-woFG!R17</f>
        <v>0</v>
      </c>
      <c r="S17">
        <f>wFG!S17-woFG!S17</f>
        <v>0</v>
      </c>
      <c r="T17">
        <f>wFG!T17-woFG!T17</f>
        <v>0</v>
      </c>
      <c r="U17">
        <f>wFG!U17-woFG!U17</f>
        <v>0</v>
      </c>
      <c r="V17">
        <f>wFG!V17-woFG!V17</f>
        <v>0</v>
      </c>
      <c r="W17">
        <f>wFG!W17-woFG!W17</f>
        <v>0</v>
      </c>
      <c r="X17">
        <f>wFG!X17-woFG!X17</f>
        <v>0</v>
      </c>
      <c r="Y17">
        <f>wFG!Y17-woFG!Y17</f>
        <v>-1.7961268143430807E-16</v>
      </c>
      <c r="Z17">
        <f>wFG!Z17-woFG!Z17</f>
        <v>-1.6439949804295961E-16</v>
      </c>
      <c r="AA17">
        <f>wFG!AA17-woFG!AA17</f>
        <v>-1.3441759085740199E-16</v>
      </c>
      <c r="AB17">
        <f>wFG!AB17-woFG!AB17</f>
        <v>-1.4087378395406793E-16</v>
      </c>
      <c r="AC17">
        <f>wFG!AC17-woFG!AC17</f>
        <v>-1.3497419673995967E-16</v>
      </c>
      <c r="AD17">
        <f>wFG!AD17-woFG!AD17</f>
        <v>-4.4673395912905983E-16</v>
      </c>
      <c r="AE17">
        <f>wFG!AE17-woFG!AE17</f>
        <v>-5.8043874949928985E-3</v>
      </c>
      <c r="AF17">
        <f>wFG!AF17-woFG!AF17</f>
        <v>-6.9226226675769942E-2</v>
      </c>
      <c r="AK17" s="1">
        <f t="shared" si="1"/>
        <v>40543</v>
      </c>
      <c r="AL17">
        <f t="shared" si="2"/>
        <v>-3.9885542438754043E-3</v>
      </c>
      <c r="AM17">
        <f t="shared" si="3"/>
        <v>-3.5859169087879041E-8</v>
      </c>
      <c r="AN17">
        <f t="shared" si="4"/>
        <v>1.8751674098970161E-3</v>
      </c>
      <c r="AO17">
        <f t="shared" si="5"/>
        <v>-2.4240862822075965E-5</v>
      </c>
      <c r="AP17">
        <f t="shared" si="6"/>
        <v>-0.10428820986859631</v>
      </c>
      <c r="AQ17">
        <f t="shared" si="7"/>
        <v>-1.2418480436144991E-2</v>
      </c>
      <c r="AR17">
        <f t="shared" si="8"/>
        <v>1.619186664097336E-2</v>
      </c>
      <c r="AS17">
        <f t="shared" si="9"/>
        <v>3.6011977879890966E-2</v>
      </c>
      <c r="AT17">
        <f t="shared" si="10"/>
        <v>-2.5857173359234153E-3</v>
      </c>
    </row>
    <row r="18" spans="1:87" x14ac:dyDescent="0.25">
      <c r="A18" s="1">
        <v>40633</v>
      </c>
      <c r="B18">
        <f>wFG!B18-woFG!B18</f>
        <v>-3.9872243734968976E-3</v>
      </c>
      <c r="C18">
        <f>wFG!C18-woFG!C18</f>
        <v>-3.7817155781179981E-8</v>
      </c>
      <c r="D18">
        <f>wFG!D18-woFG!D18</f>
        <v>2.0192113229650088E-3</v>
      </c>
      <c r="E18">
        <f>wFG!E18-woFG!E18</f>
        <v>-2.2450573778809869E-5</v>
      </c>
      <c r="F18">
        <f>wFG!F18-woFG!F18</f>
        <v>-0.10867675171491299</v>
      </c>
      <c r="G18">
        <f>wFG!G18-woFG!G18</f>
        <v>-1.2784793279242979E-2</v>
      </c>
      <c r="H18">
        <f>wFG!H18-woFG!H18</f>
        <v>1.6834044365130543E-2</v>
      </c>
      <c r="I18">
        <f>wFG!I18-woFG!I18</f>
        <v>-1.4043941111409404E-16</v>
      </c>
      <c r="J18">
        <f>wFG!J18-woFG!J18</f>
        <v>-2.181475658140124E-17</v>
      </c>
      <c r="K18">
        <f>wFG!K18-woFG!K18</f>
        <v>-7.0741690418477036E-16</v>
      </c>
      <c r="L18">
        <f>wFG!L18-woFG!L18</f>
        <v>3.5215492513656979E-3</v>
      </c>
      <c r="M18">
        <f>wFG!M18-woFG!M18</f>
        <v>0</v>
      </c>
      <c r="N18">
        <f>wFG!N18-woFG!N18</f>
        <v>0</v>
      </c>
      <c r="O18">
        <f>wFG!O18-woFG!O18</f>
        <v>8.8821974107039948E-15</v>
      </c>
      <c r="P18">
        <f>wFG!P18-woFG!P18</f>
        <v>0</v>
      </c>
      <c r="Q18">
        <f>wFG!Q18-woFG!Q18</f>
        <v>3.7190540895242985E-2</v>
      </c>
      <c r="R18">
        <f>wFG!R18-woFG!R18</f>
        <v>0</v>
      </c>
      <c r="S18">
        <f>wFG!S18-woFG!S18</f>
        <v>0</v>
      </c>
      <c r="T18">
        <f>wFG!T18-woFG!T18</f>
        <v>0</v>
      </c>
      <c r="U18">
        <f>wFG!U18-woFG!U18</f>
        <v>0</v>
      </c>
      <c r="V18">
        <f>wFG!V18-woFG!V18</f>
        <v>0</v>
      </c>
      <c r="W18">
        <f>wFG!W18-woFG!W18</f>
        <v>0</v>
      </c>
      <c r="X18">
        <f>wFG!X18-woFG!X18</f>
        <v>0</v>
      </c>
      <c r="Y18">
        <f>wFG!Y18-woFG!Y18</f>
        <v>-1.99379263764577E-16</v>
      </c>
      <c r="Z18">
        <f>wFG!Z18-woFG!Z18</f>
        <v>-1.8343827054255999E-16</v>
      </c>
      <c r="AA18">
        <f>wFG!AA18-woFG!AA18</f>
        <v>-1.5031629970401929E-16</v>
      </c>
      <c r="AB18">
        <f>wFG!AB18-woFG!AB18</f>
        <v>-1.5743936795157799E-16</v>
      </c>
      <c r="AC18">
        <f>wFG!AC18-woFG!AC18</f>
        <v>-1.5057795394859016E-16</v>
      </c>
      <c r="AD18">
        <f>wFG!AD18-woFG!AD18</f>
        <v>-5.0842963708064936E-16</v>
      </c>
      <c r="AE18">
        <f>wFG!AE18-woFG!AE18</f>
        <v>-5.7436824851498022E-3</v>
      </c>
      <c r="AF18">
        <f>wFG!AF18-woFG!AF18</f>
        <v>-7.1649594409030071E-2</v>
      </c>
      <c r="AK18" s="1">
        <f t="shared" si="1"/>
        <v>40633</v>
      </c>
      <c r="AL18">
        <f t="shared" si="2"/>
        <v>-3.9872243734968976E-3</v>
      </c>
      <c r="AM18">
        <f t="shared" si="3"/>
        <v>-3.7817155781179981E-8</v>
      </c>
      <c r="AN18">
        <f t="shared" si="4"/>
        <v>2.0192113229650088E-3</v>
      </c>
      <c r="AO18">
        <f t="shared" si="5"/>
        <v>-2.2450573778809869E-5</v>
      </c>
      <c r="AP18">
        <f t="shared" si="6"/>
        <v>-0.10867675171491299</v>
      </c>
      <c r="AQ18">
        <f t="shared" si="7"/>
        <v>-1.2784793279242979E-2</v>
      </c>
      <c r="AR18">
        <f t="shared" si="8"/>
        <v>1.6834044365130543E-2</v>
      </c>
      <c r="AS18">
        <f t="shared" si="9"/>
        <v>3.7190540895242985E-2</v>
      </c>
      <c r="AT18">
        <f t="shared" si="10"/>
        <v>-2.2221332337811484E-3</v>
      </c>
    </row>
    <row r="19" spans="1:87" x14ac:dyDescent="0.25">
      <c r="A19" s="1">
        <v>40724</v>
      </c>
      <c r="B19">
        <f>wFG!B19-woFG!B19</f>
        <v>-3.9871521241882091E-3</v>
      </c>
      <c r="C19">
        <f>wFG!C19-woFG!C19</f>
        <v>-4.029278715984999E-8</v>
      </c>
      <c r="D19">
        <f>wFG!D19-woFG!D19</f>
        <v>2.2135891305280486E-3</v>
      </c>
      <c r="E19">
        <f>wFG!E19-woFG!E19</f>
        <v>-2.015296234306207E-5</v>
      </c>
      <c r="F19">
        <f>wFG!F19-woFG!F19</f>
        <v>-0.11327476712348697</v>
      </c>
      <c r="G19">
        <f>wFG!G19-woFG!G19</f>
        <v>-1.3159329955577004E-2</v>
      </c>
      <c r="H19">
        <f>wFG!H19-woFG!H19</f>
        <v>1.7494732758910319E-2</v>
      </c>
      <c r="I19">
        <f>wFG!I19-woFG!I19</f>
        <v>-1.4159030943294996E-16</v>
      </c>
      <c r="J19">
        <f>wFG!J19-woFG!J19</f>
        <v>1.1403466718997643E-17</v>
      </c>
      <c r="K19">
        <f>wFG!K19-woFG!K19</f>
        <v>-7.1627824068456974E-16</v>
      </c>
      <c r="L19">
        <f>wFG!L19-woFG!L19</f>
        <v>3.8349785167434008E-3</v>
      </c>
      <c r="M19">
        <f>wFG!M19-woFG!M19</f>
        <v>0</v>
      </c>
      <c r="N19">
        <f>wFG!N19-woFG!N19</f>
        <v>0</v>
      </c>
      <c r="O19">
        <f>wFG!O19-woFG!O19</f>
        <v>9.2088842615930082E-15</v>
      </c>
      <c r="P19">
        <f>wFG!P19-woFG!P19</f>
        <v>0</v>
      </c>
      <c r="Q19">
        <f>wFG!Q19-woFG!Q19</f>
        <v>3.8386939632759964E-2</v>
      </c>
      <c r="R19">
        <f>wFG!R19-woFG!R19</f>
        <v>0</v>
      </c>
      <c r="S19">
        <f>wFG!S19-woFG!S19</f>
        <v>0</v>
      </c>
      <c r="T19">
        <f>wFG!T19-woFG!T19</f>
        <v>0</v>
      </c>
      <c r="U19">
        <f>wFG!U19-woFG!U19</f>
        <v>0</v>
      </c>
      <c r="V19">
        <f>wFG!V19-woFG!V19</f>
        <v>0</v>
      </c>
      <c r="W19">
        <f>wFG!W19-woFG!W19</f>
        <v>0</v>
      </c>
      <c r="X19">
        <f>wFG!X19-woFG!X19</f>
        <v>0</v>
      </c>
      <c r="Y19">
        <f>wFG!Y19-woFG!Y19</f>
        <v>-2.1997325764503601E-16</v>
      </c>
      <c r="Z19">
        <f>wFG!Z19-woFG!Z19</f>
        <v>-2.0359042588712501E-16</v>
      </c>
      <c r="AA19">
        <f>wFG!AA19-woFG!AA19</f>
        <v>-1.6731542915367606E-16</v>
      </c>
      <c r="AB19">
        <f>wFG!AB19-woFG!AB19</f>
        <v>-1.7520887808139004E-16</v>
      </c>
      <c r="AC19">
        <f>wFG!AC19-woFG!AC19</f>
        <v>-1.6728820166131023E-16</v>
      </c>
      <c r="AD19">
        <f>wFG!AD19-woFG!AD19</f>
        <v>-5.7267470532701108E-16</v>
      </c>
      <c r="AE19">
        <f>wFG!AE19-woFG!AE19</f>
        <v>-5.6836443259145018E-3</v>
      </c>
      <c r="AF19">
        <f>wFG!AF19-woFG!AF19</f>
        <v>-7.4194846745350151E-2</v>
      </c>
      <c r="AK19" s="1">
        <f t="shared" si="1"/>
        <v>40724</v>
      </c>
      <c r="AL19">
        <f t="shared" si="2"/>
        <v>-3.9871521241882091E-3</v>
      </c>
      <c r="AM19">
        <f t="shared" si="3"/>
        <v>-4.029278715984999E-8</v>
      </c>
      <c r="AN19">
        <f t="shared" si="4"/>
        <v>2.2135891305280486E-3</v>
      </c>
      <c r="AO19">
        <f t="shared" si="5"/>
        <v>-2.015296234306207E-5</v>
      </c>
      <c r="AP19">
        <f t="shared" si="6"/>
        <v>-0.11327476712348697</v>
      </c>
      <c r="AQ19">
        <f t="shared" si="7"/>
        <v>-1.3159329955577004E-2</v>
      </c>
      <c r="AR19">
        <f t="shared" si="8"/>
        <v>1.7494732758910319E-2</v>
      </c>
      <c r="AS19">
        <f t="shared" si="9"/>
        <v>3.8386939632759964E-2</v>
      </c>
      <c r="AT19">
        <f t="shared" si="10"/>
        <v>-1.8486658091660807E-3</v>
      </c>
    </row>
    <row r="20" spans="1:87" x14ac:dyDescent="0.25">
      <c r="A20" s="1">
        <v>40816</v>
      </c>
      <c r="B20">
        <f>wFG!B20-woFG!B20</f>
        <v>-3.9885118510381012E-3</v>
      </c>
      <c r="C20">
        <f>wFG!C20-woFG!C20</f>
        <v>-4.3300225747749826E-8</v>
      </c>
      <c r="D20">
        <f>wFG!D20-woFG!D20</f>
        <v>2.4618187505460742E-3</v>
      </c>
      <c r="E20">
        <f>wFG!E20-woFG!E20</f>
        <v>-1.7151974505298992E-5</v>
      </c>
      <c r="F20">
        <f>wFG!F20-woFG!F20</f>
        <v>-0.11810699636503097</v>
      </c>
      <c r="G20">
        <f>wFG!G20-woFG!G20</f>
        <v>-1.3545734922176006E-2</v>
      </c>
      <c r="H20">
        <f>wFG!H20-woFG!H20</f>
        <v>1.8173518529343909E-2</v>
      </c>
      <c r="I20">
        <f>wFG!I20-woFG!I20</f>
        <v>-1.4285040908085011E-16</v>
      </c>
      <c r="J20">
        <f>wFG!J20-woFG!J20</f>
        <v>4.6271543075799809E-17</v>
      </c>
      <c r="K20">
        <f>wFG!K20-woFG!K20</f>
        <v>-7.2493045619461984E-16</v>
      </c>
      <c r="L20">
        <f>wFG!L20-woFG!L20</f>
        <v>4.1588177543505078E-3</v>
      </c>
      <c r="M20">
        <f>wFG!M20-woFG!M20</f>
        <v>0</v>
      </c>
      <c r="N20">
        <f>wFG!N20-woFG!N20</f>
        <v>0</v>
      </c>
      <c r="O20">
        <f>wFG!O20-woFG!O20</f>
        <v>9.5458062442040025E-15</v>
      </c>
      <c r="P20">
        <f>wFG!P20-woFG!P20</f>
        <v>0</v>
      </c>
      <c r="Q20">
        <f>wFG!Q20-woFG!Q20</f>
        <v>3.9589186857700076E-2</v>
      </c>
      <c r="R20">
        <f>wFG!R20-woFG!R20</f>
        <v>0</v>
      </c>
      <c r="S20">
        <f>wFG!S20-woFG!S20</f>
        <v>0</v>
      </c>
      <c r="T20">
        <f>wFG!T20-woFG!T20</f>
        <v>0</v>
      </c>
      <c r="U20">
        <f>wFG!U20-woFG!U20</f>
        <v>0</v>
      </c>
      <c r="V20">
        <f>wFG!V20-woFG!V20</f>
        <v>0</v>
      </c>
      <c r="W20">
        <f>wFG!W20-woFG!W20</f>
        <v>0</v>
      </c>
      <c r="X20">
        <f>wFG!X20-woFG!X20</f>
        <v>0</v>
      </c>
      <c r="Y20">
        <f>wFG!Y20-woFG!Y20</f>
        <v>-2.41439883660761E-16</v>
      </c>
      <c r="Z20">
        <f>wFG!Z20-woFG!Z20</f>
        <v>-2.2497813854686999E-16</v>
      </c>
      <c r="AA20">
        <f>wFG!AA20-woFG!AA20</f>
        <v>-1.8556447290007E-16</v>
      </c>
      <c r="AB20">
        <f>wFG!AB20-woFG!AB20</f>
        <v>-1.943630254656298E-16</v>
      </c>
      <c r="AC20">
        <f>wFG!AC20-woFG!AC20</f>
        <v>-1.8527786962058957E-16</v>
      </c>
      <c r="AD20">
        <f>wFG!AD20-woFG!AD20</f>
        <v>-6.3977005600847952E-16</v>
      </c>
      <c r="AE20">
        <f>wFG!AE20-woFG!AE20</f>
        <v>-5.6242651874326005E-3</v>
      </c>
      <c r="AF20">
        <f>wFG!AF20-woFG!AF20</f>
        <v>-7.6899361708460123E-2</v>
      </c>
      <c r="AK20" s="1">
        <f t="shared" si="1"/>
        <v>40816</v>
      </c>
      <c r="AL20">
        <f t="shared" si="2"/>
        <v>-3.9885118510381012E-3</v>
      </c>
      <c r="AM20">
        <f t="shared" si="3"/>
        <v>-4.3300225747749826E-8</v>
      </c>
      <c r="AN20">
        <f t="shared" si="4"/>
        <v>2.4618187505460742E-3</v>
      </c>
      <c r="AO20">
        <f t="shared" si="5"/>
        <v>-1.7151974505298992E-5</v>
      </c>
      <c r="AP20">
        <f t="shared" si="6"/>
        <v>-0.11810699636503097</v>
      </c>
      <c r="AQ20">
        <f t="shared" si="7"/>
        <v>-1.3545734922176006E-2</v>
      </c>
      <c r="AR20">
        <f t="shared" si="8"/>
        <v>1.8173518529343909E-2</v>
      </c>
      <c r="AS20">
        <f t="shared" si="9"/>
        <v>3.9589186857700076E-2</v>
      </c>
      <c r="AT20">
        <f t="shared" si="10"/>
        <v>-1.4654474330740574E-3</v>
      </c>
    </row>
    <row r="21" spans="1:87" x14ac:dyDescent="0.25">
      <c r="A21" s="1">
        <v>40908</v>
      </c>
      <c r="B21">
        <f>wFG!B21-woFG!B21</f>
        <v>-3.9915165531951985E-3</v>
      </c>
      <c r="C21">
        <f>wFG!C21-woFG!C21</f>
        <v>-4.6894322863370015E-8</v>
      </c>
      <c r="D21">
        <f>wFG!D21-woFG!D21</f>
        <v>2.7699196877699617E-3</v>
      </c>
      <c r="E21">
        <f>wFG!E21-woFG!E21</f>
        <v>-1.3205252373566022E-5</v>
      </c>
      <c r="F21">
        <f>wFG!F21-woFG!F21</f>
        <v>-0.12320346633590701</v>
      </c>
      <c r="G21">
        <f>wFG!G21-woFG!G21</f>
        <v>-1.394830122381302E-2</v>
      </c>
      <c r="H21">
        <f>wFG!H21-woFG!H21</f>
        <v>1.88697351342219E-2</v>
      </c>
      <c r="I21">
        <f>wFG!I21-woFG!I21</f>
        <v>-1.4423616370520991E-16</v>
      </c>
      <c r="J21">
        <f>wFG!J21-woFG!J21</f>
        <v>8.2819130068299766E-17</v>
      </c>
      <c r="K21">
        <f>wFG!K21-woFG!K21</f>
        <v>-7.3320620131319015E-16</v>
      </c>
      <c r="L21">
        <f>wFG!L21-woFG!L21</f>
        <v>4.4929026338754001E-3</v>
      </c>
      <c r="M21">
        <f>wFG!M21-woFG!M21</f>
        <v>0</v>
      </c>
      <c r="N21">
        <f>wFG!N21-woFG!N21</f>
        <v>0</v>
      </c>
      <c r="O21">
        <f>wFG!O21-woFG!O21</f>
        <v>9.8925401023879794E-15</v>
      </c>
      <c r="P21">
        <f>wFG!P21-woFG!P21</f>
        <v>0</v>
      </c>
      <c r="Q21">
        <f>wFG!Q21-woFG!Q21</f>
        <v>4.0782462551379961E-2</v>
      </c>
      <c r="R21">
        <f>wFG!R21-woFG!R21</f>
        <v>0</v>
      </c>
      <c r="S21">
        <f>wFG!S21-woFG!S21</f>
        <v>0</v>
      </c>
      <c r="T21">
        <f>wFG!T21-woFG!T21</f>
        <v>0</v>
      </c>
      <c r="U21">
        <f>wFG!U21-woFG!U21</f>
        <v>0</v>
      </c>
      <c r="V21">
        <f>wFG!V21-woFG!V21</f>
        <v>0</v>
      </c>
      <c r="W21">
        <f>wFG!W21-woFG!W21</f>
        <v>0</v>
      </c>
      <c r="X21">
        <f>wFG!X21-woFG!X21</f>
        <v>0</v>
      </c>
      <c r="Y21">
        <f>wFG!Y21-woFG!Y21</f>
        <v>-2.6381958654768001E-16</v>
      </c>
      <c r="Z21">
        <f>wFG!Z21-woFG!Z21</f>
        <v>-2.4774496835538993E-16</v>
      </c>
      <c r="AA21">
        <f>wFG!AA21-woFG!AA21</f>
        <v>-2.0524782528815997E-16</v>
      </c>
      <c r="AB21">
        <f>wFG!AB21-woFG!AB21</f>
        <v>-2.1512925135254003E-16</v>
      </c>
      <c r="AC21">
        <f>wFG!AC21-woFG!AC21</f>
        <v>-2.0476727131381004E-16</v>
      </c>
      <c r="AD21">
        <f>wFG!AD21-woFG!AD21</f>
        <v>-7.1011850862784041E-16</v>
      </c>
      <c r="AE21">
        <f>wFG!AE21-woFG!AE21</f>
        <v>-5.5655373395826976E-3</v>
      </c>
      <c r="AF21">
        <f>wFG!AF21-woFG!AF21</f>
        <v>-7.9807053591929744E-2</v>
      </c>
      <c r="AK21" s="1">
        <f t="shared" si="1"/>
        <v>40908</v>
      </c>
      <c r="AL21">
        <f t="shared" si="2"/>
        <v>-3.9915165531951985E-3</v>
      </c>
      <c r="AM21">
        <f t="shared" si="3"/>
        <v>-4.6894322863370015E-8</v>
      </c>
      <c r="AN21">
        <f t="shared" si="4"/>
        <v>2.7699196877699617E-3</v>
      </c>
      <c r="AO21">
        <f t="shared" si="5"/>
        <v>-1.3205252373566022E-5</v>
      </c>
      <c r="AP21">
        <f t="shared" si="6"/>
        <v>-0.12320346633590701</v>
      </c>
      <c r="AQ21">
        <f t="shared" si="7"/>
        <v>-1.394830122381302E-2</v>
      </c>
      <c r="AR21">
        <f t="shared" si="8"/>
        <v>1.88697351342219E-2</v>
      </c>
      <c r="AS21">
        <f t="shared" si="9"/>
        <v>4.0782462551379961E-2</v>
      </c>
      <c r="AT21">
        <f t="shared" si="10"/>
        <v>-1.0726347056898983E-3</v>
      </c>
    </row>
    <row r="22" spans="1:87" x14ac:dyDescent="0.25">
      <c r="A22" s="1">
        <v>40999</v>
      </c>
      <c r="B22">
        <f>wFG!B22-woFG!B22</f>
        <v>-3.9964259641851047E-3</v>
      </c>
      <c r="C22">
        <f>wFG!C22-woFG!C22</f>
        <v>-5.1161974509590006E-8</v>
      </c>
      <c r="D22">
        <f>wFG!D22-woFG!D22</f>
        <v>3.1459826359090393E-3</v>
      </c>
      <c r="E22">
        <f>wFG!E22-woFG!E22</f>
        <v>-8.0077311848210028E-6</v>
      </c>
      <c r="F22">
        <f>wFG!F22-woFG!F22</f>
        <v>-0.12860102690054903</v>
      </c>
      <c r="G22">
        <f>wFG!G22-woFG!G22</f>
        <v>-1.4372147917837003E-2</v>
      </c>
      <c r="H22">
        <f>wFG!H22-woFG!H22</f>
        <v>1.9582381752784803E-2</v>
      </c>
      <c r="I22">
        <f>wFG!I22-woFG!I22</f>
        <v>-1.4577103901950014E-16</v>
      </c>
      <c r="J22">
        <f>wFG!J22-woFG!J22</f>
        <v>1.2106856843069896E-16</v>
      </c>
      <c r="K22">
        <f>wFG!K22-woFG!K22</f>
        <v>-7.4086365633812987E-16</v>
      </c>
      <c r="L22">
        <f>wFG!L22-woFG!L22</f>
        <v>4.8369602065091999E-3</v>
      </c>
      <c r="M22">
        <f>wFG!M22-woFG!M22</f>
        <v>0</v>
      </c>
      <c r="N22">
        <f>wFG!N22-woFG!N22</f>
        <v>0</v>
      </c>
      <c r="O22">
        <f>wFG!O22-woFG!O22</f>
        <v>1.0248448288623994E-14</v>
      </c>
      <c r="P22">
        <f>wFG!P22-woFG!P22</f>
        <v>0</v>
      </c>
      <c r="Q22">
        <f>wFG!Q22-woFG!Q22</f>
        <v>4.1947903012717114E-2</v>
      </c>
      <c r="R22">
        <f>wFG!R22-woFG!R22</f>
        <v>0</v>
      </c>
      <c r="S22">
        <f>wFG!S22-woFG!S22</f>
        <v>0</v>
      </c>
      <c r="T22">
        <f>wFG!T22-woFG!T22</f>
        <v>0</v>
      </c>
      <c r="U22">
        <f>wFG!U22-woFG!U22</f>
        <v>0</v>
      </c>
      <c r="V22">
        <f>wFG!V22-woFG!V22</f>
        <v>0</v>
      </c>
      <c r="W22">
        <f>wFG!W22-woFG!W22</f>
        <v>0</v>
      </c>
      <c r="X22">
        <f>wFG!X22-woFG!X22</f>
        <v>0</v>
      </c>
      <c r="Y22">
        <f>wFG!Y22-woFG!Y22</f>
        <v>-2.8715175460386701E-16</v>
      </c>
      <c r="Z22">
        <f>wFG!Z22-woFG!Z22</f>
        <v>-2.7206649211845001E-16</v>
      </c>
      <c r="AA22">
        <f>wFG!AA22-woFG!AA22</f>
        <v>-2.2659795708418496E-16</v>
      </c>
      <c r="AB22">
        <f>wFG!AB22-woFG!AB22</f>
        <v>-2.3779764901662026E-16</v>
      </c>
      <c r="AC22">
        <f>wFG!AC22-woFG!AC22</f>
        <v>-2.2603934034077977E-16</v>
      </c>
      <c r="AD22">
        <f>wFG!AD22-woFG!AD22</f>
        <v>-7.8424992693265014E-16</v>
      </c>
      <c r="AE22">
        <f>wFG!AE22-woFG!AE22</f>
        <v>-5.507453150612001E-3</v>
      </c>
      <c r="AF22">
        <f>wFG!AF22-woFG!AF22</f>
        <v>-8.2971885218409813E-2</v>
      </c>
      <c r="AK22" s="1">
        <f t="shared" si="1"/>
        <v>40999</v>
      </c>
      <c r="AL22">
        <f t="shared" si="2"/>
        <v>-3.9964259641851047E-3</v>
      </c>
      <c r="AM22">
        <f t="shared" si="3"/>
        <v>-5.1161974509590006E-8</v>
      </c>
      <c r="AN22">
        <f t="shared" si="4"/>
        <v>3.1459826359090393E-3</v>
      </c>
      <c r="AO22">
        <f t="shared" si="5"/>
        <v>-8.0077311848210028E-6</v>
      </c>
      <c r="AP22">
        <f t="shared" si="6"/>
        <v>-0.12860102690054903</v>
      </c>
      <c r="AQ22">
        <f t="shared" si="7"/>
        <v>-1.4372147917837003E-2</v>
      </c>
      <c r="AR22">
        <f t="shared" si="8"/>
        <v>1.9582381752784803E-2</v>
      </c>
      <c r="AS22">
        <f t="shared" si="9"/>
        <v>4.1947903012717114E-2</v>
      </c>
      <c r="AT22">
        <f t="shared" si="10"/>
        <v>-6.7049294409028681E-4</v>
      </c>
    </row>
    <row r="23" spans="1:87" x14ac:dyDescent="0.25">
      <c r="A23" s="1">
        <v>41090</v>
      </c>
      <c r="B23">
        <f>wFG!B23-woFG!B23</f>
        <v>-4.0035595414611991E-3</v>
      </c>
      <c r="C23">
        <f>wFG!C23-woFG!C23</f>
        <v>-5.62146800881696E-8</v>
      </c>
      <c r="D23">
        <f>wFG!D23-woFG!D23</f>
        <v>3.5996769274520002E-3</v>
      </c>
      <c r="E23">
        <f>wFG!E23-woFG!E23</f>
        <v>-1.1711819965790006E-6</v>
      </c>
      <c r="F23">
        <f>wFG!F23-woFG!F23</f>
        <v>-0.13434529708781001</v>
      </c>
      <c r="G23">
        <f>wFG!G23-woFG!G23</f>
        <v>-1.4823441912586999E-2</v>
      </c>
      <c r="H23">
        <f>wFG!H23-woFG!H23</f>
        <v>2.0310021089681704E-2</v>
      </c>
      <c r="I23">
        <f>wFG!I23-woFG!I23</f>
        <v>-1.4748785617805011E-16</v>
      </c>
      <c r="J23">
        <f>wFG!J23-woFG!J23</f>
        <v>1.6103217377800139E-16</v>
      </c>
      <c r="K23">
        <f>wFG!K23-woFG!K23</f>
        <v>-7.4756753173939973E-16</v>
      </c>
      <c r="L23">
        <f>wFG!L23-woFG!L23</f>
        <v>5.190510107601895E-3</v>
      </c>
      <c r="M23">
        <f>wFG!M23-woFG!M23</f>
        <v>0</v>
      </c>
      <c r="N23">
        <f>wFG!N23-woFG!N23</f>
        <v>0</v>
      </c>
      <c r="O23">
        <f>wFG!O23-woFG!O23</f>
        <v>1.0612618515064994E-14</v>
      </c>
      <c r="P23">
        <f>wFG!P23-woFG!P23</f>
        <v>0</v>
      </c>
      <c r="Q23">
        <f>wFG!Q23-woFG!Q23</f>
        <v>4.3061159086779988E-2</v>
      </c>
      <c r="R23">
        <f>wFG!R23-woFG!R23</f>
        <v>0</v>
      </c>
      <c r="S23">
        <f>wFG!S23-woFG!S23</f>
        <v>0</v>
      </c>
      <c r="T23">
        <f>wFG!T23-woFG!T23</f>
        <v>0</v>
      </c>
      <c r="U23">
        <f>wFG!U23-woFG!U23</f>
        <v>0</v>
      </c>
      <c r="V23">
        <f>wFG!V23-woFG!V23</f>
        <v>0</v>
      </c>
      <c r="W23">
        <f>wFG!W23-woFG!W23</f>
        <v>0</v>
      </c>
      <c r="X23">
        <f>wFG!X23-woFG!X23</f>
        <v>0</v>
      </c>
      <c r="Y23">
        <f>wFG!Y23-woFG!Y23</f>
        <v>-3.1147854118855592E-16</v>
      </c>
      <c r="Z23">
        <f>wFG!Z23-woFG!Z23</f>
        <v>-2.9816370735272008E-16</v>
      </c>
      <c r="AA23">
        <f>wFG!AA23-woFG!AA23</f>
        <v>-2.4991253499712292E-16</v>
      </c>
      <c r="AB23">
        <f>wFG!AB23-woFG!AB23</f>
        <v>-2.6274189916904987E-16</v>
      </c>
      <c r="AC23">
        <f>wFG!AC23-woFG!AC23</f>
        <v>-2.4945980364167022E-16</v>
      </c>
      <c r="AD23">
        <f>wFG!AD23-woFG!AD23</f>
        <v>-8.6285663578270996E-16</v>
      </c>
      <c r="AE23">
        <f>wFG!AE23-woFG!AE23</f>
        <v>-5.4500050857884015E-3</v>
      </c>
      <c r="AF23">
        <f>wFG!AF23-woFG!AF23</f>
        <v>-8.6462163812790038E-2</v>
      </c>
      <c r="AK23" s="1">
        <f t="shared" si="1"/>
        <v>41090</v>
      </c>
      <c r="AL23">
        <f t="shared" si="2"/>
        <v>-4.0035595414611991E-3</v>
      </c>
      <c r="AM23">
        <f t="shared" si="3"/>
        <v>-5.62146800881696E-8</v>
      </c>
      <c r="AN23">
        <f t="shared" si="4"/>
        <v>3.5996769274520002E-3</v>
      </c>
      <c r="AO23">
        <f t="shared" si="5"/>
        <v>-1.1711819965790006E-6</v>
      </c>
      <c r="AP23">
        <f t="shared" si="6"/>
        <v>-0.13434529708781001</v>
      </c>
      <c r="AQ23">
        <f t="shared" si="7"/>
        <v>-1.4823441912586999E-2</v>
      </c>
      <c r="AR23">
        <f t="shared" si="8"/>
        <v>2.0310021089681704E-2</v>
      </c>
      <c r="AS23">
        <f t="shared" si="9"/>
        <v>4.3061159086779988E-2</v>
      </c>
      <c r="AT23">
        <f t="shared" si="10"/>
        <v>-2.5949497816885048E-4</v>
      </c>
    </row>
    <row r="24" spans="1:87" x14ac:dyDescent="0.25">
      <c r="A24" s="1">
        <v>41182</v>
      </c>
      <c r="B24">
        <f>wFG!B24-woFG!B24</f>
        <v>-4.0133169069949959E-3</v>
      </c>
      <c r="C24">
        <f>wFG!C24-woFG!C24</f>
        <v>-6.2177515527884012E-8</v>
      </c>
      <c r="D24">
        <f>wFG!D24-woFG!D24</f>
        <v>4.1415391590320372E-3</v>
      </c>
      <c r="E24">
        <f>wFG!E24-woFG!E24</f>
        <v>7.8012345378499588E-6</v>
      </c>
      <c r="F24">
        <f>wFG!F24-woFG!F24</f>
        <v>-0.14049313209590797</v>
      </c>
      <c r="G24">
        <f>wFG!G24-woFG!G24</f>
        <v>-1.5309678586897024E-2</v>
      </c>
      <c r="H24">
        <f>wFG!H24-woFG!H24</f>
        <v>2.1050653464789602E-2</v>
      </c>
      <c r="I24">
        <f>wFG!I24-woFG!I24</f>
        <v>-1.4943258105277992E-16</v>
      </c>
      <c r="J24">
        <f>wFG!J24-woFG!J24</f>
        <v>2.0270863662660037E-16</v>
      </c>
      <c r="K24">
        <f>wFG!K24-woFG!K24</f>
        <v>-7.5286172864904992E-16</v>
      </c>
      <c r="L24">
        <f>wFG!L24-woFG!L24</f>
        <v>5.5527457187523992E-3</v>
      </c>
      <c r="M24">
        <f>wFG!M24-woFG!M24</f>
        <v>0</v>
      </c>
      <c r="N24">
        <f>wFG!N24-woFG!N24</f>
        <v>0</v>
      </c>
      <c r="O24">
        <f>wFG!O24-woFG!O24</f>
        <v>1.0983788316954007E-14</v>
      </c>
      <c r="P24">
        <f>wFG!P24-woFG!P24</f>
        <v>0</v>
      </c>
      <c r="Q24">
        <f>wFG!Q24-woFG!Q24</f>
        <v>4.4090612217059899E-2</v>
      </c>
      <c r="R24">
        <f>wFG!R24-woFG!R24</f>
        <v>0</v>
      </c>
      <c r="S24">
        <f>wFG!S24-woFG!S24</f>
        <v>0</v>
      </c>
      <c r="T24">
        <f>wFG!T24-woFG!T24</f>
        <v>0</v>
      </c>
      <c r="U24">
        <f>wFG!U24-woFG!U24</f>
        <v>0</v>
      </c>
      <c r="V24">
        <f>wFG!V24-woFG!V24</f>
        <v>0</v>
      </c>
      <c r="W24">
        <f>wFG!W24-woFG!W24</f>
        <v>0</v>
      </c>
      <c r="X24">
        <f>wFG!X24-woFG!X24</f>
        <v>0</v>
      </c>
      <c r="Y24">
        <f>wFG!Y24-woFG!Y24</f>
        <v>-3.3684958914000442E-16</v>
      </c>
      <c r="Z24">
        <f>wFG!Z24-woFG!Z24</f>
        <v>-3.2632077347792898E-16</v>
      </c>
      <c r="AA24">
        <f>wFG!AA24-woFG!AA24</f>
        <v>-2.7557719779292895E-16</v>
      </c>
      <c r="AB24">
        <f>wFG!AB24-woFG!AB24</f>
        <v>-2.9044714520184972E-16</v>
      </c>
      <c r="AC24">
        <f>wFG!AC24-woFG!AC24</f>
        <v>-2.7550404606066007E-16</v>
      </c>
      <c r="AD24">
        <f>wFG!AD24-woFG!AD24</f>
        <v>-9.4684185311794027E-16</v>
      </c>
      <c r="AE24">
        <f>wFG!AE24-woFG!AE24</f>
        <v>-5.3931857060730004E-3</v>
      </c>
      <c r="AF24">
        <f>wFG!AF24-woFG!AF24</f>
        <v>-9.0366023679199881E-2</v>
      </c>
      <c r="AK24" s="1">
        <f t="shared" si="1"/>
        <v>41182</v>
      </c>
      <c r="AL24">
        <f t="shared" si="2"/>
        <v>-4.0133169069949959E-3</v>
      </c>
      <c r="AM24">
        <f t="shared" si="3"/>
        <v>-6.2177515527884012E-8</v>
      </c>
      <c r="AN24">
        <f t="shared" si="4"/>
        <v>4.1415391590320372E-3</v>
      </c>
      <c r="AO24">
        <f t="shared" si="5"/>
        <v>7.8012345378499588E-6</v>
      </c>
      <c r="AP24">
        <f t="shared" si="6"/>
        <v>-0.14049313209590797</v>
      </c>
      <c r="AQ24">
        <f t="shared" si="7"/>
        <v>-1.5309678586897024E-2</v>
      </c>
      <c r="AR24">
        <f t="shared" si="8"/>
        <v>2.1050653464789602E-2</v>
      </c>
      <c r="AS24">
        <f t="shared" si="9"/>
        <v>4.4090612217059899E-2</v>
      </c>
      <c r="AT24">
        <f t="shared" si="10"/>
        <v>1.5956001269626374E-4</v>
      </c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</row>
    <row r="25" spans="1:87" x14ac:dyDescent="0.25">
      <c r="A25" s="1">
        <v>41274</v>
      </c>
      <c r="B25">
        <f>wFG!B25-woFG!B25</f>
        <v>-4.0262119567319038E-3</v>
      </c>
      <c r="C25">
        <f>wFG!C25-woFG!C25</f>
        <v>-6.916760408059997E-8</v>
      </c>
      <c r="D25">
        <f>wFG!D25-woFG!D25</f>
        <v>4.7818332559009802E-3</v>
      </c>
      <c r="E25">
        <f>wFG!E25-woFG!E25</f>
        <v>1.9546332383746996E-5</v>
      </c>
      <c r="F25">
        <f>wFG!F25-woFG!F25</f>
        <v>-0.14711574656894499</v>
      </c>
      <c r="G25">
        <f>wFG!G25-woFG!G25</f>
        <v>-1.5840038329049011E-2</v>
      </c>
      <c r="H25">
        <f>wFG!H25-woFG!H25</f>
        <v>2.18015689682391E-2</v>
      </c>
      <c r="I25">
        <f>wFG!I25-woFG!I25</f>
        <v>-1.5167013162135995E-16</v>
      </c>
      <c r="J25">
        <f>wFG!J25-woFG!J25</f>
        <v>2.4607823555799817E-16</v>
      </c>
      <c r="K25">
        <f>wFG!K25-woFG!K25</f>
        <v>-7.5613117952846008E-16</v>
      </c>
      <c r="L25">
        <f>wFG!L25-woFG!L25</f>
        <v>5.9223892166496983E-3</v>
      </c>
      <c r="M25">
        <f>wFG!M25-woFG!M25</f>
        <v>0</v>
      </c>
      <c r="N25">
        <f>wFG!N25-woFG!N25</f>
        <v>0</v>
      </c>
      <c r="O25">
        <f>wFG!O25-woFG!O25</f>
        <v>1.1360250531616009E-14</v>
      </c>
      <c r="P25">
        <f>wFG!P25-woFG!P25</f>
        <v>0</v>
      </c>
      <c r="Q25">
        <f>wFG!Q25-woFG!Q25</f>
        <v>4.4995114889650023E-2</v>
      </c>
      <c r="R25">
        <f>wFG!R25-woFG!R25</f>
        <v>0</v>
      </c>
      <c r="S25">
        <f>wFG!S25-woFG!S25</f>
        <v>0</v>
      </c>
      <c r="T25">
        <f>wFG!T25-woFG!T25</f>
        <v>0</v>
      </c>
      <c r="U25">
        <f>wFG!U25-woFG!U25</f>
        <v>0</v>
      </c>
      <c r="V25">
        <f>wFG!V25-woFG!V25</f>
        <v>0</v>
      </c>
      <c r="W25">
        <f>wFG!W25-woFG!W25</f>
        <v>0</v>
      </c>
      <c r="X25">
        <f>wFG!X25-woFG!X25</f>
        <v>0</v>
      </c>
      <c r="Y25">
        <f>wFG!Y25-woFG!Y25</f>
        <v>-3.6332874728159203E-16</v>
      </c>
      <c r="Z25">
        <f>wFG!Z25-woFG!Z25</f>
        <v>-3.5690927547204988E-16</v>
      </c>
      <c r="AA25">
        <f>wFG!AA25-woFG!AA25</f>
        <v>-3.0409637043366999E-16</v>
      </c>
      <c r="AB25">
        <f>wFG!AB25-woFG!AB25</f>
        <v>-3.2154746636722013E-16</v>
      </c>
      <c r="AC25">
        <f>wFG!AC25-woFG!AC25</f>
        <v>-3.0479307122654007E-16</v>
      </c>
      <c r="AD25">
        <f>wFG!AD25-woFG!AD25</f>
        <v>-1.0373850334980106E-15</v>
      </c>
      <c r="AE25">
        <f>wFG!AE25-woFG!AE25</f>
        <v>-5.3369876668111008E-3</v>
      </c>
      <c r="AF25">
        <f>wFG!AF25-woFG!AF25</f>
        <v>-9.4798601026309992E-2</v>
      </c>
      <c r="AK25" s="1">
        <f t="shared" si="1"/>
        <v>41274</v>
      </c>
      <c r="AL25">
        <f t="shared" si="2"/>
        <v>-4.0262119567319038E-3</v>
      </c>
      <c r="AM25">
        <f t="shared" si="3"/>
        <v>-6.916760408059997E-8</v>
      </c>
      <c r="AN25">
        <f t="shared" si="4"/>
        <v>4.7818332559009802E-3</v>
      </c>
      <c r="AO25">
        <f t="shared" si="5"/>
        <v>1.9546332383746996E-5</v>
      </c>
      <c r="AP25">
        <f t="shared" si="6"/>
        <v>-0.14711574656894499</v>
      </c>
      <c r="AQ25">
        <f t="shared" si="7"/>
        <v>-1.5840038329049011E-2</v>
      </c>
      <c r="AR25">
        <f t="shared" si="8"/>
        <v>2.18015689682391E-2</v>
      </c>
      <c r="AS25">
        <f t="shared" si="9"/>
        <v>4.4995114889650023E-2</v>
      </c>
      <c r="AT25">
        <f t="shared" si="10"/>
        <v>5.85401549846154E-4</v>
      </c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</row>
    <row r="26" spans="1:87" x14ac:dyDescent="0.25">
      <c r="A26" s="1">
        <v>41364</v>
      </c>
      <c r="B26">
        <f>wFG!B26-woFG!B26</f>
        <v>-4.0429350614390042E-3</v>
      </c>
      <c r="C26">
        <f>wFG!C26-woFG!C26</f>
        <v>-7.7250433579070014E-8</v>
      </c>
      <c r="D26">
        <f>wFG!D26-woFG!D26</f>
        <v>5.5286882954670435E-3</v>
      </c>
      <c r="E26">
        <f>wFG!E26-woFG!E26</f>
        <v>3.4878841862273009E-5</v>
      </c>
      <c r="F26">
        <f>wFG!F26-woFG!F26</f>
        <v>-0.15430264964610302</v>
      </c>
      <c r="G26">
        <f>wFG!G26-woFG!G26</f>
        <v>-1.6425838560216982E-2</v>
      </c>
      <c r="H26">
        <f>wFG!H26-woFG!H26</f>
        <v>2.2559191769692497E-2</v>
      </c>
      <c r="I26">
        <f>wFG!I26-woFG!I26</f>
        <v>-1.5429255635765005E-16</v>
      </c>
      <c r="J26">
        <f>wFG!J26-woFG!J26</f>
        <v>2.9109650461189796E-16</v>
      </c>
      <c r="K26">
        <f>wFG!K26-woFG!K26</f>
        <v>-7.5654907316606998E-16</v>
      </c>
      <c r="L26">
        <f>wFG!L26-woFG!L26</f>
        <v>6.297514525691994E-3</v>
      </c>
      <c r="M26">
        <f>wFG!M26-woFG!M26</f>
        <v>0</v>
      </c>
      <c r="N26">
        <f>wFG!N26-woFG!N26</f>
        <v>0</v>
      </c>
      <c r="O26">
        <f>wFG!O26-woFG!O26</f>
        <v>1.1739735084079988E-14</v>
      </c>
      <c r="P26">
        <f>wFG!P26-woFG!P26</f>
        <v>0</v>
      </c>
      <c r="Q26">
        <f>wFG!Q26-woFG!Q26</f>
        <v>4.5721077437669955E-2</v>
      </c>
      <c r="R26">
        <f>wFG!R26-woFG!R26</f>
        <v>0</v>
      </c>
      <c r="S26">
        <f>wFG!S26-woFG!S26</f>
        <v>0</v>
      </c>
      <c r="T26">
        <f>wFG!T26-woFG!T26</f>
        <v>0</v>
      </c>
      <c r="U26">
        <f>wFG!U26-woFG!U26</f>
        <v>0</v>
      </c>
      <c r="V26">
        <f>wFG!V26-woFG!V26</f>
        <v>0</v>
      </c>
      <c r="W26">
        <f>wFG!W26-woFG!W26</f>
        <v>0</v>
      </c>
      <c r="X26">
        <f>wFG!X26-woFG!X26</f>
        <v>0</v>
      </c>
      <c r="Y26">
        <f>wFG!Y26-woFG!Y26</f>
        <v>-3.9100450337042796E-16</v>
      </c>
      <c r="Z26">
        <f>wFG!Z26-woFG!Z26</f>
        <v>-3.9042225359340986E-16</v>
      </c>
      <c r="AA26">
        <f>wFG!AA26-woFG!AA26</f>
        <v>-3.3613554060351901E-16</v>
      </c>
      <c r="AB26">
        <f>wFG!AB26-woFG!AB26</f>
        <v>-3.5687667992725973E-16</v>
      </c>
      <c r="AC26">
        <f>wFG!AC26-woFG!AC26</f>
        <v>-3.3814186981409001E-16</v>
      </c>
      <c r="AD26">
        <f>wFG!AD26-woFG!AD26</f>
        <v>-1.1360295257453297E-15</v>
      </c>
      <c r="AE26">
        <f>wFG!AE26-woFG!AE26</f>
        <v>-5.2814037164402999E-3</v>
      </c>
      <c r="AF26">
        <f>wFG!AF26-woFG!AF26</f>
        <v>-9.9911553364239847E-2</v>
      </c>
      <c r="AK26" s="1">
        <f t="shared" si="1"/>
        <v>41364</v>
      </c>
      <c r="AL26">
        <f t="shared" si="2"/>
        <v>-4.0429350614390042E-3</v>
      </c>
      <c r="AM26">
        <f t="shared" si="3"/>
        <v>-7.7250433579070014E-8</v>
      </c>
      <c r="AN26">
        <f t="shared" si="4"/>
        <v>5.5286882954670435E-3</v>
      </c>
      <c r="AO26">
        <f t="shared" si="5"/>
        <v>3.4878841862273009E-5</v>
      </c>
      <c r="AP26">
        <f t="shared" si="6"/>
        <v>-0.15430264964610302</v>
      </c>
      <c r="AQ26">
        <f t="shared" si="7"/>
        <v>-1.6425838560216982E-2</v>
      </c>
      <c r="AR26">
        <f t="shared" si="8"/>
        <v>2.2559191769692497E-2</v>
      </c>
      <c r="AS26">
        <f t="shared" si="9"/>
        <v>4.5721077437669955E-2</v>
      </c>
      <c r="AT26">
        <f t="shared" si="10"/>
        <v>1.0161108092609505E-3</v>
      </c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</row>
    <row r="27" spans="1:87" x14ac:dyDescent="0.25">
      <c r="A27" s="1">
        <v>41455</v>
      </c>
      <c r="B27">
        <f>wFG!B27-woFG!B27</f>
        <v>-4.0644774073270024E-3</v>
      </c>
      <c r="C27">
        <f>wFG!C27-woFG!C27</f>
        <v>-8.6353602796123983E-8</v>
      </c>
      <c r="D27">
        <f>wFG!D27-woFG!D27</f>
        <v>6.3851151539530138E-3</v>
      </c>
      <c r="E27">
        <f>wFG!E27-woFG!E27</f>
        <v>5.48359915094152E-5</v>
      </c>
      <c r="F27">
        <f>wFG!F27-woFG!F27</f>
        <v>-0.162166528075884</v>
      </c>
      <c r="G27">
        <f>wFG!G27-woFG!G27</f>
        <v>-1.7081099916497006E-2</v>
      </c>
      <c r="H27">
        <f>wFG!H27-woFG!H27</f>
        <v>2.3318963249928687E-2</v>
      </c>
      <c r="I27">
        <f>wFG!I27-woFG!I27</f>
        <v>-1.5742750544032E-16</v>
      </c>
      <c r="J27">
        <f>wFG!J27-woFG!J27</f>
        <v>3.3768609662929999E-16</v>
      </c>
      <c r="K27">
        <f>wFG!K27-woFG!K27</f>
        <v>-7.5300437293913196E-16</v>
      </c>
      <c r="L27">
        <f>wFG!L27-woFG!L27</f>
        <v>6.67533223418669E-3</v>
      </c>
      <c r="M27">
        <f>wFG!M27-woFG!M27</f>
        <v>0</v>
      </c>
      <c r="N27">
        <f>wFG!N27-woFG!N27</f>
        <v>0</v>
      </c>
      <c r="O27">
        <f>wFG!O27-woFG!O27</f>
        <v>1.2119263764890013E-14</v>
      </c>
      <c r="P27">
        <f>wFG!P27-woFG!P27</f>
        <v>0</v>
      </c>
      <c r="Q27">
        <f>wFG!Q27-woFG!Q27</f>
        <v>4.6198616039784923E-2</v>
      </c>
      <c r="R27">
        <f>wFG!R27-woFG!R27</f>
        <v>0</v>
      </c>
      <c r="S27">
        <f>wFG!S27-woFG!S27</f>
        <v>0</v>
      </c>
      <c r="T27">
        <f>wFG!T27-woFG!T27</f>
        <v>0</v>
      </c>
      <c r="U27">
        <f>wFG!U27-woFG!U27</f>
        <v>0</v>
      </c>
      <c r="V27">
        <f>wFG!V27-woFG!V27</f>
        <v>0</v>
      </c>
      <c r="W27">
        <f>wFG!W27-woFG!W27</f>
        <v>0</v>
      </c>
      <c r="X27">
        <f>wFG!X27-woFG!X27</f>
        <v>0</v>
      </c>
      <c r="Y27">
        <f>wFG!Y27-woFG!Y27</f>
        <v>-4.20007205653565E-16</v>
      </c>
      <c r="Z27">
        <f>wFG!Z27-woFG!Z27</f>
        <v>-4.2752309409127102E-16</v>
      </c>
      <c r="AA27">
        <f>wFG!AA27-woFG!AA27</f>
        <v>-3.7258008198617093E-16</v>
      </c>
      <c r="AB27">
        <f>wFG!AB27-woFG!AB27</f>
        <v>-3.9753778212683975E-16</v>
      </c>
      <c r="AC27">
        <f>wFG!AC27-woFG!AC27</f>
        <v>-3.7662474067923974E-16</v>
      </c>
      <c r="AD27">
        <f>wFG!AD27-woFG!AD27</f>
        <v>-1.2447998334787804E-15</v>
      </c>
      <c r="AE27">
        <f>wFG!AE27-woFG!AE27</f>
        <v>-5.2264266952181011E-3</v>
      </c>
      <c r="AF27">
        <f>wFG!AF27-woFG!AF27</f>
        <v>-0.10590575577915962</v>
      </c>
      <c r="AK27" s="1">
        <f t="shared" si="1"/>
        <v>41455</v>
      </c>
      <c r="AL27">
        <f t="shared" si="2"/>
        <v>-4.0644774073270024E-3</v>
      </c>
      <c r="AM27">
        <f t="shared" si="3"/>
        <v>-8.6353602796123983E-8</v>
      </c>
      <c r="AN27">
        <f t="shared" si="4"/>
        <v>6.3851151539530138E-3</v>
      </c>
      <c r="AO27">
        <f t="shared" si="5"/>
        <v>5.48359915094152E-5</v>
      </c>
      <c r="AP27">
        <f t="shared" si="6"/>
        <v>-0.162166528075884</v>
      </c>
      <c r="AQ27">
        <f t="shared" si="7"/>
        <v>-1.7081099916497006E-2</v>
      </c>
      <c r="AR27">
        <f t="shared" si="8"/>
        <v>2.3318963249928687E-2</v>
      </c>
      <c r="AS27">
        <f t="shared" si="9"/>
        <v>4.6198616039784923E-2</v>
      </c>
      <c r="AT27">
        <f t="shared" si="10"/>
        <v>1.4489055389751426E-3</v>
      </c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</row>
    <row r="28" spans="1:87" x14ac:dyDescent="0.25">
      <c r="A28" s="1">
        <v>41547</v>
      </c>
      <c r="B28">
        <f>wFG!B28-woFG!B28</f>
        <v>-4.0923925305750009E-3</v>
      </c>
      <c r="C28">
        <f>wFG!C28-woFG!C28</f>
        <v>-9.6103300831752076E-8</v>
      </c>
      <c r="D28">
        <f>wFG!D28-woFG!D28</f>
        <v>7.3444682824829188E-3</v>
      </c>
      <c r="E28">
        <f>wFG!E28-woFG!E28</f>
        <v>8.0728429462176992E-5</v>
      </c>
      <c r="F28">
        <f>wFG!F28-woFG!F28</f>
        <v>-0.17084900032627798</v>
      </c>
      <c r="G28">
        <f>wFG!G28-woFG!G28</f>
        <v>-1.7823229988622014E-2</v>
      </c>
      <c r="H28">
        <f>wFG!H28-woFG!H28</f>
        <v>2.407537964494709E-2</v>
      </c>
      <c r="I28">
        <f>wFG!I28-woFG!I28</f>
        <v>-1.6123252623649016E-16</v>
      </c>
      <c r="J28">
        <f>wFG!J28-woFG!J28</f>
        <v>3.8572754322979978E-16</v>
      </c>
      <c r="K28">
        <f>wFG!K28-woFG!K28</f>
        <v>-7.4400565094478314E-16</v>
      </c>
      <c r="L28">
        <f>wFG!L28-woFG!L28</f>
        <v>7.0519224275742004E-3</v>
      </c>
      <c r="M28">
        <f>wFG!M28-woFG!M28</f>
        <v>0</v>
      </c>
      <c r="N28">
        <f>wFG!N28-woFG!N28</f>
        <v>0</v>
      </c>
      <c r="O28">
        <f>wFG!O28-woFG!O28</f>
        <v>1.2494985183494989E-14</v>
      </c>
      <c r="P28">
        <f>wFG!P28-woFG!P28</f>
        <v>0</v>
      </c>
      <c r="Q28">
        <f>wFG!Q28-woFG!Q28</f>
        <v>4.6336148678480127E-2</v>
      </c>
      <c r="R28">
        <f>wFG!R28-woFG!R28</f>
        <v>0</v>
      </c>
      <c r="S28">
        <f>wFG!S28-woFG!S28</f>
        <v>0</v>
      </c>
      <c r="T28">
        <f>wFG!T28-woFG!T28</f>
        <v>0</v>
      </c>
      <c r="U28">
        <f>wFG!U28-woFG!U28</f>
        <v>0</v>
      </c>
      <c r="V28">
        <f>wFG!V28-woFG!V28</f>
        <v>0</v>
      </c>
      <c r="W28">
        <f>wFG!W28-woFG!W28</f>
        <v>0</v>
      </c>
      <c r="X28">
        <f>wFG!X28-woFG!X28</f>
        <v>0</v>
      </c>
      <c r="Y28">
        <f>wFG!Y28-woFG!Y28</f>
        <v>-4.5053931671097397E-16</v>
      </c>
      <c r="Z28">
        <f>wFG!Z28-woFG!Z28</f>
        <v>-4.6911792897690992E-16</v>
      </c>
      <c r="AA28">
        <f>wFG!AA28-woFG!AA28</f>
        <v>-4.1461851014542995E-16</v>
      </c>
      <c r="AB28">
        <f>wFG!AB28-woFG!AB28</f>
        <v>-4.4499867375691E-16</v>
      </c>
      <c r="AC28">
        <f>wFG!AC28-woFG!AC28</f>
        <v>-4.2166365831714982E-16</v>
      </c>
      <c r="AD28">
        <f>wFG!AD28-woFG!AD28</f>
        <v>-1.3663578251774306E-15</v>
      </c>
      <c r="AE28">
        <f>wFG!AE28-woFG!AE28</f>
        <v>-5.1720495339666016E-3</v>
      </c>
      <c r="AF28">
        <f>wFG!AF28-woFG!AF28</f>
        <v>-0.11304812101978001</v>
      </c>
      <c r="AK28" s="1">
        <f t="shared" si="1"/>
        <v>41547</v>
      </c>
      <c r="AL28">
        <f t="shared" si="2"/>
        <v>-4.0923925305750009E-3</v>
      </c>
      <c r="AM28">
        <f t="shared" si="3"/>
        <v>-9.6103300831752076E-8</v>
      </c>
      <c r="AN28">
        <f t="shared" si="4"/>
        <v>7.3444682824829188E-3</v>
      </c>
      <c r="AO28">
        <f t="shared" si="5"/>
        <v>8.0728429462176992E-5</v>
      </c>
      <c r="AP28">
        <f t="shared" si="6"/>
        <v>-0.17084900032627798</v>
      </c>
      <c r="AQ28">
        <f t="shared" si="7"/>
        <v>-1.7823229988622014E-2</v>
      </c>
      <c r="AR28">
        <f t="shared" si="8"/>
        <v>2.407537964494709E-2</v>
      </c>
      <c r="AS28">
        <f t="shared" si="9"/>
        <v>4.6336148678480127E-2</v>
      </c>
      <c r="AT28">
        <f t="shared" si="10"/>
        <v>1.8798728936235132E-3</v>
      </c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</row>
    <row r="29" spans="1:87" x14ac:dyDescent="0.25">
      <c r="A29" s="1">
        <v>41639</v>
      </c>
      <c r="B29">
        <f>wFG!B29-woFG!B29</f>
        <v>-4.1289603394780022E-3</v>
      </c>
      <c r="C29">
        <f>wFG!C29-woFG!C29</f>
        <v>-1.0553613075696303E-7</v>
      </c>
      <c r="D29">
        <f>wFG!D29-woFG!D29</f>
        <v>8.3846645903069561E-3</v>
      </c>
      <c r="E29">
        <f>wFG!E29-woFG!E29</f>
        <v>1.1420234420533496E-4</v>
      </c>
      <c r="F29">
        <f>wFG!F29-woFG!F29</f>
        <v>-0.18052578385242102</v>
      </c>
      <c r="G29">
        <f>wFG!G29-woFG!G29</f>
        <v>-1.8673741578968006E-2</v>
      </c>
      <c r="H29">
        <f>wFG!H29-woFG!H29</f>
        <v>2.4821702006450994E-2</v>
      </c>
      <c r="I29">
        <f>wFG!I29-woFG!I29</f>
        <v>-1.6580831579747974E-16</v>
      </c>
      <c r="J29">
        <f>wFG!J29-woFG!J29</f>
        <v>4.350544063673001E-16</v>
      </c>
      <c r="K29">
        <f>wFG!K29-woFG!K29</f>
        <v>-7.2758385860045207E-16</v>
      </c>
      <c r="L29">
        <f>wFG!L29-woFG!L29</f>
        <v>7.4217059922715989E-3</v>
      </c>
      <c r="M29">
        <f>wFG!M29-woFG!M29</f>
        <v>0</v>
      </c>
      <c r="N29">
        <f>wFG!N29-woFG!N29</f>
        <v>0</v>
      </c>
      <c r="O29">
        <f>wFG!O29-woFG!O29</f>
        <v>1.286205927132401E-14</v>
      </c>
      <c r="P29">
        <f>wFG!P29-woFG!P29</f>
        <v>0</v>
      </c>
      <c r="Q29">
        <f>wFG!Q29-woFG!Q29</f>
        <v>4.6011776722810094E-2</v>
      </c>
      <c r="R29">
        <f>wFG!R29-woFG!R29</f>
        <v>0</v>
      </c>
      <c r="S29">
        <f>wFG!S29-woFG!S29</f>
        <v>0</v>
      </c>
      <c r="T29">
        <f>wFG!T29-woFG!T29</f>
        <v>0</v>
      </c>
      <c r="U29">
        <f>wFG!U29-woFG!U29</f>
        <v>0</v>
      </c>
      <c r="V29">
        <f>wFG!V29-woFG!V29</f>
        <v>0</v>
      </c>
      <c r="W29">
        <f>wFG!W29-woFG!W29</f>
        <v>0</v>
      </c>
      <c r="X29">
        <f>wFG!X29-woFG!X29</f>
        <v>0</v>
      </c>
      <c r="Y29">
        <f>wFG!Y29-woFG!Y29</f>
        <v>-4.8293446870577993E-16</v>
      </c>
      <c r="Z29">
        <f>wFG!Z29-woFG!Z29</f>
        <v>-5.1646937537466505E-16</v>
      </c>
      <c r="AA29">
        <f>wFG!AA29-woFG!AA29</f>
        <v>-4.6386422774023027E-16</v>
      </c>
      <c r="AB29">
        <f>wFG!AB29-woFG!AB29</f>
        <v>-5.0122605846523007E-16</v>
      </c>
      <c r="AC29">
        <f>wFG!AC29-woFG!AC29</f>
        <v>-4.7514771794520022E-16</v>
      </c>
      <c r="AD29">
        <f>wFG!AD29-woFG!AD29</f>
        <v>-1.5042084578411799E-15</v>
      </c>
      <c r="AE29">
        <f>wFG!AE29-woFG!AE29</f>
        <v>-5.1182652528347986E-3</v>
      </c>
      <c r="AF29">
        <f>wFG!AF29-woFG!AF29</f>
        <v>-0.12169280490377998</v>
      </c>
      <c r="AK29" s="1">
        <f t="shared" si="1"/>
        <v>41639</v>
      </c>
      <c r="AL29">
        <f t="shared" si="2"/>
        <v>-4.1289603394780022E-3</v>
      </c>
      <c r="AM29">
        <f t="shared" si="3"/>
        <v>-1.0553613075696303E-7</v>
      </c>
      <c r="AN29">
        <f t="shared" si="4"/>
        <v>8.3846645903069561E-3</v>
      </c>
      <c r="AO29">
        <f t="shared" si="5"/>
        <v>1.1420234420533496E-4</v>
      </c>
      <c r="AP29">
        <f t="shared" si="6"/>
        <v>-0.18052578385242102</v>
      </c>
      <c r="AQ29">
        <f t="shared" si="7"/>
        <v>-1.8673741578968006E-2</v>
      </c>
      <c r="AR29">
        <f t="shared" si="8"/>
        <v>2.4821702006450994E-2</v>
      </c>
      <c r="AS29">
        <f t="shared" si="9"/>
        <v>4.6011776722810094E-2</v>
      </c>
      <c r="AT29">
        <f t="shared" si="10"/>
        <v>2.3034407394444401E-3</v>
      </c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</row>
    <row r="30" spans="1:87" x14ac:dyDescent="0.25">
      <c r="A30" s="1">
        <v>41729</v>
      </c>
      <c r="B30">
        <f>wFG!B30-woFG!B30</f>
        <v>-4.1587482716610169E-3</v>
      </c>
      <c r="C30">
        <f>wFG!C30-woFG!C30</f>
        <v>-7.1153599583585032E-8</v>
      </c>
      <c r="D30">
        <f>wFG!D30-woFG!D30</f>
        <v>7.1717523167230679E-3</v>
      </c>
      <c r="E30">
        <f>wFG!E30-woFG!E30</f>
        <v>1.3611955548341597E-4</v>
      </c>
      <c r="F30">
        <f>wFG!F30-woFG!F30</f>
        <v>-0.19442806413867397</v>
      </c>
      <c r="G30">
        <f>wFG!G30-woFG!G30</f>
        <v>-2.0424740212387799E-2</v>
      </c>
      <c r="H30">
        <f>wFG!H30-woFG!H30</f>
        <v>2.5468378179939993E-2</v>
      </c>
      <c r="I30">
        <f>wFG!I30-woFG!I30</f>
        <v>-1.6650811812085953E-16</v>
      </c>
      <c r="J30">
        <f>wFG!J30-woFG!J30</f>
        <v>4.854369233899002E-16</v>
      </c>
      <c r="K30">
        <f>wFG!K30-woFG!K30</f>
        <v>-7.0002933599051996E-16</v>
      </c>
      <c r="L30">
        <f>wFG!L30-woFG!L30</f>
        <v>7.8827020581034024E-3</v>
      </c>
      <c r="M30">
        <f>wFG!M30-woFG!M30</f>
        <v>0</v>
      </c>
      <c r="N30">
        <f>wFG!N30-woFG!N30</f>
        <v>0</v>
      </c>
      <c r="O30">
        <f>wFG!O30-woFG!O30</f>
        <v>1.3124582436362998E-14</v>
      </c>
      <c r="P30">
        <f>wFG!P30-woFG!P30</f>
        <v>0</v>
      </c>
      <c r="Q30">
        <f>wFG!Q30-woFG!Q30</f>
        <v>4.2318195610345999E-2</v>
      </c>
      <c r="R30">
        <f>wFG!R30-woFG!R30</f>
        <v>0</v>
      </c>
      <c r="S30">
        <f>wFG!S30-woFG!S30</f>
        <v>0</v>
      </c>
      <c r="T30">
        <f>wFG!T30-woFG!T30</f>
        <v>0</v>
      </c>
      <c r="U30">
        <f>wFG!U30-woFG!U30</f>
        <v>0</v>
      </c>
      <c r="V30">
        <f>wFG!V30-woFG!V30</f>
        <v>0</v>
      </c>
      <c r="W30">
        <f>wFG!W30-woFG!W30</f>
        <v>0</v>
      </c>
      <c r="X30">
        <f>wFG!X30-woFG!X30</f>
        <v>0</v>
      </c>
      <c r="Y30">
        <f>wFG!Y30-woFG!Y30</f>
        <v>-5.0272008351444495E-16</v>
      </c>
      <c r="Z30">
        <f>wFG!Z30-woFG!Z30</f>
        <v>-5.4424889747350011E-16</v>
      </c>
      <c r="AA30">
        <f>wFG!AA30-woFG!AA30</f>
        <v>-4.8914234771661003E-16</v>
      </c>
      <c r="AB30">
        <f>wFG!AB30-woFG!AB30</f>
        <v>-5.2473491435998024E-16</v>
      </c>
      <c r="AC30">
        <f>wFG!AC30-woFG!AC30</f>
        <v>-4.9212041828178968E-16</v>
      </c>
      <c r="AD30">
        <f>wFG!AD30-woFG!AD30</f>
        <v>-1.43331308596667E-15</v>
      </c>
      <c r="AE30">
        <f>wFG!AE30-woFG!AE30</f>
        <v>-5.0650669600787006E-3</v>
      </c>
      <c r="AF30">
        <f>wFG!AF30-woFG!AF30</f>
        <v>-0.14109954301580041</v>
      </c>
      <c r="AK30" s="1">
        <f t="shared" si="1"/>
        <v>41729</v>
      </c>
      <c r="AL30">
        <f t="shared" si="2"/>
        <v>-4.1587482716610169E-3</v>
      </c>
      <c r="AM30">
        <f t="shared" si="3"/>
        <v>-7.1153599583585032E-8</v>
      </c>
      <c r="AN30">
        <f t="shared" si="4"/>
        <v>7.1717523167230679E-3</v>
      </c>
      <c r="AO30">
        <f t="shared" si="5"/>
        <v>1.3611955548341597E-4</v>
      </c>
      <c r="AP30">
        <f t="shared" si="6"/>
        <v>-0.19442806413867397</v>
      </c>
      <c r="AQ30">
        <f t="shared" si="7"/>
        <v>-2.0424740212387799E-2</v>
      </c>
      <c r="AR30">
        <f t="shared" si="8"/>
        <v>2.5468378179939993E-2</v>
      </c>
      <c r="AS30">
        <f t="shared" si="9"/>
        <v>4.2318195610345999E-2</v>
      </c>
      <c r="AT30">
        <f t="shared" si="10"/>
        <v>2.8176350980294862E-3</v>
      </c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</row>
    <row r="31" spans="1:87" x14ac:dyDescent="0.25">
      <c r="A31" s="1">
        <v>41820</v>
      </c>
      <c r="B31">
        <f>wFG!B31-woFG!B31</f>
        <v>-4.2066709833460114E-3</v>
      </c>
      <c r="C31">
        <f>wFG!C31-woFG!C31</f>
        <v>-4.3996206536803026E-8</v>
      </c>
      <c r="D31">
        <f>wFG!D31-woFG!D31</f>
        <v>6.1280483146939346E-3</v>
      </c>
      <c r="E31">
        <f>wFG!E31-woFG!E31</f>
        <v>1.5430434726453721E-4</v>
      </c>
      <c r="F31">
        <f>wFG!F31-woFG!F31</f>
        <v>-0.20932384535786003</v>
      </c>
      <c r="G31">
        <f>wFG!G31-woFG!G31</f>
        <v>-2.2336694363762594E-2</v>
      </c>
      <c r="H31">
        <f>wFG!H31-woFG!H31</f>
        <v>2.6033155306922989E-2</v>
      </c>
      <c r="I31">
        <f>wFG!I31-woFG!I31</f>
        <v>-1.6689255338440988E-16</v>
      </c>
      <c r="J31">
        <f>wFG!J31-woFG!J31</f>
        <v>5.3622784733620214E-16</v>
      </c>
      <c r="K31">
        <f>wFG!K31-woFG!K31</f>
        <v>-6.6745319235621713E-16</v>
      </c>
      <c r="L31">
        <f>wFG!L31-woFG!L31</f>
        <v>8.2776195503099087E-3</v>
      </c>
      <c r="M31">
        <f>wFG!M31-woFG!M31</f>
        <v>0</v>
      </c>
      <c r="N31">
        <f>wFG!N31-woFG!N31</f>
        <v>0</v>
      </c>
      <c r="O31">
        <f>wFG!O31-woFG!O31</f>
        <v>1.3359284309222995E-14</v>
      </c>
      <c r="P31">
        <f>wFG!P31-woFG!P31</f>
        <v>0</v>
      </c>
      <c r="Q31">
        <f>wFG!Q31-woFG!Q31</f>
        <v>3.8161027765065025E-2</v>
      </c>
      <c r="R31">
        <f>wFG!R31-woFG!R31</f>
        <v>0</v>
      </c>
      <c r="S31">
        <f>wFG!S31-woFG!S31</f>
        <v>0</v>
      </c>
      <c r="T31">
        <f>wFG!T31-woFG!T31</f>
        <v>0</v>
      </c>
      <c r="U31">
        <f>wFG!U31-woFG!U31</f>
        <v>0</v>
      </c>
      <c r="V31">
        <f>wFG!V31-woFG!V31</f>
        <v>0</v>
      </c>
      <c r="W31">
        <f>wFG!W31-woFG!W31</f>
        <v>0</v>
      </c>
      <c r="X31">
        <f>wFG!X31-woFG!X31</f>
        <v>0</v>
      </c>
      <c r="Y31">
        <f>wFG!Y31-woFG!Y31</f>
        <v>-5.1978973165090992E-16</v>
      </c>
      <c r="Z31">
        <f>wFG!Z31-woFG!Z31</f>
        <v>-5.6936474174814E-16</v>
      </c>
      <c r="AA31">
        <f>wFG!AA31-woFG!AA31</f>
        <v>-5.1178446985152E-16</v>
      </c>
      <c r="AB31">
        <f>wFG!AB31-woFG!AB31</f>
        <v>-5.4493139477851005E-16</v>
      </c>
      <c r="AC31">
        <f>wFG!AC31-woFG!AC31</f>
        <v>-4.5981746964006023E-16</v>
      </c>
      <c r="AD31">
        <f>wFG!AD31-woFG!AD31</f>
        <v>-1.3902138321925705E-15</v>
      </c>
      <c r="AE31">
        <f>wFG!AE31-woFG!AE31</f>
        <v>-5.0124478508585986E-3</v>
      </c>
      <c r="AF31">
        <f>wFG!AF31-woFG!AF31</f>
        <v>-0.16212554726777029</v>
      </c>
      <c r="AK31" s="1">
        <f t="shared" si="1"/>
        <v>41820</v>
      </c>
      <c r="AL31">
        <f t="shared" si="2"/>
        <v>-4.2066709833460114E-3</v>
      </c>
      <c r="AM31">
        <f t="shared" si="3"/>
        <v>-4.3996206536803026E-8</v>
      </c>
      <c r="AN31">
        <f t="shared" si="4"/>
        <v>6.1280483146939346E-3</v>
      </c>
      <c r="AO31">
        <f t="shared" si="5"/>
        <v>1.5430434726453721E-4</v>
      </c>
      <c r="AP31">
        <f t="shared" si="6"/>
        <v>-0.20932384535786003</v>
      </c>
      <c r="AQ31">
        <f t="shared" si="7"/>
        <v>-2.2336694363762594E-2</v>
      </c>
      <c r="AR31">
        <f t="shared" si="8"/>
        <v>2.6033155306922989E-2</v>
      </c>
      <c r="AS31">
        <f t="shared" si="9"/>
        <v>3.8161027765065025E-2</v>
      </c>
      <c r="AT31">
        <f t="shared" si="10"/>
        <v>3.2651716994583913E-3</v>
      </c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</row>
    <row r="32" spans="1:87" x14ac:dyDescent="0.25">
      <c r="A32" s="1">
        <v>41912</v>
      </c>
      <c r="B32">
        <f>wFG!B32-woFG!B32</f>
        <v>-4.2733175954640101E-3</v>
      </c>
      <c r="C32">
        <f>wFG!C32-woFG!C32</f>
        <v>-2.2955067856402072E-8</v>
      </c>
      <c r="D32">
        <f>wFG!D32-woFG!D32</f>
        <v>5.3004250863499802E-3</v>
      </c>
      <c r="E32">
        <f>wFG!E32-woFG!E32</f>
        <v>1.6960838843026538E-4</v>
      </c>
      <c r="F32">
        <f>wFG!F32-woFG!F32</f>
        <v>-0.225009796084466</v>
      </c>
      <c r="G32">
        <f>wFG!G32-woFG!G32</f>
        <v>-2.4337640542364897E-2</v>
      </c>
      <c r="H32">
        <f>wFG!H32-woFG!H32</f>
        <v>2.6502694343432998E-2</v>
      </c>
      <c r="I32">
        <f>wFG!I32-woFG!I32</f>
        <v>-1.6717875955392037E-16</v>
      </c>
      <c r="J32">
        <f>wFG!J32-woFG!J32</f>
        <v>5.8708919607309852E-16</v>
      </c>
      <c r="K32">
        <f>wFG!K32-woFG!K32</f>
        <v>-6.3324755946745995E-16</v>
      </c>
      <c r="L32">
        <f>wFG!L32-woFG!L32</f>
        <v>8.5918605929648922E-3</v>
      </c>
      <c r="M32">
        <f>wFG!M32-woFG!M32</f>
        <v>0</v>
      </c>
      <c r="N32">
        <f>wFG!N32-woFG!N32</f>
        <v>0</v>
      </c>
      <c r="O32">
        <f>wFG!O32-woFG!O32</f>
        <v>1.3569298929335991E-14</v>
      </c>
      <c r="P32">
        <f>wFG!P32-woFG!P32</f>
        <v>0</v>
      </c>
      <c r="Q32">
        <f>wFG!Q32-woFG!Q32</f>
        <v>3.3662027993962007E-2</v>
      </c>
      <c r="R32">
        <f>wFG!R32-woFG!R32</f>
        <v>0</v>
      </c>
      <c r="S32">
        <f>wFG!S32-woFG!S32</f>
        <v>0</v>
      </c>
      <c r="T32">
        <f>wFG!T32-woFG!T32</f>
        <v>0</v>
      </c>
      <c r="U32">
        <f>wFG!U32-woFG!U32</f>
        <v>0</v>
      </c>
      <c r="V32">
        <f>wFG!V32-woFG!V32</f>
        <v>0</v>
      </c>
      <c r="W32">
        <f>wFG!W32-woFG!W32</f>
        <v>0</v>
      </c>
      <c r="X32">
        <f>wFG!X32-woFG!X32</f>
        <v>0</v>
      </c>
      <c r="Y32">
        <f>wFG!Y32-woFG!Y32</f>
        <v>-5.3624688304708979E-16</v>
      </c>
      <c r="Z32">
        <f>wFG!Z32-woFG!Z32</f>
        <v>-5.9422783165565002E-16</v>
      </c>
      <c r="AA32">
        <f>wFG!AA32-woFG!AA32</f>
        <v>-5.3426991107551986E-16</v>
      </c>
      <c r="AB32">
        <f>wFG!AB32-woFG!AB32</f>
        <v>-5.3326788466330004E-16</v>
      </c>
      <c r="AC32">
        <f>wFG!AC32-woFG!AC32</f>
        <v>-4.4249057625107E-16</v>
      </c>
      <c r="AD32">
        <f>wFG!AD32-woFG!AD32</f>
        <v>-1.3617838963698001E-15</v>
      </c>
      <c r="AE32">
        <f>wFG!AE32-woFG!AE32</f>
        <v>-4.9604012060529973E-3</v>
      </c>
      <c r="AF32">
        <f>wFG!AF32-woFG!AF32</f>
        <v>-0.18435456197825983</v>
      </c>
      <c r="AK32" s="1">
        <f t="shared" si="1"/>
        <v>41912</v>
      </c>
      <c r="AL32">
        <f t="shared" si="2"/>
        <v>-4.2733175954640101E-3</v>
      </c>
      <c r="AM32">
        <f t="shared" si="3"/>
        <v>-2.2955067856402072E-8</v>
      </c>
      <c r="AN32">
        <f t="shared" si="4"/>
        <v>5.3004250863499802E-3</v>
      </c>
      <c r="AO32">
        <f t="shared" si="5"/>
        <v>1.6960838843026538E-4</v>
      </c>
      <c r="AP32">
        <f t="shared" si="6"/>
        <v>-0.225009796084466</v>
      </c>
      <c r="AQ32">
        <f t="shared" si="7"/>
        <v>-2.4337640542364897E-2</v>
      </c>
      <c r="AR32">
        <f t="shared" si="8"/>
        <v>2.6502694343432998E-2</v>
      </c>
      <c r="AS32">
        <f t="shared" si="9"/>
        <v>3.3662027993962007E-2</v>
      </c>
      <c r="AT32">
        <f t="shared" si="10"/>
        <v>3.6314593869276879E-3</v>
      </c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</row>
    <row r="33" spans="1:87" x14ac:dyDescent="0.25">
      <c r="A33" s="1">
        <v>42004</v>
      </c>
      <c r="B33">
        <f>wFG!B33-woFG!B33</f>
        <v>-4.358539211821999E-3</v>
      </c>
      <c r="C33">
        <f>wFG!C33-woFG!C33</f>
        <v>-5.7770911932229576E-9</v>
      </c>
      <c r="D33">
        <f>wFG!D33-woFG!D33</f>
        <v>4.6483851965929412E-3</v>
      </c>
      <c r="E33">
        <f>wFG!E33-woFG!E33</f>
        <v>1.8219423858453098E-4</v>
      </c>
      <c r="F33">
        <f>wFG!F33-woFG!F33</f>
        <v>-0.24142644700233706</v>
      </c>
      <c r="G33">
        <f>wFG!G33-woFG!G33</f>
        <v>-2.6375582512391096E-2</v>
      </c>
      <c r="H33">
        <f>wFG!H33-woFG!H33</f>
        <v>2.6862841275073018E-2</v>
      </c>
      <c r="I33">
        <f>wFG!I33-woFG!I33</f>
        <v>-1.6729215761014984E-16</v>
      </c>
      <c r="J33">
        <f>wFG!J33-woFG!J33</f>
        <v>6.3768138396769769E-16</v>
      </c>
      <c r="K33">
        <f>wFG!K33-woFG!K33</f>
        <v>-5.9989536150598003E-16</v>
      </c>
      <c r="L33">
        <f>wFG!L33-woFG!L33</f>
        <v>8.841799936309902E-3</v>
      </c>
      <c r="M33">
        <f>wFG!M33-woFG!M33</f>
        <v>0</v>
      </c>
      <c r="N33">
        <f>wFG!N33-woFG!N33</f>
        <v>0</v>
      </c>
      <c r="O33">
        <f>wFG!O33-woFG!O33</f>
        <v>1.3754073961490994E-14</v>
      </c>
      <c r="P33">
        <f>wFG!P33-woFG!P33</f>
        <v>0</v>
      </c>
      <c r="Q33">
        <f>wFG!Q33-woFG!Q33</f>
        <v>2.8815463916785022E-2</v>
      </c>
      <c r="R33">
        <f>wFG!R33-woFG!R33</f>
        <v>0</v>
      </c>
      <c r="S33">
        <f>wFG!S33-woFG!S33</f>
        <v>0</v>
      </c>
      <c r="T33">
        <f>wFG!T33-woFG!T33</f>
        <v>0</v>
      </c>
      <c r="U33">
        <f>wFG!U33-woFG!U33</f>
        <v>0</v>
      </c>
      <c r="V33">
        <f>wFG!V33-woFG!V33</f>
        <v>0</v>
      </c>
      <c r="W33">
        <f>wFG!W33-woFG!W33</f>
        <v>0</v>
      </c>
      <c r="X33">
        <f>wFG!X33-woFG!X33</f>
        <v>0</v>
      </c>
      <c r="Y33">
        <f>wFG!Y33-woFG!Y33</f>
        <v>-5.5310826295245999E-16</v>
      </c>
      <c r="Z33">
        <f>wFG!Z33-woFG!Z33</f>
        <v>-6.1977128972796997E-16</v>
      </c>
      <c r="AA33">
        <f>wFG!AA33-woFG!AA33</f>
        <v>-5.3804082282774983E-16</v>
      </c>
      <c r="AB33">
        <f>wFG!AB33-woFG!AB33</f>
        <v>-5.302143992377797E-16</v>
      </c>
      <c r="AC33">
        <f>wFG!AC33-woFG!AC33</f>
        <v>-4.3402398411787993E-16</v>
      </c>
      <c r="AD33">
        <f>wFG!AD33-woFG!AD33</f>
        <v>-1.3408593183107896E-15</v>
      </c>
      <c r="AE33">
        <f>wFG!AE33-woFG!AE33</f>
        <v>-4.9089203910894011E-3</v>
      </c>
      <c r="AF33">
        <f>wFG!AF33-woFG!AF33</f>
        <v>-0.20771881033136985</v>
      </c>
      <c r="AK33" s="1">
        <f t="shared" si="1"/>
        <v>42004</v>
      </c>
      <c r="AL33">
        <f t="shared" si="2"/>
        <v>-4.358539211821999E-3</v>
      </c>
      <c r="AM33">
        <f t="shared" si="3"/>
        <v>-5.7770911932229576E-9</v>
      </c>
      <c r="AN33">
        <f t="shared" si="4"/>
        <v>4.6483851965929412E-3</v>
      </c>
      <c r="AO33">
        <f t="shared" si="5"/>
        <v>1.8219423858453098E-4</v>
      </c>
      <c r="AP33">
        <f t="shared" si="6"/>
        <v>-0.24142644700233706</v>
      </c>
      <c r="AQ33">
        <f t="shared" si="7"/>
        <v>-2.6375582512391096E-2</v>
      </c>
      <c r="AR33">
        <f t="shared" si="8"/>
        <v>2.6862841275073018E-2</v>
      </c>
      <c r="AS33">
        <f t="shared" si="9"/>
        <v>2.8815463916785022E-2</v>
      </c>
      <c r="AT33">
        <f t="shared" si="10"/>
        <v>3.9328795452359955E-3</v>
      </c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</row>
    <row r="34" spans="1:87" x14ac:dyDescent="0.25">
      <c r="A34" s="1">
        <v>42094</v>
      </c>
      <c r="B34">
        <f>wFG!B34-woFG!B34</f>
        <v>-4.4617472402310177E-3</v>
      </c>
      <c r="C34">
        <f>wFG!C34-woFG!C34</f>
        <v>9.6273481035230194E-9</v>
      </c>
      <c r="D34">
        <f>wFG!D34-woFG!D34</f>
        <v>4.1167445755759813E-3</v>
      </c>
      <c r="E34">
        <f>wFG!E34-woFG!E34</f>
        <v>1.9276290099231423E-4</v>
      </c>
      <c r="F34">
        <f>wFG!F34-woFG!F34</f>
        <v>-0.258561106031301</v>
      </c>
      <c r="G34">
        <f>wFG!G34-woFG!G34</f>
        <v>-2.8388124332883301E-2</v>
      </c>
      <c r="H34">
        <f>wFG!H34-woFG!H34</f>
        <v>2.7098143695936022E-2</v>
      </c>
      <c r="I34">
        <f>wFG!I34-woFG!I34</f>
        <v>-1.6711438753037003E-16</v>
      </c>
      <c r="J34">
        <f>wFG!J34-woFG!J34</f>
        <v>6.876421519269015E-16</v>
      </c>
      <c r="K34">
        <f>wFG!K34-woFG!K34</f>
        <v>-5.6928982185179996E-16</v>
      </c>
      <c r="L34">
        <f>wFG!L34-woFG!L34</f>
        <v>9.0675073228781988E-3</v>
      </c>
      <c r="M34">
        <f>wFG!M34-woFG!M34</f>
        <v>0</v>
      </c>
      <c r="N34">
        <f>wFG!N34-woFG!N34</f>
        <v>0</v>
      </c>
      <c r="O34">
        <f>wFG!O34-woFG!O34</f>
        <v>1.3911905984282002E-14</v>
      </c>
      <c r="P34">
        <f>wFG!P34-woFG!P34</f>
        <v>0</v>
      </c>
      <c r="Q34">
        <f>wFG!Q34-woFG!Q34</f>
        <v>2.3567906644957004E-2</v>
      </c>
      <c r="R34">
        <f>wFG!R34-woFG!R34</f>
        <v>0</v>
      </c>
      <c r="S34">
        <f>wFG!S34-woFG!S34</f>
        <v>0</v>
      </c>
      <c r="T34">
        <f>wFG!T34-woFG!T34</f>
        <v>0</v>
      </c>
      <c r="U34">
        <f>wFG!U34-woFG!U34</f>
        <v>0</v>
      </c>
      <c r="V34">
        <f>wFG!V34-woFG!V34</f>
        <v>0</v>
      </c>
      <c r="W34">
        <f>wFG!W34-woFG!W34</f>
        <v>0</v>
      </c>
      <c r="X34">
        <f>wFG!X34-woFG!X34</f>
        <v>0</v>
      </c>
      <c r="Y34">
        <f>wFG!Y34-woFG!Y34</f>
        <v>-5.7121443999189983E-16</v>
      </c>
      <c r="Z34">
        <f>wFG!Z34-woFG!Z34</f>
        <v>-6.3501183116459013E-16</v>
      </c>
      <c r="AA34">
        <f>wFG!AA34-woFG!AA34</f>
        <v>-5.4649988271776005E-16</v>
      </c>
      <c r="AB34">
        <f>wFG!AB34-woFG!AB34</f>
        <v>-5.3216107726999001E-16</v>
      </c>
      <c r="AC34">
        <f>wFG!AC34-woFG!AC34</f>
        <v>-4.2985838757530993E-16</v>
      </c>
      <c r="AD34">
        <f>wFG!AD34-woFG!AD34</f>
        <v>-1.3222977369181301E-15</v>
      </c>
      <c r="AE34">
        <f>wFG!AE34-woFG!AE34</f>
        <v>-4.8579988547915003E-3</v>
      </c>
      <c r="AF34">
        <f>wFG!AF34-woFG!AF34</f>
        <v>-0.23222590169151003</v>
      </c>
      <c r="AK34" s="1">
        <f t="shared" si="1"/>
        <v>42094</v>
      </c>
      <c r="AL34">
        <f t="shared" si="2"/>
        <v>-4.4617472402310177E-3</v>
      </c>
      <c r="AM34">
        <f t="shared" si="3"/>
        <v>9.6273481035230194E-9</v>
      </c>
      <c r="AN34">
        <f t="shared" si="4"/>
        <v>4.1167445755759813E-3</v>
      </c>
      <c r="AO34">
        <f t="shared" si="5"/>
        <v>1.9276290099231423E-4</v>
      </c>
      <c r="AP34">
        <f t="shared" si="6"/>
        <v>-0.258561106031301</v>
      </c>
      <c r="AQ34">
        <f t="shared" si="7"/>
        <v>-2.8388124332883301E-2</v>
      </c>
      <c r="AR34">
        <f t="shared" si="8"/>
        <v>2.7098143695936022E-2</v>
      </c>
      <c r="AS34">
        <f t="shared" si="9"/>
        <v>2.3567906644957004E-2</v>
      </c>
      <c r="AT34">
        <f t="shared" si="10"/>
        <v>4.2095084680958683E-3</v>
      </c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</row>
    <row r="35" spans="1:87" x14ac:dyDescent="0.25">
      <c r="A35" s="1">
        <v>42185</v>
      </c>
      <c r="B35">
        <f>wFG!B35-woFG!B35</f>
        <v>-4.5819205180920031E-3</v>
      </c>
      <c r="C35">
        <f>wFG!C35-woFG!C35</f>
        <v>2.2085546734401108E-8</v>
      </c>
      <c r="D35">
        <f>wFG!D35-woFG!D35</f>
        <v>3.7171388760239843E-3</v>
      </c>
      <c r="E35">
        <f>wFG!E35-woFG!E35</f>
        <v>2.034190986041439E-4</v>
      </c>
      <c r="F35">
        <f>wFG!F35-woFG!F35</f>
        <v>-0.276356266947544</v>
      </c>
      <c r="G35">
        <f>wFG!G35-woFG!G35</f>
        <v>-3.0281943389241797E-2</v>
      </c>
      <c r="H35">
        <f>wFG!H35-woFG!H35</f>
        <v>2.7192571440918994E-2</v>
      </c>
      <c r="I35">
        <f>wFG!I35-woFG!I35</f>
        <v>-1.667140995889198E-16</v>
      </c>
      <c r="J35">
        <f>wFG!J35-woFG!J35</f>
        <v>7.3657601658320021E-16</v>
      </c>
      <c r="K35">
        <f>wFG!K35-woFG!K35</f>
        <v>-5.4253300635611975E-16</v>
      </c>
      <c r="L35">
        <f>wFG!L35-woFG!L35</f>
        <v>9.3321919731432987E-3</v>
      </c>
      <c r="M35">
        <f>wFG!M35-woFG!M35</f>
        <v>0</v>
      </c>
      <c r="N35">
        <f>wFG!N35-woFG!N35</f>
        <v>0</v>
      </c>
      <c r="O35">
        <f>wFG!O35-woFG!O35</f>
        <v>1.4041309855981009E-14</v>
      </c>
      <c r="P35">
        <f>wFG!P35-woFG!P35</f>
        <v>0</v>
      </c>
      <c r="Q35">
        <f>wFG!Q35-woFG!Q35</f>
        <v>1.7896943798097031E-2</v>
      </c>
      <c r="R35">
        <f>wFG!R35-woFG!R35</f>
        <v>0</v>
      </c>
      <c r="S35">
        <f>wFG!S35-woFG!S35</f>
        <v>0</v>
      </c>
      <c r="T35">
        <f>wFG!T35-woFG!T35</f>
        <v>0</v>
      </c>
      <c r="U35">
        <f>wFG!U35-woFG!U35</f>
        <v>0</v>
      </c>
      <c r="V35">
        <f>wFG!V35-woFG!V35</f>
        <v>0</v>
      </c>
      <c r="W35">
        <f>wFG!W35-woFG!W35</f>
        <v>0</v>
      </c>
      <c r="X35">
        <f>wFG!X35-woFG!X35</f>
        <v>0</v>
      </c>
      <c r="Y35">
        <f>wFG!Y35-woFG!Y35</f>
        <v>-5.928137183009699E-16</v>
      </c>
      <c r="Z35">
        <f>wFG!Z35-woFG!Z35</f>
        <v>-6.500707971609101E-16</v>
      </c>
      <c r="AA35">
        <f>wFG!AA35-woFG!AA35</f>
        <v>-5.5530704042548996E-16</v>
      </c>
      <c r="AB35">
        <f>wFG!AB35-woFG!AB35</f>
        <v>-5.3423337576920978E-16</v>
      </c>
      <c r="AC35">
        <f>wFG!AC35-woFG!AC35</f>
        <v>-4.2480073038001006E-16</v>
      </c>
      <c r="AD35">
        <f>wFG!AD35-woFG!AD35</f>
        <v>-1.3012070109374399E-15</v>
      </c>
      <c r="AE35">
        <f>wFG!AE35-woFG!AE35</f>
        <v>-4.8076301282438984E-3</v>
      </c>
      <c r="AF35">
        <f>wFG!AF35-woFG!AF35</f>
        <v>-0.25768547371077011</v>
      </c>
      <c r="AK35" s="1">
        <f t="shared" si="1"/>
        <v>42185</v>
      </c>
      <c r="AL35">
        <f t="shared" si="2"/>
        <v>-4.5819205180920031E-3</v>
      </c>
      <c r="AM35">
        <f t="shared" si="3"/>
        <v>2.2085546734401108E-8</v>
      </c>
      <c r="AN35">
        <f t="shared" si="4"/>
        <v>3.7171388760239843E-3</v>
      </c>
      <c r="AO35">
        <f t="shared" si="5"/>
        <v>2.034190986041439E-4</v>
      </c>
      <c r="AP35">
        <f t="shared" si="6"/>
        <v>-0.276356266947544</v>
      </c>
      <c r="AQ35">
        <f t="shared" si="7"/>
        <v>-3.0281943389241797E-2</v>
      </c>
      <c r="AR35">
        <f t="shared" si="8"/>
        <v>2.7192571440918994E-2</v>
      </c>
      <c r="AS35">
        <f t="shared" si="9"/>
        <v>1.7896943798097031E-2</v>
      </c>
      <c r="AT35">
        <f t="shared" si="10"/>
        <v>4.5245618449167857E-3</v>
      </c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</row>
    <row r="36" spans="1:87" x14ac:dyDescent="0.25">
      <c r="A36" s="1">
        <v>42277</v>
      </c>
      <c r="B36">
        <f>wFG!B36-woFG!B36</f>
        <v>-4.7454091027659961E-3</v>
      </c>
      <c r="C36">
        <f>wFG!C36-woFG!C36</f>
        <v>7.1397746248138957E-8</v>
      </c>
      <c r="D36">
        <f>wFG!D36-woFG!D36</f>
        <v>3.0153855840200361E-3</v>
      </c>
      <c r="E36">
        <f>wFG!E36-woFG!E36</f>
        <v>2.57105685580006E-4</v>
      </c>
      <c r="F36">
        <f>wFG!F36-woFG!F36</f>
        <v>-0.29494808670817696</v>
      </c>
      <c r="G36">
        <f>wFG!G36-woFG!G36</f>
        <v>-3.1734242417672788E-2</v>
      </c>
      <c r="H36">
        <f>wFG!H36-woFG!H36</f>
        <v>2.7183070537091986E-2</v>
      </c>
      <c r="I36">
        <f>wFG!I36-woFG!I36</f>
        <v>-1.6984500902870978E-16</v>
      </c>
      <c r="J36">
        <f>wFG!J36-woFG!J36</f>
        <v>7.8372335041129732E-16</v>
      </c>
      <c r="K36">
        <f>wFG!K36-woFG!K36</f>
        <v>-6.1622859347853996E-16</v>
      </c>
      <c r="L36">
        <f>wFG!L36-woFG!L36</f>
        <v>9.606540458585798E-3</v>
      </c>
      <c r="M36">
        <f>wFG!M36-woFG!M36</f>
        <v>0</v>
      </c>
      <c r="N36">
        <f>wFG!N36-woFG!N36</f>
        <v>0</v>
      </c>
      <c r="O36">
        <f>wFG!O36-woFG!O36</f>
        <v>1.4150415318654004E-14</v>
      </c>
      <c r="P36">
        <f>wFG!P36-woFG!P36</f>
        <v>0</v>
      </c>
      <c r="Q36">
        <f>wFG!Q36-woFG!Q36</f>
        <v>1.1849696408133936E-2</v>
      </c>
      <c r="R36">
        <f>wFG!R36-woFG!R36</f>
        <v>0</v>
      </c>
      <c r="S36">
        <f>wFG!S36-woFG!S36</f>
        <v>0</v>
      </c>
      <c r="T36">
        <f>wFG!T36-woFG!T36</f>
        <v>0</v>
      </c>
      <c r="U36">
        <f>wFG!U36-woFG!U36</f>
        <v>0</v>
      </c>
      <c r="V36">
        <f>wFG!V36-woFG!V36</f>
        <v>0</v>
      </c>
      <c r="W36">
        <f>wFG!W36-woFG!W36</f>
        <v>0</v>
      </c>
      <c r="X36">
        <f>wFG!X36-woFG!X36</f>
        <v>0</v>
      </c>
      <c r="Y36">
        <f>wFG!Y36-woFG!Y36</f>
        <v>-6.0015221864610001E-16</v>
      </c>
      <c r="Z36">
        <f>wFG!Z36-woFG!Z36</f>
        <v>-6.5243876409700003E-16</v>
      </c>
      <c r="AA36">
        <f>wFG!AA36-woFG!AA36</f>
        <v>-5.5342926286342993E-16</v>
      </c>
      <c r="AB36">
        <f>wFG!AB36-woFG!AB36</f>
        <v>-5.2656683864083957E-16</v>
      </c>
      <c r="AC36">
        <f>wFG!AC36-woFG!AC36</f>
        <v>-4.1054844575857991E-16</v>
      </c>
      <c r="AD36">
        <f>wFG!AD36-woFG!AD36</f>
        <v>-1.2709056422970399E-15</v>
      </c>
      <c r="AE36">
        <f>wFG!AE36-woFG!AE36</f>
        <v>-4.7578078236705998E-3</v>
      </c>
      <c r="AF36">
        <f>wFG!AF36-woFG!AF36</f>
        <v>-0.28427367598112019</v>
      </c>
      <c r="AK36" s="1">
        <f t="shared" si="1"/>
        <v>42277</v>
      </c>
      <c r="AL36">
        <f t="shared" si="2"/>
        <v>-4.7454091027659961E-3</v>
      </c>
      <c r="AM36">
        <f t="shared" si="3"/>
        <v>7.1397746248138957E-8</v>
      </c>
      <c r="AN36">
        <f t="shared" si="4"/>
        <v>3.0153855840200361E-3</v>
      </c>
      <c r="AO36">
        <f t="shared" si="5"/>
        <v>2.57105685580006E-4</v>
      </c>
      <c r="AP36">
        <f t="shared" si="6"/>
        <v>-0.29494808670817696</v>
      </c>
      <c r="AQ36">
        <f t="shared" si="7"/>
        <v>-3.1734242417672788E-2</v>
      </c>
      <c r="AR36">
        <f t="shared" si="8"/>
        <v>2.7183070537091986E-2</v>
      </c>
      <c r="AS36">
        <f t="shared" si="9"/>
        <v>1.1849696408133936E-2</v>
      </c>
      <c r="AT36">
        <f t="shared" si="10"/>
        <v>4.8487326349233584E-3</v>
      </c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</row>
    <row r="37" spans="1:87" x14ac:dyDescent="0.25">
      <c r="A37" s="1">
        <v>42369</v>
      </c>
      <c r="B37">
        <f>wFG!B37-woFG!B37</f>
        <v>-4.9210602525759928E-3</v>
      </c>
      <c r="C37">
        <f>wFG!C37-woFG!C37</f>
        <v>1.0517946303183198E-7</v>
      </c>
      <c r="D37">
        <f>wFG!D37-woFG!D37</f>
        <v>2.6318275628300913E-3</v>
      </c>
      <c r="E37">
        <f>wFG!E37-woFG!E37</f>
        <v>3.0902132558597537E-4</v>
      </c>
      <c r="F37">
        <f>wFG!F37-woFG!F37</f>
        <v>-0.31404358372512198</v>
      </c>
      <c r="G37">
        <f>wFG!G37-woFG!G37</f>
        <v>-3.3163796481293001E-2</v>
      </c>
      <c r="H37">
        <f>wFG!H37-woFG!H37</f>
        <v>2.7012313889815981E-2</v>
      </c>
      <c r="I37">
        <f>wFG!I37-woFG!I37</f>
        <v>-1.7204279742647996E-16</v>
      </c>
      <c r="J37">
        <f>wFG!J37-woFG!J37</f>
        <v>8.2910387838330067E-16</v>
      </c>
      <c r="K37">
        <f>wFG!K37-woFG!K37</f>
        <v>-6.7590724687988993E-16</v>
      </c>
      <c r="L37">
        <f>wFG!L37-woFG!L37</f>
        <v>9.8366324528088214E-3</v>
      </c>
      <c r="M37">
        <f>wFG!M37-woFG!M37</f>
        <v>0</v>
      </c>
      <c r="N37">
        <f>wFG!N37-woFG!N37</f>
        <v>0</v>
      </c>
      <c r="O37">
        <f>wFG!O37-woFG!O37</f>
        <v>1.4238818041053996E-14</v>
      </c>
      <c r="P37">
        <f>wFG!P37-woFG!P37</f>
        <v>0</v>
      </c>
      <c r="Q37">
        <f>wFG!Q37-woFG!Q37</f>
        <v>5.6940042985260675E-3</v>
      </c>
      <c r="R37">
        <f>wFG!R37-woFG!R37</f>
        <v>0</v>
      </c>
      <c r="S37">
        <f>wFG!S37-woFG!S37</f>
        <v>0</v>
      </c>
      <c r="T37">
        <f>wFG!T37-woFG!T37</f>
        <v>0</v>
      </c>
      <c r="U37">
        <f>wFG!U37-woFG!U37</f>
        <v>0</v>
      </c>
      <c r="V37">
        <f>wFG!V37-woFG!V37</f>
        <v>0</v>
      </c>
      <c r="W37">
        <f>wFG!W37-woFG!W37</f>
        <v>0</v>
      </c>
      <c r="X37">
        <f>wFG!X37-woFG!X37</f>
        <v>0</v>
      </c>
      <c r="Y37">
        <f>wFG!Y37-woFG!Y37</f>
        <v>-6.0517829669189978E-16</v>
      </c>
      <c r="Z37">
        <f>wFG!Z37-woFG!Z37</f>
        <v>-6.5268416714933005E-16</v>
      </c>
      <c r="AA37">
        <f>wFG!AA37-woFG!AA37</f>
        <v>-5.4906823292188004E-16</v>
      </c>
      <c r="AB37">
        <f>wFG!AB37-woFG!AB37</f>
        <v>-5.1551958086026999E-16</v>
      </c>
      <c r="AC37">
        <f>wFG!AC37-woFG!AC37</f>
        <v>-3.9138405610481007E-16</v>
      </c>
      <c r="AD37">
        <f>wFG!AD37-woFG!AD37</f>
        <v>-1.2333434683118998E-15</v>
      </c>
      <c r="AE37">
        <f>wFG!AE37-woFG!AE37</f>
        <v>-4.7085256333317012E-3</v>
      </c>
      <c r="AF37">
        <f>wFG!AF37-woFG!AF37</f>
        <v>-0.31135306138327978</v>
      </c>
      <c r="AK37" s="1">
        <f t="shared" si="1"/>
        <v>42369</v>
      </c>
      <c r="AL37">
        <f t="shared" si="2"/>
        <v>-4.9210602525759928E-3</v>
      </c>
      <c r="AM37">
        <f t="shared" si="3"/>
        <v>1.0517946303183198E-7</v>
      </c>
      <c r="AN37">
        <f t="shared" si="4"/>
        <v>2.6318275628300913E-3</v>
      </c>
      <c r="AO37">
        <f t="shared" si="5"/>
        <v>3.0902132558597537E-4</v>
      </c>
      <c r="AP37">
        <f t="shared" si="6"/>
        <v>-0.31404358372512198</v>
      </c>
      <c r="AQ37">
        <f t="shared" si="7"/>
        <v>-3.3163796481293001E-2</v>
      </c>
      <c r="AR37">
        <f t="shared" si="8"/>
        <v>2.7012313889815981E-2</v>
      </c>
      <c r="AS37">
        <f t="shared" si="9"/>
        <v>5.6940042985260675E-3</v>
      </c>
      <c r="AT37">
        <f t="shared" si="10"/>
        <v>5.1281068194900525E-3</v>
      </c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</row>
    <row r="38" spans="1:87" x14ac:dyDescent="0.25">
      <c r="A38" s="1">
        <v>42460</v>
      </c>
      <c r="B38">
        <f>wFG!B38-woFG!B38</f>
        <v>-5.114941784901017E-3</v>
      </c>
      <c r="C38">
        <f>wFG!C38-woFG!C38</f>
        <v>1.318161353337938E-7</v>
      </c>
      <c r="D38">
        <f>wFG!D38-woFG!D38</f>
        <v>2.4288608281399782E-3</v>
      </c>
      <c r="E38">
        <f>wFG!E38-woFG!E38</f>
        <v>3.6135790960459301E-4</v>
      </c>
      <c r="F38">
        <f>wFG!F38-woFG!F38</f>
        <v>-0.33377732056360199</v>
      </c>
      <c r="G38">
        <f>wFG!G38-woFG!G38</f>
        <v>-3.4569475301314004E-2</v>
      </c>
      <c r="H38">
        <f>wFG!H38-woFG!H38</f>
        <v>2.6680463777107005E-2</v>
      </c>
      <c r="I38">
        <f>wFG!I38-woFG!I38</f>
        <v>-1.7371187859151949E-16</v>
      </c>
      <c r="J38">
        <f>wFG!J38-woFG!J38</f>
        <v>8.7229222875999843E-16</v>
      </c>
      <c r="K38">
        <f>wFG!K38-woFG!K38</f>
        <v>-7.2889121583115004E-16</v>
      </c>
      <c r="L38">
        <f>wFG!L38-woFG!L38</f>
        <v>1.00226569640293E-2</v>
      </c>
      <c r="M38">
        <f>wFG!M38-woFG!M38</f>
        <v>0</v>
      </c>
      <c r="N38">
        <f>wFG!N38-woFG!N38</f>
        <v>0</v>
      </c>
      <c r="O38">
        <f>wFG!O38-woFG!O38</f>
        <v>1.4299021001499005E-14</v>
      </c>
      <c r="P38">
        <f>wFG!P38-woFG!P38</f>
        <v>0</v>
      </c>
      <c r="Q38">
        <f>wFG!Q38-woFG!Q38</f>
        <v>-7.2075100149393556E-4</v>
      </c>
      <c r="R38">
        <f>wFG!R38-woFG!R38</f>
        <v>0</v>
      </c>
      <c r="S38">
        <f>wFG!S38-woFG!S38</f>
        <v>0</v>
      </c>
      <c r="T38">
        <f>wFG!T38-woFG!T38</f>
        <v>0</v>
      </c>
      <c r="U38">
        <f>wFG!U38-woFG!U38</f>
        <v>0</v>
      </c>
      <c r="V38">
        <f>wFG!V38-woFG!V38</f>
        <v>0</v>
      </c>
      <c r="W38">
        <f>wFG!W38-woFG!W38</f>
        <v>0</v>
      </c>
      <c r="X38">
        <f>wFG!X38-woFG!X38</f>
        <v>0</v>
      </c>
      <c r="Y38">
        <f>wFG!Y38-woFG!Y38</f>
        <v>-6.0879404416606007E-16</v>
      </c>
      <c r="Z38">
        <f>wFG!Z38-woFG!Z38</f>
        <v>-6.5105063227779019E-16</v>
      </c>
      <c r="AA38">
        <f>wFG!AA38-woFG!AA38</f>
        <v>-5.4209193395285001E-16</v>
      </c>
      <c r="AB38">
        <f>wFG!AB38-woFG!AB38</f>
        <v>-5.0054916130274025E-16</v>
      </c>
      <c r="AC38">
        <f>wFG!AC38-woFG!AC38</f>
        <v>-3.6629482210628998E-16</v>
      </c>
      <c r="AD38">
        <f>wFG!AD38-woFG!AD38</f>
        <v>-1.1875577735711894E-15</v>
      </c>
      <c r="AE38">
        <f>wFG!AE38-woFG!AE38</f>
        <v>-4.6597773284346999E-3</v>
      </c>
      <c r="AF38">
        <f>wFG!AF38-woFG!AF38</f>
        <v>-0.3393487946847098</v>
      </c>
      <c r="AK38" s="1">
        <f t="shared" si="1"/>
        <v>42460</v>
      </c>
      <c r="AL38">
        <f t="shared" si="2"/>
        <v>-5.114941784901017E-3</v>
      </c>
      <c r="AM38">
        <f t="shared" si="3"/>
        <v>1.318161353337938E-7</v>
      </c>
      <c r="AN38">
        <f t="shared" si="4"/>
        <v>2.4288608281399782E-3</v>
      </c>
      <c r="AO38">
        <f t="shared" si="5"/>
        <v>3.6135790960459301E-4</v>
      </c>
      <c r="AP38">
        <f t="shared" si="6"/>
        <v>-0.33377732056360199</v>
      </c>
      <c r="AQ38">
        <f t="shared" si="7"/>
        <v>-3.4569475301314004E-2</v>
      </c>
      <c r="AR38">
        <f t="shared" si="8"/>
        <v>2.6680463777107005E-2</v>
      </c>
      <c r="AS38">
        <f t="shared" si="9"/>
        <v>-7.2075100149393556E-4</v>
      </c>
      <c r="AT38">
        <f t="shared" si="10"/>
        <v>5.362879635614215E-3</v>
      </c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</row>
    <row r="39" spans="1:87" x14ac:dyDescent="0.25">
      <c r="A39" s="1">
        <v>42551</v>
      </c>
      <c r="B39">
        <f>wFG!B39-woFG!B39</f>
        <v>-5.330432963699977E-3</v>
      </c>
      <c r="C39">
        <f>wFG!C39-woFG!C39</f>
        <v>1.5596385926327621E-7</v>
      </c>
      <c r="D39">
        <f>wFG!D39-woFG!D39</f>
        <v>2.3143714405700067E-3</v>
      </c>
      <c r="E39">
        <f>wFG!E39-woFG!E39</f>
        <v>4.1576688167707242E-4</v>
      </c>
      <c r="F39">
        <f>wFG!F39-woFG!F39</f>
        <v>-0.35427371484459902</v>
      </c>
      <c r="G39">
        <f>wFG!G39-woFG!G39</f>
        <v>-3.5958639283076313E-2</v>
      </c>
      <c r="H39">
        <f>wFG!H39-woFG!H39</f>
        <v>2.6181203360135991E-2</v>
      </c>
      <c r="I39">
        <f>wFG!I39-woFG!I39</f>
        <v>-1.7509720052968986E-16</v>
      </c>
      <c r="J39">
        <f>wFG!J39-woFG!J39</f>
        <v>9.1285617072630217E-16</v>
      </c>
      <c r="K39">
        <f>wFG!K39-woFG!K39</f>
        <v>-7.793909223074401E-16</v>
      </c>
      <c r="L39">
        <f>wFG!L39-woFG!L39</f>
        <v>1.01608106721206E-2</v>
      </c>
      <c r="M39">
        <f>wFG!M39-woFG!M39</f>
        <v>0</v>
      </c>
      <c r="N39">
        <f>wFG!N39-woFG!N39</f>
        <v>0</v>
      </c>
      <c r="O39">
        <f>wFG!O39-woFG!O39</f>
        <v>1.4324388079496001E-14</v>
      </c>
      <c r="P39">
        <f>wFG!P39-woFG!P39</f>
        <v>0</v>
      </c>
      <c r="Q39">
        <f>wFG!Q39-woFG!Q39</f>
        <v>-7.5327382811399834E-3</v>
      </c>
      <c r="R39">
        <f>wFG!R39-woFG!R39</f>
        <v>0</v>
      </c>
      <c r="S39">
        <f>wFG!S39-woFG!S39</f>
        <v>0</v>
      </c>
      <c r="T39">
        <f>wFG!T39-woFG!T39</f>
        <v>0</v>
      </c>
      <c r="U39">
        <f>wFG!U39-woFG!U39</f>
        <v>0</v>
      </c>
      <c r="V39">
        <f>wFG!V39-woFG!V39</f>
        <v>0</v>
      </c>
      <c r="W39">
        <f>wFG!W39-woFG!W39</f>
        <v>0</v>
      </c>
      <c r="X39">
        <f>wFG!X39-woFG!X39</f>
        <v>0</v>
      </c>
      <c r="Y39">
        <f>wFG!Y39-woFG!Y39</f>
        <v>-6.1133243643347009E-16</v>
      </c>
      <c r="Z39">
        <f>wFG!Z39-woFG!Z39</f>
        <v>-6.4751980105487994E-16</v>
      </c>
      <c r="AA39">
        <f>wFG!AA39-woFG!AA39</f>
        <v>-5.3209955852844998E-16</v>
      </c>
      <c r="AB39">
        <f>wFG!AB39-woFG!AB39</f>
        <v>-4.8082829158454968E-16</v>
      </c>
      <c r="AC39">
        <f>wFG!AC39-woFG!AC39</f>
        <v>-3.3446068300475008E-16</v>
      </c>
      <c r="AD39">
        <f>wFG!AD39-woFG!AD39</f>
        <v>-1.13249177008241E-15</v>
      </c>
      <c r="AE39">
        <f>wFG!AE39-woFG!AE39</f>
        <v>-4.6115567580610993E-3</v>
      </c>
      <c r="AF39">
        <f>wFG!AF39-woFG!AF39</f>
        <v>-0.36863477381220022</v>
      </c>
      <c r="AK39" s="1">
        <f t="shared" si="1"/>
        <v>42551</v>
      </c>
      <c r="AL39">
        <f t="shared" si="2"/>
        <v>-5.330432963699977E-3</v>
      </c>
      <c r="AM39">
        <f t="shared" si="3"/>
        <v>1.5596385926327621E-7</v>
      </c>
      <c r="AN39">
        <f t="shared" si="4"/>
        <v>2.3143714405700067E-3</v>
      </c>
      <c r="AO39">
        <f t="shared" si="5"/>
        <v>4.1576688167707242E-4</v>
      </c>
      <c r="AP39">
        <f t="shared" si="6"/>
        <v>-0.35427371484459902</v>
      </c>
      <c r="AQ39">
        <f t="shared" si="7"/>
        <v>-3.5958639283076313E-2</v>
      </c>
      <c r="AR39">
        <f t="shared" si="8"/>
        <v>2.6181203360135991E-2</v>
      </c>
      <c r="AS39">
        <f t="shared" si="9"/>
        <v>-7.5327382811399834E-3</v>
      </c>
      <c r="AT39">
        <f t="shared" si="10"/>
        <v>5.5492539140726826E-3</v>
      </c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</row>
    <row r="40" spans="1:87" x14ac:dyDescent="0.25">
      <c r="A40" s="1">
        <v>42643</v>
      </c>
      <c r="B40">
        <f>wFG!B40-woFG!B40</f>
        <v>-5.5695212054450161E-3</v>
      </c>
      <c r="C40">
        <f>wFG!C40-woFG!C40</f>
        <v>1.8020425152508629E-7</v>
      </c>
      <c r="D40">
        <f>wFG!D40-woFG!D40</f>
        <v>2.2206236327901863E-3</v>
      </c>
      <c r="E40">
        <f>wFG!E40-woFG!E40</f>
        <v>4.7336879864292799E-4</v>
      </c>
      <c r="F40">
        <f>wFG!F40-woFG!F40</f>
        <v>-0.37565502197928002</v>
      </c>
      <c r="G40">
        <f>wFG!G40-woFG!G40</f>
        <v>-3.7344564920069233E-2</v>
      </c>
      <c r="H40">
        <f>wFG!H40-woFG!H40</f>
        <v>2.5503660452908E-2</v>
      </c>
      <c r="I40">
        <f>wFG!I40-woFG!I40</f>
        <v>-1.7630447179190002E-16</v>
      </c>
      <c r="J40">
        <f>wFG!J40-woFG!J40</f>
        <v>9.5032852849559894E-16</v>
      </c>
      <c r="K40">
        <f>wFG!K40-woFG!K40</f>
        <v>-8.2945139232093986E-16</v>
      </c>
      <c r="L40">
        <f>wFG!L40-woFG!L40</f>
        <v>1.0244926180127897E-2</v>
      </c>
      <c r="M40">
        <f>wFG!M40-woFG!M40</f>
        <v>0</v>
      </c>
      <c r="N40">
        <f>wFG!N40-woFG!N40</f>
        <v>0</v>
      </c>
      <c r="O40">
        <f>wFG!O40-woFG!O40</f>
        <v>1.4308354503408997E-14</v>
      </c>
      <c r="P40">
        <f>wFG!P40-woFG!P40</f>
        <v>0</v>
      </c>
      <c r="Q40">
        <f>wFG!Q40-woFG!Q40</f>
        <v>-1.487121156106197E-2</v>
      </c>
      <c r="R40">
        <f>wFG!R40-woFG!R40</f>
        <v>0</v>
      </c>
      <c r="S40">
        <f>wFG!S40-woFG!S40</f>
        <v>0</v>
      </c>
      <c r="T40">
        <f>wFG!T40-woFG!T40</f>
        <v>0</v>
      </c>
      <c r="U40">
        <f>wFG!U40-woFG!U40</f>
        <v>0</v>
      </c>
      <c r="V40">
        <f>wFG!V40-woFG!V40</f>
        <v>0</v>
      </c>
      <c r="W40">
        <f>wFG!W40-woFG!W40</f>
        <v>0</v>
      </c>
      <c r="X40">
        <f>wFG!X40-woFG!X40</f>
        <v>0</v>
      </c>
      <c r="Y40">
        <f>wFG!Y40-woFG!Y40</f>
        <v>-6.1291646759023006E-16</v>
      </c>
      <c r="Z40">
        <f>wFG!Z40-woFG!Z40</f>
        <v>-6.4184355264581023E-16</v>
      </c>
      <c r="AA40">
        <f>wFG!AA40-woFG!AA40</f>
        <v>-5.1846001393947014E-16</v>
      </c>
      <c r="AB40">
        <f>wFG!AB40-woFG!AB40</f>
        <v>-4.5571467057021983E-16</v>
      </c>
      <c r="AC40">
        <f>wFG!AC40-woFG!AC40</f>
        <v>-2.9499775170004995E-16</v>
      </c>
      <c r="AD40">
        <f>wFG!AD40-woFG!AD40</f>
        <v>-1.0669711131664402E-15</v>
      </c>
      <c r="AE40">
        <f>wFG!AE40-woFG!AE40</f>
        <v>-4.563857848108803E-3</v>
      </c>
      <c r="AF40">
        <f>wFG!AF40-woFG!AF40</f>
        <v>-0.39956141824522984</v>
      </c>
      <c r="AK40" s="1">
        <f t="shared" si="1"/>
        <v>42643</v>
      </c>
      <c r="AL40">
        <f t="shared" si="2"/>
        <v>-5.5695212054450161E-3</v>
      </c>
      <c r="AM40">
        <f t="shared" si="3"/>
        <v>1.8020425152508629E-7</v>
      </c>
      <c r="AN40">
        <f t="shared" si="4"/>
        <v>2.2206236327901863E-3</v>
      </c>
      <c r="AO40">
        <f t="shared" si="5"/>
        <v>4.7336879864292799E-4</v>
      </c>
      <c r="AP40">
        <f t="shared" si="6"/>
        <v>-0.37565502197928002</v>
      </c>
      <c r="AQ40">
        <f t="shared" si="7"/>
        <v>-3.7344564920069233E-2</v>
      </c>
      <c r="AR40">
        <f t="shared" si="8"/>
        <v>2.5503660452908E-2</v>
      </c>
      <c r="AS40">
        <f t="shared" si="9"/>
        <v>-1.487121156106197E-2</v>
      </c>
      <c r="AT40">
        <f t="shared" si="10"/>
        <v>5.6810683320337452E-3</v>
      </c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</row>
    <row r="41" spans="1:87" x14ac:dyDescent="0.25">
      <c r="A41" s="1">
        <v>42735</v>
      </c>
      <c r="B41">
        <f>wFG!B41-woFG!B41</f>
        <v>-5.8338502425719918E-3</v>
      </c>
      <c r="C41">
        <f>wFG!C41-woFG!C41</f>
        <v>2.06281682166351E-7</v>
      </c>
      <c r="D41">
        <f>wFG!D41-woFG!D41</f>
        <v>2.0866408124839975E-3</v>
      </c>
      <c r="E41">
        <f>wFG!E41-woFG!E41</f>
        <v>5.3501948008843198E-4</v>
      </c>
      <c r="F41">
        <f>wFG!F41-woFG!F41</f>
        <v>-0.39804776989990398</v>
      </c>
      <c r="G41">
        <f>wFG!G41-woFG!G41</f>
        <v>-3.8743300297814101E-2</v>
      </c>
      <c r="H41">
        <f>wFG!H41-woFG!H41</f>
        <v>2.463396105969301E-2</v>
      </c>
      <c r="I41">
        <f>wFG!I41-woFG!I41</f>
        <v>-1.7736825650512953E-16</v>
      </c>
      <c r="J41">
        <f>wFG!J41-woFG!J41</f>
        <v>9.8419232804080428E-16</v>
      </c>
      <c r="K41">
        <f>wFG!K41-woFG!K41</f>
        <v>-8.8011622236868984E-16</v>
      </c>
      <c r="L41">
        <f>wFG!L41-woFG!L41</f>
        <v>1.0266999339779405E-2</v>
      </c>
      <c r="M41">
        <f>wFG!M41-woFG!M41</f>
        <v>0</v>
      </c>
      <c r="N41">
        <f>wFG!N41-woFG!N41</f>
        <v>0</v>
      </c>
      <c r="O41">
        <f>wFG!O41-woFG!O41</f>
        <v>1.4244033129625003E-14</v>
      </c>
      <c r="P41">
        <f>wFG!P41-woFG!P41</f>
        <v>0</v>
      </c>
      <c r="Q41">
        <f>wFG!Q41-woFG!Q41</f>
        <v>-2.2864248850882007E-2</v>
      </c>
      <c r="R41">
        <f>wFG!R41-woFG!R41</f>
        <v>0</v>
      </c>
      <c r="S41">
        <f>wFG!S41-woFG!S41</f>
        <v>0</v>
      </c>
      <c r="T41">
        <f>wFG!T41-woFG!T41</f>
        <v>0</v>
      </c>
      <c r="U41">
        <f>wFG!U41-woFG!U41</f>
        <v>0</v>
      </c>
      <c r="V41">
        <f>wFG!V41-woFG!V41</f>
        <v>0</v>
      </c>
      <c r="W41">
        <f>wFG!W41-woFG!W41</f>
        <v>0</v>
      </c>
      <c r="X41">
        <f>wFG!X41-woFG!X41</f>
        <v>0</v>
      </c>
      <c r="Y41">
        <f>wFG!Y41-woFG!Y41</f>
        <v>-6.1343769293284027E-16</v>
      </c>
      <c r="Z41">
        <f>wFG!Z41-woFG!Z41</f>
        <v>-6.3353516230017001E-16</v>
      </c>
      <c r="AA41">
        <f>wFG!AA41-woFG!AA41</f>
        <v>-5.0068301142014993E-16</v>
      </c>
      <c r="AB41">
        <f>wFG!AB41-woFG!AB41</f>
        <v>-4.244997845291902E-16</v>
      </c>
      <c r="AC41">
        <f>wFG!AC41-woFG!AC41</f>
        <v>-2.4691132528227974E-16</v>
      </c>
      <c r="AD41">
        <f>wFG!AD41-woFG!AD41</f>
        <v>-9.8978773639010019E-16</v>
      </c>
      <c r="AE41">
        <f>wFG!AE41-woFG!AE41</f>
        <v>-4.5166746002493E-3</v>
      </c>
      <c r="AF41">
        <f>wFG!AF41-woFG!AF41</f>
        <v>-0.4324830169176801</v>
      </c>
      <c r="AK41" s="1">
        <f t="shared" si="1"/>
        <v>42735</v>
      </c>
      <c r="AL41">
        <f t="shared" si="2"/>
        <v>-5.8338502425719918E-3</v>
      </c>
      <c r="AM41">
        <f t="shared" si="3"/>
        <v>2.06281682166351E-7</v>
      </c>
      <c r="AN41">
        <f t="shared" si="4"/>
        <v>2.0866408124839975E-3</v>
      </c>
      <c r="AO41">
        <f t="shared" si="5"/>
        <v>5.3501948008843198E-4</v>
      </c>
      <c r="AP41">
        <f t="shared" si="6"/>
        <v>-0.39804776989990398</v>
      </c>
      <c r="AQ41">
        <f t="shared" si="7"/>
        <v>-3.8743300297814101E-2</v>
      </c>
      <c r="AR41">
        <f t="shared" si="8"/>
        <v>2.463396105969301E-2</v>
      </c>
      <c r="AS41">
        <f t="shared" si="9"/>
        <v>-2.2864248850882007E-2</v>
      </c>
      <c r="AT41">
        <f t="shared" si="10"/>
        <v>5.7503247395443435E-3</v>
      </c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</row>
    <row r="42" spans="1:87" x14ac:dyDescent="0.25">
      <c r="A42" s="1">
        <v>42825</v>
      </c>
      <c r="B42">
        <f>wFG!B42-woFG!B42</f>
        <v>-6.1250319668840203E-3</v>
      </c>
      <c r="C42">
        <f>wFG!C42-woFG!C42</f>
        <v>2.3558801955250151E-7</v>
      </c>
      <c r="D42">
        <f>wFG!D42-woFG!D42</f>
        <v>1.8487127425609318E-3</v>
      </c>
      <c r="E42">
        <f>wFG!E42-woFG!E42</f>
        <v>6.0126770284936828E-4</v>
      </c>
      <c r="F42">
        <f>wFG!F42-woFG!F42</f>
        <v>-0.42158490393449738</v>
      </c>
      <c r="G42">
        <f>wFG!G42-woFG!G42</f>
        <v>-4.0173305844440774E-2</v>
      </c>
      <c r="H42">
        <f>wFG!H42-woFG!H42</f>
        <v>2.3555505176112018E-2</v>
      </c>
      <c r="I42">
        <f>wFG!I42-woFG!I42</f>
        <v>-1.7827646598668045E-16</v>
      </c>
      <c r="J42">
        <f>wFG!J42-woFG!J42</f>
        <v>1.0138722045092966E-15</v>
      </c>
      <c r="K42">
        <f>wFG!K42-woFG!K42</f>
        <v>-9.3158736166574991E-16</v>
      </c>
      <c r="L42">
        <f>wFG!L42-woFG!L42</f>
        <v>1.0217500383037995E-2</v>
      </c>
      <c r="M42">
        <f>wFG!M42-woFG!M42</f>
        <v>0</v>
      </c>
      <c r="N42">
        <f>wFG!N42-woFG!N42</f>
        <v>0</v>
      </c>
      <c r="O42">
        <f>wFG!O42-woFG!O42</f>
        <v>1.4123979215912003E-14</v>
      </c>
      <c r="P42">
        <f>wFG!P42-woFG!P42</f>
        <v>0</v>
      </c>
      <c r="Q42">
        <f>wFG!Q42-woFG!Q42</f>
        <v>-3.1644332439862977E-2</v>
      </c>
      <c r="R42">
        <f>wFG!R42-woFG!R42</f>
        <v>0</v>
      </c>
      <c r="S42">
        <f>wFG!S42-woFG!S42</f>
        <v>0</v>
      </c>
      <c r="T42">
        <f>wFG!T42-woFG!T42</f>
        <v>0</v>
      </c>
      <c r="U42">
        <f>wFG!U42-woFG!U42</f>
        <v>0</v>
      </c>
      <c r="V42">
        <f>wFG!V42-woFG!V42</f>
        <v>0</v>
      </c>
      <c r="W42">
        <f>wFG!W42-woFG!W42</f>
        <v>0</v>
      </c>
      <c r="X42">
        <f>wFG!X42-woFG!X42</f>
        <v>0</v>
      </c>
      <c r="Y42">
        <f>wFG!Y42-woFG!Y42</f>
        <v>-6.1259926630217E-16</v>
      </c>
      <c r="Z42">
        <f>wFG!Z42-woFG!Z42</f>
        <v>-6.2225427492824997E-16</v>
      </c>
      <c r="AA42">
        <f>wFG!AA42-woFG!AA42</f>
        <v>-4.7823518220633996E-16</v>
      </c>
      <c r="AB42">
        <f>wFG!AB42-woFG!AB42</f>
        <v>-3.8639334236120006E-16</v>
      </c>
      <c r="AC42">
        <f>wFG!AC42-woFG!AC42</f>
        <v>-1.891844887019298E-16</v>
      </c>
      <c r="AD42">
        <f>wFG!AD42-woFG!AD42</f>
        <v>-8.9968567760052042E-16</v>
      </c>
      <c r="AE42">
        <f>wFG!AE42-woFG!AE42</f>
        <v>-4.4700010909001983E-3</v>
      </c>
      <c r="AF42">
        <f>wFG!AF42-woFG!AF42</f>
        <v>-0.46777435368398979</v>
      </c>
      <c r="AK42" s="1">
        <f t="shared" si="1"/>
        <v>42825</v>
      </c>
      <c r="AL42">
        <f t="shared" si="2"/>
        <v>-6.1250319668840203E-3</v>
      </c>
      <c r="AM42">
        <f t="shared" si="3"/>
        <v>2.3558801955250151E-7</v>
      </c>
      <c r="AN42">
        <f t="shared" si="4"/>
        <v>1.8487127425609318E-3</v>
      </c>
      <c r="AO42">
        <f t="shared" si="5"/>
        <v>6.0126770284936828E-4</v>
      </c>
      <c r="AP42">
        <f t="shared" si="6"/>
        <v>-0.42158490393449738</v>
      </c>
      <c r="AQ42">
        <f t="shared" si="7"/>
        <v>-4.0173305844440774E-2</v>
      </c>
      <c r="AR42">
        <f t="shared" si="8"/>
        <v>2.3555505176112018E-2</v>
      </c>
      <c r="AS42">
        <f t="shared" si="9"/>
        <v>-3.1644332439862977E-2</v>
      </c>
      <c r="AT42">
        <f t="shared" si="10"/>
        <v>5.7474992921534573E-3</v>
      </c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</row>
    <row r="43" spans="1:87" x14ac:dyDescent="0.25">
      <c r="A43" s="1">
        <v>42916</v>
      </c>
      <c r="B43">
        <f>wFG!B43-woFG!B43</f>
        <v>-6.4447473823950052E-3</v>
      </c>
      <c r="C43">
        <f>wFG!C43-woFG!C43</f>
        <v>2.6912497889911607E-7</v>
      </c>
      <c r="D43">
        <f>wFG!D43-woFG!D43</f>
        <v>1.4365337495070296E-3</v>
      </c>
      <c r="E43">
        <f>wFG!E43-woFG!E43</f>
        <v>6.7207370907822119E-4</v>
      </c>
      <c r="F43">
        <f>wFG!F43-woFG!F43</f>
        <v>-0.44640422778771538</v>
      </c>
      <c r="G43">
        <f>wFG!G43-woFG!G43</f>
        <v>-4.1651549744801702E-2</v>
      </c>
      <c r="H43">
        <f>wFG!H43-woFG!H43</f>
        <v>2.2248777044145018E-2</v>
      </c>
      <c r="I43">
        <f>wFG!I43-woFG!I43</f>
        <v>-1.789577019552506E-16</v>
      </c>
      <c r="J43">
        <f>wFG!J43-woFG!J43</f>
        <v>1.0387317658095021E-15</v>
      </c>
      <c r="K43">
        <f>wFG!K43-woFG!K43</f>
        <v>-9.8356253469691006E-16</v>
      </c>
      <c r="L43">
        <f>wFG!L43-woFG!L43</f>
        <v>1.0096567551482701E-2</v>
      </c>
      <c r="M43">
        <f>wFG!M43-woFG!M43</f>
        <v>0</v>
      </c>
      <c r="N43">
        <f>wFG!N43-woFG!N43</f>
        <v>0</v>
      </c>
      <c r="O43">
        <f>wFG!O43-woFG!O43</f>
        <v>1.3939374776184E-14</v>
      </c>
      <c r="P43">
        <f>wFG!P43-woFG!P43</f>
        <v>0</v>
      </c>
      <c r="Q43">
        <f>wFG!Q43-woFG!Q43</f>
        <v>-4.1355404624514036E-2</v>
      </c>
      <c r="R43">
        <f>wFG!R43-woFG!R43</f>
        <v>0</v>
      </c>
      <c r="S43">
        <f>wFG!S43-woFG!S43</f>
        <v>0</v>
      </c>
      <c r="T43">
        <f>wFG!T43-woFG!T43</f>
        <v>0</v>
      </c>
      <c r="U43">
        <f>wFG!U43-woFG!U43</f>
        <v>0</v>
      </c>
      <c r="V43">
        <f>wFG!V43-woFG!V43</f>
        <v>0</v>
      </c>
      <c r="W43">
        <f>wFG!W43-woFG!W43</f>
        <v>0</v>
      </c>
      <c r="X43">
        <f>wFG!X43-woFG!X43</f>
        <v>0</v>
      </c>
      <c r="Y43">
        <f>wFG!Y43-woFG!Y43</f>
        <v>-6.1028306372191987E-16</v>
      </c>
      <c r="Z43">
        <f>wFG!Z43-woFG!Z43</f>
        <v>-6.0767203095877001E-16</v>
      </c>
      <c r="AA43">
        <f>wFG!AA43-woFG!AA43</f>
        <v>-4.5056092767856991E-16</v>
      </c>
      <c r="AB43">
        <f>wFG!AB43-woFG!AB43</f>
        <v>-3.4063805718570983E-16</v>
      </c>
      <c r="AC43">
        <f>wFG!AC43-woFG!AC43</f>
        <v>-1.2081195242868E-16</v>
      </c>
      <c r="AD43">
        <f>wFG!AD43-woFG!AD43</f>
        <v>-7.8122397094307037E-16</v>
      </c>
      <c r="AE43">
        <f>wFG!AE43-woFG!AE43</f>
        <v>-4.4238314702111994E-3</v>
      </c>
      <c r="AF43">
        <f>wFG!AF43-woFG!AF43</f>
        <v>-0.50582553983042988</v>
      </c>
      <c r="AK43" s="1">
        <f t="shared" si="1"/>
        <v>42916</v>
      </c>
      <c r="AL43">
        <f t="shared" si="2"/>
        <v>-6.4447473823950052E-3</v>
      </c>
      <c r="AM43">
        <f t="shared" si="3"/>
        <v>2.6912497889911607E-7</v>
      </c>
      <c r="AN43">
        <f t="shared" si="4"/>
        <v>1.4365337495070296E-3</v>
      </c>
      <c r="AO43">
        <f t="shared" si="5"/>
        <v>6.7207370907822119E-4</v>
      </c>
      <c r="AP43">
        <f t="shared" si="6"/>
        <v>-0.44640422778771538</v>
      </c>
      <c r="AQ43">
        <f t="shared" si="7"/>
        <v>-4.1651549744801702E-2</v>
      </c>
      <c r="AR43">
        <f t="shared" si="8"/>
        <v>2.2248777044145018E-2</v>
      </c>
      <c r="AS43">
        <f t="shared" si="9"/>
        <v>-4.1355404624514036E-2</v>
      </c>
      <c r="AT43">
        <f t="shared" si="10"/>
        <v>5.6727360812871552E-3</v>
      </c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</row>
    <row r="44" spans="1:87" x14ac:dyDescent="0.25">
      <c r="A44" s="1">
        <v>43008</v>
      </c>
      <c r="B44">
        <f>wFG!B44-woFG!B44</f>
        <v>-6.795076181916021E-3</v>
      </c>
      <c r="C44">
        <f>wFG!C44-woFG!C44</f>
        <v>3.0867045799230004E-7</v>
      </c>
      <c r="D44">
        <f>wFG!D44-woFG!D44</f>
        <v>7.5383740249002074E-4</v>
      </c>
      <c r="E44">
        <f>wFG!E44-woFG!E44</f>
        <v>7.4727980482960498E-4</v>
      </c>
      <c r="F44">
        <f>wFG!F44-woFG!F44</f>
        <v>-0.47265339936363376</v>
      </c>
      <c r="G44">
        <f>wFG!G44-woFG!G44</f>
        <v>-4.3201685103082796E-2</v>
      </c>
      <c r="H44">
        <f>wFG!H44-woFG!H44</f>
        <v>2.0691695961878004E-2</v>
      </c>
      <c r="I44">
        <f>wFG!I44-woFG!I44</f>
        <v>-1.7933094762591001E-16</v>
      </c>
      <c r="J44">
        <f>wFG!J44-woFG!J44</f>
        <v>1.0580606397736028E-15</v>
      </c>
      <c r="K44">
        <f>wFG!K44-woFG!K44</f>
        <v>-1.0360163458030599E-15</v>
      </c>
      <c r="L44">
        <f>wFG!L44-woFG!L44</f>
        <v>9.8908136896226004E-3</v>
      </c>
      <c r="M44">
        <f>wFG!M44-woFG!M44</f>
        <v>0</v>
      </c>
      <c r="N44">
        <f>wFG!N44-woFG!N44</f>
        <v>0</v>
      </c>
      <c r="O44">
        <f>wFG!O44-woFG!O44</f>
        <v>1.3681013826939005E-14</v>
      </c>
      <c r="P44">
        <f>wFG!P44-woFG!P44</f>
        <v>0</v>
      </c>
      <c r="Q44">
        <f>wFG!Q44-woFG!Q44</f>
        <v>-5.2149975916348956E-2</v>
      </c>
      <c r="R44">
        <f>wFG!R44-woFG!R44</f>
        <v>0</v>
      </c>
      <c r="S44">
        <f>wFG!S44-woFG!S44</f>
        <v>0</v>
      </c>
      <c r="T44">
        <f>wFG!T44-woFG!T44</f>
        <v>0</v>
      </c>
      <c r="U44">
        <f>wFG!U44-woFG!U44</f>
        <v>0</v>
      </c>
      <c r="V44">
        <f>wFG!V44-woFG!V44</f>
        <v>0</v>
      </c>
      <c r="W44">
        <f>wFG!W44-woFG!W44</f>
        <v>0</v>
      </c>
      <c r="X44">
        <f>wFG!X44-woFG!X44</f>
        <v>0</v>
      </c>
      <c r="Y44">
        <f>wFG!Y44-woFG!Y44</f>
        <v>-6.0629900254424996E-16</v>
      </c>
      <c r="Z44">
        <f>wFG!Z44-woFG!Z44</f>
        <v>-5.8936127640320008E-16</v>
      </c>
      <c r="AA44">
        <f>wFG!AA44-woFG!AA44</f>
        <v>-4.1705877230308014E-16</v>
      </c>
      <c r="AB44">
        <f>wFG!AB44-woFG!AB44</f>
        <v>-2.8640783372632988E-16</v>
      </c>
      <c r="AC44">
        <f>wFG!AC44-woFG!AC44</f>
        <v>-2.828172401206001E-17</v>
      </c>
      <c r="AD44">
        <f>wFG!AD44-woFG!AD44</f>
        <v>-6.3893245347140042E-16</v>
      </c>
      <c r="AE44">
        <f>wFG!AE44-woFG!AE44</f>
        <v>-4.3781599610660978E-3</v>
      </c>
      <c r="AF44">
        <f>wFG!AF44-woFG!AF44</f>
        <v>-0.54709436099676023</v>
      </c>
      <c r="AK44" s="1">
        <f t="shared" si="1"/>
        <v>43008</v>
      </c>
      <c r="AL44">
        <f t="shared" si="2"/>
        <v>-6.795076181916021E-3</v>
      </c>
      <c r="AM44">
        <f t="shared" si="3"/>
        <v>3.0867045799230004E-7</v>
      </c>
      <c r="AN44">
        <f t="shared" si="4"/>
        <v>7.5383740249002074E-4</v>
      </c>
      <c r="AO44">
        <f t="shared" si="5"/>
        <v>7.4727980482960498E-4</v>
      </c>
      <c r="AP44">
        <f t="shared" si="6"/>
        <v>-0.47265339936363376</v>
      </c>
      <c r="AQ44">
        <f t="shared" si="7"/>
        <v>-4.3201685103082796E-2</v>
      </c>
      <c r="AR44">
        <f t="shared" si="8"/>
        <v>2.0691695961878004E-2</v>
      </c>
      <c r="AS44">
        <f t="shared" si="9"/>
        <v>-5.2149975916348956E-2</v>
      </c>
      <c r="AT44">
        <f t="shared" si="10"/>
        <v>5.5126537285656863E-3</v>
      </c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</row>
    <row r="45" spans="1:87" x14ac:dyDescent="0.25">
      <c r="A45" s="1">
        <v>43100</v>
      </c>
      <c r="B45">
        <f>wFG!B45-woFG!B45</f>
        <v>-7.1783858176849846E-3</v>
      </c>
      <c r="C45">
        <f>wFG!C45-woFG!C45</f>
        <v>3.5701356545999602E-7</v>
      </c>
      <c r="D45">
        <f>wFG!D45-woFG!D45</f>
        <v>-3.3167522836796692E-4</v>
      </c>
      <c r="E45">
        <f>wFG!E45-woFG!E45</f>
        <v>8.2628946007340593E-4</v>
      </c>
      <c r="F45">
        <f>wFG!F45-woFG!F45</f>
        <v>-0.50048953523212381</v>
      </c>
      <c r="G45">
        <f>wFG!G45-woFG!G45</f>
        <v>-4.4851481186091502E-2</v>
      </c>
      <c r="H45">
        <f>wFG!H45-woFG!H45</f>
        <v>1.8858968245146018E-2</v>
      </c>
      <c r="I45">
        <f>wFG!I45-woFG!I45</f>
        <v>-1.792730664951396E-16</v>
      </c>
      <c r="J45">
        <f>wFG!J45-woFG!J45</f>
        <v>1.0710663323900949E-15</v>
      </c>
      <c r="K45">
        <f>wFG!K45-woFG!K45</f>
        <v>-1.08885301562893E-15</v>
      </c>
      <c r="L45">
        <f>wFG!L45-woFG!L45</f>
        <v>9.5799723106621965E-3</v>
      </c>
      <c r="M45">
        <f>wFG!M45-woFG!M45</f>
        <v>0</v>
      </c>
      <c r="N45">
        <f>wFG!N45-woFG!N45</f>
        <v>0</v>
      </c>
      <c r="O45">
        <f>wFG!O45-woFG!O45</f>
        <v>1.3339068145252012E-14</v>
      </c>
      <c r="P45">
        <f>wFG!P45-woFG!P45</f>
        <v>0</v>
      </c>
      <c r="Q45">
        <f>wFG!Q45-woFG!Q45</f>
        <v>-6.4195105221848958E-2</v>
      </c>
      <c r="R45">
        <f>wFG!R45-woFG!R45</f>
        <v>0</v>
      </c>
      <c r="S45">
        <f>wFG!S45-woFG!S45</f>
        <v>0</v>
      </c>
      <c r="T45">
        <f>wFG!T45-woFG!T45</f>
        <v>0</v>
      </c>
      <c r="U45">
        <f>wFG!U45-woFG!U45</f>
        <v>0</v>
      </c>
      <c r="V45">
        <f>wFG!V45-woFG!V45</f>
        <v>0</v>
      </c>
      <c r="W45">
        <f>wFG!W45-woFG!W45</f>
        <v>0</v>
      </c>
      <c r="X45">
        <f>wFG!X45-woFG!X45</f>
        <v>0</v>
      </c>
      <c r="Y45">
        <f>wFG!Y45-woFG!Y45</f>
        <v>-6.0041852828121001E-16</v>
      </c>
      <c r="Z45">
        <f>wFG!Z45-woFG!Z45</f>
        <v>-5.6689595563724987E-16</v>
      </c>
      <c r="AA45">
        <f>wFG!AA45-woFG!AA45</f>
        <v>-3.7710440224058994E-16</v>
      </c>
      <c r="AB45">
        <f>wFG!AB45-woFG!AB45</f>
        <v>-2.1218441634031986E-16</v>
      </c>
      <c r="AC45">
        <f>wFG!AC45-woFG!AC45</f>
        <v>8.4407836970339974E-17</v>
      </c>
      <c r="AD45">
        <f>wFG!AD45-woFG!AD45</f>
        <v>-4.7377494190049027E-16</v>
      </c>
      <c r="AE45">
        <f>wFG!AE45-woFG!AE45</f>
        <v>-4.3329808580978985E-3</v>
      </c>
      <c r="AF45">
        <f>wFG!AF45-woFG!AF45</f>
        <v>-0.59211357651475982</v>
      </c>
      <c r="AK45" s="1">
        <f t="shared" si="1"/>
        <v>43100</v>
      </c>
      <c r="AL45">
        <f t="shared" si="2"/>
        <v>-7.1783858176849846E-3</v>
      </c>
      <c r="AM45">
        <f t="shared" si="3"/>
        <v>3.5701356545999602E-7</v>
      </c>
      <c r="AN45">
        <f t="shared" si="4"/>
        <v>-3.3167522836796692E-4</v>
      </c>
      <c r="AO45">
        <f t="shared" si="5"/>
        <v>8.2628946007340593E-4</v>
      </c>
      <c r="AP45">
        <f t="shared" si="6"/>
        <v>-0.50048953523212381</v>
      </c>
      <c r="AQ45">
        <f t="shared" si="7"/>
        <v>-4.4851481186091502E-2</v>
      </c>
      <c r="AR45">
        <f t="shared" si="8"/>
        <v>1.8858968245146018E-2</v>
      </c>
      <c r="AS45">
        <f t="shared" si="9"/>
        <v>-6.4195105221848958E-2</v>
      </c>
      <c r="AT45">
        <f t="shared" si="10"/>
        <v>5.2469914525725692E-3</v>
      </c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</row>
    <row r="46" spans="1:87" x14ac:dyDescent="0.25">
      <c r="A46" s="1">
        <v>43190</v>
      </c>
      <c r="B46">
        <f>wFG!B46-woFG!B46</f>
        <v>-7.5973433986280259E-3</v>
      </c>
      <c r="C46">
        <f>wFG!C46-woFG!C46</f>
        <v>4.1866613590373512E-7</v>
      </c>
      <c r="D46">
        <f>wFG!D46-woFG!D46</f>
        <v>-2.0047536661039755E-3</v>
      </c>
      <c r="E46">
        <f>wFG!E46-woFG!E46</f>
        <v>9.0774635351031192E-4</v>
      </c>
      <c r="F46">
        <f>wFG!F46-woFG!F46</f>
        <v>-0.53007878627373695</v>
      </c>
      <c r="G46">
        <f>wFG!G46-woFG!G46</f>
        <v>-4.6630690261164801E-2</v>
      </c>
      <c r="H46">
        <f>wFG!H46-woFG!H46</f>
        <v>1.6721531001340995E-2</v>
      </c>
      <c r="I46">
        <f>wFG!I46-woFG!I46</f>
        <v>-1.7858966190297041E-16</v>
      </c>
      <c r="J46">
        <f>wFG!J46-woFG!J46</f>
        <v>1.0768636134236958E-15</v>
      </c>
      <c r="K46">
        <f>wFG!K46-woFG!K46</f>
        <v>-1.1419840969320049E-15</v>
      </c>
      <c r="L46">
        <f>wFG!L46-woFG!L46</f>
        <v>9.1416931089170969E-3</v>
      </c>
      <c r="M46">
        <f>wFG!M46-woFG!M46</f>
        <v>0</v>
      </c>
      <c r="N46">
        <f>wFG!N46-woFG!N46</f>
        <v>0</v>
      </c>
      <c r="O46">
        <f>wFG!O46-woFG!O46</f>
        <v>1.2902866973194994E-14</v>
      </c>
      <c r="P46">
        <f>wFG!P46-woFG!P46</f>
        <v>0</v>
      </c>
      <c r="Q46">
        <f>wFG!Q46-woFG!Q46</f>
        <v>-7.7680644302247026E-2</v>
      </c>
      <c r="R46">
        <f>wFG!R46-woFG!R46</f>
        <v>0</v>
      </c>
      <c r="S46">
        <f>wFG!S46-woFG!S46</f>
        <v>0</v>
      </c>
      <c r="T46">
        <f>wFG!T46-woFG!T46</f>
        <v>0</v>
      </c>
      <c r="U46">
        <f>wFG!U46-woFG!U46</f>
        <v>0</v>
      </c>
      <c r="V46">
        <f>wFG!V46-woFG!V46</f>
        <v>0</v>
      </c>
      <c r="W46">
        <f>wFG!W46-woFG!W46</f>
        <v>0</v>
      </c>
      <c r="X46">
        <f>wFG!X46-woFG!X46</f>
        <v>0</v>
      </c>
      <c r="Y46">
        <f>wFG!Y46-woFG!Y46</f>
        <v>-5.9244888677002006E-16</v>
      </c>
      <c r="Z46">
        <f>wFG!Z46-woFG!Z46</f>
        <v>-5.3986174058464981E-16</v>
      </c>
      <c r="AA46">
        <f>wFG!AA46-woFG!AA46</f>
        <v>-3.2082595966800993E-16</v>
      </c>
      <c r="AB46">
        <f>wFG!AB46-woFG!AB46</f>
        <v>-1.2149701737344999E-16</v>
      </c>
      <c r="AC46">
        <f>wFG!AC46-woFG!AC46</f>
        <v>2.1635834921391996E-16</v>
      </c>
      <c r="AD46">
        <f>wFG!AD46-woFG!AD46</f>
        <v>-2.8566945682151993E-16</v>
      </c>
      <c r="AE46">
        <f>wFG!AE46-woFG!AE46</f>
        <v>-4.2882885267189023E-3</v>
      </c>
      <c r="AF46">
        <f>wFG!AF46-woFG!AF46</f>
        <v>-0.64150911729867999</v>
      </c>
      <c r="AK46" s="1">
        <f t="shared" si="1"/>
        <v>43190</v>
      </c>
      <c r="AL46">
        <f t="shared" si="2"/>
        <v>-7.5973433986280259E-3</v>
      </c>
      <c r="AM46">
        <f t="shared" si="3"/>
        <v>4.1866613590373512E-7</v>
      </c>
      <c r="AN46">
        <f t="shared" si="4"/>
        <v>-2.0047536661039755E-3</v>
      </c>
      <c r="AO46">
        <f t="shared" si="5"/>
        <v>9.0774635351031192E-4</v>
      </c>
      <c r="AP46">
        <f t="shared" si="6"/>
        <v>-0.53007878627373695</v>
      </c>
      <c r="AQ46">
        <f t="shared" si="7"/>
        <v>-4.6630690261164801E-2</v>
      </c>
      <c r="AR46">
        <f t="shared" si="8"/>
        <v>1.6721531001340995E-2</v>
      </c>
      <c r="AS46">
        <f t="shared" si="9"/>
        <v>-7.7680644302247026E-2</v>
      </c>
      <c r="AT46">
        <f t="shared" si="10"/>
        <v>4.8534045822137273E-3</v>
      </c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</row>
    <row r="47" spans="1:87" x14ac:dyDescent="0.25">
      <c r="A47" s="1">
        <v>43281</v>
      </c>
      <c r="B47">
        <f>wFG!B47-woFG!B47</f>
        <v>-8.054876015748974E-3</v>
      </c>
      <c r="C47">
        <f>wFG!C47-woFG!C47</f>
        <v>5.0225577121845902E-7</v>
      </c>
      <c r="D47">
        <f>wFG!D47-woFG!D47</f>
        <v>-4.5407713606779865E-3</v>
      </c>
      <c r="E47">
        <f>wFG!E47-woFG!E47</f>
        <v>9.8971917934874551E-4</v>
      </c>
      <c r="F47">
        <f>wFG!F47-woFG!F47</f>
        <v>-0.56160359299702833</v>
      </c>
      <c r="G47">
        <f>wFG!G47-woFG!G47</f>
        <v>-4.857069680079331E-2</v>
      </c>
      <c r="H47">
        <f>wFG!H47-woFG!H47</f>
        <v>1.4245699054308975E-2</v>
      </c>
      <c r="I47">
        <f>wFG!I47-woFG!I47</f>
        <v>-1.7704170009742107E-16</v>
      </c>
      <c r="J47">
        <f>wFG!J47-woFG!J47</f>
        <v>1.0744495164752015E-15</v>
      </c>
      <c r="K47">
        <f>wFG!K47-woFG!K47</f>
        <v>-1.1951130086292452E-15</v>
      </c>
      <c r="L47">
        <f>wFG!L47-woFG!L47</f>
        <v>8.5404965694057013E-3</v>
      </c>
      <c r="M47">
        <f>wFG!M47-woFG!M47</f>
        <v>0</v>
      </c>
      <c r="N47">
        <f>wFG!N47-woFG!N47</f>
        <v>0</v>
      </c>
      <c r="O47">
        <f>wFG!O47-woFG!O47</f>
        <v>1.2361802961036009E-14</v>
      </c>
      <c r="P47">
        <f>wFG!P47-woFG!P47</f>
        <v>0</v>
      </c>
      <c r="Q47">
        <f>wFG!Q47-woFG!Q47</f>
        <v>-9.2831784480115975E-2</v>
      </c>
      <c r="R47">
        <f>wFG!R47-woFG!R47</f>
        <v>0</v>
      </c>
      <c r="S47">
        <f>wFG!S47-woFG!S47</f>
        <v>0</v>
      </c>
      <c r="T47">
        <f>wFG!T47-woFG!T47</f>
        <v>0</v>
      </c>
      <c r="U47">
        <f>wFG!U47-woFG!U47</f>
        <v>0</v>
      </c>
      <c r="V47">
        <f>wFG!V47-woFG!V47</f>
        <v>0</v>
      </c>
      <c r="W47">
        <f>wFG!W47-woFG!W47</f>
        <v>0</v>
      </c>
      <c r="X47">
        <f>wFG!X47-woFG!X47</f>
        <v>0</v>
      </c>
      <c r="Y47">
        <f>wFG!Y47-woFG!Y47</f>
        <v>-5.8213714026836018E-16</v>
      </c>
      <c r="Z47">
        <f>wFG!Z47-woFG!Z47</f>
        <v>-4.992975413907102E-16</v>
      </c>
      <c r="AA47">
        <f>wFG!AA47-woFG!AA47</f>
        <v>-2.5134483900681009E-16</v>
      </c>
      <c r="AB47">
        <f>wFG!AB47-woFG!AB47</f>
        <v>-1.5151630112829949E-17</v>
      </c>
      <c r="AC47">
        <f>wFG!AC47-woFG!AC47</f>
        <v>3.6765410669857019E-16</v>
      </c>
      <c r="AD47">
        <f>wFG!AD47-woFG!AD47</f>
        <v>-9.549367922300004E-17</v>
      </c>
      <c r="AE47">
        <f>wFG!AE47-woFG!AE47</f>
        <v>-4.2440774021632009E-3</v>
      </c>
      <c r="AF47">
        <f>wFG!AF47-woFG!AF47</f>
        <v>-0.69606938199767998</v>
      </c>
      <c r="AK47" s="1">
        <f t="shared" si="1"/>
        <v>43281</v>
      </c>
      <c r="AL47">
        <f t="shared" si="2"/>
        <v>-8.054876015748974E-3</v>
      </c>
      <c r="AM47">
        <f t="shared" si="3"/>
        <v>5.0225577121845902E-7</v>
      </c>
      <c r="AN47">
        <f t="shared" si="4"/>
        <v>-4.5407713606779865E-3</v>
      </c>
      <c r="AO47">
        <f t="shared" si="5"/>
        <v>9.8971917934874551E-4</v>
      </c>
      <c r="AP47">
        <f t="shared" si="6"/>
        <v>-0.56160359299702833</v>
      </c>
      <c r="AQ47">
        <f t="shared" si="7"/>
        <v>-4.857069680079331E-2</v>
      </c>
      <c r="AR47">
        <f t="shared" si="8"/>
        <v>1.4245699054308975E-2</v>
      </c>
      <c r="AS47">
        <f t="shared" si="9"/>
        <v>-9.2831784480115975E-2</v>
      </c>
      <c r="AT47">
        <f t="shared" si="10"/>
        <v>4.2964191672556495E-3</v>
      </c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</row>
    <row r="48" spans="1:87" x14ac:dyDescent="0.25">
      <c r="A48" s="1">
        <v>43373</v>
      </c>
      <c r="B48">
        <f>wFG!B48-woFG!B48</f>
        <v>-8.5539238737930012E-3</v>
      </c>
      <c r="C48">
        <f>wFG!C48-woFG!C48</f>
        <v>6.2310290994671197E-7</v>
      </c>
      <c r="D48">
        <f>wFG!D48-woFG!D48</f>
        <v>-8.3452772263580277E-3</v>
      </c>
      <c r="E48">
        <f>wFG!E48-woFG!E48</f>
        <v>1.068933293137565E-3</v>
      </c>
      <c r="F48">
        <f>wFG!F48-woFG!F48</f>
        <v>-0.59526452152074416</v>
      </c>
      <c r="G48">
        <f>wFG!G48-woFG!G48</f>
        <v>-5.0685784430845829E-2</v>
      </c>
      <c r="H48">
        <f>wFG!H48-woFG!H48</f>
        <v>1.1391391558899983E-2</v>
      </c>
      <c r="I48">
        <f>wFG!I48-woFG!I48</f>
        <v>-1.7441530048635034E-16</v>
      </c>
      <c r="J48">
        <f>wFG!J48-woFG!J48</f>
        <v>1.0626701383882999E-15</v>
      </c>
      <c r="K48">
        <f>wFG!K48-woFG!K48</f>
        <v>-1.2480335142825502E-15</v>
      </c>
      <c r="L48">
        <f>wFG!L48-woFG!L48</f>
        <v>7.7621554325888013E-3</v>
      </c>
      <c r="M48">
        <f>wFG!M48-woFG!M48</f>
        <v>0</v>
      </c>
      <c r="N48">
        <f>wFG!N48-woFG!N48</f>
        <v>0</v>
      </c>
      <c r="O48">
        <f>wFG!O48-woFG!O48</f>
        <v>1.1703957348761002E-14</v>
      </c>
      <c r="P48">
        <f>wFG!P48-woFG!P48</f>
        <v>0</v>
      </c>
      <c r="Q48">
        <f>wFG!Q48-woFG!Q48</f>
        <v>-0.10993905139650795</v>
      </c>
      <c r="R48">
        <f>wFG!R48-woFG!R48</f>
        <v>0</v>
      </c>
      <c r="S48">
        <f>wFG!S48-woFG!S48</f>
        <v>0</v>
      </c>
      <c r="T48">
        <f>wFG!T48-woFG!T48</f>
        <v>0</v>
      </c>
      <c r="U48">
        <f>wFG!U48-woFG!U48</f>
        <v>0</v>
      </c>
      <c r="V48">
        <f>wFG!V48-woFG!V48</f>
        <v>0</v>
      </c>
      <c r="W48">
        <f>wFG!W48-woFG!W48</f>
        <v>0</v>
      </c>
      <c r="X48">
        <f>wFG!X48-woFG!X48</f>
        <v>0</v>
      </c>
      <c r="Y48">
        <f>wFG!Y48-woFG!Y48</f>
        <v>-5.6190577960616993E-16</v>
      </c>
      <c r="Z48">
        <f>wFG!Z48-woFG!Z48</f>
        <v>-4.4823433500542006E-16</v>
      </c>
      <c r="AA48">
        <f>wFG!AA48-woFG!AA48</f>
        <v>-1.6949089010798969E-16</v>
      </c>
      <c r="AB48">
        <f>wFG!AB48-woFG!AB48</f>
        <v>1.067994064753598E-16</v>
      </c>
      <c r="AC48">
        <f>wFG!AC48-woFG!AC48</f>
        <v>5.1992196956067983E-16</v>
      </c>
      <c r="AD48">
        <f>wFG!AD48-woFG!AD48</f>
        <v>9.3471711554519839E-17</v>
      </c>
      <c r="AE48">
        <f>wFG!AE48-woFG!AE48</f>
        <v>-4.2003419885448985E-3</v>
      </c>
      <c r="AF48">
        <f>wFG!AF48-woFG!AF48</f>
        <v>-0.75676579704924984</v>
      </c>
      <c r="AK48" s="1">
        <f t="shared" si="1"/>
        <v>43373</v>
      </c>
      <c r="AL48">
        <f t="shared" si="2"/>
        <v>-8.5539238737930012E-3</v>
      </c>
      <c r="AM48">
        <f t="shared" si="3"/>
        <v>6.2310290994671197E-7</v>
      </c>
      <c r="AN48">
        <f t="shared" si="4"/>
        <v>-8.3452772263580277E-3</v>
      </c>
      <c r="AO48">
        <f t="shared" si="5"/>
        <v>1.068933293137565E-3</v>
      </c>
      <c r="AP48">
        <f t="shared" si="6"/>
        <v>-0.59526452152074416</v>
      </c>
      <c r="AQ48">
        <f t="shared" si="7"/>
        <v>-5.0685784430845829E-2</v>
      </c>
      <c r="AR48">
        <f t="shared" si="8"/>
        <v>1.1391391558899983E-2</v>
      </c>
      <c r="AS48">
        <f t="shared" si="9"/>
        <v>-0.10993905139650795</v>
      </c>
      <c r="AT48">
        <f t="shared" si="10"/>
        <v>3.5618134440515981E-3</v>
      </c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</row>
    <row r="49" spans="1:87" x14ac:dyDescent="0.25">
      <c r="A49" s="1">
        <v>43465</v>
      </c>
      <c r="B49">
        <f>wFG!B49-woFG!B49</f>
        <v>-9.0862754219889763E-3</v>
      </c>
      <c r="C49">
        <f>wFG!C49-woFG!C49</f>
        <v>6.5673177660723301E-7</v>
      </c>
      <c r="D49">
        <f>wFG!D49-woFG!D49</f>
        <v>-1.208569409250404E-2</v>
      </c>
      <c r="E49">
        <f>wFG!E49-woFG!E49</f>
        <v>1.050162683257853E-3</v>
      </c>
      <c r="F49">
        <f>wFG!F49-woFG!F49</f>
        <v>-0.63019070232576013</v>
      </c>
      <c r="G49">
        <f>wFG!G49-woFG!G49</f>
        <v>-5.2088786125923929E-2</v>
      </c>
      <c r="H49">
        <f>wFG!H49-woFG!H49</f>
        <v>8.0843736626630136E-3</v>
      </c>
      <c r="I49">
        <f>wFG!I49-woFG!I49</f>
        <v>-1.6127580789069016E-16</v>
      </c>
      <c r="J49">
        <f>wFG!J49-woFG!J49</f>
        <v>1.0421756057235021E-15</v>
      </c>
      <c r="K49">
        <f>wFG!K49-woFG!K49</f>
        <v>-1.3447128645395859E-15</v>
      </c>
      <c r="L49">
        <f>wFG!L49-woFG!L49</f>
        <v>1.007466151534904E-2</v>
      </c>
      <c r="M49">
        <f>wFG!M49-woFG!M49</f>
        <v>0</v>
      </c>
      <c r="N49">
        <f>wFG!N49-woFG!N49</f>
        <v>0</v>
      </c>
      <c r="O49">
        <f>wFG!O49-woFG!O49</f>
        <v>1.072021926634901E-14</v>
      </c>
      <c r="P49">
        <f>wFG!P49-woFG!P49</f>
        <v>0</v>
      </c>
      <c r="Q49">
        <f>wFG!Q49-woFG!Q49</f>
        <v>-0.129703389828774</v>
      </c>
      <c r="R49">
        <f>wFG!R49-woFG!R49</f>
        <v>0</v>
      </c>
      <c r="S49">
        <f>wFG!S49-woFG!S49</f>
        <v>0</v>
      </c>
      <c r="T49">
        <f>wFG!T49-woFG!T49</f>
        <v>0</v>
      </c>
      <c r="U49">
        <f>wFG!U49-woFG!U49</f>
        <v>0</v>
      </c>
      <c r="V49">
        <f>wFG!V49-woFG!V49</f>
        <v>0</v>
      </c>
      <c r="W49">
        <f>wFG!W49-woFG!W49</f>
        <v>0</v>
      </c>
      <c r="X49">
        <f>wFG!X49-woFG!X49</f>
        <v>0</v>
      </c>
      <c r="Y49">
        <f>wFG!Y49-woFG!Y49</f>
        <v>-5.4953831089828988E-16</v>
      </c>
      <c r="Z49">
        <f>wFG!Z49-woFG!Z49</f>
        <v>-4.0204001068012996E-16</v>
      </c>
      <c r="AA49">
        <f>wFG!AA49-woFG!AA49</f>
        <v>-8.9159062758020057E-17</v>
      </c>
      <c r="AB49">
        <f>wFG!AB49-woFG!AB49</f>
        <v>2.1407987867317988E-16</v>
      </c>
      <c r="AC49">
        <f>wFG!AC49-woFG!AC49</f>
        <v>6.5434864507180993E-16</v>
      </c>
      <c r="AD49">
        <f>wFG!AD49-woFG!AD49</f>
        <v>4.6246326313957394E-15</v>
      </c>
      <c r="AE49">
        <f>wFG!AE49-woFG!AE49</f>
        <v>-4.1570768579279015E-3</v>
      </c>
      <c r="AF49">
        <f>wFG!AF49-woFG!AF49</f>
        <v>-0.81810207005982005</v>
      </c>
      <c r="AK49" s="1">
        <f t="shared" si="1"/>
        <v>43465</v>
      </c>
      <c r="AL49">
        <f t="shared" si="2"/>
        <v>-9.0862754219889763E-3</v>
      </c>
      <c r="AM49">
        <f t="shared" si="3"/>
        <v>6.5673177660723301E-7</v>
      </c>
      <c r="AN49">
        <f t="shared" si="4"/>
        <v>-1.208569409250404E-2</v>
      </c>
      <c r="AO49">
        <f t="shared" si="5"/>
        <v>1.050162683257853E-3</v>
      </c>
      <c r="AP49">
        <f t="shared" si="6"/>
        <v>-0.63019070232576013</v>
      </c>
      <c r="AQ49">
        <f t="shared" si="7"/>
        <v>-5.2088786125923929E-2</v>
      </c>
      <c r="AR49">
        <f t="shared" si="8"/>
        <v>8.0843736626630136E-3</v>
      </c>
      <c r="AS49">
        <f t="shared" si="9"/>
        <v>-0.129703389828774</v>
      </c>
      <c r="AT49">
        <f t="shared" si="10"/>
        <v>5.9175846574335278E-3</v>
      </c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</row>
    <row r="50" spans="1:87" x14ac:dyDescent="0.25">
      <c r="A50" s="1">
        <v>43555</v>
      </c>
      <c r="B50">
        <f>wFG!B50-woFG!B50</f>
        <v>-9.6701107744129877E-3</v>
      </c>
      <c r="C50">
        <f>wFG!C50-woFG!C50</f>
        <v>7.4363296281862091E-7</v>
      </c>
      <c r="D50">
        <f>wFG!D50-woFG!D50</f>
        <v>-1.7711078343321973E-2</v>
      </c>
      <c r="E50">
        <f>wFG!E50-woFG!E50</f>
        <v>9.9368195855936486E-4</v>
      </c>
      <c r="F50">
        <f>wFG!F50-woFG!F50</f>
        <v>-0.66703428515696406</v>
      </c>
      <c r="G50">
        <f>wFG!G50-woFG!G50</f>
        <v>-5.6231405148296415E-2</v>
      </c>
      <c r="H50">
        <f>wFG!H50-woFG!H50</f>
        <v>4.350208013122997E-3</v>
      </c>
      <c r="I50">
        <f>wFG!I50-woFG!I50</f>
        <v>-1.4347199964581997E-16</v>
      </c>
      <c r="J50">
        <f>wFG!J50-woFG!J50</f>
        <v>1.0111193517556974E-15</v>
      </c>
      <c r="K50">
        <f>wFG!K50-woFG!K50</f>
        <v>-1.4217013304696201E-15</v>
      </c>
      <c r="L50">
        <f>wFG!L50-woFG!L50</f>
        <v>7.9346808154806339E-3</v>
      </c>
      <c r="M50">
        <f>wFG!M50-woFG!M50</f>
        <v>0</v>
      </c>
      <c r="N50">
        <f>wFG!N50-woFG!N50</f>
        <v>0</v>
      </c>
      <c r="O50">
        <f>wFG!O50-woFG!O50</f>
        <v>9.7424178746639979E-15</v>
      </c>
      <c r="P50">
        <f>wFG!P50-woFG!P50</f>
        <v>0</v>
      </c>
      <c r="Q50">
        <f>wFG!Q50-woFG!Q50</f>
        <v>-0.14972990927334701</v>
      </c>
      <c r="R50">
        <f>wFG!R50-woFG!R50</f>
        <v>0</v>
      </c>
      <c r="S50">
        <f>wFG!S50-woFG!S50</f>
        <v>0</v>
      </c>
      <c r="T50">
        <f>wFG!T50-woFG!T50</f>
        <v>0</v>
      </c>
      <c r="U50">
        <f>wFG!U50-woFG!U50</f>
        <v>0</v>
      </c>
      <c r="V50">
        <f>wFG!V50-woFG!V50</f>
        <v>0</v>
      </c>
      <c r="W50">
        <f>wFG!W50-woFG!W50</f>
        <v>0</v>
      </c>
      <c r="X50">
        <f>wFG!X50-woFG!X50</f>
        <v>0</v>
      </c>
      <c r="Y50">
        <f>wFG!Y50-woFG!Y50</f>
        <v>-5.3141948892620999E-16</v>
      </c>
      <c r="Z50">
        <f>wFG!Z50-woFG!Z50</f>
        <v>-3.4636001379251977E-16</v>
      </c>
      <c r="AA50">
        <f>wFG!AA50-woFG!AA50</f>
        <v>-8.4182072118600485E-18</v>
      </c>
      <c r="AB50">
        <f>wFG!AB50-woFG!AB50</f>
        <v>3.2354077426412016E-16</v>
      </c>
      <c r="AC50">
        <f>wFG!AC50-woFG!AC50</f>
        <v>4.6125149504402203E-15</v>
      </c>
      <c r="AD50">
        <f>wFG!AD50-woFG!AD50</f>
        <v>2.4353963621387399E-15</v>
      </c>
      <c r="AE50">
        <f>wFG!AE50-woFG!AE50</f>
        <v>-4.1142766494107023E-3</v>
      </c>
      <c r="AF50">
        <f>wFG!AF50-woFG!AF50</f>
        <v>-0.89121175092560989</v>
      </c>
      <c r="AK50" s="1">
        <f t="shared" si="1"/>
        <v>43555</v>
      </c>
      <c r="AL50">
        <f t="shared" si="2"/>
        <v>-9.6701107744129877E-3</v>
      </c>
      <c r="AM50">
        <f t="shared" si="3"/>
        <v>7.4363296281862091E-7</v>
      </c>
      <c r="AN50">
        <f t="shared" si="4"/>
        <v>-1.7711078343321973E-2</v>
      </c>
      <c r="AO50">
        <f t="shared" si="5"/>
        <v>9.9368195855936486E-4</v>
      </c>
      <c r="AP50">
        <f t="shared" si="6"/>
        <v>-0.66703428515696406</v>
      </c>
      <c r="AQ50">
        <f t="shared" si="7"/>
        <v>-5.6231405148296415E-2</v>
      </c>
      <c r="AR50">
        <f t="shared" si="8"/>
        <v>4.350208013122997E-3</v>
      </c>
      <c r="AS50">
        <f t="shared" si="9"/>
        <v>-0.14972990927334701</v>
      </c>
      <c r="AT50">
        <f t="shared" si="10"/>
        <v>3.8204041660874211E-3</v>
      </c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</row>
    <row r="51" spans="1:87" x14ac:dyDescent="0.25">
      <c r="A51" s="1">
        <v>43646</v>
      </c>
      <c r="B51">
        <f>wFG!B51-woFG!B51</f>
        <v>-1.0296695172835019E-2</v>
      </c>
      <c r="C51">
        <f>wFG!C51-woFG!C51</f>
        <v>8.8629973514354994E-7</v>
      </c>
      <c r="D51">
        <f>wFG!D51-woFG!D51</f>
        <v>-2.598983470983407E-2</v>
      </c>
      <c r="E51">
        <f>wFG!E51-woFG!E51</f>
        <v>8.7563010100517402E-4</v>
      </c>
      <c r="F51">
        <f>wFG!F51-woFG!F51</f>
        <v>-0.70614421219368495</v>
      </c>
      <c r="G51">
        <f>wFG!G51-woFG!G51</f>
        <v>-6.1507442462662307E-2</v>
      </c>
      <c r="H51">
        <f>wFG!H51-woFG!H51</f>
        <v>8.8589694305002409E-5</v>
      </c>
      <c r="I51">
        <f>wFG!I51-woFG!I51</f>
        <v>-1.1687193420200045E-16</v>
      </c>
      <c r="J51">
        <f>wFG!J51-woFG!J51</f>
        <v>9.6804937884510343E-16</v>
      </c>
      <c r="K51">
        <f>wFG!K51-woFG!K51</f>
        <v>-1.48757881757449E-15</v>
      </c>
      <c r="L51">
        <f>wFG!L51-woFG!L51</f>
        <v>3.9901528380733992E-3</v>
      </c>
      <c r="M51">
        <f>wFG!M51-woFG!M51</f>
        <v>0</v>
      </c>
      <c r="N51">
        <f>wFG!N51-woFG!N51</f>
        <v>0</v>
      </c>
      <c r="O51">
        <f>wFG!O51-woFG!O51</f>
        <v>8.6784669240379949E-15</v>
      </c>
      <c r="P51">
        <f>wFG!P51-woFG!P51</f>
        <v>0</v>
      </c>
      <c r="Q51">
        <f>wFG!Q51-woFG!Q51</f>
        <v>-0.17167830080700897</v>
      </c>
      <c r="R51">
        <f>wFG!R51-woFG!R51</f>
        <v>0</v>
      </c>
      <c r="S51">
        <f>wFG!S51-woFG!S51</f>
        <v>0</v>
      </c>
      <c r="T51">
        <f>wFG!T51-woFG!T51</f>
        <v>0</v>
      </c>
      <c r="U51">
        <f>wFG!U51-woFG!U51</f>
        <v>0</v>
      </c>
      <c r="V51">
        <f>wFG!V51-woFG!V51</f>
        <v>0</v>
      </c>
      <c r="W51">
        <f>wFG!W51-woFG!W51</f>
        <v>0</v>
      </c>
      <c r="X51">
        <f>wFG!X51-woFG!X51</f>
        <v>0</v>
      </c>
      <c r="Y51">
        <f>wFG!Y51-woFG!Y51</f>
        <v>-5.0713769275488985E-16</v>
      </c>
      <c r="Z51">
        <f>wFG!Z51-woFG!Z51</f>
        <v>-2.926377557597101E-16</v>
      </c>
      <c r="AA51">
        <f>wFG!AA51-woFG!AA51</f>
        <v>7.1251534149420041E-17</v>
      </c>
      <c r="AB51">
        <f>wFG!AB51-woFG!AB51</f>
        <v>3.7079765163544172E-15</v>
      </c>
      <c r="AC51">
        <f>wFG!AC51-woFG!AC51</f>
        <v>2.6817596367805447E-15</v>
      </c>
      <c r="AD51">
        <f>wFG!AD51-woFG!AD51</f>
        <v>1.5878174817788603E-15</v>
      </c>
      <c r="AE51">
        <f>wFG!AE51-woFG!AE51</f>
        <v>-4.0719360682222004E-3</v>
      </c>
      <c r="AF51">
        <f>wFG!AF51-woFG!AF51</f>
        <v>-0.97473316248110975</v>
      </c>
      <c r="AK51" s="1">
        <f t="shared" si="1"/>
        <v>43646</v>
      </c>
      <c r="AL51">
        <f t="shared" si="2"/>
        <v>-1.0296695172835019E-2</v>
      </c>
      <c r="AM51">
        <f t="shared" si="3"/>
        <v>8.8629973514354994E-7</v>
      </c>
      <c r="AN51">
        <f t="shared" si="4"/>
        <v>-2.598983470983407E-2</v>
      </c>
      <c r="AO51">
        <f t="shared" si="5"/>
        <v>8.7563010100517402E-4</v>
      </c>
      <c r="AP51">
        <f t="shared" si="6"/>
        <v>-0.70614421219368495</v>
      </c>
      <c r="AQ51">
        <f t="shared" si="7"/>
        <v>-6.1507442462662307E-2</v>
      </c>
      <c r="AR51">
        <f t="shared" si="8"/>
        <v>8.8589694305002409E-5</v>
      </c>
      <c r="AS51">
        <f t="shared" si="9"/>
        <v>-0.17167830080700897</v>
      </c>
      <c r="AT51">
        <f t="shared" si="10"/>
        <v>-8.178323012986155E-5</v>
      </c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</row>
    <row r="52" spans="1:87" x14ac:dyDescent="0.25">
      <c r="A52" s="1">
        <v>43738</v>
      </c>
      <c r="B52">
        <f>wFG!B52-woFG!B52</f>
        <v>-1.0940137809202999E-2</v>
      </c>
      <c r="C52">
        <f>wFG!C52-woFG!C52</f>
        <v>1.08490147032504E-6</v>
      </c>
      <c r="D52">
        <f>wFG!D52-woFG!D52</f>
        <v>-3.7636799233633056E-2</v>
      </c>
      <c r="E52">
        <f>wFG!E52-woFG!E52</f>
        <v>6.475799177489399E-4</v>
      </c>
      <c r="F52">
        <f>wFG!F52-woFG!F52</f>
        <v>-0.74747619300929502</v>
      </c>
      <c r="G52">
        <f>wFG!G52-woFG!G52</f>
        <v>-6.7052372323203907E-2</v>
      </c>
      <c r="H52">
        <f>wFG!H52-woFG!H52</f>
        <v>-4.8426519833399961E-3</v>
      </c>
      <c r="I52">
        <f>wFG!I52-woFG!I52</f>
        <v>-7.4162596284299408E-17</v>
      </c>
      <c r="J52">
        <f>wFG!J52-woFG!J52</f>
        <v>9.115191473804947E-16</v>
      </c>
      <c r="K52">
        <f>wFG!K52-woFG!K52</f>
        <v>-1.5535101439153262E-15</v>
      </c>
      <c r="L52">
        <f>wFG!L52-woFG!L52</f>
        <v>-1.3769296805425397E-4</v>
      </c>
      <c r="M52">
        <f>wFG!M52-woFG!M52</f>
        <v>0</v>
      </c>
      <c r="N52">
        <f>wFG!N52-woFG!N52</f>
        <v>0</v>
      </c>
      <c r="O52">
        <f>wFG!O52-woFG!O52</f>
        <v>7.4619443145330085E-15</v>
      </c>
      <c r="P52">
        <f>wFG!P52-woFG!P52</f>
        <v>0</v>
      </c>
      <c r="Q52">
        <f>wFG!Q52-woFG!Q52</f>
        <v>-0.19704984401646602</v>
      </c>
      <c r="R52">
        <f>wFG!R52-woFG!R52</f>
        <v>0</v>
      </c>
      <c r="S52">
        <f>wFG!S52-woFG!S52</f>
        <v>0</v>
      </c>
      <c r="T52">
        <f>wFG!T52-woFG!T52</f>
        <v>0</v>
      </c>
      <c r="U52">
        <f>wFG!U52-woFG!U52</f>
        <v>0</v>
      </c>
      <c r="V52">
        <f>wFG!V52-woFG!V52</f>
        <v>0</v>
      </c>
      <c r="W52">
        <f>wFG!W52-woFG!W52</f>
        <v>0</v>
      </c>
      <c r="X52">
        <f>wFG!X52-woFG!X52</f>
        <v>0</v>
      </c>
      <c r="Y52">
        <f>wFG!Y52-woFG!Y52</f>
        <v>-4.8936297016816008E-16</v>
      </c>
      <c r="Z52">
        <f>wFG!Z52-woFG!Z52</f>
        <v>-2.4456326768128988E-16</v>
      </c>
      <c r="AA52">
        <f>wFG!AA52-woFG!AA52</f>
        <v>2.9876783692352589E-15</v>
      </c>
      <c r="AB52">
        <f>wFG!AB52-woFG!AB52</f>
        <v>2.0361078513472398E-15</v>
      </c>
      <c r="AC52">
        <f>wFG!AC52-woFG!AC52</f>
        <v>1.92070537534778E-15</v>
      </c>
      <c r="AD52">
        <f>wFG!AD52-woFG!AD52</f>
        <v>1.0371091788102397E-15</v>
      </c>
      <c r="AE52">
        <f>wFG!AE52-woFG!AE52</f>
        <v>-4.0300498848332006E-3</v>
      </c>
      <c r="AF52">
        <f>wFG!AF52-woFG!AF52</f>
        <v>-1.0685170764087899</v>
      </c>
      <c r="AK52" s="1">
        <f t="shared" si="1"/>
        <v>43738</v>
      </c>
      <c r="AL52">
        <f t="shared" si="2"/>
        <v>-1.0940137809202999E-2</v>
      </c>
      <c r="AM52">
        <f t="shared" si="3"/>
        <v>1.08490147032504E-6</v>
      </c>
      <c r="AN52">
        <f t="shared" si="4"/>
        <v>-3.7636799233633056E-2</v>
      </c>
      <c r="AO52">
        <f t="shared" si="5"/>
        <v>6.475799177489399E-4</v>
      </c>
      <c r="AP52">
        <f t="shared" si="6"/>
        <v>-0.74747619300929502</v>
      </c>
      <c r="AQ52">
        <f t="shared" si="7"/>
        <v>-6.7052372323203907E-2</v>
      </c>
      <c r="AR52">
        <f t="shared" si="8"/>
        <v>-4.8426519833399961E-3</v>
      </c>
      <c r="AS52">
        <f t="shared" si="9"/>
        <v>-0.19704984401646602</v>
      </c>
      <c r="AT52">
        <f t="shared" si="10"/>
        <v>-4.1677428528681393E-3</v>
      </c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</row>
    <row r="53" spans="1:87" x14ac:dyDescent="0.25">
      <c r="A53" s="1">
        <v>43830</v>
      </c>
      <c r="B53">
        <f>wFG!B53-woFG!B53</f>
        <v>-1.1516552503256006E-2</v>
      </c>
      <c r="C53">
        <f>wFG!C53-woFG!C53</f>
        <v>1.4728990899458998E-6</v>
      </c>
      <c r="D53">
        <f>wFG!D53-woFG!D53</f>
        <v>-5.5282847856515049E-2</v>
      </c>
      <c r="E53">
        <f>wFG!E53-woFG!E53</f>
        <v>3.2302711099447992E-4</v>
      </c>
      <c r="F53">
        <f>wFG!F53-woFG!F53</f>
        <v>-0.79180780092237357</v>
      </c>
      <c r="G53">
        <f>wFG!G53-woFG!G53</f>
        <v>-7.1232758030681506E-2</v>
      </c>
      <c r="H53">
        <f>wFG!H53-woFG!H53</f>
        <v>-1.0737290745006983E-2</v>
      </c>
      <c r="I53">
        <f>wFG!I53-woFG!I53</f>
        <v>-9.3470609873294154E-18</v>
      </c>
      <c r="J53">
        <f>wFG!J53-woFG!J53</f>
        <v>8.3932225422619923E-16</v>
      </c>
      <c r="K53">
        <f>wFG!K53-woFG!K53</f>
        <v>-1.6035358679462673E-15</v>
      </c>
      <c r="L53">
        <f>wFG!L53-woFG!L53</f>
        <v>-2.9884758969708006E-3</v>
      </c>
      <c r="M53">
        <f>wFG!M53-woFG!M53</f>
        <v>0</v>
      </c>
      <c r="N53">
        <f>wFG!N53-woFG!N53</f>
        <v>0</v>
      </c>
      <c r="O53">
        <f>wFG!O53-woFG!O53</f>
        <v>6.0878614232319939E-15</v>
      </c>
      <c r="P53">
        <f>wFG!P53-woFG!P53</f>
        <v>0</v>
      </c>
      <c r="Q53">
        <f>wFG!Q53-woFG!Q53</f>
        <v>-0.228694558691695</v>
      </c>
      <c r="R53">
        <f>wFG!R53-woFG!R53</f>
        <v>0</v>
      </c>
      <c r="S53">
        <f>wFG!S53-woFG!S53</f>
        <v>0</v>
      </c>
      <c r="T53">
        <f>wFG!T53-woFG!T53</f>
        <v>0</v>
      </c>
      <c r="U53">
        <f>wFG!U53-woFG!U53</f>
        <v>0</v>
      </c>
      <c r="V53">
        <f>wFG!V53-woFG!V53</f>
        <v>0</v>
      </c>
      <c r="W53">
        <f>wFG!W53-woFG!W53</f>
        <v>0</v>
      </c>
      <c r="X53">
        <f>wFG!X53-woFG!X53</f>
        <v>0</v>
      </c>
      <c r="Y53">
        <f>wFG!Y53-woFG!Y53</f>
        <v>-4.6771996683689993E-16</v>
      </c>
      <c r="Z53">
        <f>wFG!Z53-woFG!Z53</f>
        <v>2.4123781961145988E-15</v>
      </c>
      <c r="AA53">
        <f>wFG!AA53-woFG!AA53</f>
        <v>1.5227961750234188E-15</v>
      </c>
      <c r="AB53">
        <f>wFG!AB53-woFG!AB53</f>
        <v>1.3716529831765502E-15</v>
      </c>
      <c r="AC53">
        <f>wFG!AC53-woFG!AC53</f>
        <v>1.42058324958243E-15</v>
      </c>
      <c r="AD53">
        <f>wFG!AD53-woFG!AD53</f>
        <v>4.5587025547998005E-16</v>
      </c>
      <c r="AE53">
        <f>wFG!AE53-woFG!AE53</f>
        <v>-3.9886129340779009E-3</v>
      </c>
      <c r="AF53">
        <f>wFG!AF53-woFG!AF53</f>
        <v>-1.1759243975704798</v>
      </c>
      <c r="AK53" s="1">
        <f t="shared" si="1"/>
        <v>43830</v>
      </c>
      <c r="AL53">
        <f t="shared" si="2"/>
        <v>-1.1516552503256006E-2</v>
      </c>
      <c r="AM53">
        <f t="shared" si="3"/>
        <v>1.4728990899458998E-6</v>
      </c>
      <c r="AN53">
        <f t="shared" si="4"/>
        <v>-5.5282847856515049E-2</v>
      </c>
      <c r="AO53">
        <f t="shared" si="5"/>
        <v>3.2302711099447992E-4</v>
      </c>
      <c r="AP53">
        <f t="shared" si="6"/>
        <v>-0.79180780092237357</v>
      </c>
      <c r="AQ53">
        <f t="shared" si="7"/>
        <v>-7.1232758030681506E-2</v>
      </c>
      <c r="AR53">
        <f t="shared" si="8"/>
        <v>-1.0737290745006983E-2</v>
      </c>
      <c r="AS53">
        <f t="shared" si="9"/>
        <v>-0.228694558691695</v>
      </c>
      <c r="AT53">
        <f t="shared" si="10"/>
        <v>-6.9770888310360935E-3</v>
      </c>
    </row>
    <row r="54" spans="1:87" x14ac:dyDescent="0.25">
      <c r="A54" s="1">
        <v>43921</v>
      </c>
      <c r="B54">
        <f>wFG!B54-woFG!B54</f>
        <v>-1.1993503708238998E-2</v>
      </c>
      <c r="C54">
        <f>wFG!C54-woFG!C54</f>
        <v>2.107736587066872E-6</v>
      </c>
      <c r="D54">
        <f>wFG!D54-woFG!D54</f>
        <v>-8.0736233228812959E-2</v>
      </c>
      <c r="E54">
        <f>wFG!E54-woFG!E54</f>
        <v>-1.9292694813385588E-4</v>
      </c>
      <c r="F54">
        <f>wFG!F54-woFG!F54</f>
        <v>-0.83900885539367398</v>
      </c>
      <c r="G54">
        <f>wFG!G54-woFG!G54</f>
        <v>-7.2245897432084302E-2</v>
      </c>
      <c r="H54">
        <f>wFG!H54-woFG!H54</f>
        <v>-1.7840579113615002E-2</v>
      </c>
      <c r="I54">
        <f>wFG!I54-woFG!I54</f>
        <v>7.7530556059700715E-17</v>
      </c>
      <c r="J54">
        <f>wFG!J54-woFG!J54</f>
        <v>7.4826552106920299E-16</v>
      </c>
      <c r="K54">
        <f>wFG!K54-woFG!K54</f>
        <v>-1.6728455297783103E-15</v>
      </c>
      <c r="L54">
        <f>wFG!L54-woFG!L54</f>
        <v>-1.3452375895234049E-3</v>
      </c>
      <c r="M54">
        <f>wFG!M54-woFG!M54</f>
        <v>0</v>
      </c>
      <c r="N54">
        <f>wFG!N54-woFG!N54</f>
        <v>0</v>
      </c>
      <c r="O54">
        <f>wFG!O54-woFG!O54</f>
        <v>4.4243174843658913E-15</v>
      </c>
      <c r="P54">
        <f>wFG!P54-woFG!P54</f>
        <v>0</v>
      </c>
      <c r="Q54">
        <f>wFG!Q54-woFG!Q54</f>
        <v>-0.26994107218530905</v>
      </c>
      <c r="R54">
        <f>wFG!R54-woFG!R54</f>
        <v>0</v>
      </c>
      <c r="S54">
        <f>wFG!S54-woFG!S54</f>
        <v>0</v>
      </c>
      <c r="T54">
        <f>wFG!T54-woFG!T54</f>
        <v>0</v>
      </c>
      <c r="U54">
        <f>wFG!U54-woFG!U54</f>
        <v>0</v>
      </c>
      <c r="V54">
        <f>wFG!V54-woFG!V54</f>
        <v>0</v>
      </c>
      <c r="W54">
        <f>wFG!W54-woFG!W54</f>
        <v>0</v>
      </c>
      <c r="X54">
        <f>wFG!X54-woFG!X54</f>
        <v>0</v>
      </c>
      <c r="Y54">
        <f>wFG!Y54-woFG!Y54</f>
        <v>1.8028469670189899E-15</v>
      </c>
      <c r="Z54">
        <f>wFG!Z54-woFG!Z54</f>
        <v>1.0415473434861759E-15</v>
      </c>
      <c r="AA54">
        <f>wFG!AA54-woFG!AA54</f>
        <v>9.2499189905431012E-16</v>
      </c>
      <c r="AB54">
        <f>wFG!AB54-woFG!AB54</f>
        <v>9.2210784441641007E-16</v>
      </c>
      <c r="AC54">
        <f>wFG!AC54-woFG!AC54</f>
        <v>8.8228278948030011E-16</v>
      </c>
      <c r="AD54">
        <f>wFG!AD54-woFG!AD54</f>
        <v>6.276682645059101E-16</v>
      </c>
      <c r="AE54">
        <f>wFG!AE54-woFG!AE54</f>
        <v>-3.947620114289601E-3</v>
      </c>
      <c r="AF54">
        <f>wFG!AF54-woFG!AF54</f>
        <v>-1.2972498179770999</v>
      </c>
      <c r="AK54" s="1">
        <f t="shared" si="1"/>
        <v>43921</v>
      </c>
      <c r="AL54">
        <f t="shared" si="2"/>
        <v>-1.1993503708238998E-2</v>
      </c>
      <c r="AM54">
        <f t="shared" si="3"/>
        <v>2.107736587066872E-6</v>
      </c>
      <c r="AN54">
        <f t="shared" si="4"/>
        <v>-8.0736233228812959E-2</v>
      </c>
      <c r="AO54">
        <f t="shared" si="5"/>
        <v>-1.9292694813385588E-4</v>
      </c>
      <c r="AP54">
        <f t="shared" si="6"/>
        <v>-0.83900885539367398</v>
      </c>
      <c r="AQ54">
        <f t="shared" si="7"/>
        <v>-7.2245897432084302E-2</v>
      </c>
      <c r="AR54">
        <f t="shared" si="8"/>
        <v>-1.7840579113615002E-2</v>
      </c>
      <c r="AS54">
        <f t="shared" si="9"/>
        <v>-0.26994107218530905</v>
      </c>
      <c r="AT54">
        <f t="shared" si="10"/>
        <v>-5.2928577038189317E-3</v>
      </c>
    </row>
    <row r="55" spans="1:87" x14ac:dyDescent="0.25">
      <c r="A55" s="1">
        <v>44012</v>
      </c>
      <c r="B55">
        <f>wFG!B55-woFG!B55</f>
        <v>-1.5370391030853997E-2</v>
      </c>
      <c r="C55">
        <f>wFG!C55-woFG!C55</f>
        <v>2.2830033563547009E-6</v>
      </c>
      <c r="D55">
        <f>wFG!D55-woFG!D55</f>
        <v>-5.3960889968572068E-2</v>
      </c>
      <c r="E55">
        <f>wFG!E55-woFG!E55</f>
        <v>4.6244652253840998E-3</v>
      </c>
      <c r="F55">
        <f>wFG!F55-woFG!F55</f>
        <v>-0.802219225194714</v>
      </c>
      <c r="G55">
        <f>wFG!G55-woFG!G55</f>
        <v>-1.1691786812588006E-2</v>
      </c>
      <c r="H55">
        <f>wFG!H55-woFG!H55</f>
        <v>-1.9041621131865E-2</v>
      </c>
      <c r="I55">
        <f>wFG!I55-woFG!I55</f>
        <v>-4.2677924362232971E-16</v>
      </c>
      <c r="J55">
        <f>wFG!J55-woFG!J55</f>
        <v>5.9874384087810084E-16</v>
      </c>
      <c r="K55">
        <f>wFG!K55-woFG!K55</f>
        <v>-9.805688444254E-15</v>
      </c>
      <c r="L55">
        <f>wFG!L55-woFG!L55</f>
        <v>5.4858547501509536E-3</v>
      </c>
      <c r="M55">
        <f>wFG!M55-woFG!M55</f>
        <v>0</v>
      </c>
      <c r="N55">
        <f>wFG!N55-woFG!N55</f>
        <v>0</v>
      </c>
      <c r="O55">
        <f>wFG!O55-woFG!O55</f>
        <v>5.007702408766295E-15</v>
      </c>
      <c r="P55">
        <f>wFG!P55-woFG!P55</f>
        <v>0</v>
      </c>
      <c r="Q55">
        <f>wFG!Q55-woFG!Q55</f>
        <v>-0.22116099190182598</v>
      </c>
      <c r="R55">
        <f>wFG!R55-woFG!R55</f>
        <v>0</v>
      </c>
      <c r="S55">
        <f>wFG!S55-woFG!S55</f>
        <v>0</v>
      </c>
      <c r="T55">
        <f>wFG!T55-woFG!T55</f>
        <v>0</v>
      </c>
      <c r="U55">
        <f>wFG!U55-woFG!U55</f>
        <v>0</v>
      </c>
      <c r="V55">
        <f>wFG!V55-woFG!V55</f>
        <v>0</v>
      </c>
      <c r="W55">
        <f>wFG!W55-woFG!W55</f>
        <v>0</v>
      </c>
      <c r="X55">
        <f>wFG!X55-woFG!X55</f>
        <v>0</v>
      </c>
      <c r="Y55">
        <f>wFG!Y55-woFG!Y55</f>
        <v>-2.4982723301895197E-15</v>
      </c>
      <c r="Z55">
        <f>wFG!Z55-woFG!Z55</f>
        <v>1.8828603299722581E-15</v>
      </c>
      <c r="AA55">
        <f>wFG!AA55-woFG!AA55</f>
        <v>3.9125532964559779E-15</v>
      </c>
      <c r="AB55">
        <f>wFG!AB55-woFG!AB55</f>
        <v>5.01017974028697E-15</v>
      </c>
      <c r="AC55">
        <f>wFG!AC55-woFG!AC55</f>
        <v>5.4551949725433634E-15</v>
      </c>
      <c r="AD55">
        <f>wFG!AD55-woFG!AD55</f>
        <v>5.0736149124964023E-15</v>
      </c>
      <c r="AE55">
        <f>wFG!AE55-woFG!AE55</f>
        <v>-3.9070663864485995E-3</v>
      </c>
      <c r="AF55">
        <f>wFG!AF55-woFG!AF55</f>
        <v>-1.1172393694479699</v>
      </c>
      <c r="AK55" s="1">
        <f t="shared" si="1"/>
        <v>44012</v>
      </c>
      <c r="AL55">
        <f t="shared" si="2"/>
        <v>-1.5370391030853997E-2</v>
      </c>
      <c r="AM55">
        <f t="shared" si="3"/>
        <v>2.2830033563547009E-6</v>
      </c>
      <c r="AN55">
        <f t="shared" si="4"/>
        <v>-5.3960889968572068E-2</v>
      </c>
      <c r="AO55">
        <f t="shared" si="5"/>
        <v>4.6244652253840998E-3</v>
      </c>
      <c r="AP55">
        <f t="shared" si="6"/>
        <v>-0.802219225194714</v>
      </c>
      <c r="AQ55">
        <f t="shared" si="7"/>
        <v>-1.1691786812588006E-2</v>
      </c>
      <c r="AR55">
        <f t="shared" si="8"/>
        <v>-1.9041621131865E-2</v>
      </c>
      <c r="AS55">
        <f t="shared" si="9"/>
        <v>-0.22116099190182598</v>
      </c>
      <c r="AT55">
        <f t="shared" si="10"/>
        <v>1.5787883637088385E-3</v>
      </c>
    </row>
    <row r="56" spans="1:87" x14ac:dyDescent="0.25">
      <c r="A56" s="1">
        <v>44104</v>
      </c>
      <c r="B56">
        <f>wFG!B56-woFG!B56</f>
        <v>-1.3790892026220997E-2</v>
      </c>
      <c r="C56">
        <f>wFG!C56-woFG!C56</f>
        <v>1.3653436009416999E-6</v>
      </c>
      <c r="D56">
        <f>wFG!D56-woFG!D56</f>
        <v>-5.2833254665679008E-2</v>
      </c>
      <c r="E56">
        <f>wFG!E56-woFG!E56</f>
        <v>6.3832217510173019E-4</v>
      </c>
      <c r="F56">
        <f>wFG!F56-woFG!F56</f>
        <v>-0.81514187268224791</v>
      </c>
      <c r="G56">
        <f>wFG!G56-woFG!G56</f>
        <v>-4.8707878635056399E-2</v>
      </c>
      <c r="H56">
        <f>wFG!H56-woFG!H56</f>
        <v>-2.8541346583475957E-2</v>
      </c>
      <c r="I56">
        <f>wFG!I56-woFG!I56</f>
        <v>3.438818853993017E-17</v>
      </c>
      <c r="J56">
        <f>wFG!J56-woFG!J56</f>
        <v>5.2211686119730278E-16</v>
      </c>
      <c r="K56">
        <f>wFG!K56-woFG!K56</f>
        <v>-3.33798285339896E-15</v>
      </c>
      <c r="L56">
        <f>wFG!L56-woFG!L56</f>
        <v>-5.6210675311361008E-3</v>
      </c>
      <c r="M56">
        <f>wFG!M56-woFG!M56</f>
        <v>0</v>
      </c>
      <c r="N56">
        <f>wFG!N56-woFG!N56</f>
        <v>0</v>
      </c>
      <c r="O56">
        <f>wFG!O56-woFG!O56</f>
        <v>4.6647974899845967E-15</v>
      </c>
      <c r="P56">
        <f>wFG!P56-woFG!P56</f>
        <v>0</v>
      </c>
      <c r="Q56">
        <f>wFG!Q56-woFG!Q56</f>
        <v>-0.22587827307167213</v>
      </c>
      <c r="R56">
        <f>wFG!R56-woFG!R56</f>
        <v>0</v>
      </c>
      <c r="S56">
        <f>wFG!S56-woFG!S56</f>
        <v>0</v>
      </c>
      <c r="T56">
        <f>wFG!T56-woFG!T56</f>
        <v>0</v>
      </c>
      <c r="U56">
        <f>wFG!U56-woFG!U56</f>
        <v>0</v>
      </c>
      <c r="V56">
        <f>wFG!V56-woFG!V56</f>
        <v>0</v>
      </c>
      <c r="W56">
        <f>wFG!W56-woFG!W56</f>
        <v>0</v>
      </c>
      <c r="X56">
        <f>wFG!X56-woFG!X56</f>
        <v>0</v>
      </c>
      <c r="Y56">
        <f>wFG!Y56-woFG!Y56</f>
        <v>1.7438402086155402E-15</v>
      </c>
      <c r="Z56">
        <f>wFG!Z56-woFG!Z56</f>
        <v>2.05322956597233E-15</v>
      </c>
      <c r="AA56">
        <f>wFG!AA56-woFG!AA56</f>
        <v>1.5011692880958697E-15</v>
      </c>
      <c r="AB56">
        <f>wFG!AB56-woFG!AB56</f>
        <v>1.6042671581846098E-15</v>
      </c>
      <c r="AC56">
        <f>wFG!AC56-woFG!AC56</f>
        <v>1.5408755700685898E-15</v>
      </c>
      <c r="AD56">
        <f>wFG!AD56-woFG!AD56</f>
        <v>3.8198894161187601E-15</v>
      </c>
      <c r="AE56">
        <f>wFG!AE56-woFG!AE56</f>
        <v>-3.8669467733421989E-3</v>
      </c>
      <c r="AF56">
        <f>wFG!AF56-woFG!AF56</f>
        <v>-1.1937418444501202</v>
      </c>
      <c r="AK56" s="1">
        <f t="shared" si="1"/>
        <v>44104</v>
      </c>
      <c r="AL56">
        <f t="shared" si="2"/>
        <v>-1.3790892026220997E-2</v>
      </c>
      <c r="AM56">
        <f t="shared" si="3"/>
        <v>1.3653436009416999E-6</v>
      </c>
      <c r="AN56">
        <f t="shared" si="4"/>
        <v>-5.2833254665679008E-2</v>
      </c>
      <c r="AO56">
        <f t="shared" si="5"/>
        <v>6.3832217510173019E-4</v>
      </c>
      <c r="AP56">
        <f t="shared" si="6"/>
        <v>-0.81514187268224791</v>
      </c>
      <c r="AQ56">
        <f t="shared" si="7"/>
        <v>-4.8707878635056399E-2</v>
      </c>
      <c r="AR56">
        <f t="shared" si="8"/>
        <v>-2.8541346583475957E-2</v>
      </c>
      <c r="AS56">
        <f t="shared" si="9"/>
        <v>-0.22587827307167213</v>
      </c>
      <c r="AT56">
        <f t="shared" si="10"/>
        <v>-9.4880143044704379E-3</v>
      </c>
    </row>
    <row r="57" spans="1:87" x14ac:dyDescent="0.25">
      <c r="A57" s="1">
        <v>44196</v>
      </c>
      <c r="B57">
        <f>wFG!B57-woFG!B57</f>
        <v>-1.5054565190454006E-2</v>
      </c>
      <c r="C57">
        <f>wFG!C57-woFG!C57</f>
        <v>2.3024891417216499E-6</v>
      </c>
      <c r="D57">
        <f>wFG!D57-woFG!D57</f>
        <v>-9.4733743443476071E-2</v>
      </c>
      <c r="E57">
        <f>wFG!E57-woFG!E57</f>
        <v>1.3770735678677501E-3</v>
      </c>
      <c r="F57">
        <f>wFG!F57-woFG!F57</f>
        <v>-0.86541295529110795</v>
      </c>
      <c r="G57">
        <f>wFG!G57-woFG!G57</f>
        <v>-4.4268721527707999E-2</v>
      </c>
      <c r="H57">
        <f>wFG!H57-woFG!H57</f>
        <v>-3.441808437654903E-2</v>
      </c>
      <c r="I57">
        <f>wFG!I57-woFG!I57</f>
        <v>6.5285230528112392E-18</v>
      </c>
      <c r="J57">
        <f>wFG!J57-woFG!J57</f>
        <v>3.8413483403389636E-16</v>
      </c>
      <c r="K57">
        <f>wFG!K57-woFG!K57</f>
        <v>-5.4021120944899503E-15</v>
      </c>
      <c r="L57">
        <f>wFG!L57-woFG!L57</f>
        <v>-5.3166950860436962E-3</v>
      </c>
      <c r="M57">
        <f>wFG!M57-woFG!M57</f>
        <v>0</v>
      </c>
      <c r="N57">
        <f>wFG!N57-woFG!N57</f>
        <v>0</v>
      </c>
      <c r="O57">
        <f>wFG!O57-woFG!O57</f>
        <v>2.6010741103415014E-15</v>
      </c>
      <c r="P57">
        <f>wFG!P57-woFG!P57</f>
        <v>0</v>
      </c>
      <c r="Q57">
        <f>wFG!Q57-woFG!Q57</f>
        <v>-0.268126270929746</v>
      </c>
      <c r="R57">
        <f>wFG!R57-woFG!R57</f>
        <v>0</v>
      </c>
      <c r="S57">
        <f>wFG!S57-woFG!S57</f>
        <v>0</v>
      </c>
      <c r="T57">
        <f>wFG!T57-woFG!T57</f>
        <v>0</v>
      </c>
      <c r="U57">
        <f>wFG!U57-woFG!U57</f>
        <v>0</v>
      </c>
      <c r="V57">
        <f>wFG!V57-woFG!V57</f>
        <v>0</v>
      </c>
      <c r="W57">
        <f>wFG!W57-woFG!W57</f>
        <v>0</v>
      </c>
      <c r="X57">
        <f>wFG!X57-woFG!X57</f>
        <v>0</v>
      </c>
      <c r="Y57">
        <f>wFG!Y57-woFG!Y57</f>
        <v>1.2138156118147602E-15</v>
      </c>
      <c r="Z57">
        <f>wFG!Z57-woFG!Z57</f>
        <v>2.6138348617326202E-15</v>
      </c>
      <c r="AA57">
        <f>wFG!AA57-woFG!AA57</f>
        <v>2.81486319156921E-15</v>
      </c>
      <c r="AB57">
        <f>wFG!AB57-woFG!AB57</f>
        <v>3.1614177592981004E-15</v>
      </c>
      <c r="AC57">
        <f>wFG!AC57-woFG!AC57</f>
        <v>3.4297651119954199E-15</v>
      </c>
      <c r="AD57">
        <f>wFG!AD57-woFG!AD57</f>
        <v>6.4083073975356694E-15</v>
      </c>
      <c r="AE57">
        <f>wFG!AE57-woFG!AE57</f>
        <v>-3.827256358736101E-3</v>
      </c>
      <c r="AF57">
        <f>wFG!AF57-woFG!AF57</f>
        <v>-1.3297789161468001</v>
      </c>
      <c r="AK57" s="1">
        <f t="shared" si="1"/>
        <v>44196</v>
      </c>
      <c r="AL57">
        <f t="shared" si="2"/>
        <v>-1.5054565190454006E-2</v>
      </c>
      <c r="AM57">
        <f t="shared" si="3"/>
        <v>2.3024891417216499E-6</v>
      </c>
      <c r="AN57">
        <f t="shared" si="4"/>
        <v>-9.4733743443476071E-2</v>
      </c>
      <c r="AO57">
        <f t="shared" si="5"/>
        <v>1.3770735678677501E-3</v>
      </c>
      <c r="AP57">
        <f t="shared" si="6"/>
        <v>-0.86541295529110795</v>
      </c>
      <c r="AQ57">
        <f t="shared" si="7"/>
        <v>-4.4268721527707999E-2</v>
      </c>
      <c r="AR57">
        <f t="shared" si="8"/>
        <v>-3.441808437654903E-2</v>
      </c>
      <c r="AS57">
        <f t="shared" si="9"/>
        <v>-0.268126270929746</v>
      </c>
      <c r="AT57">
        <f t="shared" si="10"/>
        <v>-9.1439514447686498E-3</v>
      </c>
    </row>
    <row r="58" spans="1:87" x14ac:dyDescent="0.25">
      <c r="A58" s="1">
        <v>44286</v>
      </c>
      <c r="B58">
        <f>wFG!B58-woFG!B58</f>
        <v>-1.5848669302472002E-2</v>
      </c>
      <c r="C58">
        <f>wFG!C58-woFG!C58</f>
        <v>2.5427636870004402E-6</v>
      </c>
      <c r="D58">
        <f>wFG!D58-woFG!D58</f>
        <v>-0.11363933530070502</v>
      </c>
      <c r="E58">
        <f>wFG!E58-woFG!E58</f>
        <v>1.04395004614242E-3</v>
      </c>
      <c r="F58">
        <f>wFG!F58-woFG!F58</f>
        <v>-0.877721770707515</v>
      </c>
      <c r="G58">
        <f>wFG!G58-woFG!G58</f>
        <v>-4.2499211216622798E-2</v>
      </c>
      <c r="H58">
        <f>wFG!H58-woFG!H58</f>
        <v>-4.1443396871374993E-2</v>
      </c>
      <c r="I58">
        <f>wFG!I58-woFG!I58</f>
        <v>7.615555869343892E-17</v>
      </c>
      <c r="J58">
        <f>wFG!J58-woFG!J58</f>
        <v>2.4142923293429495E-16</v>
      </c>
      <c r="K58">
        <f>wFG!K58-woFG!K58</f>
        <v>-5.8326363222268194E-15</v>
      </c>
      <c r="L58">
        <f>wFG!L58-woFG!L58</f>
        <v>-8.0950638725482502E-3</v>
      </c>
      <c r="M58">
        <f>wFG!M58-woFG!M58</f>
        <v>0</v>
      </c>
      <c r="N58">
        <f>wFG!N58-woFG!N58</f>
        <v>0</v>
      </c>
      <c r="O58">
        <f>wFG!O58-woFG!O58</f>
        <v>1.4716991762656894E-15</v>
      </c>
      <c r="P58">
        <f>wFG!P58-woFG!P58</f>
        <v>0</v>
      </c>
      <c r="Q58">
        <f>wFG!Q58-woFG!Q58</f>
        <v>-0.27992655702700242</v>
      </c>
      <c r="R58">
        <f>wFG!R58-woFG!R58</f>
        <v>0</v>
      </c>
      <c r="S58">
        <f>wFG!S58-woFG!S58</f>
        <v>0</v>
      </c>
      <c r="T58">
        <f>wFG!T58-woFG!T58</f>
        <v>0</v>
      </c>
      <c r="U58">
        <f>wFG!U58-woFG!U58</f>
        <v>0</v>
      </c>
      <c r="V58">
        <f>wFG!V58-woFG!V58</f>
        <v>0</v>
      </c>
      <c r="W58">
        <f>wFG!W58-woFG!W58</f>
        <v>0</v>
      </c>
      <c r="X58">
        <f>wFG!X58-woFG!X58</f>
        <v>0</v>
      </c>
      <c r="Y58">
        <f>wFG!Y58-woFG!Y58</f>
        <v>1.8405391012535097E-15</v>
      </c>
      <c r="Z58">
        <f>wFG!Z58-woFG!Z58</f>
        <v>3.1551940567683997E-15</v>
      </c>
      <c r="AA58">
        <f>wFG!AA58-woFG!AA58</f>
        <v>3.1359216315548101E-15</v>
      </c>
      <c r="AB58">
        <f>wFG!AB58-woFG!AB58</f>
        <v>3.3491078211204299E-15</v>
      </c>
      <c r="AC58">
        <f>wFG!AC58-woFG!AC58</f>
        <v>3.78293690279883E-15</v>
      </c>
      <c r="AD58">
        <f>wFG!AD58-woFG!AD58</f>
        <v>8.3508403920362399E-15</v>
      </c>
      <c r="AE58">
        <f>wFG!AE58-woFG!AE58</f>
        <v>-3.7879902865581988E-3</v>
      </c>
      <c r="AF58">
        <f>wFG!AF58-woFG!AF58</f>
        <v>-1.3819155017749591</v>
      </c>
      <c r="AK58" s="1">
        <f t="shared" si="1"/>
        <v>44286</v>
      </c>
      <c r="AL58">
        <f t="shared" si="2"/>
        <v>-1.5848669302472002E-2</v>
      </c>
      <c r="AM58">
        <f t="shared" si="3"/>
        <v>2.5427636870004402E-6</v>
      </c>
      <c r="AN58">
        <f t="shared" si="4"/>
        <v>-0.11363933530070502</v>
      </c>
      <c r="AO58">
        <f t="shared" si="5"/>
        <v>1.04395004614242E-3</v>
      </c>
      <c r="AP58">
        <f t="shared" si="6"/>
        <v>-0.877721770707515</v>
      </c>
      <c r="AQ58">
        <f t="shared" si="7"/>
        <v>-4.2499211216622798E-2</v>
      </c>
      <c r="AR58">
        <f t="shared" si="8"/>
        <v>-4.1443396871374993E-2</v>
      </c>
      <c r="AS58">
        <f t="shared" si="9"/>
        <v>-0.27992655702700242</v>
      </c>
      <c r="AT58">
        <f t="shared" si="10"/>
        <v>-1.1883054159096407E-2</v>
      </c>
    </row>
    <row r="59" spans="1:87" x14ac:dyDescent="0.25">
      <c r="A59" s="1">
        <v>44377</v>
      </c>
      <c r="B59">
        <f>wFG!B59-woFG!B59</f>
        <v>-1.6594601816110999E-2</v>
      </c>
      <c r="C59">
        <f>wFG!C59-woFG!C59</f>
        <v>2.7884017715496871E-6</v>
      </c>
      <c r="D59">
        <f>wFG!D59-woFG!D59</f>
        <v>-0.13060011908632996</v>
      </c>
      <c r="E59">
        <f>wFG!E59-woFG!E59</f>
        <v>5.9912408391736018E-4</v>
      </c>
      <c r="F59">
        <f>wFG!F59-woFG!F59</f>
        <v>-0.87294092224747888</v>
      </c>
      <c r="G59">
        <f>wFG!G59-woFG!G59</f>
        <v>-3.7352022095459902E-2</v>
      </c>
      <c r="H59">
        <f>wFG!H59-woFG!H59</f>
        <v>-4.8765441044239966E-2</v>
      </c>
      <c r="I59">
        <f>wFG!I59-woFG!I59</f>
        <v>1.5089572401579991E-16</v>
      </c>
      <c r="J59">
        <f>wFG!J59-woFG!J59</f>
        <v>8.6186525569100587E-17</v>
      </c>
      <c r="K59">
        <f>wFG!K59-woFG!K59</f>
        <v>-6.361144232160159E-15</v>
      </c>
      <c r="L59">
        <f>wFG!L59-woFG!L59</f>
        <v>-1.0884176097363793E-2</v>
      </c>
      <c r="M59">
        <f>wFG!M59-woFG!M59</f>
        <v>0</v>
      </c>
      <c r="N59">
        <f>wFG!N59-woFG!N59</f>
        <v>0</v>
      </c>
      <c r="O59">
        <f>wFG!O59-woFG!O59</f>
        <v>6.2605693328419314E-16</v>
      </c>
      <c r="P59">
        <f>wFG!P59-woFG!P59</f>
        <v>0</v>
      </c>
      <c r="Q59">
        <f>wFG!Q59-woFG!Q59</f>
        <v>-0.28203010790798899</v>
      </c>
      <c r="R59">
        <f>wFG!R59-woFG!R59</f>
        <v>0</v>
      </c>
      <c r="S59">
        <f>wFG!S59-woFG!S59</f>
        <v>0</v>
      </c>
      <c r="T59">
        <f>wFG!T59-woFG!T59</f>
        <v>0</v>
      </c>
      <c r="U59">
        <f>wFG!U59-woFG!U59</f>
        <v>0</v>
      </c>
      <c r="V59">
        <f>wFG!V59-woFG!V59</f>
        <v>0</v>
      </c>
      <c r="W59">
        <f>wFG!W59-woFG!W59</f>
        <v>0</v>
      </c>
      <c r="X59">
        <f>wFG!X59-woFG!X59</f>
        <v>0</v>
      </c>
      <c r="Y59">
        <f>wFG!Y59-woFG!Y59</f>
        <v>2.7177553502945002E-15</v>
      </c>
      <c r="Z59">
        <f>wFG!Z59-woFG!Z59</f>
        <v>3.4329151796954495E-15</v>
      </c>
      <c r="AA59">
        <f>wFG!AA59-woFG!AA59</f>
        <v>3.2479954349324297E-15</v>
      </c>
      <c r="AB59">
        <f>wFG!AB59-woFG!AB59</f>
        <v>3.4301159271928E-15</v>
      </c>
      <c r="AC59">
        <f>wFG!AC59-woFG!AC59</f>
        <v>4.2998509577521902E-15</v>
      </c>
      <c r="AD59">
        <f>wFG!AD59-woFG!AD59</f>
        <v>9.6805983686610797E-15</v>
      </c>
      <c r="AE59">
        <f>wFG!AE59-woFG!AE59</f>
        <v>-3.7491437600951014E-3</v>
      </c>
      <c r="AF59">
        <f>wFG!AF59-woFG!AF59</f>
        <v>-1.40231462156936</v>
      </c>
      <c r="AK59" s="1">
        <f t="shared" si="1"/>
        <v>44377</v>
      </c>
      <c r="AL59">
        <f t="shared" si="2"/>
        <v>-1.6594601816110999E-2</v>
      </c>
      <c r="AM59">
        <f t="shared" si="3"/>
        <v>2.7884017715496871E-6</v>
      </c>
      <c r="AN59">
        <f t="shared" si="4"/>
        <v>-0.13060011908632996</v>
      </c>
      <c r="AO59">
        <f t="shared" si="5"/>
        <v>5.9912408391736018E-4</v>
      </c>
      <c r="AP59">
        <f t="shared" si="6"/>
        <v>-0.87294092224747888</v>
      </c>
      <c r="AQ59">
        <f t="shared" si="7"/>
        <v>-3.7352022095459902E-2</v>
      </c>
      <c r="AR59">
        <f t="shared" si="8"/>
        <v>-4.8765441044239966E-2</v>
      </c>
      <c r="AS59">
        <f t="shared" si="9"/>
        <v>-0.28203010790798899</v>
      </c>
      <c r="AT59">
        <f t="shared" si="10"/>
        <v>-1.4633319857440208E-2</v>
      </c>
    </row>
    <row r="60" spans="1:87" x14ac:dyDescent="0.25">
      <c r="A60" s="1">
        <v>44469</v>
      </c>
      <c r="B60">
        <f>wFG!B60-woFG!B60</f>
        <v>-1.8418201699789999E-2</v>
      </c>
      <c r="C60">
        <f>wFG!C60-woFG!C60</f>
        <v>5.4868302136606018E-7</v>
      </c>
      <c r="D60">
        <f>wFG!D60-woFG!D60</f>
        <v>-3.1457466966772984E-2</v>
      </c>
      <c r="E60">
        <f>wFG!E60-woFG!E60</f>
        <v>1.63206887323343E-3</v>
      </c>
      <c r="F60">
        <f>wFG!F60-woFG!F60</f>
        <v>-0.70337568817081397</v>
      </c>
      <c r="G60">
        <f>wFG!G60-woFG!G60</f>
        <v>1.5948476975662648E-2</v>
      </c>
      <c r="H60">
        <f>wFG!H60-woFG!H60</f>
        <v>-5.1797041859548976E-2</v>
      </c>
      <c r="I60">
        <f>wFG!I60-woFG!I60</f>
        <v>-5.2854888953400062E-17</v>
      </c>
      <c r="J60">
        <f>wFG!J60-woFG!J60</f>
        <v>-8.0936327089101642E-17</v>
      </c>
      <c r="K60">
        <f>wFG!K60-woFG!K60</f>
        <v>-8.0727105086217323E-15</v>
      </c>
      <c r="L60">
        <f>wFG!L60-woFG!L60</f>
        <v>-1.04131455187466E-2</v>
      </c>
      <c r="M60">
        <f>wFG!M60-woFG!M60</f>
        <v>0</v>
      </c>
      <c r="N60">
        <f>wFG!N60-woFG!N60</f>
        <v>0</v>
      </c>
      <c r="O60">
        <f>wFG!O60-woFG!O60</f>
        <v>3.9729078288677981E-15</v>
      </c>
      <c r="P60">
        <f>wFG!P60-woFG!P60</f>
        <v>0</v>
      </c>
      <c r="Q60">
        <f>wFG!Q60-woFG!Q60</f>
        <v>-0.1401143299709143</v>
      </c>
      <c r="R60">
        <f>wFG!R60-woFG!R60</f>
        <v>0</v>
      </c>
      <c r="S60">
        <f>wFG!S60-woFG!S60</f>
        <v>0</v>
      </c>
      <c r="T60">
        <f>wFG!T60-woFG!T60</f>
        <v>0</v>
      </c>
      <c r="U60">
        <f>wFG!U60-woFG!U60</f>
        <v>0</v>
      </c>
      <c r="V60">
        <f>wFG!V60-woFG!V60</f>
        <v>0</v>
      </c>
      <c r="W60">
        <f>wFG!W60-woFG!W60</f>
        <v>0</v>
      </c>
      <c r="X60">
        <f>wFG!X60-woFG!X60</f>
        <v>0</v>
      </c>
      <c r="Y60">
        <f>wFG!Y60-woFG!Y60</f>
        <v>1.6751522007021201E-15</v>
      </c>
      <c r="Z60">
        <f>wFG!Z60-woFG!Z60</f>
        <v>1.9221809339165597E-15</v>
      </c>
      <c r="AA60">
        <f>wFG!AA60-woFG!AA60</f>
        <v>2.7626247540204298E-15</v>
      </c>
      <c r="AB60">
        <f>wFG!AB60-woFG!AB60</f>
        <v>2.9703256154636801E-15</v>
      </c>
      <c r="AC60">
        <f>wFG!AC60-woFG!AC60</f>
        <v>4.2273466702179956E-15</v>
      </c>
      <c r="AD60">
        <f>wFG!AD60-woFG!AD60</f>
        <v>9.2500767582684996E-15</v>
      </c>
      <c r="AE60">
        <f>wFG!AE60-woFG!AE60</f>
        <v>-3.7107120411980013E-3</v>
      </c>
      <c r="AF60">
        <f>wFG!AF60-woFG!AF60</f>
        <v>-0.94170549169585294</v>
      </c>
      <c r="AK60" s="1">
        <f t="shared" si="1"/>
        <v>44469</v>
      </c>
      <c r="AL60">
        <f t="shared" si="2"/>
        <v>-1.8418201699789999E-2</v>
      </c>
      <c r="AM60">
        <f t="shared" si="3"/>
        <v>5.4868302136606018E-7</v>
      </c>
      <c r="AN60">
        <f t="shared" si="4"/>
        <v>-3.1457466966772984E-2</v>
      </c>
      <c r="AO60">
        <f t="shared" si="5"/>
        <v>1.63206887323343E-3</v>
      </c>
      <c r="AP60">
        <f t="shared" si="6"/>
        <v>-0.70337568817081397</v>
      </c>
      <c r="AQ60">
        <f t="shared" si="7"/>
        <v>1.5948476975662648E-2</v>
      </c>
      <c r="AR60">
        <f t="shared" si="8"/>
        <v>-5.1797041859548976E-2</v>
      </c>
      <c r="AS60">
        <f t="shared" si="9"/>
        <v>-0.1401143299709143</v>
      </c>
      <c r="AT60">
        <f t="shared" si="10"/>
        <v>-1.4123857559929953E-2</v>
      </c>
    </row>
    <row r="61" spans="1:87" x14ac:dyDescent="0.25">
      <c r="A61" s="1">
        <v>44561</v>
      </c>
      <c r="B61">
        <f>wFG!B61-woFG!B61</f>
        <v>-1.8330192634160997E-2</v>
      </c>
      <c r="C61">
        <f>wFG!C61-woFG!C61</f>
        <v>1.9756289035176719E-6</v>
      </c>
      <c r="D61">
        <f>wFG!D61-woFG!D61</f>
        <v>-8.8615571712802987E-2</v>
      </c>
      <c r="E61">
        <f>wFG!E61-woFG!E61</f>
        <v>8.6394543943879988E-4</v>
      </c>
      <c r="F61">
        <f>wFG!F61-woFG!F61</f>
        <v>-0.72513611484543405</v>
      </c>
      <c r="G61">
        <f>wFG!G61-woFG!G61</f>
        <v>7.3146193318211795E-3</v>
      </c>
      <c r="H61">
        <f>wFG!H61-woFG!H61</f>
        <v>-5.8034727245424023E-2</v>
      </c>
      <c r="I61">
        <f>wFG!I61-woFG!I61</f>
        <v>1.097727488437008E-16</v>
      </c>
      <c r="J61">
        <f>wFG!J61-woFG!J61</f>
        <v>-2.2518362817690496E-16</v>
      </c>
      <c r="K61">
        <f>wFG!K61-woFG!K61</f>
        <v>-8.1641764840489902E-15</v>
      </c>
      <c r="L61">
        <f>wFG!L61-woFG!L61</f>
        <v>-1.5061703526880105E-2</v>
      </c>
      <c r="M61">
        <f>wFG!M61-woFG!M61</f>
        <v>0</v>
      </c>
      <c r="N61">
        <f>wFG!N61-woFG!N61</f>
        <v>0</v>
      </c>
      <c r="O61">
        <f>wFG!O61-woFG!O61</f>
        <v>2.9806833153537989E-15</v>
      </c>
      <c r="P61">
        <f>wFG!P61-woFG!P61</f>
        <v>0</v>
      </c>
      <c r="Q61">
        <f>wFG!Q61-woFG!Q61</f>
        <v>-0.17131193507049811</v>
      </c>
      <c r="R61">
        <f>wFG!R61-woFG!R61</f>
        <v>0</v>
      </c>
      <c r="S61">
        <f>wFG!S61-woFG!S61</f>
        <v>0</v>
      </c>
      <c r="T61">
        <f>wFG!T61-woFG!T61</f>
        <v>0</v>
      </c>
      <c r="U61">
        <f>wFG!U61-woFG!U61</f>
        <v>0</v>
      </c>
      <c r="V61">
        <f>wFG!V61-woFG!V61</f>
        <v>0</v>
      </c>
      <c r="W61">
        <f>wFG!W61-woFG!W61</f>
        <v>0</v>
      </c>
      <c r="X61">
        <f>wFG!X61-woFG!X61</f>
        <v>0</v>
      </c>
      <c r="Y61">
        <f>wFG!Y61-woFG!Y61</f>
        <v>2.7791895680534796E-15</v>
      </c>
      <c r="Z61">
        <f>wFG!Z61-woFG!Z61</f>
        <v>2.1171659203740999E-15</v>
      </c>
      <c r="AA61">
        <f>wFG!AA61-woFG!AA61</f>
        <v>3.8301627756353598E-15</v>
      </c>
      <c r="AB61">
        <f>wFG!AB61-woFG!AB61</f>
        <v>3.9635778078931403E-15</v>
      </c>
      <c r="AC61">
        <f>wFG!AC61-woFG!AC61</f>
        <v>4.2982784960547792E-15</v>
      </c>
      <c r="AD61">
        <f>wFG!AD61-woFG!AD61</f>
        <v>9.2654782968068799E-15</v>
      </c>
      <c r="AE61">
        <f>wFG!AE61-woFG!AE61</f>
        <v>-3.6726904495017025E-3</v>
      </c>
      <c r="AF61">
        <f>wFG!AF61-woFG!AF61</f>
        <v>-1.071982395084514</v>
      </c>
      <c r="AK61" s="1">
        <f t="shared" si="1"/>
        <v>44561</v>
      </c>
      <c r="AL61">
        <f t="shared" si="2"/>
        <v>-1.8330192634160997E-2</v>
      </c>
      <c r="AM61">
        <f t="shared" si="3"/>
        <v>1.9756289035176719E-6</v>
      </c>
      <c r="AN61">
        <f t="shared" si="4"/>
        <v>-8.8615571712802987E-2</v>
      </c>
      <c r="AO61">
        <f t="shared" si="5"/>
        <v>8.6394543943879988E-4</v>
      </c>
      <c r="AP61">
        <f t="shared" si="6"/>
        <v>-0.72513611484543405</v>
      </c>
      <c r="AQ61">
        <f t="shared" si="7"/>
        <v>7.3146193318211795E-3</v>
      </c>
      <c r="AR61">
        <f t="shared" si="8"/>
        <v>-5.8034727245424023E-2</v>
      </c>
      <c r="AS61">
        <f t="shared" si="9"/>
        <v>-0.17131193507049811</v>
      </c>
      <c r="AT61">
        <f t="shared" si="10"/>
        <v>-1.8734393976357344E-2</v>
      </c>
    </row>
    <row r="62" spans="1:87" x14ac:dyDescent="0.25">
      <c r="A62" s="1">
        <v>44651</v>
      </c>
      <c r="B62">
        <f>wFG!B62-woFG!B62</f>
        <v>-1.8943272416898999E-2</v>
      </c>
      <c r="C62">
        <f>wFG!C62-woFG!C62</f>
        <v>1.1198987475651549E-6</v>
      </c>
      <c r="D62">
        <f>wFG!D62-woFG!D62</f>
        <v>-6.4735717535003956E-2</v>
      </c>
      <c r="E62">
        <f>wFG!E62-woFG!E62</f>
        <v>8.2832344564999808E-4</v>
      </c>
      <c r="F62">
        <f>wFG!F62-woFG!F62</f>
        <v>-0.63929165368309804</v>
      </c>
      <c r="G62">
        <f>wFG!G62-woFG!G62</f>
        <v>2.9586159456393105E-2</v>
      </c>
      <c r="H62">
        <f>wFG!H62-woFG!H62</f>
        <v>-6.2118583614010986E-2</v>
      </c>
      <c r="I62">
        <f>wFG!I62-woFG!I62</f>
        <v>9.9660409517498406E-17</v>
      </c>
      <c r="J62">
        <f>wFG!J62-woFG!J62</f>
        <v>-3.7992921485590508E-16</v>
      </c>
      <c r="K62">
        <f>wFG!K62-woFG!K62</f>
        <v>-8.4372143079306598E-15</v>
      </c>
      <c r="L62">
        <f>wFG!L62-woFG!L62</f>
        <v>-1.646653319010611E-2</v>
      </c>
      <c r="M62">
        <f>wFG!M62-woFG!M62</f>
        <v>0</v>
      </c>
      <c r="N62">
        <f>wFG!N62-woFG!N62</f>
        <v>0</v>
      </c>
      <c r="O62">
        <f>wFG!O62-woFG!O62</f>
        <v>4.4001017538638923E-15</v>
      </c>
      <c r="P62">
        <f>wFG!P62-woFG!P62</f>
        <v>0</v>
      </c>
      <c r="Q62">
        <f>wFG!Q62-woFG!Q62</f>
        <v>-0.10886896962610999</v>
      </c>
      <c r="R62">
        <f>wFG!R62-woFG!R62</f>
        <v>0</v>
      </c>
      <c r="S62">
        <f>wFG!S62-woFG!S62</f>
        <v>0</v>
      </c>
      <c r="T62">
        <f>wFG!T62-woFG!T62</f>
        <v>0</v>
      </c>
      <c r="U62">
        <f>wFG!U62-woFG!U62</f>
        <v>0</v>
      </c>
      <c r="V62">
        <f>wFG!V62-woFG!V62</f>
        <v>0</v>
      </c>
      <c r="W62">
        <f>wFG!W62-woFG!W62</f>
        <v>0</v>
      </c>
      <c r="X62">
        <f>wFG!X62-woFG!X62</f>
        <v>0</v>
      </c>
      <c r="Y62">
        <f>wFG!Y62-woFG!Y62</f>
        <v>1.8768382325056899E-15</v>
      </c>
      <c r="Z62">
        <f>wFG!Z62-woFG!Z62</f>
        <v>2.4558971433248898E-15</v>
      </c>
      <c r="AA62">
        <f>wFG!AA62-woFG!AA62</f>
        <v>3.7494962688713102E-15</v>
      </c>
      <c r="AB62">
        <f>wFG!AB62-woFG!AB62</f>
        <v>3.5582343311066396E-15</v>
      </c>
      <c r="AC62">
        <f>wFG!AC62-woFG!AC62</f>
        <v>4.850884907993815E-15</v>
      </c>
      <c r="AD62">
        <f>wFG!AD62-woFG!AD62</f>
        <v>9.1758091819961609E-15</v>
      </c>
      <c r="AE62">
        <f>wFG!AE62-woFG!AE62</f>
        <v>-3.6350743616543994E-3</v>
      </c>
      <c r="AF62">
        <f>wFG!AF62-woFG!AF62</f>
        <v>-0.88364420162606505</v>
      </c>
      <c r="AK62" s="1">
        <f t="shared" si="1"/>
        <v>44651</v>
      </c>
      <c r="AL62">
        <f t="shared" si="2"/>
        <v>-1.8943272416898999E-2</v>
      </c>
      <c r="AM62">
        <f t="shared" si="3"/>
        <v>1.1198987475651549E-6</v>
      </c>
      <c r="AN62">
        <f t="shared" si="4"/>
        <v>-6.4735717535003956E-2</v>
      </c>
      <c r="AO62">
        <f t="shared" si="5"/>
        <v>8.2832344564999808E-4</v>
      </c>
      <c r="AP62">
        <f t="shared" si="6"/>
        <v>-0.63929165368309804</v>
      </c>
      <c r="AQ62">
        <f t="shared" si="7"/>
        <v>2.9586159456393105E-2</v>
      </c>
      <c r="AR62">
        <f t="shared" si="8"/>
        <v>-6.2118583614010986E-2</v>
      </c>
      <c r="AS62">
        <f t="shared" si="9"/>
        <v>-0.10886896962610999</v>
      </c>
      <c r="AT62">
        <f t="shared" si="10"/>
        <v>-2.0101607551733625E-2</v>
      </c>
    </row>
    <row r="63" spans="1:87" x14ac:dyDescent="0.25">
      <c r="A63" s="1">
        <v>44742</v>
      </c>
      <c r="B63">
        <f>wFG!B63-woFG!B63</f>
        <v>-2.0147438946856999E-2</v>
      </c>
      <c r="C63">
        <f>wFG!C63-woFG!C63</f>
        <v>-1.8785889095364899E-6</v>
      </c>
      <c r="D63">
        <f>wFG!D63-woFG!D63</f>
        <v>7.3491330721140002E-2</v>
      </c>
      <c r="E63">
        <f>wFG!E63-woFG!E63</f>
        <v>1.4220123991199401E-3</v>
      </c>
      <c r="F63">
        <f>wFG!F63-woFG!F63</f>
        <v>-0.3946933152492858</v>
      </c>
      <c r="G63">
        <f>wFG!G63-woFG!G63</f>
        <v>9.1533652173065416E-2</v>
      </c>
      <c r="H63">
        <f>wFG!H63-woFG!H63</f>
        <v>-6.1333229035853004E-2</v>
      </c>
      <c r="I63">
        <f>wFG!I63-woFG!I63</f>
        <v>-1.0642121498659926E-16</v>
      </c>
      <c r="J63">
        <f>wFG!J63-woFG!J63</f>
        <v>-5.1859107573040258E-16</v>
      </c>
      <c r="K63">
        <f>wFG!K63-woFG!K63</f>
        <v>-8.7317441218951005E-15</v>
      </c>
      <c r="L63">
        <f>wFG!L63-woFG!L63</f>
        <v>-1.3336470023552899E-2</v>
      </c>
      <c r="M63">
        <f>wFG!M63-woFG!M63</f>
        <v>0</v>
      </c>
      <c r="N63">
        <f>wFG!N63-woFG!N63</f>
        <v>0</v>
      </c>
      <c r="O63">
        <f>wFG!O63-woFG!O63</f>
        <v>1.0157186885640096E-14</v>
      </c>
      <c r="P63">
        <f>wFG!P63-woFG!P63</f>
        <v>0</v>
      </c>
      <c r="Q63">
        <f>wFG!Q63-woFG!Q63</f>
        <v>9.1184834780802027E-2</v>
      </c>
      <c r="R63">
        <f>wFG!R63-woFG!R63</f>
        <v>0</v>
      </c>
      <c r="S63">
        <f>wFG!S63-woFG!S63</f>
        <v>0</v>
      </c>
      <c r="T63">
        <f>wFG!T63-woFG!T63</f>
        <v>0</v>
      </c>
      <c r="U63">
        <f>wFG!U63-woFG!U63</f>
        <v>0</v>
      </c>
      <c r="V63">
        <f>wFG!V63-woFG!V63</f>
        <v>0</v>
      </c>
      <c r="W63">
        <f>wFG!W63-woFG!W63</f>
        <v>0</v>
      </c>
      <c r="X63">
        <f>wFG!X63-woFG!X63</f>
        <v>0</v>
      </c>
      <c r="Y63">
        <f>wFG!Y63-woFG!Y63</f>
        <v>1.1012460711486097E-15</v>
      </c>
      <c r="Z63">
        <f>wFG!Z63-woFG!Z63</f>
        <v>3.1824138927705017E-16</v>
      </c>
      <c r="AA63">
        <f>wFG!AA63-woFG!AA63</f>
        <v>1.4976640884359003E-15</v>
      </c>
      <c r="AB63">
        <f>wFG!AB63-woFG!AB63</f>
        <v>2.9192747326385998E-16</v>
      </c>
      <c r="AC63">
        <f>wFG!AC63-woFG!AC63</f>
        <v>3.9812782970085852E-15</v>
      </c>
      <c r="AD63">
        <f>wFG!AD63-woFG!AD63</f>
        <v>8.4441645951092291E-15</v>
      </c>
      <c r="AE63">
        <f>wFG!AE63-woFG!AE63</f>
        <v>-3.5978592105575004E-3</v>
      </c>
      <c r="AF63">
        <f>wFG!AF63-woFG!AF63</f>
        <v>-0.23547836098087993</v>
      </c>
      <c r="AK63" s="1">
        <f t="shared" si="1"/>
        <v>44742</v>
      </c>
      <c r="AL63">
        <f t="shared" si="2"/>
        <v>-2.0147438946856999E-2</v>
      </c>
      <c r="AM63">
        <f t="shared" si="3"/>
        <v>-1.8785889095364899E-6</v>
      </c>
      <c r="AN63">
        <f t="shared" si="4"/>
        <v>7.3491330721140002E-2</v>
      </c>
      <c r="AO63">
        <f t="shared" si="5"/>
        <v>1.4220123991199401E-3</v>
      </c>
      <c r="AP63">
        <f t="shared" si="6"/>
        <v>-0.3946933152492858</v>
      </c>
      <c r="AQ63">
        <f t="shared" si="7"/>
        <v>9.1533652173065416E-2</v>
      </c>
      <c r="AR63">
        <f t="shared" si="8"/>
        <v>-6.1333229035853004E-2</v>
      </c>
      <c r="AS63">
        <f t="shared" si="9"/>
        <v>9.1184834780802027E-2</v>
      </c>
      <c r="AT63">
        <f t="shared" si="10"/>
        <v>-1.693432923410193E-2</v>
      </c>
    </row>
    <row r="64" spans="1:87" x14ac:dyDescent="0.25">
      <c r="A64" s="1">
        <v>44834</v>
      </c>
      <c r="B64">
        <f>wFG!B64-woFG!B64</f>
        <v>-1.9722317777835979E-2</v>
      </c>
      <c r="C64">
        <f>wFG!C64-woFG!C64</f>
        <v>4.0649200003288069E-7</v>
      </c>
      <c r="D64">
        <f>wFG!D64-woFG!D64</f>
        <v>9.3851510372600089E-4</v>
      </c>
      <c r="E64">
        <f>wFG!E64-woFG!E64</f>
        <v>1.2550746462381191E-3</v>
      </c>
      <c r="F64">
        <f>wFG!F64-woFG!F64</f>
        <v>-0.4181417134688431</v>
      </c>
      <c r="G64">
        <f>wFG!G64-woFG!G64</f>
        <v>8.2871683715905309E-2</v>
      </c>
      <c r="H64">
        <f>wFG!H64-woFG!H64</f>
        <v>-6.2928795717996033E-2</v>
      </c>
      <c r="I64">
        <f>wFG!I64-woFG!I64</f>
        <v>-6.8826966489892138E-19</v>
      </c>
      <c r="J64">
        <f>wFG!J64-woFG!J64</f>
        <v>-6.2771424872390007E-16</v>
      </c>
      <c r="K64">
        <f>wFG!K64-woFG!K64</f>
        <v>-9.5473451054735596E-15</v>
      </c>
      <c r="L64">
        <f>wFG!L64-woFG!L64</f>
        <v>-1.4650771847830202E-2</v>
      </c>
      <c r="M64">
        <f>wFG!M64-woFG!M64</f>
        <v>0</v>
      </c>
      <c r="N64">
        <f>wFG!N64-woFG!N64</f>
        <v>0</v>
      </c>
      <c r="O64">
        <f>wFG!O64-woFG!O64</f>
        <v>9.8591879335065005E-15</v>
      </c>
      <c r="P64">
        <f>wFG!P64-woFG!P64</f>
        <v>0</v>
      </c>
      <c r="Q64">
        <f>wFG!Q64-woFG!Q64</f>
        <v>5.4561000051478015E-2</v>
      </c>
      <c r="R64">
        <f>wFG!R64-woFG!R64</f>
        <v>0</v>
      </c>
      <c r="S64">
        <f>wFG!S64-woFG!S64</f>
        <v>0</v>
      </c>
      <c r="T64">
        <f>wFG!T64-woFG!T64</f>
        <v>0</v>
      </c>
      <c r="U64">
        <f>wFG!U64-woFG!U64</f>
        <v>0</v>
      </c>
      <c r="V64">
        <f>wFG!V64-woFG!V64</f>
        <v>0</v>
      </c>
      <c r="W64">
        <f>wFG!W64-woFG!W64</f>
        <v>0</v>
      </c>
      <c r="X64">
        <f>wFG!X64-woFG!X64</f>
        <v>0</v>
      </c>
      <c r="Y64">
        <f>wFG!Y64-woFG!Y64</f>
        <v>2.13524627520328E-15</v>
      </c>
      <c r="Z64">
        <f>wFG!Z64-woFG!Z64</f>
        <v>-4.4305882419393992E-16</v>
      </c>
      <c r="AA64">
        <f>wFG!AA64-woFG!AA64</f>
        <v>3.5963517865314502E-15</v>
      </c>
      <c r="AB64">
        <f>wFG!AB64-woFG!AB64</f>
        <v>4.7633807590894971E-16</v>
      </c>
      <c r="AC64">
        <f>wFG!AC64-woFG!AC64</f>
        <v>4.5703131803573841E-15</v>
      </c>
      <c r="AD64">
        <f>wFG!AD64-woFG!AD64</f>
        <v>8.5441459117658499E-15</v>
      </c>
      <c r="AE64">
        <f>wFG!AE64-woFG!AE64</f>
        <v>-3.5610404846178004E-3</v>
      </c>
      <c r="AF64">
        <f>wFG!AF64-woFG!AF64</f>
        <v>-0.37937795928775997</v>
      </c>
      <c r="AK64" s="1">
        <f t="shared" si="1"/>
        <v>44834</v>
      </c>
      <c r="AL64">
        <f t="shared" si="2"/>
        <v>-1.9722317777835979E-2</v>
      </c>
      <c r="AM64">
        <f t="shared" si="3"/>
        <v>4.0649200003288069E-7</v>
      </c>
      <c r="AN64">
        <f t="shared" si="4"/>
        <v>9.3851510372600089E-4</v>
      </c>
      <c r="AO64">
        <f t="shared" si="5"/>
        <v>1.2550746462381191E-3</v>
      </c>
      <c r="AP64">
        <f t="shared" si="6"/>
        <v>-0.4181417134688431</v>
      </c>
      <c r="AQ64">
        <f t="shared" si="7"/>
        <v>8.2871683715905309E-2</v>
      </c>
      <c r="AR64">
        <f t="shared" si="8"/>
        <v>-6.2928795717996033E-2</v>
      </c>
      <c r="AS64">
        <f t="shared" si="9"/>
        <v>5.4561000051478015E-2</v>
      </c>
      <c r="AT64">
        <f t="shared" si="10"/>
        <v>-1.8211812332432353E-2</v>
      </c>
    </row>
    <row r="65" spans="1:46" x14ac:dyDescent="0.25">
      <c r="A65" s="1">
        <v>44926</v>
      </c>
      <c r="B65">
        <f>wFG!B65-woFG!B65</f>
        <v>-2.0328821360077992E-2</v>
      </c>
      <c r="C65">
        <f>wFG!C65-woFG!C65</f>
        <v>-1.163898780471765E-6</v>
      </c>
      <c r="D65">
        <f>wFG!D65-woFG!D65</f>
        <v>6.873089194562601E-2</v>
      </c>
      <c r="E65">
        <f>wFG!E65-woFG!E65</f>
        <v>1.9863177056524406E-3</v>
      </c>
      <c r="F65">
        <f>wFG!F65-woFG!F65</f>
        <v>-0.27436288299313333</v>
      </c>
      <c r="G65">
        <f>wFG!G65-woFG!G65</f>
        <v>0.11727767589187071</v>
      </c>
      <c r="H65">
        <f>wFG!H65-woFG!H65</f>
        <v>-6.0536862349951009E-2</v>
      </c>
      <c r="I65">
        <f>wFG!I65-woFG!I65</f>
        <v>-1.4098859133200131E-16</v>
      </c>
      <c r="J65">
        <f>wFG!J65-woFG!J65</f>
        <v>-7.3282399041729955E-16</v>
      </c>
      <c r="K65">
        <f>wFG!K65-woFG!K65</f>
        <v>-1.001832786200561E-14</v>
      </c>
      <c r="L65">
        <f>wFG!L65-woFG!L65</f>
        <v>-1.2509297366303906E-2</v>
      </c>
      <c r="M65">
        <f>wFG!M65-woFG!M65</f>
        <v>0</v>
      </c>
      <c r="N65">
        <f>wFG!N65-woFG!N65</f>
        <v>0</v>
      </c>
      <c r="O65">
        <f>wFG!O65-woFG!O65</f>
        <v>1.3573830806047209E-14</v>
      </c>
      <c r="P65">
        <f>wFG!P65-woFG!P65</f>
        <v>0</v>
      </c>
      <c r="Q65">
        <f>wFG!Q65-woFG!Q65</f>
        <v>0.17125911364422103</v>
      </c>
      <c r="R65">
        <f>wFG!R65-woFG!R65</f>
        <v>0</v>
      </c>
      <c r="S65">
        <f>wFG!S65-woFG!S65</f>
        <v>0</v>
      </c>
      <c r="T65">
        <f>wFG!T65-woFG!T65</f>
        <v>0</v>
      </c>
      <c r="U65">
        <f>wFG!U65-woFG!U65</f>
        <v>0</v>
      </c>
      <c r="V65">
        <f>wFG!V65-woFG!V65</f>
        <v>0</v>
      </c>
      <c r="W65">
        <f>wFG!W65-woFG!W65</f>
        <v>0</v>
      </c>
      <c r="X65">
        <f>wFG!X65-woFG!X65</f>
        <v>0</v>
      </c>
      <c r="Y65">
        <f>wFG!Y65-woFG!Y65</f>
        <v>1.2742929807154202E-15</v>
      </c>
      <c r="Z65">
        <f>wFG!Z65-woFG!Z65</f>
        <v>-1.7875832211357869E-15</v>
      </c>
      <c r="AA65">
        <f>wFG!AA65-woFG!AA65</f>
        <v>1.8973887156266897E-15</v>
      </c>
      <c r="AB65">
        <f>wFG!AB65-woFG!AB65</f>
        <v>8.2391718959757E-16</v>
      </c>
      <c r="AC65">
        <f>wFG!AC65-woFG!AC65</f>
        <v>4.5615969459135115E-15</v>
      </c>
      <c r="AD65">
        <f>wFG!AD65-woFG!AD65</f>
        <v>9.3255283533922488E-15</v>
      </c>
      <c r="AE65">
        <f>wFG!AE65-woFG!AE65</f>
        <v>-3.5246137270099013E-3</v>
      </c>
      <c r="AF65">
        <f>wFG!AF65-woFG!AF65</f>
        <v>-1.2009642507869955E-2</v>
      </c>
      <c r="AK65" s="1">
        <f t="shared" si="1"/>
        <v>44926</v>
      </c>
      <c r="AL65">
        <f t="shared" si="2"/>
        <v>-2.0328821360077992E-2</v>
      </c>
      <c r="AM65">
        <f t="shared" si="3"/>
        <v>-1.163898780471765E-6</v>
      </c>
      <c r="AN65">
        <f t="shared" si="4"/>
        <v>6.873089194562601E-2</v>
      </c>
      <c r="AO65">
        <f t="shared" si="5"/>
        <v>1.9863177056524406E-3</v>
      </c>
      <c r="AP65">
        <f t="shared" si="6"/>
        <v>-0.27436288299313333</v>
      </c>
      <c r="AQ65">
        <f t="shared" si="7"/>
        <v>0.11727767589187071</v>
      </c>
      <c r="AR65">
        <f t="shared" si="8"/>
        <v>-6.0536862349951009E-2</v>
      </c>
      <c r="AS65">
        <f t="shared" si="9"/>
        <v>0.17125911364422103</v>
      </c>
      <c r="AT65">
        <f t="shared" si="10"/>
        <v>-1.6033911093297354E-2</v>
      </c>
    </row>
    <row r="66" spans="1:46" x14ac:dyDescent="0.25">
      <c r="A66" s="1">
        <v>45016</v>
      </c>
      <c r="B66">
        <f>wFG!B66-woFG!B66</f>
        <v>-1.9589540448305992E-2</v>
      </c>
      <c r="C66">
        <f>wFG!C66-woFG!C66</f>
        <v>-1.5957155479817569E-6</v>
      </c>
      <c r="D66">
        <f>wFG!D66-woFG!D66</f>
        <v>8.0288287368782019E-2</v>
      </c>
      <c r="E66">
        <f>wFG!E66-woFG!E66</f>
        <v>1.0141184920544602E-3</v>
      </c>
      <c r="F66">
        <f>wFG!F66-woFG!F66</f>
        <v>-0.21284750047731971</v>
      </c>
      <c r="G66">
        <f>wFG!G66-woFG!G66</f>
        <v>0.1147428749832123</v>
      </c>
      <c r="H66">
        <f>wFG!H66-woFG!H66</f>
        <v>-5.900670597524299E-2</v>
      </c>
      <c r="I66">
        <f>wFG!I66-woFG!I66</f>
        <v>-5.0776507263600323E-17</v>
      </c>
      <c r="J66">
        <f>wFG!J66-woFG!J66</f>
        <v>-7.9781783844020309E-16</v>
      </c>
      <c r="K66">
        <f>wFG!K66-woFG!K66</f>
        <v>-7.8763177582503591E-15</v>
      </c>
      <c r="L66">
        <f>wFG!L66-woFG!L66</f>
        <v>-1.36698065246601E-2</v>
      </c>
      <c r="M66">
        <f>wFG!M66-woFG!M66</f>
        <v>0</v>
      </c>
      <c r="N66">
        <f>wFG!N66-woFG!N66</f>
        <v>0</v>
      </c>
      <c r="O66">
        <f>wFG!O66-woFG!O66</f>
        <v>1.5461474730493103E-14</v>
      </c>
      <c r="P66">
        <f>wFG!P66-woFG!P66</f>
        <v>0</v>
      </c>
      <c r="Q66">
        <f>wFG!Q66-woFG!Q66</f>
        <v>0.21279128270649481</v>
      </c>
      <c r="R66">
        <f>wFG!R66-woFG!R66</f>
        <v>0</v>
      </c>
      <c r="S66">
        <f>wFG!S66-woFG!S66</f>
        <v>0</v>
      </c>
      <c r="T66">
        <f>wFG!T66-woFG!T66</f>
        <v>0</v>
      </c>
      <c r="U66">
        <f>wFG!U66-woFG!U66</f>
        <v>0</v>
      </c>
      <c r="V66">
        <f>wFG!V66-woFG!V66</f>
        <v>0</v>
      </c>
      <c r="W66">
        <f>wFG!W66-woFG!W66</f>
        <v>0</v>
      </c>
      <c r="X66">
        <f>wFG!X66-woFG!X66</f>
        <v>0</v>
      </c>
      <c r="Y66">
        <f>wFG!Y66-woFG!Y66</f>
        <v>1.51390325238172E-15</v>
      </c>
      <c r="Z66">
        <f>wFG!Z66-woFG!Z66</f>
        <v>-2.1971076594137382E-15</v>
      </c>
      <c r="AA66">
        <f>wFG!AA66-woFG!AA66</f>
        <v>6.4619096985255004E-16</v>
      </c>
      <c r="AB66">
        <f>wFG!AB66-woFG!AB66</f>
        <v>-2.3888046146405007E-16</v>
      </c>
      <c r="AC66">
        <f>wFG!AC66-woFG!AC66</f>
        <v>4.137430959557866E-15</v>
      </c>
      <c r="AD66">
        <f>wFG!AD66-woFG!AD66</f>
        <v>9.4790814696445495E-15</v>
      </c>
      <c r="AE66">
        <f>wFG!AE66-woFG!AE66</f>
        <v>-3.4885745349484982E-3</v>
      </c>
      <c r="AF66">
        <f>wFG!AF66-woFG!AF66</f>
        <v>0.10023283987453691</v>
      </c>
      <c r="AK66" s="1">
        <f t="shared" si="1"/>
        <v>45016</v>
      </c>
      <c r="AL66">
        <f t="shared" si="2"/>
        <v>-1.9589540448305992E-2</v>
      </c>
      <c r="AM66">
        <f t="shared" si="3"/>
        <v>-1.5957155479817569E-6</v>
      </c>
      <c r="AN66">
        <f t="shared" si="4"/>
        <v>8.0288287368782019E-2</v>
      </c>
      <c r="AO66">
        <f t="shared" si="5"/>
        <v>1.0141184920544602E-3</v>
      </c>
      <c r="AP66">
        <f t="shared" si="6"/>
        <v>-0.21284750047731971</v>
      </c>
      <c r="AQ66">
        <f t="shared" si="7"/>
        <v>0.1147428749832123</v>
      </c>
      <c r="AR66">
        <f t="shared" si="8"/>
        <v>-5.900670597524299E-2</v>
      </c>
      <c r="AS66">
        <f t="shared" si="9"/>
        <v>0.21279128270649481</v>
      </c>
      <c r="AT66">
        <f t="shared" si="10"/>
        <v>-1.7158381059590014E-2</v>
      </c>
    </row>
    <row r="67" spans="1:46" x14ac:dyDescent="0.25">
      <c r="A67" s="1">
        <v>45107</v>
      </c>
      <c r="B67">
        <f>wFG!B67-woFG!B67</f>
        <v>-1.9314359913873008E-2</v>
      </c>
      <c r="C67">
        <f>wFG!C67-woFG!C67</f>
        <v>-1.2051874950322241E-6</v>
      </c>
      <c r="D67">
        <f>wFG!D67-woFG!D67</f>
        <v>6.7551905586417021E-2</v>
      </c>
      <c r="E67">
        <f>wFG!E67-woFG!E67</f>
        <v>8.7575973858683995E-4</v>
      </c>
      <c r="F67">
        <f>wFG!F67-woFG!F67</f>
        <v>-0.18914910569756882</v>
      </c>
      <c r="G67">
        <f>wFG!G67-woFG!G67</f>
        <v>0.11100482772543399</v>
      </c>
      <c r="H67">
        <f>wFG!H67-woFG!H67</f>
        <v>-5.6135127434746024E-2</v>
      </c>
      <c r="I67">
        <f>wFG!I67-woFG!I67</f>
        <v>-3.6150146614101294E-17</v>
      </c>
      <c r="J67">
        <f>wFG!J67-woFG!J67</f>
        <v>-8.5452013914819539E-16</v>
      </c>
      <c r="K67">
        <f>wFG!K67-woFG!K67</f>
        <v>-7.4812613742237003E-15</v>
      </c>
      <c r="L67">
        <f>wFG!L67-woFG!L67</f>
        <v>-1.4111710047410998E-2</v>
      </c>
      <c r="M67">
        <f>wFG!M67-woFG!M67</f>
        <v>0</v>
      </c>
      <c r="N67">
        <f>wFG!N67-woFG!N67</f>
        <v>0</v>
      </c>
      <c r="O67">
        <f>wFG!O67-woFG!O67</f>
        <v>1.6402070237378992E-14</v>
      </c>
      <c r="P67">
        <f>wFG!P67-woFG!P67</f>
        <v>0</v>
      </c>
      <c r="Q67">
        <f>wFG!Q67-woFG!Q67</f>
        <v>0.2227474129326078</v>
      </c>
      <c r="R67">
        <f>wFG!R67-woFG!R67</f>
        <v>0</v>
      </c>
      <c r="S67">
        <f>wFG!S67-woFG!S67</f>
        <v>0</v>
      </c>
      <c r="T67">
        <f>wFG!T67-woFG!T67</f>
        <v>0</v>
      </c>
      <c r="U67">
        <f>wFG!U67-woFG!U67</f>
        <v>0</v>
      </c>
      <c r="V67">
        <f>wFG!V67-woFG!V67</f>
        <v>0</v>
      </c>
      <c r="W67">
        <f>wFG!W67-woFG!W67</f>
        <v>0</v>
      </c>
      <c r="X67">
        <f>wFG!X67-woFG!X67</f>
        <v>0</v>
      </c>
      <c r="Y67">
        <f>wFG!Y67-woFG!Y67</f>
        <v>1.10170933188144E-15</v>
      </c>
      <c r="Z67">
        <f>wFG!Z67-woFG!Z67</f>
        <v>-2.216799773677151E-15</v>
      </c>
      <c r="AA67">
        <f>wFG!AA67-woFG!AA67</f>
        <v>6.9208866095689993E-16</v>
      </c>
      <c r="AB67">
        <f>wFG!AB67-woFG!AB67</f>
        <v>-4.3002875682735984E-16</v>
      </c>
      <c r="AC67">
        <f>wFG!AC67-woFG!AC67</f>
        <v>4.513096700214435E-15</v>
      </c>
      <c r="AD67">
        <f>wFG!AD67-woFG!AD67</f>
        <v>9.9082968177272502E-15</v>
      </c>
      <c r="AE67">
        <f>wFG!AE67-woFG!AE67</f>
        <v>-3.4529185589718004E-3</v>
      </c>
      <c r="AF67">
        <f>wFG!AF67-woFG!AF67</f>
        <v>0.12001547914299904</v>
      </c>
      <c r="AK67" s="1">
        <f t="shared" ref="AK67:AK130" si="11">+A67</f>
        <v>45107</v>
      </c>
      <c r="AL67">
        <f t="shared" ref="AL67:AL130" si="12">+B67</f>
        <v>-1.9314359913873008E-2</v>
      </c>
      <c r="AM67">
        <f t="shared" ref="AM67:AM130" si="13">+C67</f>
        <v>-1.2051874950322241E-6</v>
      </c>
      <c r="AN67">
        <f t="shared" ref="AN67:AN130" si="14">+D67</f>
        <v>6.7551905586417021E-2</v>
      </c>
      <c r="AO67">
        <f t="shared" ref="AO67:AO130" si="15">+E67</f>
        <v>8.7575973858683995E-4</v>
      </c>
      <c r="AP67">
        <f t="shared" ref="AP67:AP130" si="16">+F67</f>
        <v>-0.18914910569756882</v>
      </c>
      <c r="AQ67">
        <f t="shared" ref="AQ67:AQ130" si="17">+G67</f>
        <v>0.11100482772543399</v>
      </c>
      <c r="AR67">
        <f t="shared" ref="AR67:AR130" si="18">+H67</f>
        <v>-5.6135127434746024E-2</v>
      </c>
      <c r="AS67">
        <f t="shared" ref="AS67:AS130" si="19">+Q67</f>
        <v>0.2227474129326078</v>
      </c>
      <c r="AT67">
        <f t="shared" ref="AT67:AT130" si="20">+AF67-SUM(AL67:AS67)</f>
        <v>-1.7564628606363736E-2</v>
      </c>
    </row>
    <row r="68" spans="1:46" x14ac:dyDescent="0.25">
      <c r="A68" s="1">
        <v>45199</v>
      </c>
      <c r="B68">
        <f>wFG!B68-woFG!B68</f>
        <v>-1.9101565224942996E-2</v>
      </c>
      <c r="C68">
        <f>wFG!C68-woFG!C68</f>
        <v>-2.1915559104458653E-6</v>
      </c>
      <c r="D68">
        <f>wFG!D68-woFG!D68</f>
        <v>0.1076426617757528</v>
      </c>
      <c r="E68">
        <f>wFG!E68-woFG!E68</f>
        <v>5.2865712079649008E-4</v>
      </c>
      <c r="F68">
        <f>wFG!F68-woFG!F68</f>
        <v>-0.11033936960428301</v>
      </c>
      <c r="G68">
        <f>wFG!G68-woFG!G68</f>
        <v>0.11672989594225809</v>
      </c>
      <c r="H68">
        <f>wFG!H68-woFG!H68</f>
        <v>-5.1803249641070026E-2</v>
      </c>
      <c r="I68">
        <f>wFG!I68-woFG!I68</f>
        <v>-6.1438367832898086E-17</v>
      </c>
      <c r="J68">
        <f>wFG!J68-woFG!J68</f>
        <v>-8.9150870756870347E-16</v>
      </c>
      <c r="K68">
        <f>wFG!K68-woFG!K68</f>
        <v>-6.1301766048307802E-15</v>
      </c>
      <c r="L68">
        <f>wFG!L68-woFG!L68</f>
        <v>-1.4506854293042402E-2</v>
      </c>
      <c r="M68">
        <f>wFG!M68-woFG!M68</f>
        <v>0</v>
      </c>
      <c r="N68">
        <f>wFG!N68-woFG!N68</f>
        <v>0</v>
      </c>
      <c r="O68">
        <f>wFG!O68-woFG!O68</f>
        <v>1.8763759497389699E-14</v>
      </c>
      <c r="P68">
        <f>wFG!P68-woFG!P68</f>
        <v>0</v>
      </c>
      <c r="Q68">
        <f>wFG!Q68-woFG!Q68</f>
        <v>0.28229289942202729</v>
      </c>
      <c r="R68">
        <f>wFG!R68-woFG!R68</f>
        <v>0</v>
      </c>
      <c r="S68">
        <f>wFG!S68-woFG!S68</f>
        <v>0</v>
      </c>
      <c r="T68">
        <f>wFG!T68-woFG!T68</f>
        <v>0</v>
      </c>
      <c r="U68">
        <f>wFG!U68-woFG!U68</f>
        <v>0</v>
      </c>
      <c r="V68">
        <f>wFG!V68-woFG!V68</f>
        <v>0</v>
      </c>
      <c r="W68">
        <f>wFG!W68-woFG!W68</f>
        <v>0</v>
      </c>
      <c r="X68">
        <f>wFG!X68-woFG!X68</f>
        <v>0</v>
      </c>
      <c r="Y68">
        <f>wFG!Y68-woFG!Y68</f>
        <v>8.5508505409971009E-16</v>
      </c>
      <c r="Z68">
        <f>wFG!Z68-woFG!Z68</f>
        <v>-3.30605549344883E-15</v>
      </c>
      <c r="AA68">
        <f>wFG!AA68-woFG!AA68</f>
        <v>-1.1576809698545014E-16</v>
      </c>
      <c r="AB68">
        <f>wFG!AB68-woFG!AB68</f>
        <v>-1.31769089614109E-15</v>
      </c>
      <c r="AC68">
        <f>wFG!AC68-woFG!AC68</f>
        <v>2.980889926671912E-15</v>
      </c>
      <c r="AD68">
        <f>wFG!AD68-woFG!AD68</f>
        <v>9.1585897587729494E-15</v>
      </c>
      <c r="AE68">
        <f>wFG!AE68-woFG!AE68</f>
        <v>-3.4176415022352993E-3</v>
      </c>
      <c r="AF68">
        <f>wFG!AF68-woFG!AF68</f>
        <v>0.30802324243937002</v>
      </c>
      <c r="AK68" s="1">
        <f t="shared" si="11"/>
        <v>45199</v>
      </c>
      <c r="AL68">
        <f t="shared" si="12"/>
        <v>-1.9101565224942996E-2</v>
      </c>
      <c r="AM68">
        <f t="shared" si="13"/>
        <v>-2.1915559104458653E-6</v>
      </c>
      <c r="AN68">
        <f t="shared" si="14"/>
        <v>0.1076426617757528</v>
      </c>
      <c r="AO68">
        <f t="shared" si="15"/>
        <v>5.2865712079649008E-4</v>
      </c>
      <c r="AP68">
        <f t="shared" si="16"/>
        <v>-0.11033936960428301</v>
      </c>
      <c r="AQ68">
        <f t="shared" si="17"/>
        <v>0.11672989594225809</v>
      </c>
      <c r="AR68">
        <f t="shared" si="18"/>
        <v>-5.1803249641070026E-2</v>
      </c>
      <c r="AS68">
        <f t="shared" si="19"/>
        <v>0.28229289942202729</v>
      </c>
      <c r="AT68">
        <f t="shared" si="20"/>
        <v>-1.7924495795258177E-2</v>
      </c>
    </row>
    <row r="69" spans="1:46" x14ac:dyDescent="0.25">
      <c r="A69" s="1">
        <v>45291</v>
      </c>
      <c r="B69">
        <f>wFG!B69-woFG!B69</f>
        <v>-1.8581060495803992E-2</v>
      </c>
      <c r="C69">
        <f>wFG!C69-woFG!C69</f>
        <v>-1.3277925270605221E-6</v>
      </c>
      <c r="D69">
        <f>wFG!D69-woFG!D69</f>
        <v>7.4089853624587601E-2</v>
      </c>
      <c r="E69">
        <f>wFG!E69-woFG!E69</f>
        <v>2.7727580513154E-4</v>
      </c>
      <c r="F69">
        <f>wFG!F69-woFG!F69</f>
        <v>-0.1361597045089622</v>
      </c>
      <c r="G69">
        <f>wFG!G69-woFG!G69</f>
        <v>0.1004957813695484</v>
      </c>
      <c r="H69">
        <f>wFG!H69-woFG!H69</f>
        <v>-4.8069206521355989E-2</v>
      </c>
      <c r="I69">
        <f>wFG!I69-woFG!I69</f>
        <v>-1.9262769063099619E-17</v>
      </c>
      <c r="J69">
        <f>wFG!J69-woFG!J69</f>
        <v>-9.1319716696619523E-16</v>
      </c>
      <c r="K69">
        <f>wFG!K69-woFG!K69</f>
        <v>-5.63085906882729E-15</v>
      </c>
      <c r="L69">
        <f>wFG!L69-woFG!L69</f>
        <v>-1.4680694510350097E-2</v>
      </c>
      <c r="M69">
        <f>wFG!M69-woFG!M69</f>
        <v>0</v>
      </c>
      <c r="N69">
        <f>wFG!N69-woFG!N69</f>
        <v>0</v>
      </c>
      <c r="O69">
        <f>wFG!O69-woFG!O69</f>
        <v>1.8606421849226905E-14</v>
      </c>
      <c r="P69">
        <f>wFG!P69-woFG!P69</f>
        <v>0</v>
      </c>
      <c r="Q69">
        <f>wFG!Q69-woFG!Q69</f>
        <v>0.25057406772093316</v>
      </c>
      <c r="R69">
        <f>wFG!R69-woFG!R69</f>
        <v>0</v>
      </c>
      <c r="S69">
        <f>wFG!S69-woFG!S69</f>
        <v>0</v>
      </c>
      <c r="T69">
        <f>wFG!T69-woFG!T69</f>
        <v>0</v>
      </c>
      <c r="U69">
        <f>wFG!U69-woFG!U69</f>
        <v>0</v>
      </c>
      <c r="V69">
        <f>wFG!V69-woFG!V69</f>
        <v>0</v>
      </c>
      <c r="W69">
        <f>wFG!W69-woFG!W69</f>
        <v>0</v>
      </c>
      <c r="X69">
        <f>wFG!X69-woFG!X69</f>
        <v>0</v>
      </c>
      <c r="Y69">
        <f>wFG!Y69-woFG!Y69</f>
        <v>8.6256892023866013E-16</v>
      </c>
      <c r="Z69">
        <f>wFG!Z69-woFG!Z69</f>
        <v>-3.3570667879844199E-15</v>
      </c>
      <c r="AA69">
        <f>wFG!AA69-woFG!AA69</f>
        <v>-1.051171747918012E-17</v>
      </c>
      <c r="AB69">
        <f>wFG!AB69-woFG!AB69</f>
        <v>-9.5836922533358401E-16</v>
      </c>
      <c r="AC69">
        <f>wFG!AC69-woFG!AC69</f>
        <v>3.4249022005163289E-15</v>
      </c>
      <c r="AD69">
        <f>wFG!AD69-woFG!AD69</f>
        <v>9.3625957676546805E-15</v>
      </c>
      <c r="AE69">
        <f>wFG!AE69-woFG!AE69</f>
        <v>-3.382739119814699E-3</v>
      </c>
      <c r="AF69">
        <f>wFG!AF69-woFG!AF69</f>
        <v>0.20456224557140801</v>
      </c>
      <c r="AK69" s="1">
        <f t="shared" si="11"/>
        <v>45291</v>
      </c>
      <c r="AL69">
        <f t="shared" si="12"/>
        <v>-1.8581060495803992E-2</v>
      </c>
      <c r="AM69">
        <f t="shared" si="13"/>
        <v>-1.3277925270605221E-6</v>
      </c>
      <c r="AN69">
        <f t="shared" si="14"/>
        <v>7.4089853624587601E-2</v>
      </c>
      <c r="AO69">
        <f t="shared" si="15"/>
        <v>2.7727580513154E-4</v>
      </c>
      <c r="AP69">
        <f t="shared" si="16"/>
        <v>-0.1361597045089622</v>
      </c>
      <c r="AQ69">
        <f t="shared" si="17"/>
        <v>0.1004957813695484</v>
      </c>
      <c r="AR69">
        <f t="shared" si="18"/>
        <v>-4.8069206521355989E-2</v>
      </c>
      <c r="AS69">
        <f t="shared" si="19"/>
        <v>0.25057406772093316</v>
      </c>
      <c r="AT69">
        <f t="shared" si="20"/>
        <v>-1.8063433630143455E-2</v>
      </c>
    </row>
    <row r="70" spans="1:46" x14ac:dyDescent="0.25">
      <c r="A70" s="1">
        <v>45382</v>
      </c>
      <c r="B70">
        <f>wFG!B70-woFG!B70</f>
        <v>-1.8278798267472002E-2</v>
      </c>
      <c r="C70">
        <f>wFG!C70-woFG!C70</f>
        <v>-1.3108270028966561E-6</v>
      </c>
      <c r="D70">
        <f>wFG!D70-woFG!D70</f>
        <v>7.4198906772397696E-2</v>
      </c>
      <c r="E70">
        <f>wFG!E70-woFG!E70</f>
        <v>-1.1192213064700578E-6</v>
      </c>
      <c r="F70">
        <f>wFG!F70-woFG!F70</f>
        <v>-0.1307234529686063</v>
      </c>
      <c r="G70">
        <f>wFG!G70-woFG!G70</f>
        <v>9.1512307214385913E-2</v>
      </c>
      <c r="H70">
        <f>wFG!H70-woFG!H70</f>
        <v>-4.3859300109911015E-2</v>
      </c>
      <c r="I70">
        <f>wFG!I70-woFG!I70</f>
        <v>-6.2204147441008733E-18</v>
      </c>
      <c r="J70">
        <f>wFG!J70-woFG!J70</f>
        <v>-9.2632233070640286E-16</v>
      </c>
      <c r="K70">
        <f>wFG!K70-woFG!K70</f>
        <v>-4.8948390511018397E-15</v>
      </c>
      <c r="L70">
        <f>wFG!L70-woFG!L70</f>
        <v>-1.504302050880108E-2</v>
      </c>
      <c r="M70">
        <f>wFG!M70-woFG!M70</f>
        <v>0</v>
      </c>
      <c r="N70">
        <f>wFG!N70-woFG!N70</f>
        <v>0</v>
      </c>
      <c r="O70">
        <f>wFG!O70-woFG!O70</f>
        <v>1.9180737679937793E-14</v>
      </c>
      <c r="P70">
        <f>wFG!P70-woFG!P70</f>
        <v>0</v>
      </c>
      <c r="Q70">
        <f>wFG!Q70-woFG!Q70</f>
        <v>0.24837081474953432</v>
      </c>
      <c r="R70">
        <f>wFG!R70-woFG!R70</f>
        <v>0</v>
      </c>
      <c r="S70">
        <f>wFG!S70-woFG!S70</f>
        <v>0</v>
      </c>
      <c r="T70">
        <f>wFG!T70-woFG!T70</f>
        <v>0</v>
      </c>
      <c r="U70">
        <f>wFG!U70-woFG!U70</f>
        <v>0</v>
      </c>
      <c r="V70">
        <f>wFG!V70-woFG!V70</f>
        <v>0</v>
      </c>
      <c r="W70">
        <f>wFG!W70-woFG!W70</f>
        <v>0</v>
      </c>
      <c r="X70">
        <f>wFG!X70-woFG!X70</f>
        <v>0</v>
      </c>
      <c r="Y70">
        <f>wFG!Y70-woFG!Y70</f>
        <v>9.3709716412707029E-16</v>
      </c>
      <c r="Z70">
        <f>wFG!Z70-woFG!Z70</f>
        <v>-3.2710390940543819E-15</v>
      </c>
      <c r="AA70">
        <f>wFG!AA70-woFG!AA70</f>
        <v>-5.8508971326523399E-16</v>
      </c>
      <c r="AB70">
        <f>wFG!AB70-woFG!AB70</f>
        <v>-1.6902775169228181E-15</v>
      </c>
      <c r="AC70">
        <f>wFG!AC70-woFG!AC70</f>
        <v>2.674612020498829E-15</v>
      </c>
      <c r="AD70">
        <f>wFG!AD70-woFG!AD70</f>
        <v>9.1686995460398703E-15</v>
      </c>
      <c r="AE70">
        <f>wFG!AE70-woFG!AE70</f>
        <v>-3.348207218020401E-3</v>
      </c>
      <c r="AF70">
        <f>wFG!AF70-woFG!AF70</f>
        <v>0.20282681961521698</v>
      </c>
      <c r="AK70" s="1">
        <f t="shared" si="11"/>
        <v>45382</v>
      </c>
      <c r="AL70">
        <f t="shared" si="12"/>
        <v>-1.8278798267472002E-2</v>
      </c>
      <c r="AM70">
        <f t="shared" si="13"/>
        <v>-1.3108270028966561E-6</v>
      </c>
      <c r="AN70">
        <f t="shared" si="14"/>
        <v>7.4198906772397696E-2</v>
      </c>
      <c r="AO70">
        <f t="shared" si="15"/>
        <v>-1.1192213064700578E-6</v>
      </c>
      <c r="AP70">
        <f t="shared" si="16"/>
        <v>-0.1307234529686063</v>
      </c>
      <c r="AQ70">
        <f t="shared" si="17"/>
        <v>9.1512307214385913E-2</v>
      </c>
      <c r="AR70">
        <f t="shared" si="18"/>
        <v>-4.3859300109911015E-2</v>
      </c>
      <c r="AS70">
        <f t="shared" si="19"/>
        <v>0.24837081474953432</v>
      </c>
      <c r="AT70">
        <f t="shared" si="20"/>
        <v>-1.8391227726802267E-2</v>
      </c>
    </row>
    <row r="71" spans="1:46" x14ac:dyDescent="0.25">
      <c r="A71" s="1">
        <v>45473</v>
      </c>
      <c r="B71">
        <f>wFG!B71-woFG!B71</f>
        <v>-1.7578900897952998E-2</v>
      </c>
      <c r="C71">
        <f>wFG!C71-woFG!C71</f>
        <v>4.3872777629887202E-7</v>
      </c>
      <c r="D71">
        <f>wFG!D71-woFG!D71</f>
        <v>-4.332192141177707E-3</v>
      </c>
      <c r="E71">
        <f>wFG!E71-woFG!E71</f>
        <v>-4.7108580419075099E-4</v>
      </c>
      <c r="F71">
        <f>wFG!F71-woFG!F71</f>
        <v>-0.23533033302232947</v>
      </c>
      <c r="G71">
        <f>wFG!G71-woFG!G71</f>
        <v>5.7674371959451298E-2</v>
      </c>
      <c r="H71">
        <f>wFG!H71-woFG!H71</f>
        <v>-4.1870582983293991E-2</v>
      </c>
      <c r="I71">
        <f>wFG!I71-woFG!I71</f>
        <v>1.1740323486659899E-16</v>
      </c>
      <c r="J71">
        <f>wFG!J71-woFG!J71</f>
        <v>-9.3620188639339831E-16</v>
      </c>
      <c r="K71">
        <f>wFG!K71-woFG!K71</f>
        <v>-4.6505128006819531E-15</v>
      </c>
      <c r="L71">
        <f>wFG!L71-woFG!L71</f>
        <v>-1.68721678801564E-2</v>
      </c>
      <c r="M71">
        <f>wFG!M71-woFG!M71</f>
        <v>0</v>
      </c>
      <c r="N71">
        <f>wFG!N71-woFG!N71</f>
        <v>0</v>
      </c>
      <c r="O71">
        <f>wFG!O71-woFG!O71</f>
        <v>1.6925563934605804E-14</v>
      </c>
      <c r="P71">
        <f>wFG!P71-woFG!P71</f>
        <v>0</v>
      </c>
      <c r="Q71">
        <f>wFG!Q71-woFG!Q71</f>
        <v>0.14970211448724191</v>
      </c>
      <c r="R71">
        <f>wFG!R71-woFG!R71</f>
        <v>0</v>
      </c>
      <c r="S71">
        <f>wFG!S71-woFG!S71</f>
        <v>0</v>
      </c>
      <c r="T71">
        <f>wFG!T71-woFG!T71</f>
        <v>0</v>
      </c>
      <c r="U71">
        <f>wFG!U71-woFG!U71</f>
        <v>0</v>
      </c>
      <c r="V71">
        <f>wFG!V71-woFG!V71</f>
        <v>0</v>
      </c>
      <c r="W71">
        <f>wFG!W71-woFG!W71</f>
        <v>0</v>
      </c>
      <c r="X71">
        <f>wFG!X71-woFG!X71</f>
        <v>0</v>
      </c>
      <c r="Y71">
        <f>wFG!Y71-woFG!Y71</f>
        <v>1.4087354564030299E-15</v>
      </c>
      <c r="Z71">
        <f>wFG!Z71-woFG!Z71</f>
        <v>-2.251803198718814E-15</v>
      </c>
      <c r="AA71">
        <f>wFG!AA71-woFG!AA71</f>
        <v>4.2493346179771988E-16</v>
      </c>
      <c r="AB71">
        <f>wFG!AB71-woFG!AB71</f>
        <v>-7.1035219628940508E-16</v>
      </c>
      <c r="AC71">
        <f>wFG!AC71-woFG!AC71</f>
        <v>3.1305792176365919E-15</v>
      </c>
      <c r="AD71">
        <f>wFG!AD71-woFG!AD71</f>
        <v>9.2602791971360705E-15</v>
      </c>
      <c r="AE71">
        <f>wFG!AE71-woFG!AE71</f>
        <v>-3.3140416537199985E-3</v>
      </c>
      <c r="AF71">
        <f>wFG!AF71-woFG!AF71</f>
        <v>-0.11239237920832895</v>
      </c>
      <c r="AK71" s="1">
        <f t="shared" si="11"/>
        <v>45473</v>
      </c>
      <c r="AL71">
        <f t="shared" si="12"/>
        <v>-1.7578900897952998E-2</v>
      </c>
      <c r="AM71">
        <f t="shared" si="13"/>
        <v>4.3872777629887202E-7</v>
      </c>
      <c r="AN71">
        <f t="shared" si="14"/>
        <v>-4.332192141177707E-3</v>
      </c>
      <c r="AO71">
        <f t="shared" si="15"/>
        <v>-4.7108580419075099E-4</v>
      </c>
      <c r="AP71">
        <f t="shared" si="16"/>
        <v>-0.23533033302232947</v>
      </c>
      <c r="AQ71">
        <f t="shared" si="17"/>
        <v>5.7674371959451298E-2</v>
      </c>
      <c r="AR71">
        <f t="shared" si="18"/>
        <v>-4.1870582983293991E-2</v>
      </c>
      <c r="AS71">
        <f t="shared" si="19"/>
        <v>0.14970211448724191</v>
      </c>
      <c r="AT71">
        <f t="shared" si="20"/>
        <v>-2.0186209533853527E-2</v>
      </c>
    </row>
    <row r="72" spans="1:46" x14ac:dyDescent="0.25">
      <c r="A72" s="1">
        <v>45565</v>
      </c>
      <c r="B72">
        <f>wFG!B72-woFG!B72</f>
        <v>-1.7527116183349012E-2</v>
      </c>
      <c r="C72">
        <f>wFG!C72-woFG!C72</f>
        <v>6.7998532808960993E-7</v>
      </c>
      <c r="D72">
        <f>wFG!D72-woFG!D72</f>
        <v>-2.6823637854276994E-2</v>
      </c>
      <c r="E72">
        <f>wFG!E72-woFG!E72</f>
        <v>-4.1591413632969696E-4</v>
      </c>
      <c r="F72">
        <f>wFG!F72-woFG!F72</f>
        <v>-0.27268775836915748</v>
      </c>
      <c r="G72">
        <f>wFG!G72-woFG!G72</f>
        <v>4.5716769754634901E-2</v>
      </c>
      <c r="H72">
        <f>wFG!H72-woFG!H72</f>
        <v>-3.9662626995116967E-2</v>
      </c>
      <c r="I72">
        <f>wFG!I72-woFG!I72</f>
        <v>1.2882957694479954E-16</v>
      </c>
      <c r="J72">
        <f>wFG!J72-woFG!J72</f>
        <v>-9.5778597210650086E-16</v>
      </c>
      <c r="K72">
        <f>wFG!K72-woFG!K72</f>
        <v>-4.968351749076113E-15</v>
      </c>
      <c r="L72">
        <f>wFG!L72-woFG!L72</f>
        <v>-1.7443381889233899E-2</v>
      </c>
      <c r="M72">
        <f>wFG!M72-woFG!M72</f>
        <v>0</v>
      </c>
      <c r="N72">
        <f>wFG!N72-woFG!N72</f>
        <v>0</v>
      </c>
      <c r="O72">
        <f>wFG!O72-woFG!O72</f>
        <v>1.6066189651736104E-14</v>
      </c>
      <c r="P72">
        <f>wFG!P72-woFG!P72</f>
        <v>0</v>
      </c>
      <c r="Q72">
        <f>wFG!Q72-woFG!Q72</f>
        <v>0.11240319480067801</v>
      </c>
      <c r="R72">
        <f>wFG!R72-woFG!R72</f>
        <v>0</v>
      </c>
      <c r="S72">
        <f>wFG!S72-woFG!S72</f>
        <v>0</v>
      </c>
      <c r="T72">
        <f>wFG!T72-woFG!T72</f>
        <v>0</v>
      </c>
      <c r="U72">
        <f>wFG!U72-woFG!U72</f>
        <v>0</v>
      </c>
      <c r="V72">
        <f>wFG!V72-woFG!V72</f>
        <v>0</v>
      </c>
      <c r="W72">
        <f>wFG!W72-woFG!W72</f>
        <v>0</v>
      </c>
      <c r="X72">
        <f>wFG!X72-woFG!X72</f>
        <v>0</v>
      </c>
      <c r="Y72">
        <f>wFG!Y72-woFG!Y72</f>
        <v>1.4186489992848399E-15</v>
      </c>
      <c r="Z72">
        <f>wFG!Z72-woFG!Z72</f>
        <v>-2.1227325128788201E-15</v>
      </c>
      <c r="AA72">
        <f>wFG!AA72-woFG!AA72</f>
        <v>1.1603132147861301E-15</v>
      </c>
      <c r="AB72">
        <f>wFG!AB72-woFG!AB72</f>
        <v>-3.3145926173099965E-17</v>
      </c>
      <c r="AC72">
        <f>wFG!AC72-woFG!AC72</f>
        <v>3.4648162556202522E-15</v>
      </c>
      <c r="AD72">
        <f>wFG!AD72-woFG!AD72</f>
        <v>9.3891655167459491E-15</v>
      </c>
      <c r="AE72">
        <f>wFG!AE72-woFG!AE72</f>
        <v>-3.2802383336716992E-3</v>
      </c>
      <c r="AF72">
        <f>wFG!AF72-woFG!AF72</f>
        <v>-0.21972002922047296</v>
      </c>
      <c r="AK72" s="1">
        <f t="shared" si="11"/>
        <v>45565</v>
      </c>
      <c r="AL72">
        <f t="shared" si="12"/>
        <v>-1.7527116183349012E-2</v>
      </c>
      <c r="AM72">
        <f t="shared" si="13"/>
        <v>6.7998532808960993E-7</v>
      </c>
      <c r="AN72">
        <f t="shared" si="14"/>
        <v>-2.6823637854276994E-2</v>
      </c>
      <c r="AO72">
        <f t="shared" si="15"/>
        <v>-4.1591413632969696E-4</v>
      </c>
      <c r="AP72">
        <f t="shared" si="16"/>
        <v>-0.27268775836915748</v>
      </c>
      <c r="AQ72">
        <f t="shared" si="17"/>
        <v>4.5716769754634901E-2</v>
      </c>
      <c r="AR72">
        <f t="shared" si="18"/>
        <v>-3.9662626995116967E-2</v>
      </c>
      <c r="AS72">
        <f t="shared" si="19"/>
        <v>0.11240319480067801</v>
      </c>
      <c r="AT72">
        <f t="shared" si="20"/>
        <v>-2.0723620222883821E-2</v>
      </c>
    </row>
    <row r="73" spans="1:46" x14ac:dyDescent="0.25">
      <c r="A73" s="1">
        <v>45657</v>
      </c>
      <c r="B73">
        <f>wFG!B73-woFG!B73</f>
        <v>-1.7312796943901004E-2</v>
      </c>
      <c r="C73">
        <f>wFG!C73-woFG!C73</f>
        <v>3.5298192778385597E-7</v>
      </c>
      <c r="D73">
        <f>wFG!D73-woFG!D73</f>
        <v>-2.6555401475734985E-2</v>
      </c>
      <c r="E73">
        <f>wFG!E73-woFG!E73</f>
        <v>-2.8972198559188409E-4</v>
      </c>
      <c r="F73">
        <f>wFG!F73-woFG!F73</f>
        <v>-0.26996088078546659</v>
      </c>
      <c r="G73">
        <f>wFG!G73-woFG!G73</f>
        <v>4.4639231682472288E-2</v>
      </c>
      <c r="H73">
        <f>wFG!H73-woFG!H73</f>
        <v>-3.7973861649995999E-2</v>
      </c>
      <c r="I73">
        <f>wFG!I73-woFG!I73</f>
        <v>1.2943338946249976E-16</v>
      </c>
      <c r="J73">
        <f>wFG!J73-woFG!J73</f>
        <v>-1.0000803036555028E-15</v>
      </c>
      <c r="K73">
        <f>wFG!K73-woFG!K73</f>
        <v>-4.8909604048152196E-15</v>
      </c>
      <c r="L73">
        <f>wFG!L73-woFG!L73</f>
        <v>-1.7908833000864603E-2</v>
      </c>
      <c r="M73">
        <f>wFG!M73-woFG!M73</f>
        <v>0</v>
      </c>
      <c r="N73">
        <f>wFG!N73-woFG!N73</f>
        <v>0</v>
      </c>
      <c r="O73">
        <f>wFG!O73-woFG!O73</f>
        <v>1.6269198266243101E-14</v>
      </c>
      <c r="P73">
        <f>wFG!P73-woFG!P73</f>
        <v>0</v>
      </c>
      <c r="Q73">
        <f>wFG!Q73-woFG!Q73</f>
        <v>0.11227324292190199</v>
      </c>
      <c r="R73">
        <f>wFG!R73-woFG!R73</f>
        <v>0</v>
      </c>
      <c r="S73">
        <f>wFG!S73-woFG!S73</f>
        <v>0</v>
      </c>
      <c r="T73">
        <f>wFG!T73-woFG!T73</f>
        <v>0</v>
      </c>
      <c r="U73">
        <f>wFG!U73-woFG!U73</f>
        <v>0</v>
      </c>
      <c r="V73">
        <f>wFG!V73-woFG!V73</f>
        <v>0</v>
      </c>
      <c r="W73">
        <f>wFG!W73-woFG!W73</f>
        <v>0</v>
      </c>
      <c r="X73">
        <f>wFG!X73-woFG!X73</f>
        <v>0</v>
      </c>
      <c r="Y73">
        <f>wFG!Y73-woFG!Y73</f>
        <v>1.4021210066789498E-15</v>
      </c>
      <c r="Z73">
        <f>wFG!Z73-woFG!Z73</f>
        <v>-2.11909458699091E-15</v>
      </c>
      <c r="AA73">
        <f>wFG!AA73-woFG!AA73</f>
        <v>1.1392988141882499E-15</v>
      </c>
      <c r="AB73">
        <f>wFG!AB73-woFG!AB73</f>
        <v>-4.5827357439150109E-17</v>
      </c>
      <c r="AC73">
        <f>wFG!AC73-woFG!AC73</f>
        <v>3.4306128196972891E-15</v>
      </c>
      <c r="AD73">
        <f>wFG!AD73-woFG!AD73</f>
        <v>9.3138564023244892E-15</v>
      </c>
      <c r="AE73">
        <f>wFG!AE73-woFG!AE73</f>
        <v>-3.2467932138671007E-3</v>
      </c>
      <c r="AF73">
        <f>wFG!AF73-woFG!AF73</f>
        <v>-0.21633546146909599</v>
      </c>
      <c r="AK73" s="1">
        <f t="shared" si="11"/>
        <v>45657</v>
      </c>
      <c r="AL73">
        <f t="shared" si="12"/>
        <v>-1.7312796943901004E-2</v>
      </c>
      <c r="AM73">
        <f t="shared" si="13"/>
        <v>3.5298192778385597E-7</v>
      </c>
      <c r="AN73">
        <f t="shared" si="14"/>
        <v>-2.6555401475734985E-2</v>
      </c>
      <c r="AO73">
        <f t="shared" si="15"/>
        <v>-2.8972198559188409E-4</v>
      </c>
      <c r="AP73">
        <f t="shared" si="16"/>
        <v>-0.26996088078546659</v>
      </c>
      <c r="AQ73">
        <f t="shared" si="17"/>
        <v>4.4639231682472288E-2</v>
      </c>
      <c r="AR73">
        <f t="shared" si="18"/>
        <v>-3.7973861649995999E-2</v>
      </c>
      <c r="AS73">
        <f t="shared" si="19"/>
        <v>0.11227324292190199</v>
      </c>
      <c r="AT73">
        <f t="shared" si="20"/>
        <v>-2.1155626214707624E-2</v>
      </c>
    </row>
    <row r="74" spans="1:46" x14ac:dyDescent="0.25">
      <c r="A74" s="1">
        <v>45747</v>
      </c>
      <c r="B74">
        <f>wFG!B74-woFG!B74</f>
        <v>-1.7100914128509004E-2</v>
      </c>
      <c r="C74">
        <f>wFG!C74-woFG!C74</f>
        <v>1.8323371993616397E-7</v>
      </c>
      <c r="D74">
        <f>wFG!D74-woFG!D74</f>
        <v>-2.6289847460978011E-2</v>
      </c>
      <c r="E74">
        <f>wFG!E74-woFG!E74</f>
        <v>-2.0181768688217296E-4</v>
      </c>
      <c r="F74">
        <f>wFG!F74-woFG!F74</f>
        <v>-0.26726127197761151</v>
      </c>
      <c r="G74">
        <f>wFG!G74-woFG!G74</f>
        <v>4.3677964946416001E-2</v>
      </c>
      <c r="H74">
        <f>wFG!H74-woFG!H74</f>
        <v>-3.6320166226701978E-2</v>
      </c>
      <c r="I74">
        <f>wFG!I74-woFG!I74</f>
        <v>1.2967294846030035E-16</v>
      </c>
      <c r="J74">
        <f>wFG!J74-woFG!J74</f>
        <v>-1.0415571605299994E-15</v>
      </c>
      <c r="K74">
        <f>wFG!K74-woFG!K74</f>
        <v>-4.809518241215441E-15</v>
      </c>
      <c r="L74">
        <f>wFG!L74-woFG!L74</f>
        <v>-1.8270012423434102E-2</v>
      </c>
      <c r="M74">
        <f>wFG!M74-woFG!M74</f>
        <v>0</v>
      </c>
      <c r="N74">
        <f>wFG!N74-woFG!N74</f>
        <v>0</v>
      </c>
      <c r="O74">
        <f>wFG!O74-woFG!O74</f>
        <v>1.6466654473111592E-14</v>
      </c>
      <c r="P74">
        <f>wFG!P74-woFG!P74</f>
        <v>0</v>
      </c>
      <c r="Q74">
        <f>wFG!Q74-woFG!Q74</f>
        <v>0.112022720393647</v>
      </c>
      <c r="R74">
        <f>wFG!R74-woFG!R74</f>
        <v>0</v>
      </c>
      <c r="S74">
        <f>wFG!S74-woFG!S74</f>
        <v>0</v>
      </c>
      <c r="T74">
        <f>wFG!T74-woFG!T74</f>
        <v>0</v>
      </c>
      <c r="U74">
        <f>wFG!U74-woFG!U74</f>
        <v>0</v>
      </c>
      <c r="V74">
        <f>wFG!V74-woFG!V74</f>
        <v>0</v>
      </c>
      <c r="W74">
        <f>wFG!W74-woFG!W74</f>
        <v>0</v>
      </c>
      <c r="X74">
        <f>wFG!X74-woFG!X74</f>
        <v>0</v>
      </c>
      <c r="Y74">
        <f>wFG!Y74-woFG!Y74</f>
        <v>1.3851028940305202E-15</v>
      </c>
      <c r="Z74">
        <f>wFG!Z74-woFG!Z74</f>
        <v>-2.1147632661534601E-15</v>
      </c>
      <c r="AA74">
        <f>wFG!AA74-woFG!AA74</f>
        <v>1.1182450633521E-15</v>
      </c>
      <c r="AB74">
        <f>wFG!AB74-woFG!AB74</f>
        <v>-5.8312058965299842E-17</v>
      </c>
      <c r="AC74">
        <f>wFG!AC74-woFG!AC74</f>
        <v>3.3953960860321754E-15</v>
      </c>
      <c r="AD74">
        <f>wFG!AD74-woFG!AD74</f>
        <v>9.2362148796502287E-15</v>
      </c>
      <c r="AE74">
        <f>wFG!AE74-woFG!AE74</f>
        <v>-3.2137022988827976E-3</v>
      </c>
      <c r="AF74">
        <f>wFG!AF74-woFG!AF74</f>
        <v>-0.21295686362919397</v>
      </c>
      <c r="AK74" s="1">
        <f t="shared" si="11"/>
        <v>45747</v>
      </c>
      <c r="AL74">
        <f t="shared" si="12"/>
        <v>-1.7100914128509004E-2</v>
      </c>
      <c r="AM74">
        <f t="shared" si="13"/>
        <v>1.8323371993616397E-7</v>
      </c>
      <c r="AN74">
        <f t="shared" si="14"/>
        <v>-2.6289847460978011E-2</v>
      </c>
      <c r="AO74">
        <f t="shared" si="15"/>
        <v>-2.0181768688217296E-4</v>
      </c>
      <c r="AP74">
        <f t="shared" si="16"/>
        <v>-0.26726127197761151</v>
      </c>
      <c r="AQ74">
        <f t="shared" si="17"/>
        <v>4.3677964946416001E-2</v>
      </c>
      <c r="AR74">
        <f t="shared" si="18"/>
        <v>-3.6320166226701978E-2</v>
      </c>
      <c r="AS74">
        <f t="shared" si="19"/>
        <v>0.112022720393647</v>
      </c>
      <c r="AT74">
        <f t="shared" si="20"/>
        <v>-2.1483714722294239E-2</v>
      </c>
    </row>
    <row r="75" spans="1:46" x14ac:dyDescent="0.25">
      <c r="A75" s="1">
        <v>45838</v>
      </c>
      <c r="B75">
        <f>wFG!B75-woFG!B75</f>
        <v>-1.6891504446770012E-2</v>
      </c>
      <c r="C75">
        <f>wFG!C75-woFG!C75</f>
        <v>9.5117039678574796E-8</v>
      </c>
      <c r="D75">
        <f>wFG!D75-woFG!D75</f>
        <v>-2.6026948986367995E-2</v>
      </c>
      <c r="E75">
        <f>wFG!E75-woFG!E75</f>
        <v>-1.4058435591453999E-4</v>
      </c>
      <c r="F75">
        <f>wFG!F75-woFG!F75</f>
        <v>-0.26458865925783531</v>
      </c>
      <c r="G75">
        <f>wFG!G75-woFG!G75</f>
        <v>4.2810620992966203E-2</v>
      </c>
      <c r="H75">
        <f>wFG!H75-woFG!H75</f>
        <v>-3.4707288323207963E-2</v>
      </c>
      <c r="I75">
        <f>wFG!I75-woFG!I75</f>
        <v>1.2962026499040102E-16</v>
      </c>
      <c r="J75">
        <f>wFG!J75-woFG!J75</f>
        <v>-1.0821521043748972E-15</v>
      </c>
      <c r="K75">
        <f>wFG!K75-woFG!K75</f>
        <v>-4.724896265104602E-15</v>
      </c>
      <c r="L75">
        <f>wFG!L75-woFG!L75</f>
        <v>-1.8538905230832899E-2</v>
      </c>
      <c r="M75">
        <f>wFG!M75-woFG!M75</f>
        <v>0</v>
      </c>
      <c r="N75">
        <f>wFG!N75-woFG!N75</f>
        <v>0</v>
      </c>
      <c r="O75">
        <f>wFG!O75-woFG!O75</f>
        <v>1.6658519410817299E-14</v>
      </c>
      <c r="P75">
        <f>wFG!P75-woFG!P75</f>
        <v>0</v>
      </c>
      <c r="Q75">
        <f>wFG!Q75-woFG!Q75</f>
        <v>0.111672191477225</v>
      </c>
      <c r="R75">
        <f>wFG!R75-woFG!R75</f>
        <v>0</v>
      </c>
      <c r="S75">
        <f>wFG!S75-woFG!S75</f>
        <v>0</v>
      </c>
      <c r="T75">
        <f>wFG!T75-woFG!T75</f>
        <v>0</v>
      </c>
      <c r="U75">
        <f>wFG!U75-woFG!U75</f>
        <v>0</v>
      </c>
      <c r="V75">
        <f>wFG!V75-woFG!V75</f>
        <v>0</v>
      </c>
      <c r="W75">
        <f>wFG!W75-woFG!W75</f>
        <v>0</v>
      </c>
      <c r="X75">
        <f>wFG!X75-woFG!X75</f>
        <v>0</v>
      </c>
      <c r="Y75">
        <f>wFG!Y75-woFG!Y75</f>
        <v>1.3677016328733602E-15</v>
      </c>
      <c r="Z75">
        <f>wFG!Z75-woFG!Z75</f>
        <v>-2.10936737845313E-15</v>
      </c>
      <c r="AA75">
        <f>wFG!AA75-woFG!AA75</f>
        <v>1.09747331296108E-15</v>
      </c>
      <c r="AB75">
        <f>wFG!AB75-woFG!AB75</f>
        <v>-7.0243883345580029E-17</v>
      </c>
      <c r="AC75">
        <f>wFG!AC75-woFG!AC75</f>
        <v>3.3593698874781939E-15</v>
      </c>
      <c r="AD75">
        <f>wFG!AD75-woFG!AD75</f>
        <v>9.1563521559974896E-15</v>
      </c>
      <c r="AE75">
        <f>wFG!AE75-woFG!AE75</f>
        <v>-3.1809616412417988E-3</v>
      </c>
      <c r="AF75">
        <f>wFG!AF75-woFG!AF75</f>
        <v>-0.20959194465491604</v>
      </c>
      <c r="AK75" s="1">
        <f t="shared" si="11"/>
        <v>45838</v>
      </c>
      <c r="AL75">
        <f t="shared" si="12"/>
        <v>-1.6891504446770012E-2</v>
      </c>
      <c r="AM75">
        <f t="shared" si="13"/>
        <v>9.5117039678574796E-8</v>
      </c>
      <c r="AN75">
        <f t="shared" si="14"/>
        <v>-2.6026948986367995E-2</v>
      </c>
      <c r="AO75">
        <f t="shared" si="15"/>
        <v>-1.4058435591453999E-4</v>
      </c>
      <c r="AP75">
        <f t="shared" si="16"/>
        <v>-0.26458865925783531</v>
      </c>
      <c r="AQ75">
        <f t="shared" si="17"/>
        <v>4.2810620992966203E-2</v>
      </c>
      <c r="AR75">
        <f t="shared" si="18"/>
        <v>-3.4707288323207963E-2</v>
      </c>
      <c r="AS75">
        <f t="shared" si="19"/>
        <v>0.111672191477225</v>
      </c>
      <c r="AT75">
        <f t="shared" si="20"/>
        <v>-2.1719866872051075E-2</v>
      </c>
    </row>
    <row r="76" spans="1:46" x14ac:dyDescent="0.25">
      <c r="A76" s="1">
        <v>45930</v>
      </c>
      <c r="B76">
        <f>wFG!B76-woFG!B76</f>
        <v>-1.6684592289959999E-2</v>
      </c>
      <c r="C76">
        <f>wFG!C76-woFG!C76</f>
        <v>4.9375470808948693E-8</v>
      </c>
      <c r="D76">
        <f>wFG!D76-woFG!D76</f>
        <v>-2.5766679496503006E-2</v>
      </c>
      <c r="E76">
        <f>wFG!E76-woFG!E76</f>
        <v>-9.7929777282677991E-5</v>
      </c>
      <c r="F76">
        <f>wFG!F76-woFG!F76</f>
        <v>-0.26194277266525751</v>
      </c>
      <c r="G76">
        <f>wFG!G76-woFG!G76</f>
        <v>4.2019251513549294E-2</v>
      </c>
      <c r="H76">
        <f>wFG!H76-woFG!H76</f>
        <v>-3.3139543369512969E-2</v>
      </c>
      <c r="I76">
        <f>wFG!I76-woFG!I76</f>
        <v>1.2933083371179953E-16</v>
      </c>
      <c r="J76">
        <f>wFG!J76-woFG!J76</f>
        <v>-1.1217973588962044E-15</v>
      </c>
      <c r="K76">
        <f>wFG!K76-woFG!K76</f>
        <v>-4.6379425506668952E-15</v>
      </c>
      <c r="L76">
        <f>wFG!L76-woFG!L76</f>
        <v>-1.8726382438080703E-2</v>
      </c>
      <c r="M76">
        <f>wFG!M76-woFG!M76</f>
        <v>0</v>
      </c>
      <c r="N76">
        <f>wFG!N76-woFG!N76</f>
        <v>0</v>
      </c>
      <c r="O76">
        <f>wFG!O76-woFG!O76</f>
        <v>1.6844758012994391E-14</v>
      </c>
      <c r="P76">
        <f>wFG!P76-woFG!P76</f>
        <v>0</v>
      </c>
      <c r="Q76">
        <f>wFG!Q76-woFG!Q76</f>
        <v>0.11123862889033199</v>
      </c>
      <c r="R76">
        <f>wFG!R76-woFG!R76</f>
        <v>0</v>
      </c>
      <c r="S76">
        <f>wFG!S76-woFG!S76</f>
        <v>0</v>
      </c>
      <c r="T76">
        <f>wFG!T76-woFG!T76</f>
        <v>0</v>
      </c>
      <c r="U76">
        <f>wFG!U76-woFG!U76</f>
        <v>0</v>
      </c>
      <c r="V76">
        <f>wFG!V76-woFG!V76</f>
        <v>0</v>
      </c>
      <c r="W76">
        <f>wFG!W76-woFG!W76</f>
        <v>0</v>
      </c>
      <c r="X76">
        <f>wFG!X76-woFG!X76</f>
        <v>0</v>
      </c>
      <c r="Y76">
        <f>wFG!Y76-woFG!Y76</f>
        <v>1.3500069634783303E-15</v>
      </c>
      <c r="Z76">
        <f>wFG!Z76-woFG!Z76</f>
        <v>-2.102642668298E-15</v>
      </c>
      <c r="AA76">
        <f>wFG!AA76-woFG!AA76</f>
        <v>1.0772129828243E-15</v>
      </c>
      <c r="AB76">
        <f>wFG!AB76-woFG!AB76</f>
        <v>-8.1366380470570163E-17</v>
      </c>
      <c r="AC76">
        <f>wFG!AC76-woFG!AC76</f>
        <v>3.3227219579387377E-15</v>
      </c>
      <c r="AD76">
        <f>wFG!AD76-woFG!AD76</f>
        <v>9.0743998294681398E-15</v>
      </c>
      <c r="AE76">
        <f>wFG!AE76-woFG!AE76</f>
        <v>-3.148567340783899E-3</v>
      </c>
      <c r="AF76">
        <f>wFG!AF76-woFG!AF76</f>
        <v>-0.20624853759800899</v>
      </c>
      <c r="AK76" s="1">
        <f t="shared" si="11"/>
        <v>45930</v>
      </c>
      <c r="AL76">
        <f t="shared" si="12"/>
        <v>-1.6684592289959999E-2</v>
      </c>
      <c r="AM76">
        <f t="shared" si="13"/>
        <v>4.9375470808948693E-8</v>
      </c>
      <c r="AN76">
        <f t="shared" si="14"/>
        <v>-2.5766679496503006E-2</v>
      </c>
      <c r="AO76">
        <f t="shared" si="15"/>
        <v>-9.7929777282677991E-5</v>
      </c>
      <c r="AP76">
        <f t="shared" si="16"/>
        <v>-0.26194277266525751</v>
      </c>
      <c r="AQ76">
        <f t="shared" si="17"/>
        <v>4.2019251513549294E-2</v>
      </c>
      <c r="AR76">
        <f t="shared" si="18"/>
        <v>-3.3139543369512969E-2</v>
      </c>
      <c r="AS76">
        <f t="shared" si="19"/>
        <v>0.11123862889033199</v>
      </c>
      <c r="AT76">
        <f t="shared" si="20"/>
        <v>-2.187494977884491E-2</v>
      </c>
    </row>
    <row r="77" spans="1:46" x14ac:dyDescent="0.25">
      <c r="A77" s="1">
        <v>46022</v>
      </c>
      <c r="B77">
        <f>wFG!B77-woFG!B77</f>
        <v>-1.648019191917699E-2</v>
      </c>
      <c r="C77">
        <f>wFG!C77-woFG!C77</f>
        <v>2.5630918510698405E-8</v>
      </c>
      <c r="D77">
        <f>wFG!D77-woFG!D77</f>
        <v>-2.5509012701538006E-2</v>
      </c>
      <c r="E77">
        <f>wFG!E77-woFG!E77</f>
        <v>-6.8216987703690997E-5</v>
      </c>
      <c r="F77">
        <f>wFG!F77-woFG!F77</f>
        <v>-0.25932334493860459</v>
      </c>
      <c r="G77">
        <f>wFG!G77-woFG!G77</f>
        <v>4.1289438838370794E-2</v>
      </c>
      <c r="H77">
        <f>wFG!H77-woFG!H77</f>
        <v>-3.1620068738647034E-2</v>
      </c>
      <c r="I77">
        <f>wFG!I77-woFG!I77</f>
        <v>1.2884655488069775E-16</v>
      </c>
      <c r="J77">
        <f>wFG!J77-woFG!J77</f>
        <v>-1.1604267882645995E-15</v>
      </c>
      <c r="K77">
        <f>wFG!K77-woFG!K77</f>
        <v>-4.5494549818848006E-15</v>
      </c>
      <c r="L77">
        <f>wFG!L77-woFG!L77</f>
        <v>-1.8842266948444604E-2</v>
      </c>
      <c r="M77">
        <f>wFG!M77-woFG!M77</f>
        <v>0</v>
      </c>
      <c r="N77">
        <f>wFG!N77-woFG!N77</f>
        <v>0</v>
      </c>
      <c r="O77">
        <f>wFG!O77-woFG!O77</f>
        <v>1.7025341720968611E-14</v>
      </c>
      <c r="P77">
        <f>wFG!P77-woFG!P77</f>
        <v>0</v>
      </c>
      <c r="Q77">
        <f>wFG!Q77-woFG!Q77</f>
        <v>0.110736073882844</v>
      </c>
      <c r="R77">
        <f>wFG!R77-woFG!R77</f>
        <v>0</v>
      </c>
      <c r="S77">
        <f>wFG!S77-woFG!S77</f>
        <v>0</v>
      </c>
      <c r="T77">
        <f>wFG!T77-woFG!T77</f>
        <v>0</v>
      </c>
      <c r="U77">
        <f>wFG!U77-woFG!U77</f>
        <v>0</v>
      </c>
      <c r="V77">
        <f>wFG!V77-woFG!V77</f>
        <v>0</v>
      </c>
      <c r="W77">
        <f>wFG!W77-woFG!W77</f>
        <v>0</v>
      </c>
      <c r="X77">
        <f>wFG!X77-woFG!X77</f>
        <v>0</v>
      </c>
      <c r="Y77">
        <f>wFG!Y77-woFG!Y77</f>
        <v>1.3320953162620601E-15</v>
      </c>
      <c r="Z77">
        <f>wFG!Z77-woFG!Z77</f>
        <v>-2.0944167245116198E-15</v>
      </c>
      <c r="AA77">
        <f>wFG!AA77-woFG!AA77</f>
        <v>1.0576196779173799E-15</v>
      </c>
      <c r="AB77">
        <f>wFG!AB77-woFG!AB77</f>
        <v>-9.1506046092990158E-17</v>
      </c>
      <c r="AC77">
        <f>wFG!AC77-woFG!AC77</f>
        <v>3.2856231934343483E-15</v>
      </c>
      <c r="AD77">
        <f>wFG!AD77-woFG!AD77</f>
        <v>8.9905098923288005E-15</v>
      </c>
      <c r="AE77">
        <f>wFG!AE77-woFG!AE77</f>
        <v>-3.1165155440445996E-3</v>
      </c>
      <c r="AF77">
        <f>wFG!AF77-woFG!AF77</f>
        <v>-0.20293407942600394</v>
      </c>
      <c r="AK77" s="1">
        <f t="shared" si="11"/>
        <v>46022</v>
      </c>
      <c r="AL77">
        <f t="shared" si="12"/>
        <v>-1.648019191917699E-2</v>
      </c>
      <c r="AM77">
        <f t="shared" si="13"/>
        <v>2.5630918510698405E-8</v>
      </c>
      <c r="AN77">
        <f t="shared" si="14"/>
        <v>-2.5509012701538006E-2</v>
      </c>
      <c r="AO77">
        <f t="shared" si="15"/>
        <v>-6.8216987703690997E-5</v>
      </c>
      <c r="AP77">
        <f t="shared" si="16"/>
        <v>-0.25932334493860459</v>
      </c>
      <c r="AQ77">
        <f t="shared" si="17"/>
        <v>4.1289438838370794E-2</v>
      </c>
      <c r="AR77">
        <f t="shared" si="18"/>
        <v>-3.1620068738647034E-2</v>
      </c>
      <c r="AS77">
        <f t="shared" si="19"/>
        <v>0.110736073882844</v>
      </c>
      <c r="AT77">
        <f t="shared" si="20"/>
        <v>-2.1958782492466911E-2</v>
      </c>
    </row>
    <row r="78" spans="1:46" x14ac:dyDescent="0.25">
      <c r="A78" s="1">
        <v>46112</v>
      </c>
      <c r="B78">
        <f>wFG!B78-woFG!B78</f>
        <v>-1.6278309262460988E-2</v>
      </c>
      <c r="C78">
        <f>wFG!C78-woFG!C78</f>
        <v>1.330506747820653E-8</v>
      </c>
      <c r="D78">
        <f>wFG!D78-woFG!D78</f>
        <v>-2.5253922574522997E-2</v>
      </c>
      <c r="E78">
        <f>wFG!E78-woFG!E78</f>
        <v>-4.7519330080931504E-5</v>
      </c>
      <c r="F78">
        <f>wFG!F78-woFG!F78</f>
        <v>-0.2567301114892192</v>
      </c>
      <c r="G78">
        <f>wFG!G78-woFG!G78</f>
        <v>4.0609599330661696E-2</v>
      </c>
      <c r="H78">
        <f>wFG!H78-woFG!H78</f>
        <v>-3.0151034336972027E-2</v>
      </c>
      <c r="I78">
        <f>wFG!I78-woFG!I78</f>
        <v>1.2819843906000072E-16</v>
      </c>
      <c r="J78">
        <f>wFG!J78-woFG!J78</f>
        <v>-1.1979793604479988E-15</v>
      </c>
      <c r="K78">
        <f>wFG!K78-woFG!K78</f>
        <v>-4.460163686181572E-15</v>
      </c>
      <c r="L78">
        <f>wFG!L78-woFG!L78</f>
        <v>-1.88954049756156E-2</v>
      </c>
      <c r="M78">
        <f>wFG!M78-woFG!M78</f>
        <v>0</v>
      </c>
      <c r="N78">
        <f>wFG!N78-woFG!N78</f>
        <v>0</v>
      </c>
      <c r="O78">
        <f>wFG!O78-woFG!O78</f>
        <v>1.72002504098015E-14</v>
      </c>
      <c r="P78">
        <f>wFG!P78-woFG!P78</f>
        <v>0</v>
      </c>
      <c r="Q78">
        <f>wFG!Q78-woFG!Q78</f>
        <v>0.110176170690419</v>
      </c>
      <c r="R78">
        <f>wFG!R78-woFG!R78</f>
        <v>0</v>
      </c>
      <c r="S78">
        <f>wFG!S78-woFG!S78</f>
        <v>0</v>
      </c>
      <c r="T78">
        <f>wFG!T78-woFG!T78</f>
        <v>0</v>
      </c>
      <c r="U78">
        <f>wFG!U78-woFG!U78</f>
        <v>0</v>
      </c>
      <c r="V78">
        <f>wFG!V78-woFG!V78</f>
        <v>0</v>
      </c>
      <c r="W78">
        <f>wFG!W78-woFG!W78</f>
        <v>0</v>
      </c>
      <c r="X78">
        <f>wFG!X78-woFG!X78</f>
        <v>0</v>
      </c>
      <c r="Y78">
        <f>wFG!Y78-woFG!Y78</f>
        <v>1.3140327767895401E-15</v>
      </c>
      <c r="Z78">
        <f>wFG!Z78-woFG!Z78</f>
        <v>-2.0845944047528761E-15</v>
      </c>
      <c r="AA78">
        <f>wFG!AA78-woFG!AA78</f>
        <v>1.0387907265558399E-15</v>
      </c>
      <c r="AB78">
        <f>wFG!AB78-woFG!AB78</f>
        <v>-1.0055710669969995E-16</v>
      </c>
      <c r="AC78">
        <f>wFG!AC78-woFG!AC78</f>
        <v>3.2482275869343264E-15</v>
      </c>
      <c r="AD78">
        <f>wFG!AD78-woFG!AD78</f>
        <v>8.90485291021754E-15</v>
      </c>
      <c r="AE78">
        <f>wFG!AE78-woFG!AE78</f>
        <v>-3.0848024436436992E-3</v>
      </c>
      <c r="AF78">
        <f>wFG!AF78-woFG!AF78</f>
        <v>-0.19965532108634609</v>
      </c>
      <c r="AK78" s="1">
        <f t="shared" si="11"/>
        <v>46112</v>
      </c>
      <c r="AL78">
        <f t="shared" si="12"/>
        <v>-1.6278309262460988E-2</v>
      </c>
      <c r="AM78">
        <f t="shared" si="13"/>
        <v>1.330506747820653E-8</v>
      </c>
      <c r="AN78">
        <f t="shared" si="14"/>
        <v>-2.5253922574522997E-2</v>
      </c>
      <c r="AO78">
        <f t="shared" si="15"/>
        <v>-4.7519330080931504E-5</v>
      </c>
      <c r="AP78">
        <f t="shared" si="16"/>
        <v>-0.2567301114892192</v>
      </c>
      <c r="AQ78">
        <f t="shared" si="17"/>
        <v>4.0609599330661696E-2</v>
      </c>
      <c r="AR78">
        <f t="shared" si="18"/>
        <v>-3.0151034336972027E-2</v>
      </c>
      <c r="AS78">
        <f t="shared" si="19"/>
        <v>0.110176170690419</v>
      </c>
      <c r="AT78">
        <f t="shared" si="20"/>
        <v>-2.1980207419238174E-2</v>
      </c>
    </row>
    <row r="79" spans="1:46" x14ac:dyDescent="0.25">
      <c r="A79" s="1">
        <v>46203</v>
      </c>
      <c r="B79">
        <f>wFG!B79-woFG!B79</f>
        <v>-1.6078943393539991E-2</v>
      </c>
      <c r="C79">
        <f>wFG!C79-woFG!C79</f>
        <v>6.9066902091118692E-9</v>
      </c>
      <c r="D79">
        <f>wFG!D79-woFG!D79</f>
        <v>-2.5001383348777995E-2</v>
      </c>
      <c r="E79">
        <f>wFG!E79-woFG!E79</f>
        <v>-3.3101530973573209E-5</v>
      </c>
      <c r="F79">
        <f>wFG!F79-woFG!F79</f>
        <v>-0.25416281037432659</v>
      </c>
      <c r="G79">
        <f>wFG!G79-woFG!G79</f>
        <v>3.9970425185233902E-2</v>
      </c>
      <c r="H79">
        <f>wFG!H79-woFG!H79</f>
        <v>-2.8733817342709023E-2</v>
      </c>
      <c r="I79">
        <f>wFG!I79-woFG!I79</f>
        <v>1.2740901635809861E-16</v>
      </c>
      <c r="J79">
        <f>wFG!J79-woFG!J79</f>
        <v>-1.2344014066270006E-15</v>
      </c>
      <c r="K79">
        <f>wFG!K79-woFG!K79</f>
        <v>-4.3707209393489933E-15</v>
      </c>
      <c r="L79">
        <f>wFG!L79-woFG!L79</f>
        <v>-1.8893739629189506E-2</v>
      </c>
      <c r="M79">
        <f>wFG!M79-woFG!M79</f>
        <v>0</v>
      </c>
      <c r="N79">
        <f>wFG!N79-woFG!N79</f>
        <v>0</v>
      </c>
      <c r="O79">
        <f>wFG!O79-woFG!O79</f>
        <v>1.7369473656107902E-14</v>
      </c>
      <c r="P79">
        <f>wFG!P79-woFG!P79</f>
        <v>0</v>
      </c>
      <c r="Q79">
        <f>wFG!Q79-woFG!Q79</f>
        <v>0.10956859981851699</v>
      </c>
      <c r="R79">
        <f>wFG!R79-woFG!R79</f>
        <v>0</v>
      </c>
      <c r="S79">
        <f>wFG!S79-woFG!S79</f>
        <v>0</v>
      </c>
      <c r="T79">
        <f>wFG!T79-woFG!T79</f>
        <v>0</v>
      </c>
      <c r="U79">
        <f>wFG!U79-woFG!U79</f>
        <v>0</v>
      </c>
      <c r="V79">
        <f>wFG!V79-woFG!V79</f>
        <v>0</v>
      </c>
      <c r="W79">
        <f>wFG!W79-woFG!W79</f>
        <v>0</v>
      </c>
      <c r="X79">
        <f>wFG!X79-woFG!X79</f>
        <v>0</v>
      </c>
      <c r="Y79">
        <f>wFG!Y79-woFG!Y79</f>
        <v>1.29587728832425E-15</v>
      </c>
      <c r="Z79">
        <f>wFG!Z79-woFG!Z79</f>
        <v>-2.073144194023705E-15</v>
      </c>
      <c r="AA79">
        <f>wFG!AA79-woFG!AA79</f>
        <v>1.0207782779441901E-15</v>
      </c>
      <c r="AB79">
        <f>wFG!AB79-woFG!AB79</f>
        <v>-1.0846803497727994E-16</v>
      </c>
      <c r="AC79">
        <f>wFG!AC79-woFG!AC79</f>
        <v>3.21067261437606E-15</v>
      </c>
      <c r="AD79">
        <f>wFG!AD79-woFG!AD79</f>
        <v>8.817615012276371E-15</v>
      </c>
      <c r="AE79">
        <f>wFG!AE79-woFG!AE79</f>
        <v>-3.0534242776821003E-3</v>
      </c>
      <c r="AF79">
        <f>wFG!AF79-woFG!AF79</f>
        <v>-0.19641818798673599</v>
      </c>
      <c r="AK79" s="1">
        <f t="shared" si="11"/>
        <v>46203</v>
      </c>
      <c r="AL79">
        <f t="shared" si="12"/>
        <v>-1.6078943393539991E-2</v>
      </c>
      <c r="AM79">
        <f t="shared" si="13"/>
        <v>6.9066902091118692E-9</v>
      </c>
      <c r="AN79">
        <f t="shared" si="14"/>
        <v>-2.5001383348777995E-2</v>
      </c>
      <c r="AO79">
        <f t="shared" si="15"/>
        <v>-3.3101530973573209E-5</v>
      </c>
      <c r="AP79">
        <f t="shared" si="16"/>
        <v>-0.25416281037432659</v>
      </c>
      <c r="AQ79">
        <f t="shared" si="17"/>
        <v>3.9970425185233902E-2</v>
      </c>
      <c r="AR79">
        <f t="shared" si="18"/>
        <v>-2.8733817342709023E-2</v>
      </c>
      <c r="AS79">
        <f t="shared" si="19"/>
        <v>0.10956859981851699</v>
      </c>
      <c r="AT79">
        <f t="shared" si="20"/>
        <v>-2.1947163906849948E-2</v>
      </c>
    </row>
    <row r="80" spans="1:46" x14ac:dyDescent="0.25">
      <c r="A80" s="1">
        <v>46295</v>
      </c>
      <c r="B80">
        <f>wFG!B80-woFG!B80</f>
        <v>-1.5882087750918011E-2</v>
      </c>
      <c r="C80">
        <f>wFG!C80-woFG!C80</f>
        <v>3.5852780343015302E-9</v>
      </c>
      <c r="D80">
        <f>wFG!D80-woFG!D80</f>
        <v>-2.475136951529E-2</v>
      </c>
      <c r="E80">
        <f>wFG!E80-woFG!E80</f>
        <v>-2.3058223905258695E-5</v>
      </c>
      <c r="F80">
        <f>wFG!F80-woFG!F80</f>
        <v>-0.25162118227058367</v>
      </c>
      <c r="G80">
        <f>wFG!G80-woFG!G80</f>
        <v>3.9364436976594502E-2</v>
      </c>
      <c r="H80">
        <f>wFG!H80-woFG!H80</f>
        <v>-2.736914735617002E-2</v>
      </c>
      <c r="I80">
        <f>wFG!I80-woFG!I80</f>
        <v>1.2649441550250065E-16</v>
      </c>
      <c r="J80">
        <f>wFG!J80-woFG!J80</f>
        <v>-1.269647942546002E-15</v>
      </c>
      <c r="K80">
        <f>wFG!K80-woFG!K80</f>
        <v>-4.2816967155973349E-15</v>
      </c>
      <c r="L80">
        <f>wFG!L80-woFG!L80</f>
        <v>-1.8844384278785799E-2</v>
      </c>
      <c r="M80">
        <f>wFG!M80-woFG!M80</f>
        <v>0</v>
      </c>
      <c r="N80">
        <f>wFG!N80-woFG!N80</f>
        <v>0</v>
      </c>
      <c r="O80">
        <f>wFG!O80-woFG!O80</f>
        <v>1.7533011464559906E-14</v>
      </c>
      <c r="P80">
        <f>wFG!P80-woFG!P80</f>
        <v>0</v>
      </c>
      <c r="Q80">
        <f>wFG!Q80-woFG!Q80</f>
        <v>0.10892142978228402</v>
      </c>
      <c r="R80">
        <f>wFG!R80-woFG!R80</f>
        <v>0</v>
      </c>
      <c r="S80">
        <f>wFG!S80-woFG!S80</f>
        <v>0</v>
      </c>
      <c r="T80">
        <f>wFG!T80-woFG!T80</f>
        <v>0</v>
      </c>
      <c r="U80">
        <f>wFG!U80-woFG!U80</f>
        <v>0</v>
      </c>
      <c r="V80">
        <f>wFG!V80-woFG!V80</f>
        <v>0</v>
      </c>
      <c r="W80">
        <f>wFG!W80-woFG!W80</f>
        <v>0</v>
      </c>
      <c r="X80">
        <f>wFG!X80-woFG!X80</f>
        <v>0</v>
      </c>
      <c r="Y80">
        <f>wFG!Y80-woFG!Y80</f>
        <v>1.2776802592133002E-15</v>
      </c>
      <c r="Z80">
        <f>wFG!Z80-woFG!Z80</f>
        <v>-2.0600857572385213E-15</v>
      </c>
      <c r="AA80">
        <f>wFG!AA80-woFG!AA80</f>
        <v>1.0036001766668999E-15</v>
      </c>
      <c r="AB80">
        <f>wFG!AB80-woFG!AB80</f>
        <v>-1.1522983122064997E-16</v>
      </c>
      <c r="AC80">
        <f>wFG!AC80-woFG!AC80</f>
        <v>3.1730799176263024E-15</v>
      </c>
      <c r="AD80">
        <f>wFG!AD80-woFG!AD80</f>
        <v>8.7289942033504208E-15</v>
      </c>
      <c r="AE80">
        <f>wFG!AE80-woFG!AE80</f>
        <v>-3.0223773291476012E-3</v>
      </c>
      <c r="AF80">
        <f>wFG!AF80-woFG!AF80</f>
        <v>-0.19322773638062002</v>
      </c>
      <c r="AK80" s="1">
        <f t="shared" si="11"/>
        <v>46295</v>
      </c>
      <c r="AL80">
        <f t="shared" si="12"/>
        <v>-1.5882087750918011E-2</v>
      </c>
      <c r="AM80">
        <f t="shared" si="13"/>
        <v>3.5852780343015302E-9</v>
      </c>
      <c r="AN80">
        <f t="shared" si="14"/>
        <v>-2.475136951529E-2</v>
      </c>
      <c r="AO80">
        <f t="shared" si="15"/>
        <v>-2.3058223905258695E-5</v>
      </c>
      <c r="AP80">
        <f t="shared" si="16"/>
        <v>-0.25162118227058367</v>
      </c>
      <c r="AQ80">
        <f t="shared" si="17"/>
        <v>3.9364436976594502E-2</v>
      </c>
      <c r="AR80">
        <f t="shared" si="18"/>
        <v>-2.736914735617002E-2</v>
      </c>
      <c r="AS80">
        <f t="shared" si="19"/>
        <v>0.10892142978228402</v>
      </c>
      <c r="AT80">
        <f t="shared" si="20"/>
        <v>-2.1866761607909624E-2</v>
      </c>
    </row>
    <row r="81" spans="1:46" x14ac:dyDescent="0.25">
      <c r="A81" s="1">
        <v>46387</v>
      </c>
      <c r="B81">
        <f>wFG!B81-woFG!B81</f>
        <v>-1.5687731144833017E-2</v>
      </c>
      <c r="C81">
        <f>wFG!C81-woFG!C81</f>
        <v>1.8611254290649599E-9</v>
      </c>
      <c r="D81">
        <f>wFG!D81-woFG!D81</f>
        <v>-2.4503855820137005E-2</v>
      </c>
      <c r="E81">
        <f>wFG!E81-woFG!E81</f>
        <v>-1.6062148005087403E-5</v>
      </c>
      <c r="F81">
        <f>wFG!F81-woFG!F81</f>
        <v>-0.24910497044787822</v>
      </c>
      <c r="G81">
        <f>wFG!G81-woFG!G81</f>
        <v>3.8785624847772704E-2</v>
      </c>
      <c r="H81">
        <f>wFG!H81-woFG!H81</f>
        <v>-2.6057227086151991E-2</v>
      </c>
      <c r="I81">
        <f>wFG!I81-woFG!I81</f>
        <v>1.2546610800239825E-16</v>
      </c>
      <c r="J81">
        <f>wFG!J81-woFG!J81</f>
        <v>-1.303683274788303E-15</v>
      </c>
      <c r="K81">
        <f>wFG!K81-woFG!K81</f>
        <v>-4.1935783990209527E-15</v>
      </c>
      <c r="L81">
        <f>wFG!L81-woFG!L81</f>
        <v>-1.8753694021852396E-2</v>
      </c>
      <c r="M81">
        <f>wFG!M81-woFG!M81</f>
        <v>0</v>
      </c>
      <c r="N81">
        <f>wFG!N81-woFG!N81</f>
        <v>0</v>
      </c>
      <c r="O81">
        <f>wFG!O81-woFG!O81</f>
        <v>1.7690874557513995E-14</v>
      </c>
      <c r="P81">
        <f>wFG!P81-woFG!P81</f>
        <v>0</v>
      </c>
      <c r="Q81">
        <f>wFG!Q81-woFG!Q81</f>
        <v>0.1082414030615907</v>
      </c>
      <c r="R81">
        <f>wFG!R81-woFG!R81</f>
        <v>0</v>
      </c>
      <c r="S81">
        <f>wFG!S81-woFG!S81</f>
        <v>0</v>
      </c>
      <c r="T81">
        <f>wFG!T81-woFG!T81</f>
        <v>0</v>
      </c>
      <c r="U81">
        <f>wFG!U81-woFG!U81</f>
        <v>0</v>
      </c>
      <c r="V81">
        <f>wFG!V81-woFG!V81</f>
        <v>0</v>
      </c>
      <c r="W81">
        <f>wFG!W81-woFG!W81</f>
        <v>0</v>
      </c>
      <c r="X81">
        <f>wFG!X81-woFG!X81</f>
        <v>0</v>
      </c>
      <c r="Y81">
        <f>wFG!Y81-woFG!Y81</f>
        <v>1.2594877154163601E-15</v>
      </c>
      <c r="Z81">
        <f>wFG!Z81-woFG!Z81</f>
        <v>-2.0454788170198599E-15</v>
      </c>
      <c r="AA81">
        <f>wFG!AA81-woFG!AA81</f>
        <v>9.8724886673696998E-16</v>
      </c>
      <c r="AB81">
        <f>wFG!AB81-woFG!AB81</f>
        <v>-1.2086600815778009E-16</v>
      </c>
      <c r="AC81">
        <f>wFG!AC81-woFG!AC81</f>
        <v>3.1355561763781537E-15</v>
      </c>
      <c r="AD81">
        <f>wFG!AD81-woFG!AD81</f>
        <v>8.6391963937514591E-15</v>
      </c>
      <c r="AE81">
        <f>wFG!AE81-woFG!AE81</f>
        <v>-2.9916579253273998E-3</v>
      </c>
      <c r="AF81">
        <f>wFG!AF81-woFG!AF81</f>
        <v>-0.19008816882367302</v>
      </c>
      <c r="AK81" s="1">
        <f t="shared" si="11"/>
        <v>46387</v>
      </c>
      <c r="AL81">
        <f t="shared" si="12"/>
        <v>-1.5687731144833017E-2</v>
      </c>
      <c r="AM81">
        <f t="shared" si="13"/>
        <v>1.8611254290649599E-9</v>
      </c>
      <c r="AN81">
        <f t="shared" si="14"/>
        <v>-2.4503855820137005E-2</v>
      </c>
      <c r="AO81">
        <f t="shared" si="15"/>
        <v>-1.6062148005087403E-5</v>
      </c>
      <c r="AP81">
        <f t="shared" si="16"/>
        <v>-0.24910497044787822</v>
      </c>
      <c r="AQ81">
        <f t="shared" si="17"/>
        <v>3.8785624847772704E-2</v>
      </c>
      <c r="AR81">
        <f t="shared" si="18"/>
        <v>-2.6057227086151991E-2</v>
      </c>
      <c r="AS81">
        <f t="shared" si="19"/>
        <v>0.1082414030615907</v>
      </c>
      <c r="AT81">
        <f t="shared" si="20"/>
        <v>-2.1745351947156544E-2</v>
      </c>
    </row>
    <row r="82" spans="1:46" x14ac:dyDescent="0.25">
      <c r="A82" s="1">
        <v>46477</v>
      </c>
      <c r="B82">
        <f>wFG!B82-woFG!B82</f>
        <v>-1.5495858590632988E-2</v>
      </c>
      <c r="C82">
        <f>wFG!C82-woFG!C82</f>
        <v>9.6611389456073004E-10</v>
      </c>
      <c r="D82">
        <f>wFG!D82-woFG!D82</f>
        <v>-2.4258817261936003E-2</v>
      </c>
      <c r="E82">
        <f>wFG!E82-woFG!E82</f>
        <v>-1.1188745482584997E-5</v>
      </c>
      <c r="F82">
        <f>wFG!F82-woFG!F82</f>
        <v>-0.24661392074339888</v>
      </c>
      <c r="G82">
        <f>wFG!G82-woFG!G82</f>
        <v>3.8229160662262403E-2</v>
      </c>
      <c r="H82">
        <f>wFG!H82-woFG!H82</f>
        <v>-2.4797832772297995E-2</v>
      </c>
      <c r="I82">
        <f>wFG!I82-woFG!I82</f>
        <v>1.2433233234080093E-16</v>
      </c>
      <c r="J82">
        <f>wFG!J82-woFG!J82</f>
        <v>-1.3364810759662006E-15</v>
      </c>
      <c r="K82">
        <f>wFG!K82-woFG!K82</f>
        <v>-4.1067734659839553E-15</v>
      </c>
      <c r="L82">
        <f>wFG!L82-woFG!L82</f>
        <v>-1.8627334119922401E-2</v>
      </c>
      <c r="M82">
        <f>wFG!M82-woFG!M82</f>
        <v>0</v>
      </c>
      <c r="N82">
        <f>wFG!N82-woFG!N82</f>
        <v>0</v>
      </c>
      <c r="O82">
        <f>wFG!O82-woFG!O82</f>
        <v>1.784308431936119E-14</v>
      </c>
      <c r="P82">
        <f>wFG!P82-woFG!P82</f>
        <v>0</v>
      </c>
      <c r="Q82">
        <f>wFG!Q82-woFG!Q82</f>
        <v>0.10753416893326839</v>
      </c>
      <c r="R82">
        <f>wFG!R82-woFG!R82</f>
        <v>0</v>
      </c>
      <c r="S82">
        <f>wFG!S82-woFG!S82</f>
        <v>0</v>
      </c>
      <c r="T82">
        <f>wFG!T82-woFG!T82</f>
        <v>0</v>
      </c>
      <c r="U82">
        <f>wFG!U82-woFG!U82</f>
        <v>0</v>
      </c>
      <c r="V82">
        <f>wFG!V82-woFG!V82</f>
        <v>0</v>
      </c>
      <c r="W82">
        <f>wFG!W82-woFG!W82</f>
        <v>0</v>
      </c>
      <c r="X82">
        <f>wFG!X82-woFG!X82</f>
        <v>0</v>
      </c>
      <c r="Y82">
        <f>wFG!Y82-woFG!Y82</f>
        <v>1.2413411131383902E-15</v>
      </c>
      <c r="Z82">
        <f>wFG!Z82-woFG!Z82</f>
        <v>-2.0294133961853883E-15</v>
      </c>
      <c r="AA82">
        <f>wFG!AA82-woFG!AA82</f>
        <v>9.7169858484227993E-16</v>
      </c>
      <c r="AB82">
        <f>wFG!AB82-woFG!AB82</f>
        <v>-1.2542415966478994E-16</v>
      </c>
      <c r="AC82">
        <f>wFG!AC82-woFG!AC82</f>
        <v>3.098194092722359E-15</v>
      </c>
      <c r="AD82">
        <f>wFG!AD82-woFG!AD82</f>
        <v>8.5484314403620308E-15</v>
      </c>
      <c r="AE82">
        <f>wFG!AE82-woFG!AE82</f>
        <v>-2.9612624372322999E-3</v>
      </c>
      <c r="AF82">
        <f>wFG!AF82-woFG!AF82</f>
        <v>-0.18700288410923599</v>
      </c>
      <c r="AK82" s="1">
        <f t="shared" si="11"/>
        <v>46477</v>
      </c>
      <c r="AL82">
        <f t="shared" si="12"/>
        <v>-1.5495858590632988E-2</v>
      </c>
      <c r="AM82">
        <f t="shared" si="13"/>
        <v>9.6611389456073004E-10</v>
      </c>
      <c r="AN82">
        <f t="shared" si="14"/>
        <v>-2.4258817261936003E-2</v>
      </c>
      <c r="AO82">
        <f t="shared" si="15"/>
        <v>-1.1188745482584997E-5</v>
      </c>
      <c r="AP82">
        <f t="shared" si="16"/>
        <v>-0.24661392074339888</v>
      </c>
      <c r="AQ82">
        <f t="shared" si="17"/>
        <v>3.8229160662262403E-2</v>
      </c>
      <c r="AR82">
        <f t="shared" si="18"/>
        <v>-2.4797832772297995E-2</v>
      </c>
      <c r="AS82">
        <f t="shared" si="19"/>
        <v>0.10753416893326839</v>
      </c>
      <c r="AT82">
        <f t="shared" si="20"/>
        <v>-2.1588596557132245E-2</v>
      </c>
    </row>
    <row r="83" spans="1:46" x14ac:dyDescent="0.25">
      <c r="A83" s="1">
        <v>46568</v>
      </c>
      <c r="B83">
        <f>wFG!B83-woFG!B83</f>
        <v>-1.5306451999798021E-2</v>
      </c>
      <c r="C83">
        <f>wFG!C83-woFG!C83</f>
        <v>5.0151137335304109E-10</v>
      </c>
      <c r="D83">
        <f>wFG!D83-woFG!D83</f>
        <v>-2.4016229089317012E-2</v>
      </c>
      <c r="E83">
        <f>wFG!E83-woFG!E83</f>
        <v>-7.7939778320830993E-6</v>
      </c>
      <c r="F83">
        <f>wFG!F83-woFG!F83</f>
        <v>-0.2441477815359657</v>
      </c>
      <c r="G83">
        <f>wFG!G83-woFG!G83</f>
        <v>3.7691166982452305E-2</v>
      </c>
      <c r="H83">
        <f>wFG!H83-woFG!H83</f>
        <v>-2.3590397791801998E-2</v>
      </c>
      <c r="I83">
        <f>wFG!I83-woFG!I83</f>
        <v>1.2309922519100227E-16</v>
      </c>
      <c r="J83">
        <f>wFG!J83-woFG!J83</f>
        <v>-1.3680240783113018E-15</v>
      </c>
      <c r="K83">
        <f>wFG!K83-woFG!K83</f>
        <v>-4.0216141956341972E-15</v>
      </c>
      <c r="L83">
        <f>wFG!L83-woFG!L83</f>
        <v>-1.8470344675298997E-2</v>
      </c>
      <c r="M83">
        <f>wFG!M83-woFG!M83</f>
        <v>0</v>
      </c>
      <c r="N83">
        <f>wFG!N83-woFG!N83</f>
        <v>0</v>
      </c>
      <c r="O83">
        <f>wFG!O83-woFG!O83</f>
        <v>1.7989672474773402E-14</v>
      </c>
      <c r="P83">
        <f>wFG!P83-woFG!P83</f>
        <v>0</v>
      </c>
      <c r="Q83">
        <f>wFG!Q83-woFG!Q83</f>
        <v>0.1068044733603376</v>
      </c>
      <c r="R83">
        <f>wFG!R83-woFG!R83</f>
        <v>0</v>
      </c>
      <c r="S83">
        <f>wFG!S83-woFG!S83</f>
        <v>0</v>
      </c>
      <c r="T83">
        <f>wFG!T83-woFG!T83</f>
        <v>0</v>
      </c>
      <c r="U83">
        <f>wFG!U83-woFG!U83</f>
        <v>0</v>
      </c>
      <c r="V83">
        <f>wFG!V83-woFG!V83</f>
        <v>0</v>
      </c>
      <c r="W83">
        <f>wFG!W83-woFG!W83</f>
        <v>0</v>
      </c>
      <c r="X83">
        <f>wFG!X83-woFG!X83</f>
        <v>0</v>
      </c>
      <c r="Y83">
        <f>wFG!Y83-woFG!Y83</f>
        <v>1.2232779037974699E-15</v>
      </c>
      <c r="Z83">
        <f>wFG!Z83-woFG!Z83</f>
        <v>-2.0120014007613329E-15</v>
      </c>
      <c r="AA83">
        <f>wFG!AA83-woFG!AA83</f>
        <v>9.5691109273303997E-16</v>
      </c>
      <c r="AB83">
        <f>wFG!AB83-woFG!AB83</f>
        <v>-1.2896896408725006E-16</v>
      </c>
      <c r="AC83">
        <f>wFG!AC83-woFG!AC83</f>
        <v>3.0610734342282117E-15</v>
      </c>
      <c r="AD83">
        <f>wFG!AD83-woFG!AD83</f>
        <v>8.4569094069961113E-15</v>
      </c>
      <c r="AE83">
        <f>wFG!AE83-woFG!AE83</f>
        <v>-2.9311872790258996E-3</v>
      </c>
      <c r="AF83">
        <f>wFG!AF83-woFG!AF83</f>
        <v>-0.18397454550471498</v>
      </c>
      <c r="AK83" s="1">
        <f t="shared" si="11"/>
        <v>46568</v>
      </c>
      <c r="AL83">
        <f t="shared" si="12"/>
        <v>-1.5306451999798021E-2</v>
      </c>
      <c r="AM83">
        <f t="shared" si="13"/>
        <v>5.0151137335304109E-10</v>
      </c>
      <c r="AN83">
        <f t="shared" si="14"/>
        <v>-2.4016229089317012E-2</v>
      </c>
      <c r="AO83">
        <f t="shared" si="15"/>
        <v>-7.7939778320830993E-6</v>
      </c>
      <c r="AP83">
        <f t="shared" si="16"/>
        <v>-0.2441477815359657</v>
      </c>
      <c r="AQ83">
        <f t="shared" si="17"/>
        <v>3.7691166982452305E-2</v>
      </c>
      <c r="AR83">
        <f t="shared" si="18"/>
        <v>-2.3590397791801998E-2</v>
      </c>
      <c r="AS83">
        <f t="shared" si="19"/>
        <v>0.1068044733603376</v>
      </c>
      <c r="AT83">
        <f t="shared" si="20"/>
        <v>-2.1401531954301445E-2</v>
      </c>
    </row>
    <row r="84" spans="1:46" x14ac:dyDescent="0.25">
      <c r="A84" s="1">
        <v>46660</v>
      </c>
      <c r="B84">
        <f>wFG!B84-woFG!B84</f>
        <v>-1.5119490754042009E-2</v>
      </c>
      <c r="C84">
        <f>wFG!C84-woFG!C84</f>
        <v>2.6033514875348902E-10</v>
      </c>
      <c r="D84">
        <f>wFG!D84-woFG!D84</f>
        <v>-2.3776066798422993E-2</v>
      </c>
      <c r="E84">
        <f>wFG!E84-woFG!E84</f>
        <v>-5.4292137175453801E-6</v>
      </c>
      <c r="F84">
        <f>wFG!F84-woFG!F84</f>
        <v>-0.24170630372060609</v>
      </c>
      <c r="G84">
        <f>wFG!G84-woFG!G84</f>
        <v>3.7168531567696096E-2</v>
      </c>
      <c r="H84">
        <f>wFG!H84-woFG!H84</f>
        <v>-2.2434082287195983E-2</v>
      </c>
      <c r="I84">
        <f>wFG!I84-woFG!I84</f>
        <v>1.2177169314280143E-16</v>
      </c>
      <c r="J84">
        <f>wFG!J84-woFG!J84</f>
        <v>-1.3983035052483027E-15</v>
      </c>
      <c r="K84">
        <f>wFG!K84-woFG!K84</f>
        <v>-3.9383636725224732E-15</v>
      </c>
      <c r="L84">
        <f>wFG!L84-woFG!L84</f>
        <v>-1.8287201124262999E-2</v>
      </c>
      <c r="M84">
        <f>wFG!M84-woFG!M84</f>
        <v>0</v>
      </c>
      <c r="N84">
        <f>wFG!N84-woFG!N84</f>
        <v>0</v>
      </c>
      <c r="O84">
        <f>wFG!O84-woFG!O84</f>
        <v>1.8130680568288301E-14</v>
      </c>
      <c r="P84">
        <f>wFG!P84-woFG!P84</f>
        <v>0</v>
      </c>
      <c r="Q84">
        <f>wFG!Q84-woFG!Q84</f>
        <v>0.10605631412793361</v>
      </c>
      <c r="R84">
        <f>wFG!R84-woFG!R84</f>
        <v>0</v>
      </c>
      <c r="S84">
        <f>wFG!S84-woFG!S84</f>
        <v>0</v>
      </c>
      <c r="T84">
        <f>wFG!T84-woFG!T84</f>
        <v>0</v>
      </c>
      <c r="U84">
        <f>wFG!U84-woFG!U84</f>
        <v>0</v>
      </c>
      <c r="V84">
        <f>wFG!V84-woFG!V84</f>
        <v>0</v>
      </c>
      <c r="W84">
        <f>wFG!W84-woFG!W84</f>
        <v>0</v>
      </c>
      <c r="X84">
        <f>wFG!X84-woFG!X84</f>
        <v>0</v>
      </c>
      <c r="Y84">
        <f>wFG!Y84-woFG!Y84</f>
        <v>1.2053319238455798E-15</v>
      </c>
      <c r="Z84">
        <f>wFG!Z84-woFG!Z84</f>
        <v>-1.9933694768576842E-15</v>
      </c>
      <c r="AA84">
        <f>wFG!AA84-woFG!AA84</f>
        <v>9.4284017966307013E-16</v>
      </c>
      <c r="AB84">
        <f>wFG!AB84-woFG!AB84</f>
        <v>-1.3157646106762E-16</v>
      </c>
      <c r="AC84">
        <f>wFG!AC84-woFG!AC84</f>
        <v>3.0242620969530768E-15</v>
      </c>
      <c r="AD84">
        <f>wFG!AD84-woFG!AD84</f>
        <v>8.3648371817923695E-15</v>
      </c>
      <c r="AE84">
        <f>wFG!AE84-woFG!AE84</f>
        <v>-2.9014289074636001E-3</v>
      </c>
      <c r="AF84">
        <f>wFG!AF84-woFG!AF84</f>
        <v>-0.18100515684972301</v>
      </c>
      <c r="AK84" s="1">
        <f t="shared" si="11"/>
        <v>46660</v>
      </c>
      <c r="AL84">
        <f t="shared" si="12"/>
        <v>-1.5119490754042009E-2</v>
      </c>
      <c r="AM84">
        <f t="shared" si="13"/>
        <v>2.6033514875348902E-10</v>
      </c>
      <c r="AN84">
        <f t="shared" si="14"/>
        <v>-2.3776066798422993E-2</v>
      </c>
      <c r="AO84">
        <f t="shared" si="15"/>
        <v>-5.4292137175453801E-6</v>
      </c>
      <c r="AP84">
        <f t="shared" si="16"/>
        <v>-0.24170630372060609</v>
      </c>
      <c r="AQ84">
        <f t="shared" si="17"/>
        <v>3.7168531567696096E-2</v>
      </c>
      <c r="AR84">
        <f t="shared" si="18"/>
        <v>-2.2434082287195983E-2</v>
      </c>
      <c r="AS84">
        <f t="shared" si="19"/>
        <v>0.10605631412793361</v>
      </c>
      <c r="AT84">
        <f t="shared" si="20"/>
        <v>-2.1188630031703237E-2</v>
      </c>
    </row>
    <row r="85" spans="1:46" x14ac:dyDescent="0.25">
      <c r="A85" s="1">
        <v>46752</v>
      </c>
      <c r="B85">
        <f>wFG!B85-woFG!B85</f>
        <v>-1.4934952183141004E-2</v>
      </c>
      <c r="C85">
        <f>wFG!C85-woFG!C85</f>
        <v>1.3514002238787971E-10</v>
      </c>
      <c r="D85">
        <f>wFG!D85-woFG!D85</f>
        <v>-2.3538306130440015E-2</v>
      </c>
      <c r="E85">
        <f>wFG!E85-woFG!E85</f>
        <v>-3.7819406511277803E-6</v>
      </c>
      <c r="F85">
        <f>wFG!F85-woFG!F85</f>
        <v>-0.2392892406833993</v>
      </c>
      <c r="G85">
        <f>wFG!G85-woFG!G85</f>
        <v>3.6658758346853199E-2</v>
      </c>
      <c r="H85">
        <f>wFG!H85-woFG!H85</f>
        <v>-2.1327831153284987E-2</v>
      </c>
      <c r="I85">
        <f>wFG!I85-woFG!I85</f>
        <v>1.2035406097259897E-16</v>
      </c>
      <c r="J85">
        <f>wFG!J85-woFG!J85</f>
        <v>-1.4273183350959042E-15</v>
      </c>
      <c r="K85">
        <f>wFG!K85-woFG!K85</f>
        <v>-3.8572225159943169E-15</v>
      </c>
      <c r="L85">
        <f>wFG!L85-woFG!L85</f>
        <v>-1.8081870347266202E-2</v>
      </c>
      <c r="M85">
        <f>wFG!M85-woFG!M85</f>
        <v>0</v>
      </c>
      <c r="N85">
        <f>wFG!N85-woFG!N85</f>
        <v>0</v>
      </c>
      <c r="O85">
        <f>wFG!O85-woFG!O85</f>
        <v>1.8266159301913601E-14</v>
      </c>
      <c r="P85">
        <f>wFG!P85-woFG!P85</f>
        <v>0</v>
      </c>
      <c r="Q85">
        <f>wFG!Q85-woFG!Q85</f>
        <v>0.10529306781945762</v>
      </c>
      <c r="R85">
        <f>wFG!R85-woFG!R85</f>
        <v>0</v>
      </c>
      <c r="S85">
        <f>wFG!S85-woFG!S85</f>
        <v>0</v>
      </c>
      <c r="T85">
        <f>wFG!T85-woFG!T85</f>
        <v>0</v>
      </c>
      <c r="U85">
        <f>wFG!U85-woFG!U85</f>
        <v>0</v>
      </c>
      <c r="V85">
        <f>wFG!V85-woFG!V85</f>
        <v>0</v>
      </c>
      <c r="W85">
        <f>wFG!W85-woFG!W85</f>
        <v>0</v>
      </c>
      <c r="X85">
        <f>wFG!X85-woFG!X85</f>
        <v>0</v>
      </c>
      <c r="Y85">
        <f>wFG!Y85-woFG!Y85</f>
        <v>1.187533665296542E-15</v>
      </c>
      <c r="Z85">
        <f>wFG!Z85-woFG!Z85</f>
        <v>-1.97365304802796E-15</v>
      </c>
      <c r="AA85">
        <f>wFG!AA85-woFG!AA85</f>
        <v>9.2943514221628978E-16</v>
      </c>
      <c r="AB85">
        <f>wFG!AB85-woFG!AB85</f>
        <v>-1.3332944053547015E-16</v>
      </c>
      <c r="AC85">
        <f>wFG!AC85-woFG!AC85</f>
        <v>2.9878171609326953E-15</v>
      </c>
      <c r="AD85">
        <f>wFG!AD85-woFG!AD85</f>
        <v>8.27241553376605E-15</v>
      </c>
      <c r="AE85">
        <f>wFG!AE85-woFG!AE85</f>
        <v>-2.8719838213388006E-3</v>
      </c>
      <c r="AF85">
        <f>wFG!AF85-woFG!AF85</f>
        <v>-0.17809613995804796</v>
      </c>
      <c r="AK85" s="1">
        <f t="shared" si="11"/>
        <v>46752</v>
      </c>
      <c r="AL85">
        <f t="shared" si="12"/>
        <v>-1.4934952183141004E-2</v>
      </c>
      <c r="AM85">
        <f t="shared" si="13"/>
        <v>1.3514002238787971E-10</v>
      </c>
      <c r="AN85">
        <f t="shared" si="14"/>
        <v>-2.3538306130440015E-2</v>
      </c>
      <c r="AO85">
        <f t="shared" si="15"/>
        <v>-3.7819406511277803E-6</v>
      </c>
      <c r="AP85">
        <f t="shared" si="16"/>
        <v>-0.2392892406833993</v>
      </c>
      <c r="AQ85">
        <f t="shared" si="17"/>
        <v>3.6658758346853199E-2</v>
      </c>
      <c r="AR85">
        <f t="shared" si="18"/>
        <v>-2.1327831153284987E-2</v>
      </c>
      <c r="AS85">
        <f t="shared" si="19"/>
        <v>0.10529306781945762</v>
      </c>
      <c r="AT85">
        <f t="shared" si="20"/>
        <v>-2.0953854168582364E-2</v>
      </c>
    </row>
    <row r="86" spans="1:46" x14ac:dyDescent="0.25">
      <c r="A86" s="1">
        <v>46843</v>
      </c>
      <c r="B86">
        <f>wFG!B86-woFG!B86</f>
        <v>-1.4752811963373996E-2</v>
      </c>
      <c r="C86">
        <f>wFG!C86-woFG!C86</f>
        <v>7.0150947725892497E-11</v>
      </c>
      <c r="D86">
        <f>wFG!D86-woFG!D86</f>
        <v>-2.3302923069134993E-2</v>
      </c>
      <c r="E86">
        <f>wFG!E86-woFG!E86</f>
        <v>-2.63446529040503E-6</v>
      </c>
      <c r="F86">
        <f>wFG!F86-woFG!F86</f>
        <v>-0.23689634827656561</v>
      </c>
      <c r="G86">
        <f>wFG!G86-woFG!G86</f>
        <v>3.6159847627939806E-2</v>
      </c>
      <c r="H86">
        <f>wFG!H86-woFG!H86</f>
        <v>-2.0270422314162012E-2</v>
      </c>
      <c r="I86">
        <f>wFG!I86-woFG!I86</f>
        <v>1.188505323377994E-16</v>
      </c>
      <c r="J86">
        <f>wFG!J86-woFG!J86</f>
        <v>-1.4550744696952971E-15</v>
      </c>
      <c r="K86">
        <f>wFG!K86-woFG!K86</f>
        <v>-3.7783359104249465E-15</v>
      </c>
      <c r="L86">
        <f>wFG!L86-woFG!L86</f>
        <v>-1.7857862359363E-2</v>
      </c>
      <c r="M86">
        <f>wFG!M86-woFG!M86</f>
        <v>0</v>
      </c>
      <c r="N86">
        <f>wFG!N86-woFG!N86</f>
        <v>0</v>
      </c>
      <c r="O86">
        <f>wFG!O86-woFG!O86</f>
        <v>1.8396167777747198E-14</v>
      </c>
      <c r="P86">
        <f>wFG!P86-woFG!P86</f>
        <v>0</v>
      </c>
      <c r="Q86">
        <f>wFG!Q86-woFG!Q86</f>
        <v>0.10451759394565741</v>
      </c>
      <c r="R86">
        <f>wFG!R86-woFG!R86</f>
        <v>0</v>
      </c>
      <c r="S86">
        <f>wFG!S86-woFG!S86</f>
        <v>0</v>
      </c>
      <c r="T86">
        <f>wFG!T86-woFG!T86</f>
        <v>0</v>
      </c>
      <c r="U86">
        <f>wFG!U86-woFG!U86</f>
        <v>0</v>
      </c>
      <c r="V86">
        <f>wFG!V86-woFG!V86</f>
        <v>0</v>
      </c>
      <c r="W86">
        <f>wFG!W86-woFG!W86</f>
        <v>0</v>
      </c>
      <c r="X86">
        <f>wFG!X86-woFG!X86</f>
        <v>0</v>
      </c>
      <c r="Y86">
        <f>wFG!Y86-woFG!Y86</f>
        <v>1.1699104690316559E-15</v>
      </c>
      <c r="Z86">
        <f>wFG!Z86-woFG!Z86</f>
        <v>-1.9529914246861209E-15</v>
      </c>
      <c r="AA86">
        <f>wFG!AA86-woFG!AA86</f>
        <v>9.1664342376177002E-16</v>
      </c>
      <c r="AB86">
        <f>wFG!AB86-woFG!AB86</f>
        <v>-1.3431378947206008E-16</v>
      </c>
      <c r="AC86">
        <f>wFG!AC86-woFG!AC86</f>
        <v>2.9517859187559819E-15</v>
      </c>
      <c r="AD86">
        <f>wFG!AD86-woFG!AD86</f>
        <v>8.1798366477469697E-15</v>
      </c>
      <c r="AE86">
        <f>wFG!AE86-woFG!AE86</f>
        <v>-2.8428485609377011E-3</v>
      </c>
      <c r="AF86">
        <f>wFG!AF86-woFG!AF86</f>
        <v>-0.17524840936505798</v>
      </c>
      <c r="AK86" s="1">
        <f t="shared" si="11"/>
        <v>46843</v>
      </c>
      <c r="AL86">
        <f t="shared" si="12"/>
        <v>-1.4752811963373996E-2</v>
      </c>
      <c r="AM86">
        <f t="shared" si="13"/>
        <v>7.0150947725892497E-11</v>
      </c>
      <c r="AN86">
        <f t="shared" si="14"/>
        <v>-2.3302923069134993E-2</v>
      </c>
      <c r="AO86">
        <f t="shared" si="15"/>
        <v>-2.63446529040503E-6</v>
      </c>
      <c r="AP86">
        <f t="shared" si="16"/>
        <v>-0.23689634827656561</v>
      </c>
      <c r="AQ86">
        <f t="shared" si="17"/>
        <v>3.6159847627939806E-2</v>
      </c>
      <c r="AR86">
        <f t="shared" si="18"/>
        <v>-2.0270422314162012E-2</v>
      </c>
      <c r="AS86">
        <f t="shared" si="19"/>
        <v>0.10451759394565741</v>
      </c>
      <c r="AT86">
        <f t="shared" si="20"/>
        <v>-2.0700710920279142E-2</v>
      </c>
    </row>
    <row r="87" spans="1:46" x14ac:dyDescent="0.25">
      <c r="A87" s="1">
        <v>46934</v>
      </c>
      <c r="B87">
        <f>wFG!B87-woFG!B87</f>
        <v>-1.4573044450301997E-2</v>
      </c>
      <c r="C87">
        <f>wFG!C87-woFG!C87</f>
        <v>3.6414971421660798E-11</v>
      </c>
      <c r="D87">
        <f>wFG!D87-woFG!D87</f>
        <v>-2.3069893838443989E-2</v>
      </c>
      <c r="E87">
        <f>wFG!E87-woFG!E87</f>
        <v>-1.8351444429296298E-6</v>
      </c>
      <c r="F87">
        <f>wFG!F87-woFG!F87</f>
        <v>-0.23452738479380061</v>
      </c>
      <c r="G87">
        <f>wFG!G87-woFG!G87</f>
        <v>3.5670199752732105E-2</v>
      </c>
      <c r="H87">
        <f>wFG!H87-woFG!H87</f>
        <v>-1.9260506888156004E-2</v>
      </c>
      <c r="I87">
        <f>wFG!I87-woFG!I87</f>
        <v>1.1726549685760143E-16</v>
      </c>
      <c r="J87">
        <f>wFG!J87-woFG!J87</f>
        <v>-1.481583863124002E-15</v>
      </c>
      <c r="K87">
        <f>wFG!K87-woFG!K87</f>
        <v>-3.7018006230022881E-15</v>
      </c>
      <c r="L87">
        <f>wFG!L87-woFG!L87</f>
        <v>-1.76182776597106E-2</v>
      </c>
      <c r="M87">
        <f>wFG!M87-woFG!M87</f>
        <v>0</v>
      </c>
      <c r="N87">
        <f>wFG!N87-woFG!N87</f>
        <v>0</v>
      </c>
      <c r="O87">
        <f>wFG!O87-woFG!O87</f>
        <v>1.8520772684006403E-14</v>
      </c>
      <c r="P87">
        <f>wFG!P87-woFG!P87</f>
        <v>0</v>
      </c>
      <c r="Q87">
        <f>wFG!Q87-woFG!Q87</f>
        <v>0.10373232051102051</v>
      </c>
      <c r="R87">
        <f>wFG!R87-woFG!R87</f>
        <v>0</v>
      </c>
      <c r="S87">
        <f>wFG!S87-woFG!S87</f>
        <v>0</v>
      </c>
      <c r="T87">
        <f>wFG!T87-woFG!T87</f>
        <v>0</v>
      </c>
      <c r="U87">
        <f>wFG!U87-woFG!U87</f>
        <v>0</v>
      </c>
      <c r="V87">
        <f>wFG!V87-woFG!V87</f>
        <v>0</v>
      </c>
      <c r="W87">
        <f>wFG!W87-woFG!W87</f>
        <v>0</v>
      </c>
      <c r="X87">
        <f>wFG!X87-woFG!X87</f>
        <v>0</v>
      </c>
      <c r="Y87">
        <f>wFG!Y87-woFG!Y87</f>
        <v>1.1524866717691298E-15</v>
      </c>
      <c r="Z87">
        <f>wFG!Z87-woFG!Z87</f>
        <v>-1.931523870589709E-15</v>
      </c>
      <c r="AA87">
        <f>wFG!AA87-woFG!AA87</f>
        <v>9.0441257106473007E-16</v>
      </c>
      <c r="AB87">
        <f>wFG!AB87-woFG!AB87</f>
        <v>-1.3461565322524006E-16</v>
      </c>
      <c r="AC87">
        <f>wFG!AC87-woFG!AC87</f>
        <v>2.9162068637199133E-15</v>
      </c>
      <c r="AD87">
        <f>wFG!AD87-woFG!AD87</f>
        <v>8.0872821448913608E-15</v>
      </c>
      <c r="AE87">
        <f>wFG!AE87-woFG!AE87</f>
        <v>-2.8140197075012998E-3</v>
      </c>
      <c r="AF87">
        <f>wFG!AF87-woFG!AF87</f>
        <v>-0.172462442182166</v>
      </c>
      <c r="AK87" s="1">
        <f t="shared" si="11"/>
        <v>46934</v>
      </c>
      <c r="AL87">
        <f t="shared" si="12"/>
        <v>-1.4573044450301997E-2</v>
      </c>
      <c r="AM87">
        <f t="shared" si="13"/>
        <v>3.6414971421660798E-11</v>
      </c>
      <c r="AN87">
        <f t="shared" si="14"/>
        <v>-2.3069893838443989E-2</v>
      </c>
      <c r="AO87">
        <f t="shared" si="15"/>
        <v>-1.8351444429296298E-6</v>
      </c>
      <c r="AP87">
        <f t="shared" si="16"/>
        <v>-0.23452738479380061</v>
      </c>
      <c r="AQ87">
        <f t="shared" si="17"/>
        <v>3.5670199752732105E-2</v>
      </c>
      <c r="AR87">
        <f t="shared" si="18"/>
        <v>-1.9260506888156004E-2</v>
      </c>
      <c r="AS87">
        <f t="shared" si="19"/>
        <v>0.10373232051102051</v>
      </c>
      <c r="AT87">
        <f t="shared" si="20"/>
        <v>-2.0432297367188046E-2</v>
      </c>
    </row>
    <row r="88" spans="1:46" x14ac:dyDescent="0.25">
      <c r="A88" s="1">
        <v>47026</v>
      </c>
      <c r="B88">
        <f>wFG!B88-woFG!B88</f>
        <v>-1.4395622957169008E-2</v>
      </c>
      <c r="C88">
        <f>wFG!C88-woFG!C88</f>
        <v>1.8902549623398496E-11</v>
      </c>
      <c r="D88">
        <f>wFG!D88-woFG!D88</f>
        <v>-2.2839194900058993E-2</v>
      </c>
      <c r="E88">
        <f>wFG!E88-woFG!E88</f>
        <v>-1.27834484697945E-6</v>
      </c>
      <c r="F88">
        <f>wFG!F88-woFG!F88</f>
        <v>-0.23218211094586189</v>
      </c>
      <c r="G88">
        <f>wFG!G88-woFG!G88</f>
        <v>3.5188537559653094E-2</v>
      </c>
      <c r="H88">
        <f>wFG!H88-woFG!H88</f>
        <v>-1.8296642565666016E-2</v>
      </c>
      <c r="I88">
        <f>wFG!I88-woFG!I88</f>
        <v>1.1560371456049785E-16</v>
      </c>
      <c r="J88">
        <f>wFG!J88-woFG!J88</f>
        <v>-1.5068636512444055E-15</v>
      </c>
      <c r="K88">
        <f>wFG!K88-woFG!K88</f>
        <v>-3.6276717857614067E-15</v>
      </c>
      <c r="L88">
        <f>wFG!L88-woFG!L88</f>
        <v>-1.7365850398547204E-2</v>
      </c>
      <c r="M88">
        <f>wFG!M88-woFG!M88</f>
        <v>0</v>
      </c>
      <c r="N88">
        <f>wFG!N88-woFG!N88</f>
        <v>0</v>
      </c>
      <c r="O88">
        <f>wFG!O88-woFG!O88</f>
        <v>1.8640047455349795E-14</v>
      </c>
      <c r="P88">
        <f>wFG!P88-woFG!P88</f>
        <v>0</v>
      </c>
      <c r="Q88">
        <f>wFG!Q88-woFG!Q88</f>
        <v>0.1029393144758831</v>
      </c>
      <c r="R88">
        <f>wFG!R88-woFG!R88</f>
        <v>0</v>
      </c>
      <c r="S88">
        <f>wFG!S88-woFG!S88</f>
        <v>0</v>
      </c>
      <c r="T88">
        <f>wFG!T88-woFG!T88</f>
        <v>0</v>
      </c>
      <c r="U88">
        <f>wFG!U88-woFG!U88</f>
        <v>0</v>
      </c>
      <c r="V88">
        <f>wFG!V88-woFG!V88</f>
        <v>0</v>
      </c>
      <c r="W88">
        <f>wFG!W88-woFG!W88</f>
        <v>0</v>
      </c>
      <c r="X88">
        <f>wFG!X88-woFG!X88</f>
        <v>0</v>
      </c>
      <c r="Y88">
        <f>wFG!Y88-woFG!Y88</f>
        <v>1.135283728674104E-15</v>
      </c>
      <c r="Z88">
        <f>wFG!Z88-woFG!Z88</f>
        <v>-1.9093865108793128E-15</v>
      </c>
      <c r="AA88">
        <f>wFG!AA88-woFG!AA88</f>
        <v>8.9269164234051995E-16</v>
      </c>
      <c r="AB88">
        <f>wFG!AB88-woFG!AB88</f>
        <v>-1.3431928149217015E-16</v>
      </c>
      <c r="AC88">
        <f>wFG!AC88-woFG!AC88</f>
        <v>2.8811106284192181E-15</v>
      </c>
      <c r="AD88">
        <f>wFG!AD88-woFG!AD88</f>
        <v>7.9949215729177991E-15</v>
      </c>
      <c r="AE88">
        <f>wFG!AE88-woFG!AE88</f>
        <v>-2.7854938826948998E-3</v>
      </c>
      <c r="AF88">
        <f>wFG!AF88-woFG!AF88</f>
        <v>-0.16973834194038501</v>
      </c>
      <c r="AK88" s="1">
        <f t="shared" si="11"/>
        <v>47026</v>
      </c>
      <c r="AL88">
        <f t="shared" si="12"/>
        <v>-1.4395622957169008E-2</v>
      </c>
      <c r="AM88">
        <f t="shared" si="13"/>
        <v>1.8902549623398496E-11</v>
      </c>
      <c r="AN88">
        <f t="shared" si="14"/>
        <v>-2.2839194900058993E-2</v>
      </c>
      <c r="AO88">
        <f t="shared" si="15"/>
        <v>-1.27834484697945E-6</v>
      </c>
      <c r="AP88">
        <f t="shared" si="16"/>
        <v>-0.23218211094586189</v>
      </c>
      <c r="AQ88">
        <f t="shared" si="17"/>
        <v>3.5188537559653094E-2</v>
      </c>
      <c r="AR88">
        <f t="shared" si="18"/>
        <v>-1.8296642565666016E-2</v>
      </c>
      <c r="AS88">
        <f t="shared" si="19"/>
        <v>0.1029393144758831</v>
      </c>
      <c r="AT88">
        <f t="shared" si="20"/>
        <v>-2.0151344281220895E-2</v>
      </c>
    </row>
    <row r="89" spans="1:46" x14ac:dyDescent="0.25">
      <c r="A89" s="1">
        <v>47118</v>
      </c>
      <c r="B89">
        <f>wFG!B89-woFG!B89</f>
        <v>-1.4220519988137004E-2</v>
      </c>
      <c r="C89">
        <f>wFG!C89-woFG!C89</f>
        <v>9.811811973213039E-12</v>
      </c>
      <c r="D89">
        <f>wFG!D89-woFG!D89</f>
        <v>-2.2610802951058995E-2</v>
      </c>
      <c r="E89">
        <f>wFG!E89-woFG!E89</f>
        <v>-8.9048333800879972E-7</v>
      </c>
      <c r="F89">
        <f>wFG!F89-woFG!F89</f>
        <v>-0.22986028983640328</v>
      </c>
      <c r="G89">
        <f>wFG!G89-woFG!G89</f>
        <v>3.4713843942241598E-2</v>
      </c>
      <c r="H89">
        <f>wFG!H89-woFG!H89</f>
        <v>-1.7377321300791004E-2</v>
      </c>
      <c r="I89">
        <f>wFG!I89-woFG!I89</f>
        <v>1.138704051349981E-16</v>
      </c>
      <c r="J89">
        <f>wFG!J89-woFG!J89</f>
        <v>-1.5309353112312017E-15</v>
      </c>
      <c r="K89">
        <f>wFG!K89-woFG!K89</f>
        <v>-3.5559692896296931E-15</v>
      </c>
      <c r="L89">
        <f>wFG!L89-woFG!L89</f>
        <v>-1.7102987572365801E-2</v>
      </c>
      <c r="M89">
        <f>wFG!M89-woFG!M89</f>
        <v>0</v>
      </c>
      <c r="N89">
        <f>wFG!N89-woFG!N89</f>
        <v>0</v>
      </c>
      <c r="O89">
        <f>wFG!O89-woFG!O89</f>
        <v>1.8754071431872998E-14</v>
      </c>
      <c r="P89">
        <f>wFG!P89-woFG!P89</f>
        <v>0</v>
      </c>
      <c r="Q89">
        <f>wFG!Q89-woFG!Q89</f>
        <v>0.1021403399087167</v>
      </c>
      <c r="R89">
        <f>wFG!R89-woFG!R89</f>
        <v>0</v>
      </c>
      <c r="S89">
        <f>wFG!S89-woFG!S89</f>
        <v>0</v>
      </c>
      <c r="T89">
        <f>wFG!T89-woFG!T89</f>
        <v>0</v>
      </c>
      <c r="U89">
        <f>wFG!U89-woFG!U89</f>
        <v>0</v>
      </c>
      <c r="V89">
        <f>wFG!V89-woFG!V89</f>
        <v>0</v>
      </c>
      <c r="W89">
        <f>wFG!W89-woFG!W89</f>
        <v>0</v>
      </c>
      <c r="X89">
        <f>wFG!X89-woFG!X89</f>
        <v>0</v>
      </c>
      <c r="Y89">
        <f>wFG!Y89-woFG!Y89</f>
        <v>1.1183203266183071E-15</v>
      </c>
      <c r="Z89">
        <f>wFG!Z89-woFG!Z89</f>
        <v>-1.8867099698238752E-15</v>
      </c>
      <c r="AA89">
        <f>wFG!AA89-woFG!AA89</f>
        <v>8.8143217986151982E-16</v>
      </c>
      <c r="AB89">
        <f>wFG!AB89-woFG!AB89</f>
        <v>-1.3350544325037998E-16</v>
      </c>
      <c r="AC89">
        <f>wFG!AC89-woFG!AC89</f>
        <v>2.846520867881571E-15</v>
      </c>
      <c r="AD89">
        <f>wFG!AD89-woFG!AD89</f>
        <v>7.9029113344756191E-15</v>
      </c>
      <c r="AE89">
        <f>wFG!AE89-woFG!AE89</f>
        <v>-2.7572677480857E-3</v>
      </c>
      <c r="AF89">
        <f>wFG!AF89-woFG!AF89</f>
        <v>-0.16707589601938699</v>
      </c>
      <c r="AK89" s="1">
        <f t="shared" si="11"/>
        <v>47118</v>
      </c>
      <c r="AL89">
        <f t="shared" si="12"/>
        <v>-1.4220519988137004E-2</v>
      </c>
      <c r="AM89">
        <f t="shared" si="13"/>
        <v>9.811811973213039E-12</v>
      </c>
      <c r="AN89">
        <f t="shared" si="14"/>
        <v>-2.2610802951058995E-2</v>
      </c>
      <c r="AO89">
        <f t="shared" si="15"/>
        <v>-8.9048333800879972E-7</v>
      </c>
      <c r="AP89">
        <f t="shared" si="16"/>
        <v>-0.22986028983640328</v>
      </c>
      <c r="AQ89">
        <f t="shared" si="17"/>
        <v>3.4713843942241598E-2</v>
      </c>
      <c r="AR89">
        <f t="shared" si="18"/>
        <v>-1.7377321300791004E-2</v>
      </c>
      <c r="AS89">
        <f t="shared" si="19"/>
        <v>0.1021403399087167</v>
      </c>
      <c r="AT89">
        <f t="shared" si="20"/>
        <v>-1.9860255320428788E-2</v>
      </c>
    </row>
    <row r="90" spans="1:46" x14ac:dyDescent="0.25">
      <c r="A90" s="1">
        <v>47208</v>
      </c>
      <c r="B90">
        <f>wFG!B90-woFG!B90</f>
        <v>-1.4047707433930995E-2</v>
      </c>
      <c r="C90">
        <f>wFG!C90-woFG!C90</f>
        <v>5.0927898405287594E-12</v>
      </c>
      <c r="D90">
        <f>wFG!D90-woFG!D90</f>
        <v>-2.2384694921547987E-2</v>
      </c>
      <c r="E90">
        <f>wFG!E90-woFG!E90</f>
        <v>-6.2030255620248002E-7</v>
      </c>
      <c r="F90">
        <f>wFG!F90-woFG!F90</f>
        <v>-0.22756168693803999</v>
      </c>
      <c r="G90">
        <f>wFG!G90-woFG!G90</f>
        <v>3.4245311529486004E-2</v>
      </c>
      <c r="H90">
        <f>wFG!H90-woFG!H90</f>
        <v>-1.6500992233303008E-2</v>
      </c>
      <c r="I90">
        <f>wFG!I90-woFG!I90</f>
        <v>1.1207126568519909E-16</v>
      </c>
      <c r="J90">
        <f>wFG!J90-woFG!J90</f>
        <v>-1.5538238709899997E-15</v>
      </c>
      <c r="K90">
        <f>wFG!K90-woFG!K90</f>
        <v>-3.486683693601392E-15</v>
      </c>
      <c r="L90">
        <f>wFG!L90-woFG!L90</f>
        <v>-1.6831804489873793E-2</v>
      </c>
      <c r="M90">
        <f>wFG!M90-woFG!M90</f>
        <v>0</v>
      </c>
      <c r="N90">
        <f>wFG!N90-woFG!N90</f>
        <v>0</v>
      </c>
      <c r="O90">
        <f>wFG!O90-woFG!O90</f>
        <v>1.8862929035629393E-14</v>
      </c>
      <c r="P90">
        <f>wFG!P90-woFG!P90</f>
        <v>0</v>
      </c>
      <c r="Q90">
        <f>wFG!Q90-woFG!Q90</f>
        <v>0.10133690608908121</v>
      </c>
      <c r="R90">
        <f>wFG!R90-woFG!R90</f>
        <v>0</v>
      </c>
      <c r="S90">
        <f>wFG!S90-woFG!S90</f>
        <v>0</v>
      </c>
      <c r="T90">
        <f>wFG!T90-woFG!T90</f>
        <v>0</v>
      </c>
      <c r="U90">
        <f>wFG!U90-woFG!U90</f>
        <v>0</v>
      </c>
      <c r="V90">
        <f>wFG!V90-woFG!V90</f>
        <v>0</v>
      </c>
      <c r="W90">
        <f>wFG!W90-woFG!W90</f>
        <v>0</v>
      </c>
      <c r="X90">
        <f>wFG!X90-woFG!X90</f>
        <v>0</v>
      </c>
      <c r="Y90">
        <f>wFG!Y90-woFG!Y90</f>
        <v>1.101612497756045E-15</v>
      </c>
      <c r="Z90">
        <f>wFG!Z90-woFG!Z90</f>
        <v>-1.8636176328444413E-15</v>
      </c>
      <c r="AA90">
        <f>wFG!AA90-woFG!AA90</f>
        <v>8.7058884136807002E-16</v>
      </c>
      <c r="AB90">
        <f>wFG!AB90-woFG!AB90</f>
        <v>-1.3225030901319996E-16</v>
      </c>
      <c r="AC90">
        <f>wFG!AC90-woFG!AC90</f>
        <v>2.8124550838095608E-15</v>
      </c>
      <c r="AD90">
        <f>wFG!AD90-woFG!AD90</f>
        <v>7.8113940120930895E-15</v>
      </c>
      <c r="AE90">
        <f>wFG!AE90-woFG!AE90</f>
        <v>-2.7293380046268002E-3</v>
      </c>
      <c r="AF90">
        <f>wFG!AF90-woFG!AF90</f>
        <v>-0.16447462670019602</v>
      </c>
      <c r="AK90" s="1">
        <f t="shared" si="11"/>
        <v>47208</v>
      </c>
      <c r="AL90">
        <f t="shared" si="12"/>
        <v>-1.4047707433930995E-2</v>
      </c>
      <c r="AM90">
        <f t="shared" si="13"/>
        <v>5.0927898405287594E-12</v>
      </c>
      <c r="AN90">
        <f t="shared" si="14"/>
        <v>-2.2384694921547987E-2</v>
      </c>
      <c r="AO90">
        <f t="shared" si="15"/>
        <v>-6.2030255620248002E-7</v>
      </c>
      <c r="AP90">
        <f t="shared" si="16"/>
        <v>-0.22756168693803999</v>
      </c>
      <c r="AQ90">
        <f t="shared" si="17"/>
        <v>3.4245311529486004E-2</v>
      </c>
      <c r="AR90">
        <f t="shared" si="18"/>
        <v>-1.6500992233303008E-2</v>
      </c>
      <c r="AS90">
        <f t="shared" si="19"/>
        <v>0.10133690608908121</v>
      </c>
      <c r="AT90">
        <f t="shared" si="20"/>
        <v>-1.9561142494477879E-2</v>
      </c>
    </row>
    <row r="91" spans="1:46" x14ac:dyDescent="0.25">
      <c r="A91" s="1">
        <v>47299</v>
      </c>
      <c r="B91">
        <f>wFG!B91-woFG!B91</f>
        <v>-1.3877156736128021E-2</v>
      </c>
      <c r="C91">
        <f>wFG!C91-woFG!C91</f>
        <v>2.6431353034779606E-12</v>
      </c>
      <c r="D91">
        <f>wFG!D91-woFG!D91</f>
        <v>-2.2160847972332989E-2</v>
      </c>
      <c r="E91">
        <f>wFG!E91-woFG!E91</f>
        <v>-4.3209709324528793E-7</v>
      </c>
      <c r="F91">
        <f>wFG!F91-woFG!F91</f>
        <v>-0.2252860700686595</v>
      </c>
      <c r="G91">
        <f>wFG!G91-woFG!G91</f>
        <v>3.3782302105416204E-2</v>
      </c>
      <c r="H91">
        <f>wFG!H91-woFG!H91</f>
        <v>-1.5666080605672983E-2</v>
      </c>
      <c r="I91">
        <f>wFG!I91-woFG!I91</f>
        <v>1.102124369947005E-16</v>
      </c>
      <c r="J91">
        <f>wFG!J91-woFG!J91</f>
        <v>-1.5755571811548036E-15</v>
      </c>
      <c r="K91">
        <f>wFG!K91-woFG!K91</f>
        <v>-3.4197815946341979E-15</v>
      </c>
      <c r="L91">
        <f>wFG!L91-woFG!L91</f>
        <v>-1.6554156768038897E-2</v>
      </c>
      <c r="M91">
        <f>wFG!M91-woFG!M91</f>
        <v>0</v>
      </c>
      <c r="N91">
        <f>wFG!N91-woFG!N91</f>
        <v>0</v>
      </c>
      <c r="O91">
        <f>wFG!O91-woFG!O91</f>
        <v>1.8966708978809504E-14</v>
      </c>
      <c r="P91">
        <f>wFG!P91-woFG!P91</f>
        <v>0</v>
      </c>
      <c r="Q91">
        <f>wFG!Q91-woFG!Q91</f>
        <v>0.10053030739196611</v>
      </c>
      <c r="R91">
        <f>wFG!R91-woFG!R91</f>
        <v>0</v>
      </c>
      <c r="S91">
        <f>wFG!S91-woFG!S91</f>
        <v>0</v>
      </c>
      <c r="T91">
        <f>wFG!T91-woFG!T91</f>
        <v>0</v>
      </c>
      <c r="U91">
        <f>wFG!U91-woFG!U91</f>
        <v>0</v>
      </c>
      <c r="V91">
        <f>wFG!V91-woFG!V91</f>
        <v>0</v>
      </c>
      <c r="W91">
        <f>wFG!W91-woFG!W91</f>
        <v>0</v>
      </c>
      <c r="X91">
        <f>wFG!X91-woFG!X91</f>
        <v>0</v>
      </c>
      <c r="Y91">
        <f>wFG!Y91-woFG!Y91</f>
        <v>1.0851737390759441E-15</v>
      </c>
      <c r="Z91">
        <f>wFG!Z91-woFG!Z91</f>
        <v>-1.8402244355109099E-15</v>
      </c>
      <c r="AA91">
        <f>wFG!AA91-woFG!AA91</f>
        <v>8.6011976803236998E-16</v>
      </c>
      <c r="AB91">
        <f>wFG!AB91-woFG!AB91</f>
        <v>-1.3062471225619986E-16</v>
      </c>
      <c r="AC91">
        <f>wFG!AC91-woFG!AC91</f>
        <v>2.7789253883453678E-15</v>
      </c>
      <c r="AD91">
        <f>wFG!AD91-woFG!AD91</f>
        <v>7.7204980426712292E-15</v>
      </c>
      <c r="AE91">
        <f>wFG!AE91-woFG!AE91</f>
        <v>-2.7017013921500996E-3</v>
      </c>
      <c r="AF91">
        <f>wFG!AF91-woFG!AF91</f>
        <v>-0.16193383614002804</v>
      </c>
      <c r="AK91" s="1">
        <f t="shared" si="11"/>
        <v>47299</v>
      </c>
      <c r="AL91">
        <f t="shared" si="12"/>
        <v>-1.3877156736128021E-2</v>
      </c>
      <c r="AM91">
        <f t="shared" si="13"/>
        <v>2.6431353034779606E-12</v>
      </c>
      <c r="AN91">
        <f t="shared" si="14"/>
        <v>-2.2160847972332989E-2</v>
      </c>
      <c r="AO91">
        <f t="shared" si="15"/>
        <v>-4.3209709324528793E-7</v>
      </c>
      <c r="AP91">
        <f t="shared" si="16"/>
        <v>-0.2252860700686595</v>
      </c>
      <c r="AQ91">
        <f t="shared" si="17"/>
        <v>3.3782302105416204E-2</v>
      </c>
      <c r="AR91">
        <f t="shared" si="18"/>
        <v>-1.5666080605672983E-2</v>
      </c>
      <c r="AS91">
        <f t="shared" si="19"/>
        <v>0.10053030739196611</v>
      </c>
      <c r="AT91">
        <f t="shared" si="20"/>
        <v>-1.9255858160166783E-2</v>
      </c>
    </row>
    <row r="92" spans="1:46" x14ac:dyDescent="0.25">
      <c r="A92" s="1">
        <v>47391</v>
      </c>
      <c r="B92">
        <f>wFG!B92-woFG!B92</f>
        <v>-1.3708839025230984E-2</v>
      </c>
      <c r="C92">
        <f>wFG!C92-woFG!C92</f>
        <v>1.371514773942179E-12</v>
      </c>
      <c r="D92">
        <f>wFG!D92-woFG!D92</f>
        <v>-2.1939239492610008E-2</v>
      </c>
      <c r="E92">
        <f>wFG!E92-woFG!E92</f>
        <v>-3.0099488808005197E-7</v>
      </c>
      <c r="F92">
        <f>wFG!F92-woFG!F92</f>
        <v>-0.22303320936797311</v>
      </c>
      <c r="G92">
        <f>wFG!G92-woFG!G92</f>
        <v>3.3324313858292799E-2</v>
      </c>
      <c r="H92">
        <f>wFG!H92-woFG!H92</f>
        <v>-1.4871003314326003E-2</v>
      </c>
      <c r="I92">
        <f>wFG!I92-woFG!I92</f>
        <v>1.0830043482360096E-16</v>
      </c>
      <c r="J92">
        <f>wFG!J92-woFG!J92</f>
        <v>-1.5961652567754965E-15</v>
      </c>
      <c r="K92">
        <f>wFG!K92-woFG!K92</f>
        <v>-3.355210435854666E-15</v>
      </c>
      <c r="L92">
        <f>wFG!L92-woFG!L92</f>
        <v>-1.6271669123156092E-2</v>
      </c>
      <c r="M92">
        <f>wFG!M92-woFG!M92</f>
        <v>0</v>
      </c>
      <c r="N92">
        <f>wFG!N92-woFG!N92</f>
        <v>0</v>
      </c>
      <c r="O92">
        <f>wFG!O92-woFG!O92</f>
        <v>1.9065503513840892E-14</v>
      </c>
      <c r="P92">
        <f>wFG!P92-woFG!P92</f>
        <v>0</v>
      </c>
      <c r="Q92">
        <f>wFG!Q92-woFG!Q92</f>
        <v>9.9721656438045897E-2</v>
      </c>
      <c r="R92">
        <f>wFG!R92-woFG!R92</f>
        <v>0</v>
      </c>
      <c r="S92">
        <f>wFG!S92-woFG!S92</f>
        <v>0</v>
      </c>
      <c r="T92">
        <f>wFG!T92-woFG!T92</f>
        <v>0</v>
      </c>
      <c r="U92">
        <f>wFG!U92-woFG!U92</f>
        <v>0</v>
      </c>
      <c r="V92">
        <f>wFG!V92-woFG!V92</f>
        <v>0</v>
      </c>
      <c r="W92">
        <f>wFG!W92-woFG!W92</f>
        <v>0</v>
      </c>
      <c r="X92">
        <f>wFG!X92-woFG!X92</f>
        <v>0</v>
      </c>
      <c r="Y92">
        <f>wFG!Y92-woFG!Y92</f>
        <v>1.0690151406612919E-15</v>
      </c>
      <c r="Z92">
        <f>wFG!Z92-woFG!Z92</f>
        <v>-1.816636091238881E-15</v>
      </c>
      <c r="AA92">
        <f>wFG!AA92-woFG!AA92</f>
        <v>8.4998675249143023E-16</v>
      </c>
      <c r="AB92">
        <f>wFG!AB92-woFG!AB92</f>
        <v>-1.2869371437663013E-16</v>
      </c>
      <c r="AC92">
        <f>wFG!AC92-woFG!AC92</f>
        <v>2.7459392071788618E-15</v>
      </c>
      <c r="AD92">
        <f>wFG!AD92-woFG!AD92</f>
        <v>7.6303376923917305E-15</v>
      </c>
      <c r="AE92">
        <f>wFG!AE92-woFG!AE92</f>
        <v>-2.6743546888642004E-3</v>
      </c>
      <c r="AF92">
        <f>wFG!AF92-woFG!AF92</f>
        <v>-0.159452645709314</v>
      </c>
      <c r="AK92" s="1">
        <f t="shared" si="11"/>
        <v>47391</v>
      </c>
      <c r="AL92">
        <f t="shared" si="12"/>
        <v>-1.3708839025230984E-2</v>
      </c>
      <c r="AM92">
        <f t="shared" si="13"/>
        <v>1.371514773942179E-12</v>
      </c>
      <c r="AN92">
        <f t="shared" si="14"/>
        <v>-2.1939239492610008E-2</v>
      </c>
      <c r="AO92">
        <f t="shared" si="15"/>
        <v>-3.0099488808005197E-7</v>
      </c>
      <c r="AP92">
        <f t="shared" si="16"/>
        <v>-0.22303320936797311</v>
      </c>
      <c r="AQ92">
        <f t="shared" si="17"/>
        <v>3.3324313858292799E-2</v>
      </c>
      <c r="AR92">
        <f t="shared" si="18"/>
        <v>-1.4871003314326003E-2</v>
      </c>
      <c r="AS92">
        <f t="shared" si="19"/>
        <v>9.9721656438045897E-2</v>
      </c>
      <c r="AT92">
        <f t="shared" si="20"/>
        <v>-1.8946023811996004E-2</v>
      </c>
    </row>
    <row r="93" spans="1:46" x14ac:dyDescent="0.25">
      <c r="A93" s="1">
        <v>47483</v>
      </c>
      <c r="B93">
        <f>wFG!B93-woFG!B93</f>
        <v>-1.3542725236769998E-2</v>
      </c>
      <c r="C93">
        <f>wFG!C93-woFG!C93</f>
        <v>7.11414501023131E-13</v>
      </c>
      <c r="D93">
        <f>wFG!D93-woFG!D93</f>
        <v>-2.1719847097683001E-2</v>
      </c>
      <c r="E93">
        <f>wFG!E93-woFG!E93</f>
        <v>-2.0967029032427004E-7</v>
      </c>
      <c r="F93">
        <f>wFG!F93-woFG!F93</f>
        <v>-0.22080287727429349</v>
      </c>
      <c r="G93">
        <f>wFG!G93-woFG!G93</f>
        <v>3.2870954928199601E-2</v>
      </c>
      <c r="H93">
        <f>wFG!H93-woFG!H93</f>
        <v>-1.4114181630483003E-2</v>
      </c>
      <c r="I93">
        <f>wFG!I93-woFG!I93</f>
        <v>1.0634205958169989E-16</v>
      </c>
      <c r="J93">
        <f>wFG!J93-woFG!J93</f>
        <v>-1.6156796915960016E-15</v>
      </c>
      <c r="K93">
        <f>wFG!K93-woFG!K93</f>
        <v>-3.2929027542126413E-15</v>
      </c>
      <c r="L93">
        <f>wFG!L93-woFG!L93</f>
        <v>-1.5985761219559309E-2</v>
      </c>
      <c r="M93">
        <f>wFG!M93-woFG!M93</f>
        <v>0</v>
      </c>
      <c r="N93">
        <f>wFG!N93-woFG!N93</f>
        <v>0</v>
      </c>
      <c r="O93">
        <f>wFG!O93-woFG!O93</f>
        <v>1.9159407732403194E-14</v>
      </c>
      <c r="P93">
        <f>wFG!P93-woFG!P93</f>
        <v>0</v>
      </c>
      <c r="Q93">
        <f>wFG!Q93-woFG!Q93</f>
        <v>9.891191171531459E-2</v>
      </c>
      <c r="R93">
        <f>wFG!R93-woFG!R93</f>
        <v>0</v>
      </c>
      <c r="S93">
        <f>wFG!S93-woFG!S93</f>
        <v>0</v>
      </c>
      <c r="T93">
        <f>wFG!T93-woFG!T93</f>
        <v>0</v>
      </c>
      <c r="U93">
        <f>wFG!U93-woFG!U93</f>
        <v>0</v>
      </c>
      <c r="V93">
        <f>wFG!V93-woFG!V93</f>
        <v>0</v>
      </c>
      <c r="W93">
        <f>wFG!W93-woFG!W93</f>
        <v>0</v>
      </c>
      <c r="X93">
        <f>wFG!X93-woFG!X93</f>
        <v>0</v>
      </c>
      <c r="Y93">
        <f>wFG!Y93-woFG!Y93</f>
        <v>1.0531455233232489E-15</v>
      </c>
      <c r="Z93">
        <f>wFG!Z93-woFG!Z93</f>
        <v>-1.7929486787815108E-15</v>
      </c>
      <c r="AA93">
        <f>wFG!AA93-woFG!AA93</f>
        <v>8.4015525833306009E-16</v>
      </c>
      <c r="AB93">
        <f>wFG!AB93-woFG!AB93</f>
        <v>-1.2651640893553002E-16</v>
      </c>
      <c r="AC93">
        <f>wFG!AC93-woFG!AC93</f>
        <v>2.7134999228825652E-15</v>
      </c>
      <c r="AD93">
        <f>wFG!AD93-woFG!AD93</f>
        <v>7.5410132832924491E-15</v>
      </c>
      <c r="AE93">
        <f>wFG!AE93-woFG!AE93</f>
        <v>-2.6472947108617997E-3</v>
      </c>
      <c r="AF93">
        <f>wFG!AF93-woFG!AF93</f>
        <v>-0.15703003019569201</v>
      </c>
      <c r="AK93" s="1">
        <f t="shared" si="11"/>
        <v>47483</v>
      </c>
      <c r="AL93">
        <f t="shared" si="12"/>
        <v>-1.3542725236769998E-2</v>
      </c>
      <c r="AM93">
        <f t="shared" si="13"/>
        <v>7.11414501023131E-13</v>
      </c>
      <c r="AN93">
        <f t="shared" si="14"/>
        <v>-2.1719847097683001E-2</v>
      </c>
      <c r="AO93">
        <f t="shared" si="15"/>
        <v>-2.0967029032427004E-7</v>
      </c>
      <c r="AP93">
        <f t="shared" si="16"/>
        <v>-0.22080287727429349</v>
      </c>
      <c r="AQ93">
        <f t="shared" si="17"/>
        <v>3.2870954928199601E-2</v>
      </c>
      <c r="AR93">
        <f t="shared" si="18"/>
        <v>-1.4114181630483003E-2</v>
      </c>
      <c r="AS93">
        <f t="shared" si="19"/>
        <v>9.891191171531459E-2</v>
      </c>
      <c r="AT93">
        <f t="shared" si="20"/>
        <v>-1.8633055930397824E-2</v>
      </c>
    </row>
    <row r="94" spans="1:46" x14ac:dyDescent="0.25">
      <c r="A94" s="1">
        <v>47573</v>
      </c>
      <c r="B94">
        <f>wFG!B94-woFG!B94</f>
        <v>-1.3378786208952997E-2</v>
      </c>
      <c r="C94">
        <f>wFG!C94-woFG!C94</f>
        <v>3.6875590357461406E-13</v>
      </c>
      <c r="D94">
        <f>wFG!D94-woFG!D94</f>
        <v>-2.1502648626706991E-2</v>
      </c>
      <c r="E94">
        <f>wFG!E94-woFG!E94</f>
        <v>-1.4605441029143701E-7</v>
      </c>
      <c r="F94">
        <f>wFG!F94-woFG!F94</f>
        <v>-0.21859484850154992</v>
      </c>
      <c r="G94">
        <f>wFG!G94-woFG!G94</f>
        <v>3.2421922024783001E-2</v>
      </c>
      <c r="H94">
        <f>wFG!H94-woFG!H94</f>
        <v>-1.3394051539801999E-2</v>
      </c>
      <c r="I94">
        <f>wFG!I94-woFG!I94</f>
        <v>1.0434429489349949E-16</v>
      </c>
      <c r="J94">
        <f>wFG!J94-woFG!J94</f>
        <v>-1.6341331447190975E-15</v>
      </c>
      <c r="K94">
        <f>wFG!K94-woFG!K94</f>
        <v>-3.2327798855464531E-15</v>
      </c>
      <c r="L94">
        <f>wFG!L94-woFG!L94</f>
        <v>-1.56976708307629E-2</v>
      </c>
      <c r="M94">
        <f>wFG!M94-woFG!M94</f>
        <v>0</v>
      </c>
      <c r="N94">
        <f>wFG!N94-woFG!N94</f>
        <v>0</v>
      </c>
      <c r="O94">
        <f>wFG!O94-woFG!O94</f>
        <v>1.92485189177403E-14</v>
      </c>
      <c r="P94">
        <f>wFG!P94-woFG!P94</f>
        <v>0</v>
      </c>
      <c r="Q94">
        <f>wFG!Q94-woFG!Q94</f>
        <v>9.8101900652351484E-2</v>
      </c>
      <c r="R94">
        <f>wFG!R94-woFG!R94</f>
        <v>0</v>
      </c>
      <c r="S94">
        <f>wFG!S94-woFG!S94</f>
        <v>0</v>
      </c>
      <c r="T94">
        <f>wFG!T94-woFG!T94</f>
        <v>0</v>
      </c>
      <c r="U94">
        <f>wFG!U94-woFG!U94</f>
        <v>0</v>
      </c>
      <c r="V94">
        <f>wFG!V94-woFG!V94</f>
        <v>0</v>
      </c>
      <c r="W94">
        <f>wFG!W94-woFG!W94</f>
        <v>0</v>
      </c>
      <c r="X94">
        <f>wFG!X94-woFG!X94</f>
        <v>0</v>
      </c>
      <c r="Y94">
        <f>wFG!Y94-woFG!Y94</f>
        <v>1.037571584875721E-15</v>
      </c>
      <c r="Z94">
        <f>wFG!Z94-woFG!Z94</f>
        <v>-1.7692485199043151E-15</v>
      </c>
      <c r="AA94">
        <f>wFG!AA94-woFG!AA94</f>
        <v>8.3059433218882017E-16</v>
      </c>
      <c r="AB94">
        <f>wFG!AB94-woFG!AB94</f>
        <v>-1.2414591112615988E-16</v>
      </c>
      <c r="AC94">
        <f>wFG!AC94-woFG!AC94</f>
        <v>2.6816074601528121E-15</v>
      </c>
      <c r="AD94">
        <f>wFG!AD94-woFG!AD94</f>
        <v>7.4526116248980901E-15</v>
      </c>
      <c r="AE94">
        <f>wFG!AE94-woFG!AE94</f>
        <v>-2.6205183116315006E-3</v>
      </c>
      <c r="AF94">
        <f>wFG!AF94-woFG!AF94</f>
        <v>-0.15466484739628894</v>
      </c>
      <c r="AK94" s="1">
        <f t="shared" si="11"/>
        <v>47573</v>
      </c>
      <c r="AL94">
        <f t="shared" si="12"/>
        <v>-1.3378786208952997E-2</v>
      </c>
      <c r="AM94">
        <f t="shared" si="13"/>
        <v>3.6875590357461406E-13</v>
      </c>
      <c r="AN94">
        <f t="shared" si="14"/>
        <v>-2.1502648626706991E-2</v>
      </c>
      <c r="AO94">
        <f t="shared" si="15"/>
        <v>-1.4605441029143701E-7</v>
      </c>
      <c r="AP94">
        <f t="shared" si="16"/>
        <v>-0.21859484850154992</v>
      </c>
      <c r="AQ94">
        <f t="shared" si="17"/>
        <v>3.2421922024783001E-2</v>
      </c>
      <c r="AR94">
        <f t="shared" si="18"/>
        <v>-1.3394051539801999E-2</v>
      </c>
      <c r="AS94">
        <f t="shared" si="19"/>
        <v>9.8101900652351484E-2</v>
      </c>
      <c r="AT94">
        <f t="shared" si="20"/>
        <v>-1.8318189142369989E-2</v>
      </c>
    </row>
    <row r="95" spans="1:46" x14ac:dyDescent="0.25">
      <c r="A95" s="1">
        <v>47664</v>
      </c>
      <c r="B95">
        <f>wFG!B95-woFG!B95</f>
        <v>-1.3216992764779001E-2</v>
      </c>
      <c r="C95">
        <f>wFG!C95-woFG!C95</f>
        <v>1.9088211608653702E-13</v>
      </c>
      <c r="D95">
        <f>wFG!D95-woFG!D95</f>
        <v>-2.1287622140439999E-2</v>
      </c>
      <c r="E95">
        <f>wFG!E95-woFG!E95</f>
        <v>-1.0174016974496001E-7</v>
      </c>
      <c r="F95">
        <f>wFG!F95-woFG!F95</f>
        <v>-0.2164089000165344</v>
      </c>
      <c r="G95">
        <f>wFG!G95-woFG!G95</f>
        <v>3.19769831294381E-2</v>
      </c>
      <c r="H95">
        <f>wFG!H95-woFG!H95</f>
        <v>-1.2709072078411987E-2</v>
      </c>
      <c r="I95">
        <f>wFG!I95-woFG!I95</f>
        <v>1.0231420312139867E-16</v>
      </c>
      <c r="J95">
        <f>wFG!J95-woFG!J95</f>
        <v>-1.6515588972273036E-15</v>
      </c>
      <c r="K95">
        <f>wFG!K95-woFG!K95</f>
        <v>-3.1747551565342442E-15</v>
      </c>
      <c r="L95">
        <f>wFG!L95-woFG!L95</f>
        <v>-1.5408474556250107E-2</v>
      </c>
      <c r="M95">
        <f>wFG!M95-woFG!M95</f>
        <v>0</v>
      </c>
      <c r="N95">
        <f>wFG!N95-woFG!N95</f>
        <v>0</v>
      </c>
      <c r="O95">
        <f>wFG!O95-woFG!O95</f>
        <v>1.9332935952512801E-14</v>
      </c>
      <c r="P95">
        <f>wFG!P95-woFG!P95</f>
        <v>0</v>
      </c>
      <c r="Q95">
        <f>wFG!Q95-woFG!Q95</f>
        <v>9.7292338941623618E-2</v>
      </c>
      <c r="R95">
        <f>wFG!R95-woFG!R95</f>
        <v>0</v>
      </c>
      <c r="S95">
        <f>wFG!S95-woFG!S95</f>
        <v>0</v>
      </c>
      <c r="T95">
        <f>wFG!T95-woFG!T95</f>
        <v>0</v>
      </c>
      <c r="U95">
        <f>wFG!U95-woFG!U95</f>
        <v>0</v>
      </c>
      <c r="V95">
        <f>wFG!V95-woFG!V95</f>
        <v>0</v>
      </c>
      <c r="W95">
        <f>wFG!W95-woFG!W95</f>
        <v>0</v>
      </c>
      <c r="X95">
        <f>wFG!X95-woFG!X95</f>
        <v>0</v>
      </c>
      <c r="Y95">
        <f>wFG!Y95-woFG!Y95</f>
        <v>1.0222980534404279E-15</v>
      </c>
      <c r="Z95">
        <f>wFG!Z95-woFG!Z95</f>
        <v>-1.745612286567351E-15</v>
      </c>
      <c r="AA95">
        <f>wFG!AA95-woFG!AA95</f>
        <v>8.2127644103989997E-16</v>
      </c>
      <c r="AB95">
        <f>wFG!AB95-woFG!AB95</f>
        <v>-1.2162948741684998E-16</v>
      </c>
      <c r="AC95">
        <f>wFG!AC95-woFG!AC95</f>
        <v>2.650258815224145E-15</v>
      </c>
      <c r="AD95">
        <f>wFG!AD95-woFG!AD95</f>
        <v>7.3652066075982604E-15</v>
      </c>
      <c r="AE95">
        <f>wFG!AE95-woFG!AE95</f>
        <v>-2.5940223815789989E-3</v>
      </c>
      <c r="AF95">
        <f>wFG!AF95-woFG!AF95</f>
        <v>-0.15235586360688796</v>
      </c>
      <c r="AK95" s="1">
        <f t="shared" si="11"/>
        <v>47664</v>
      </c>
      <c r="AL95">
        <f t="shared" si="12"/>
        <v>-1.3216992764779001E-2</v>
      </c>
      <c r="AM95">
        <f t="shared" si="13"/>
        <v>1.9088211608653702E-13</v>
      </c>
      <c r="AN95">
        <f t="shared" si="14"/>
        <v>-2.1287622140439999E-2</v>
      </c>
      <c r="AO95">
        <f t="shared" si="15"/>
        <v>-1.0174016974496001E-7</v>
      </c>
      <c r="AP95">
        <f t="shared" si="16"/>
        <v>-0.2164089000165344</v>
      </c>
      <c r="AQ95">
        <f t="shared" si="17"/>
        <v>3.19769831294381E-2</v>
      </c>
      <c r="AR95">
        <f t="shared" si="18"/>
        <v>-1.2709072078411987E-2</v>
      </c>
      <c r="AS95">
        <f t="shared" si="19"/>
        <v>9.7292338941623618E-2</v>
      </c>
      <c r="AT95">
        <f t="shared" si="20"/>
        <v>-1.8002496937805396E-2</v>
      </c>
    </row>
    <row r="96" spans="1:46" x14ac:dyDescent="0.25">
      <c r="A96" s="1">
        <v>47756</v>
      </c>
      <c r="B96">
        <f>wFG!B96-woFG!B96</f>
        <v>-1.3057315781064005E-2</v>
      </c>
      <c r="C96">
        <f>wFG!C96-woFG!C96</f>
        <v>9.85486070930715E-14</v>
      </c>
      <c r="D96">
        <f>wFG!D96-woFG!D96</f>
        <v>-2.1074745919034993E-2</v>
      </c>
      <c r="E96">
        <f>wFG!E96-woFG!E96</f>
        <v>-7.0871274832472015E-8</v>
      </c>
      <c r="F96">
        <f>wFG!F96-woFG!F96</f>
        <v>-0.21424481101636969</v>
      </c>
      <c r="G96">
        <f>wFG!G96-woFG!G96</f>
        <v>3.1535963490484098E-2</v>
      </c>
      <c r="H96">
        <f>wFG!H96-woFG!H96</f>
        <v>-1.2057731983305009E-2</v>
      </c>
      <c r="I96">
        <f>wFG!I96-woFG!I96</f>
        <v>1.0025882382070106E-16</v>
      </c>
      <c r="J96">
        <f>wFG!J96-woFG!J96</f>
        <v>-1.6679904748132991E-15</v>
      </c>
      <c r="K96">
        <f>wFG!K96-woFG!K96</f>
        <v>-3.11873660038546E-15</v>
      </c>
      <c r="L96">
        <f>wFG!L96-woFG!L96</f>
        <v>-1.5119106323217196E-2</v>
      </c>
      <c r="M96">
        <f>wFG!M96-woFG!M96</f>
        <v>0</v>
      </c>
      <c r="N96">
        <f>wFG!N96-woFG!N96</f>
        <v>0</v>
      </c>
      <c r="O96">
        <f>wFG!O96-woFG!O96</f>
        <v>1.9412758782781298E-14</v>
      </c>
      <c r="P96">
        <f>wFG!P96-woFG!P96</f>
        <v>0</v>
      </c>
      <c r="Q96">
        <f>wFG!Q96-woFG!Q96</f>
        <v>9.6483846764140305E-2</v>
      </c>
      <c r="R96">
        <f>wFG!R96-woFG!R96</f>
        <v>0</v>
      </c>
      <c r="S96">
        <f>wFG!S96-woFG!S96</f>
        <v>0</v>
      </c>
      <c r="T96">
        <f>wFG!T96-woFG!T96</f>
        <v>0</v>
      </c>
      <c r="U96">
        <f>wFG!U96-woFG!U96</f>
        <v>0</v>
      </c>
      <c r="V96">
        <f>wFG!V96-woFG!V96</f>
        <v>0</v>
      </c>
      <c r="W96">
        <f>wFG!W96-woFG!W96</f>
        <v>0</v>
      </c>
      <c r="X96">
        <f>wFG!X96-woFG!X96</f>
        <v>0</v>
      </c>
      <c r="Y96">
        <f>wFG!Y96-woFG!Y96</f>
        <v>1.0073278456796551E-15</v>
      </c>
      <c r="Z96">
        <f>wFG!Z96-woFG!Z96</f>
        <v>-1.722107285332846E-15</v>
      </c>
      <c r="AA96">
        <f>wFG!AA96-woFG!AA96</f>
        <v>8.1217726026534995E-16</v>
      </c>
      <c r="AB96">
        <f>wFG!AB96-woFG!AB96</f>
        <v>-1.1900878818137994E-16</v>
      </c>
      <c r="AC96">
        <f>wFG!AC96-woFG!AC96</f>
        <v>2.619448532144945E-15</v>
      </c>
      <c r="AD96">
        <f>wFG!AD96-woFG!AD96</f>
        <v>7.2788599184828013E-15</v>
      </c>
      <c r="AE96">
        <f>wFG!AE96-woFG!AE96</f>
        <v>-2.5678038475528998E-3</v>
      </c>
      <c r="AF96">
        <f>wFG!AF96-woFG!AF96</f>
        <v>-0.15010177548707004</v>
      </c>
      <c r="AK96" s="1">
        <f t="shared" si="11"/>
        <v>47756</v>
      </c>
      <c r="AL96">
        <f t="shared" si="12"/>
        <v>-1.3057315781064005E-2</v>
      </c>
      <c r="AM96">
        <f t="shared" si="13"/>
        <v>9.85486070930715E-14</v>
      </c>
      <c r="AN96">
        <f t="shared" si="14"/>
        <v>-2.1074745919034993E-2</v>
      </c>
      <c r="AO96">
        <f t="shared" si="15"/>
        <v>-7.0871274832472015E-8</v>
      </c>
      <c r="AP96">
        <f t="shared" si="16"/>
        <v>-0.21424481101636969</v>
      </c>
      <c r="AQ96">
        <f t="shared" si="17"/>
        <v>3.1535963490484098E-2</v>
      </c>
      <c r="AR96">
        <f t="shared" si="18"/>
        <v>-1.2057731983305009E-2</v>
      </c>
      <c r="AS96">
        <f t="shared" si="19"/>
        <v>9.6483846764140305E-2</v>
      </c>
      <c r="AT96">
        <f t="shared" si="20"/>
        <v>-1.7686910170744474E-2</v>
      </c>
    </row>
    <row r="97" spans="1:46" x14ac:dyDescent="0.25">
      <c r="A97" s="1">
        <v>47848</v>
      </c>
      <c r="B97">
        <f>wFG!B97-woFG!B97</f>
        <v>-1.2899726246368981E-2</v>
      </c>
      <c r="C97">
        <f>wFG!C97-woFG!C97</f>
        <v>5.0619354716058699E-14</v>
      </c>
      <c r="D97">
        <f>wFG!D97-woFG!D97</f>
        <v>-2.0863998459844296E-2</v>
      </c>
      <c r="E97">
        <f>wFG!E97-woFG!E97</f>
        <v>-4.9368284787501493E-8</v>
      </c>
      <c r="F97">
        <f>wFG!F97-woFG!F97</f>
        <v>-0.2121023629062056</v>
      </c>
      <c r="G97">
        <f>wFG!G97-woFG!G97</f>
        <v>3.1098734275501302E-2</v>
      </c>
      <c r="H97">
        <f>wFG!H97-woFG!H97</f>
        <v>-1.1438554925197991E-2</v>
      </c>
      <c r="I97">
        <f>wFG!I97-woFG!I97</f>
        <v>9.8185079362000285E-17</v>
      </c>
      <c r="J97">
        <f>wFG!J97-woFG!J97</f>
        <v>-1.6834613314966006E-15</v>
      </c>
      <c r="K97">
        <f>wFG!K97-woFG!K97</f>
        <v>-3.06462923733046E-15</v>
      </c>
      <c r="L97">
        <f>wFG!L97-woFG!L97</f>
        <v>-1.4830373887357799E-2</v>
      </c>
      <c r="M97">
        <f>wFG!M97-woFG!M97</f>
        <v>0</v>
      </c>
      <c r="N97">
        <f>wFG!N97-woFG!N97</f>
        <v>0</v>
      </c>
      <c r="O97">
        <f>wFG!O97-woFG!O97</f>
        <v>1.9488087937386107E-14</v>
      </c>
      <c r="P97">
        <f>wFG!P97-woFG!P97</f>
        <v>0</v>
      </c>
      <c r="Q97">
        <f>wFG!Q97-woFG!Q97</f>
        <v>9.5676962447730093E-2</v>
      </c>
      <c r="R97">
        <f>wFG!R97-woFG!R97</f>
        <v>0</v>
      </c>
      <c r="S97">
        <f>wFG!S97-woFG!S97</f>
        <v>0</v>
      </c>
      <c r="T97">
        <f>wFG!T97-woFG!T97</f>
        <v>0</v>
      </c>
      <c r="U97">
        <f>wFG!U97-woFG!U97</f>
        <v>0</v>
      </c>
      <c r="V97">
        <f>wFG!V97-woFG!V97</f>
        <v>0</v>
      </c>
      <c r="W97">
        <f>wFG!W97-woFG!W97</f>
        <v>0</v>
      </c>
      <c r="X97">
        <f>wFG!X97-woFG!X97</f>
        <v>0</v>
      </c>
      <c r="Y97">
        <f>wFG!Y97-woFG!Y97</f>
        <v>9.9266222764775585E-16</v>
      </c>
      <c r="Z97">
        <f>wFG!Z97-woFG!Z97</f>
        <v>-1.698791874455285E-15</v>
      </c>
      <c r="AA97">
        <f>wFG!AA97-woFG!AA97</f>
        <v>8.0327543215136997E-16</v>
      </c>
      <c r="AB97">
        <f>wFG!AB97-woFG!AB97</f>
        <v>-1.1632015293183494E-16</v>
      </c>
      <c r="AC97">
        <f>wFG!AC97-woFG!AC97</f>
        <v>2.5891691288914721E-15</v>
      </c>
      <c r="AD97">
        <f>wFG!AD97-woFG!AD97</f>
        <v>7.1936218447298901E-15</v>
      </c>
      <c r="AE97">
        <f>wFG!AE97-woFG!AE97</f>
        <v>-2.5418596723785006E-3</v>
      </c>
      <c r="AF97">
        <f>wFG!AF97-woFG!AF97</f>
        <v>-0.14790122874233103</v>
      </c>
      <c r="AK97" s="1">
        <f t="shared" si="11"/>
        <v>47848</v>
      </c>
      <c r="AL97">
        <f t="shared" si="12"/>
        <v>-1.2899726246368981E-2</v>
      </c>
      <c r="AM97">
        <f t="shared" si="13"/>
        <v>5.0619354716058699E-14</v>
      </c>
      <c r="AN97">
        <f t="shared" si="14"/>
        <v>-2.0863998459844296E-2</v>
      </c>
      <c r="AO97">
        <f t="shared" si="15"/>
        <v>-4.9368284787501493E-8</v>
      </c>
      <c r="AP97">
        <f t="shared" si="16"/>
        <v>-0.2121023629062056</v>
      </c>
      <c r="AQ97">
        <f t="shared" si="17"/>
        <v>3.1098734275501302E-2</v>
      </c>
      <c r="AR97">
        <f t="shared" si="18"/>
        <v>-1.1438554925197991E-2</v>
      </c>
      <c r="AS97">
        <f t="shared" si="19"/>
        <v>9.5676962447730093E-2</v>
      </c>
      <c r="AT97">
        <f t="shared" si="20"/>
        <v>-1.7372233559711403E-2</v>
      </c>
    </row>
    <row r="98" spans="1:46" x14ac:dyDescent="0.25">
      <c r="A98" s="1">
        <v>47938</v>
      </c>
      <c r="B98">
        <f>wFG!B98-woFG!B98</f>
        <v>-1.2744195309567996E-2</v>
      </c>
      <c r="C98">
        <f>wFG!C98-woFG!C98</f>
        <v>2.5740551211096201E-14</v>
      </c>
      <c r="D98">
        <f>wFG!D98-woFG!D98</f>
        <v>-2.0655358475245605E-2</v>
      </c>
      <c r="E98">
        <f>wFG!E98-woFG!E98</f>
        <v>-3.4389498461394991E-8</v>
      </c>
      <c r="F98">
        <f>wFG!F98-woFG!F98</f>
        <v>-0.20998133927714399</v>
      </c>
      <c r="G98">
        <f>wFG!G98-woFG!G98</f>
        <v>3.0665203369708603E-2</v>
      </c>
      <c r="H98">
        <f>wFG!H98-woFG!H98</f>
        <v>-1.0850103550370402E-2</v>
      </c>
      <c r="I98">
        <f>wFG!I98-woFG!I98</f>
        <v>9.6099690528499908E-17</v>
      </c>
      <c r="J98">
        <f>wFG!J98-woFG!J98</f>
        <v>-1.6980045889618996E-15</v>
      </c>
      <c r="K98">
        <f>wFG!K98-woFG!K98</f>
        <v>-3.0123369627749899E-15</v>
      </c>
      <c r="L98">
        <f>wFG!L98-woFG!L98</f>
        <v>-1.4542973530958604E-2</v>
      </c>
      <c r="M98">
        <f>wFG!M98-woFG!M98</f>
        <v>0</v>
      </c>
      <c r="N98">
        <f>wFG!N98-woFG!N98</f>
        <v>0</v>
      </c>
      <c r="O98">
        <f>wFG!O98-woFG!O98</f>
        <v>1.955902410101959E-14</v>
      </c>
      <c r="P98">
        <f>wFG!P98-woFG!P98</f>
        <v>0</v>
      </c>
      <c r="Q98">
        <f>wFG!Q98-woFG!Q98</f>
        <v>9.4872153994741401E-2</v>
      </c>
      <c r="R98">
        <f>wFG!R98-woFG!R98</f>
        <v>0</v>
      </c>
      <c r="S98">
        <f>wFG!S98-woFG!S98</f>
        <v>0</v>
      </c>
      <c r="T98">
        <f>wFG!T98-woFG!T98</f>
        <v>0</v>
      </c>
      <c r="U98">
        <f>wFG!U98-woFG!U98</f>
        <v>0</v>
      </c>
      <c r="V98">
        <f>wFG!V98-woFG!V98</f>
        <v>0</v>
      </c>
      <c r="W98">
        <f>wFG!W98-woFG!W98</f>
        <v>0</v>
      </c>
      <c r="X98">
        <f>wFG!X98-woFG!X98</f>
        <v>0</v>
      </c>
      <c r="Y98">
        <f>wFG!Y98-woFG!Y98</f>
        <v>9.7830097594915681E-16</v>
      </c>
      <c r="Z98">
        <f>wFG!Z98-woFG!Z98</f>
        <v>-1.675715976136978E-15</v>
      </c>
      <c r="AA98">
        <f>wFG!AA98-woFG!AA98</f>
        <v>7.9455230985049986E-16</v>
      </c>
      <c r="AB98">
        <f>wFG!AB98-woFG!AB98</f>
        <v>-1.1359496359843382E-16</v>
      </c>
      <c r="AC98">
        <f>wFG!AC98-woFG!AC98</f>
        <v>2.559411476479317E-15</v>
      </c>
      <c r="AD98">
        <f>wFG!AD98-woFG!AD98</f>
        <v>7.1095321341340601E-15</v>
      </c>
      <c r="AE98">
        <f>wFG!AE98-woFG!AE98</f>
        <v>-2.5161868543980004E-3</v>
      </c>
      <c r="AF98">
        <f>wFG!AF98-woFG!AF98</f>
        <v>-0.14575283402268396</v>
      </c>
      <c r="AK98" s="1">
        <f t="shared" si="11"/>
        <v>47938</v>
      </c>
      <c r="AL98">
        <f t="shared" si="12"/>
        <v>-1.2744195309567996E-2</v>
      </c>
      <c r="AM98">
        <f t="shared" si="13"/>
        <v>2.5740551211096201E-14</v>
      </c>
      <c r="AN98">
        <f t="shared" si="14"/>
        <v>-2.0655358475245605E-2</v>
      </c>
      <c r="AO98">
        <f t="shared" si="15"/>
        <v>-3.4389498461394991E-8</v>
      </c>
      <c r="AP98">
        <f t="shared" si="16"/>
        <v>-0.20998133927714399</v>
      </c>
      <c r="AQ98">
        <f t="shared" si="17"/>
        <v>3.0665203369708603E-2</v>
      </c>
      <c r="AR98">
        <f t="shared" si="18"/>
        <v>-1.0850103550370402E-2</v>
      </c>
      <c r="AS98">
        <f t="shared" si="19"/>
        <v>9.4872153994741401E-2</v>
      </c>
      <c r="AT98">
        <f t="shared" si="20"/>
        <v>-1.7059160385333283E-2</v>
      </c>
    </row>
    <row r="99" spans="1:46" x14ac:dyDescent="0.25">
      <c r="A99" s="1">
        <v>48029</v>
      </c>
      <c r="B99">
        <f>wFG!B99-woFG!B99</f>
        <v>-1.2590694320448015E-2</v>
      </c>
      <c r="C99">
        <f>wFG!C99-woFG!C99</f>
        <v>1.282738136934218E-14</v>
      </c>
      <c r="D99">
        <f>wFG!D99-woFG!D99</f>
        <v>-2.0448804890493305E-2</v>
      </c>
      <c r="E99">
        <f>wFG!E99-woFG!E99</f>
        <v>-2.3955412809371193E-8</v>
      </c>
      <c r="F99">
        <f>wFG!F99-woFG!F99</f>
        <v>-0.20788152588437242</v>
      </c>
      <c r="G99">
        <f>wFG!G99-woFG!G99</f>
        <v>3.02353079092515E-2</v>
      </c>
      <c r="H99">
        <f>wFG!H99-woFG!H99</f>
        <v>-1.0290982522970907E-2</v>
      </c>
      <c r="I99">
        <f>wFG!I99-woFG!I99</f>
        <v>9.4009103753799634E-17</v>
      </c>
      <c r="J99">
        <f>wFG!J99-woFG!J99</f>
        <v>-1.7116528258138059E-15</v>
      </c>
      <c r="K99">
        <f>wFG!K99-woFG!K99</f>
        <v>-2.961764086026201E-15</v>
      </c>
      <c r="L99">
        <f>wFG!L99-woFG!L99</f>
        <v>-1.4257503140759603E-2</v>
      </c>
      <c r="M99">
        <f>wFG!M99-woFG!M99</f>
        <v>0</v>
      </c>
      <c r="N99">
        <f>wFG!N99-woFG!N99</f>
        <v>0</v>
      </c>
      <c r="O99">
        <f>wFG!O99-woFG!O99</f>
        <v>1.9625667738552107E-14</v>
      </c>
      <c r="P99">
        <f>wFG!P99-woFG!P99</f>
        <v>0</v>
      </c>
      <c r="Q99">
        <f>wFG!Q99-woFG!Q99</f>
        <v>9.4069828836661609E-2</v>
      </c>
      <c r="R99">
        <f>wFG!R99-woFG!R99</f>
        <v>0</v>
      </c>
      <c r="S99">
        <f>wFG!S99-woFG!S99</f>
        <v>0</v>
      </c>
      <c r="T99">
        <f>wFG!T99-woFG!T99</f>
        <v>0</v>
      </c>
      <c r="U99">
        <f>wFG!U99-woFG!U99</f>
        <v>0</v>
      </c>
      <c r="V99">
        <f>wFG!V99-woFG!V99</f>
        <v>0</v>
      </c>
      <c r="W99">
        <f>wFG!W99-woFG!W99</f>
        <v>0</v>
      </c>
      <c r="X99">
        <f>wFG!X99-woFG!X99</f>
        <v>0</v>
      </c>
      <c r="Y99">
        <f>wFG!Y99-woFG!Y99</f>
        <v>9.6424253702519902E-16</v>
      </c>
      <c r="Z99">
        <f>wFG!Z99-woFG!Z99</f>
        <v>-1.652921652727269E-15</v>
      </c>
      <c r="AA99">
        <f>wFG!AA99-woFG!AA99</f>
        <v>7.8599169796263997E-16</v>
      </c>
      <c r="AB99">
        <f>wFG!AB99-woFG!AB99</f>
        <v>-1.1086002625600598E-16</v>
      </c>
      <c r="AC99">
        <f>wFG!AC99-woFG!AC99</f>
        <v>2.5301651343270621E-15</v>
      </c>
      <c r="AD99">
        <f>wFG!AD99-woFG!AD99</f>
        <v>7.0266208867718806E-15</v>
      </c>
      <c r="AE99">
        <f>wFG!AE99-woFG!AE99</f>
        <v>-2.4907824270159994E-3</v>
      </c>
      <c r="AF99">
        <f>wFG!AF99-woFG!AF99</f>
        <v>-0.143655180395524</v>
      </c>
      <c r="AK99" s="1">
        <f t="shared" si="11"/>
        <v>48029</v>
      </c>
      <c r="AL99">
        <f t="shared" si="12"/>
        <v>-1.2590694320448015E-2</v>
      </c>
      <c r="AM99">
        <f t="shared" si="13"/>
        <v>1.282738136934218E-14</v>
      </c>
      <c r="AN99">
        <f t="shared" si="14"/>
        <v>-2.0448804890493305E-2</v>
      </c>
      <c r="AO99">
        <f t="shared" si="15"/>
        <v>-2.3955412809371193E-8</v>
      </c>
      <c r="AP99">
        <f t="shared" si="16"/>
        <v>-0.20788152588437242</v>
      </c>
      <c r="AQ99">
        <f t="shared" si="17"/>
        <v>3.02353079092515E-2</v>
      </c>
      <c r="AR99">
        <f t="shared" si="18"/>
        <v>-1.0290982522970907E-2</v>
      </c>
      <c r="AS99">
        <f t="shared" si="19"/>
        <v>9.4069828836661609E-2</v>
      </c>
      <c r="AT99">
        <f t="shared" si="20"/>
        <v>-1.6748285567752486E-2</v>
      </c>
    </row>
    <row r="100" spans="1:46" x14ac:dyDescent="0.25">
      <c r="A100" s="1">
        <v>48121</v>
      </c>
      <c r="B100">
        <f>wFG!B100-woFG!B100</f>
        <v>-1.2439194863544001E-2</v>
      </c>
      <c r="C100">
        <f>wFG!C100-woFG!C100</f>
        <v>6.1256875755576E-15</v>
      </c>
      <c r="D100">
        <f>wFG!D100-woFG!D100</f>
        <v>-2.0244316841587812E-2</v>
      </c>
      <c r="E100">
        <f>wFG!E100-woFG!E100</f>
        <v>-1.6687124104645401E-8</v>
      </c>
      <c r="F100">
        <f>wFG!F100-woFG!F100</f>
        <v>-0.20580271062552902</v>
      </c>
      <c r="G100">
        <f>wFG!G100-woFG!G100</f>
        <v>2.9809008218461198E-2</v>
      </c>
      <c r="H100">
        <f>wFG!H100-woFG!H100</f>
        <v>-9.759840729960001E-3</v>
      </c>
      <c r="I100">
        <f>wFG!I100-woFG!I100</f>
        <v>9.1919430771399693E-17</v>
      </c>
      <c r="J100">
        <f>wFG!J100-woFG!J100</f>
        <v>-1.7244379110596E-15</v>
      </c>
      <c r="K100">
        <f>wFG!K100-woFG!K100</f>
        <v>-2.9128165612674779E-15</v>
      </c>
      <c r="L100">
        <f>wFG!L100-woFG!L100</f>
        <v>-1.39744738325377E-2</v>
      </c>
      <c r="M100">
        <f>wFG!M100-woFG!M100</f>
        <v>0</v>
      </c>
      <c r="N100">
        <f>wFG!N100-woFG!N100</f>
        <v>0</v>
      </c>
      <c r="O100">
        <f>wFG!O100-woFG!O100</f>
        <v>1.968811876768201E-14</v>
      </c>
      <c r="P100">
        <f>wFG!P100-woFG!P100</f>
        <v>0</v>
      </c>
      <c r="Q100">
        <f>wFG!Q100-woFG!Q100</f>
        <v>9.3270342109485205E-2</v>
      </c>
      <c r="R100">
        <f>wFG!R100-woFG!R100</f>
        <v>0</v>
      </c>
      <c r="S100">
        <f>wFG!S100-woFG!S100</f>
        <v>0</v>
      </c>
      <c r="T100">
        <f>wFG!T100-woFG!T100</f>
        <v>0</v>
      </c>
      <c r="U100">
        <f>wFG!U100-woFG!U100</f>
        <v>0</v>
      </c>
      <c r="V100">
        <f>wFG!V100-woFG!V100</f>
        <v>0</v>
      </c>
      <c r="W100">
        <f>wFG!W100-woFG!W100</f>
        <v>0</v>
      </c>
      <c r="X100">
        <f>wFG!X100-woFG!X100</f>
        <v>0</v>
      </c>
      <c r="Y100">
        <f>wFG!Y100-woFG!Y100</f>
        <v>9.5048418261499507E-16</v>
      </c>
      <c r="Z100">
        <f>wFG!Z100-woFG!Z100</f>
        <v>-1.6304437212176019E-15</v>
      </c>
      <c r="AA100">
        <f>wFG!AA100-woFG!AA100</f>
        <v>7.7757959785697019E-16</v>
      </c>
      <c r="AB100">
        <f>wFG!AB100-woFG!AB100</f>
        <v>-1.0813796587409988E-16</v>
      </c>
      <c r="AC100">
        <f>wFG!AC100-woFG!AC100</f>
        <v>2.5014186451542781E-15</v>
      </c>
      <c r="AD100">
        <f>wFG!AD100-woFG!AD100</f>
        <v>6.9449094560004795E-15</v>
      </c>
      <c r="AE100">
        <f>wFG!AE100-woFG!AE100</f>
        <v>-2.4656434582531993E-3</v>
      </c>
      <c r="AF100">
        <f>wFG!AF100-woFG!AF100</f>
        <v>-0.14160684671055801</v>
      </c>
      <c r="AK100" s="1">
        <f t="shared" si="11"/>
        <v>48121</v>
      </c>
      <c r="AL100">
        <f t="shared" si="12"/>
        <v>-1.2439194863544001E-2</v>
      </c>
      <c r="AM100">
        <f t="shared" si="13"/>
        <v>6.1256875755576E-15</v>
      </c>
      <c r="AN100">
        <f t="shared" si="14"/>
        <v>-2.0244316841587812E-2</v>
      </c>
      <c r="AO100">
        <f t="shared" si="15"/>
        <v>-1.6687124104645401E-8</v>
      </c>
      <c r="AP100">
        <f t="shared" si="16"/>
        <v>-0.20580271062552902</v>
      </c>
      <c r="AQ100">
        <f t="shared" si="17"/>
        <v>2.9809008218461198E-2</v>
      </c>
      <c r="AR100">
        <f t="shared" si="18"/>
        <v>-9.759840729960001E-3</v>
      </c>
      <c r="AS100">
        <f t="shared" si="19"/>
        <v>9.3270342109485205E-2</v>
      </c>
      <c r="AT100">
        <f t="shared" si="20"/>
        <v>-1.6440117290765582E-2</v>
      </c>
    </row>
    <row r="101" spans="1:46" x14ac:dyDescent="0.25">
      <c r="A101" s="1">
        <v>48213</v>
      </c>
      <c r="B101">
        <f>wFG!B101-woFG!B101</f>
        <v>-1.2289668786213015E-2</v>
      </c>
      <c r="C101">
        <f>wFG!C101-woFG!C101</f>
        <v>2.6484689176906701E-15</v>
      </c>
      <c r="D101">
        <f>wFG!D101-woFG!D101</f>
        <v>-2.0041873673172894E-2</v>
      </c>
      <c r="E101">
        <f>wFG!E101-woFG!E101</f>
        <v>-1.1624100615404602E-8</v>
      </c>
      <c r="F101">
        <f>wFG!F101-woFG!F101</f>
        <v>-0.2037446835192735</v>
      </c>
      <c r="G101">
        <f>wFG!G101-woFG!G101</f>
        <v>2.9386282884490501E-2</v>
      </c>
      <c r="H101">
        <f>wFG!H101-woFG!H101</f>
        <v>-9.2553727861307E-3</v>
      </c>
      <c r="I101">
        <f>wFG!I101-woFG!I101</f>
        <v>8.9836400760899488E-17</v>
      </c>
      <c r="J101">
        <f>wFG!J101-woFG!J101</f>
        <v>-1.7363908763002049E-15</v>
      </c>
      <c r="K101">
        <f>wFG!K101-woFG!K101</f>
        <v>-2.8654029503547963E-15</v>
      </c>
      <c r="L101">
        <f>wFG!L101-woFG!L101</f>
        <v>-1.3694320274531102E-2</v>
      </c>
      <c r="M101">
        <f>wFG!M101-woFG!M101</f>
        <v>0</v>
      </c>
      <c r="N101">
        <f>wFG!N101-woFG!N101</f>
        <v>0</v>
      </c>
      <c r="O101">
        <f>wFG!O101-woFG!O101</f>
        <v>1.9746476276628902E-14</v>
      </c>
      <c r="P101">
        <f>wFG!P101-woFG!P101</f>
        <v>0</v>
      </c>
      <c r="Q101">
        <f>wFG!Q101-woFG!Q101</f>
        <v>9.2474003691898884E-2</v>
      </c>
      <c r="R101">
        <f>wFG!R101-woFG!R101</f>
        <v>0</v>
      </c>
      <c r="S101">
        <f>wFG!S101-woFG!S101</f>
        <v>0</v>
      </c>
      <c r="T101">
        <f>wFG!T101-woFG!T101</f>
        <v>0</v>
      </c>
      <c r="U101">
        <f>wFG!U101-woFG!U101</f>
        <v>0</v>
      </c>
      <c r="V101">
        <f>wFG!V101-woFG!V101</f>
        <v>0</v>
      </c>
      <c r="W101">
        <f>wFG!W101-woFG!W101</f>
        <v>0</v>
      </c>
      <c r="X101">
        <f>wFG!X101-woFG!X101</f>
        <v>0</v>
      </c>
      <c r="Y101">
        <f>wFG!Y101-woFG!Y101</f>
        <v>9.3702215970845495E-16</v>
      </c>
      <c r="Z101">
        <f>wFG!Z101-woFG!Z101</f>
        <v>-1.6083103852676759E-15</v>
      </c>
      <c r="AA101">
        <f>wFG!AA101-woFG!AA101</f>
        <v>7.6930396343702118E-16</v>
      </c>
      <c r="AB101">
        <f>wFG!AB101-woFG!AB101</f>
        <v>-1.0544762216188298E-16</v>
      </c>
      <c r="AC101">
        <f>wFG!AC101-woFG!AC101</f>
        <v>2.4731597926676789E-15</v>
      </c>
      <c r="AD101">
        <f>wFG!AD101-woFG!AD101</f>
        <v>6.8644113408812401E-15</v>
      </c>
      <c r="AE101">
        <f>wFG!AE101-woFG!AE101</f>
        <v>-2.4407670503050205E-3</v>
      </c>
      <c r="AF101">
        <f>wFG!AF101-woFG!AF101</f>
        <v>-0.13960641113731004</v>
      </c>
      <c r="AK101" s="1">
        <f t="shared" si="11"/>
        <v>48213</v>
      </c>
      <c r="AL101">
        <f t="shared" si="12"/>
        <v>-1.2289668786213015E-2</v>
      </c>
      <c r="AM101">
        <f t="shared" si="13"/>
        <v>2.6484689176906701E-15</v>
      </c>
      <c r="AN101">
        <f t="shared" si="14"/>
        <v>-2.0041873673172894E-2</v>
      </c>
      <c r="AO101">
        <f t="shared" si="15"/>
        <v>-1.1624100615404602E-8</v>
      </c>
      <c r="AP101">
        <f t="shared" si="16"/>
        <v>-0.2037446835192735</v>
      </c>
      <c r="AQ101">
        <f t="shared" si="17"/>
        <v>2.9386282884490501E-2</v>
      </c>
      <c r="AR101">
        <f t="shared" si="18"/>
        <v>-9.2553727861307E-3</v>
      </c>
      <c r="AS101">
        <f t="shared" si="19"/>
        <v>9.2474003691898884E-2</v>
      </c>
      <c r="AT101">
        <f t="shared" si="20"/>
        <v>-1.6135087324811351E-2</v>
      </c>
    </row>
    <row r="102" spans="1:46" x14ac:dyDescent="0.25">
      <c r="A102" s="1">
        <v>48304</v>
      </c>
      <c r="B102">
        <f>wFG!B102-woFG!B102</f>
        <v>-1.2142088221803016E-2</v>
      </c>
      <c r="C102">
        <f>wFG!C102-woFG!C102</f>
        <v>8.4516204485162999E-16</v>
      </c>
      <c r="D102">
        <f>wFG!D102-woFG!D102</f>
        <v>-1.98414549364406E-2</v>
      </c>
      <c r="E102">
        <f>wFG!E102-woFG!E102</f>
        <v>-8.0972447172873005E-9</v>
      </c>
      <c r="F102">
        <f>wFG!F102-woFG!F102</f>
        <v>-0.20170723668408092</v>
      </c>
      <c r="G102">
        <f>wFG!G102-woFG!G102</f>
        <v>2.8967124754392403E-2</v>
      </c>
      <c r="H102">
        <f>wFG!H102-woFG!H102</f>
        <v>-8.7763199557779892E-3</v>
      </c>
      <c r="I102">
        <f>wFG!I102-woFG!I102</f>
        <v>8.7765324574379859E-17</v>
      </c>
      <c r="J102">
        <f>wFG!J102-woFG!J102</f>
        <v>-1.7475418214036009E-15</v>
      </c>
      <c r="K102">
        <f>wFG!K102-woFG!K102</f>
        <v>-2.8194351543342381E-15</v>
      </c>
      <c r="L102">
        <f>wFG!L102-woFG!L102</f>
        <v>-1.3417409847738503E-2</v>
      </c>
      <c r="M102">
        <f>wFG!M102-woFG!M102</f>
        <v>0</v>
      </c>
      <c r="N102">
        <f>wFG!N102-woFG!N102</f>
        <v>0</v>
      </c>
      <c r="O102">
        <f>wFG!O102-woFG!O102</f>
        <v>1.9800838283432311E-14</v>
      </c>
      <c r="P102">
        <f>wFG!P102-woFG!P102</f>
        <v>0</v>
      </c>
      <c r="Q102">
        <f>wFG!Q102-woFG!Q102</f>
        <v>9.1681084206102784E-2</v>
      </c>
      <c r="R102">
        <f>wFG!R102-woFG!R102</f>
        <v>0</v>
      </c>
      <c r="S102">
        <f>wFG!S102-woFG!S102</f>
        <v>0</v>
      </c>
      <c r="T102">
        <f>wFG!T102-woFG!T102</f>
        <v>0</v>
      </c>
      <c r="U102">
        <f>wFG!U102-woFG!U102</f>
        <v>0</v>
      </c>
      <c r="V102">
        <f>wFG!V102-woFG!V102</f>
        <v>0</v>
      </c>
      <c r="W102">
        <f>wFG!W102-woFG!W102</f>
        <v>0</v>
      </c>
      <c r="X102">
        <f>wFG!X102-woFG!X102</f>
        <v>0</v>
      </c>
      <c r="Y102">
        <f>wFG!Y102-woFG!Y102</f>
        <v>9.2385183360495203E-16</v>
      </c>
      <c r="Z102">
        <f>wFG!Z102-woFG!Z102</f>
        <v>-1.5865438682321659E-15</v>
      </c>
      <c r="AA102">
        <f>wFG!AA102-woFG!AA102</f>
        <v>7.6115447115807082E-16</v>
      </c>
      <c r="AB102">
        <f>wFG!AB102-woFG!AB102</f>
        <v>-1.0280443747726405E-16</v>
      </c>
      <c r="AC102">
        <f>wFG!AC102-woFG!AC102</f>
        <v>2.4453758252179337E-15</v>
      </c>
      <c r="AD102">
        <f>wFG!AD102-woFG!AD102</f>
        <v>6.7851330556675902E-15</v>
      </c>
      <c r="AE102">
        <f>wFG!AE102-woFG!AE102</f>
        <v>-2.4161503391066496E-3</v>
      </c>
      <c r="AF102">
        <f>wFG!AF102-woFG!AF102</f>
        <v>-0.13765245912167395</v>
      </c>
      <c r="AK102" s="1">
        <f t="shared" si="11"/>
        <v>48304</v>
      </c>
      <c r="AL102">
        <f t="shared" si="12"/>
        <v>-1.2142088221803016E-2</v>
      </c>
      <c r="AM102">
        <f t="shared" si="13"/>
        <v>8.4516204485162999E-16</v>
      </c>
      <c r="AN102">
        <f t="shared" si="14"/>
        <v>-1.98414549364406E-2</v>
      </c>
      <c r="AO102">
        <f t="shared" si="15"/>
        <v>-8.0972447172873005E-9</v>
      </c>
      <c r="AP102">
        <f t="shared" si="16"/>
        <v>-0.20170723668408092</v>
      </c>
      <c r="AQ102">
        <f t="shared" si="17"/>
        <v>2.8967124754392403E-2</v>
      </c>
      <c r="AR102">
        <f t="shared" si="18"/>
        <v>-8.7763199557779892E-3</v>
      </c>
      <c r="AS102">
        <f t="shared" si="19"/>
        <v>9.1681084206102784E-2</v>
      </c>
      <c r="AT102">
        <f t="shared" si="20"/>
        <v>-1.5833560186822734E-2</v>
      </c>
    </row>
    <row r="103" spans="1:46" x14ac:dyDescent="0.25">
      <c r="A103" s="1">
        <v>48395</v>
      </c>
      <c r="B103">
        <f>wFG!B103-woFG!B103</f>
        <v>-1.1996425608623018E-2</v>
      </c>
      <c r="C103">
        <f>wFG!C103-woFG!C103</f>
        <v>-8.9138170244290934E-17</v>
      </c>
      <c r="D103">
        <f>wFG!D103-woFG!D103</f>
        <v>-1.9643040387076399E-2</v>
      </c>
      <c r="E103">
        <f>wFG!E103-woFG!E103</f>
        <v>-5.6404691212486902E-9</v>
      </c>
      <c r="F103">
        <f>wFG!F103-woFG!F103</f>
        <v>-0.19969016431724051</v>
      </c>
      <c r="G103">
        <f>wFG!G103-woFG!G103</f>
        <v>2.8551537681200303E-2</v>
      </c>
      <c r="H103">
        <f>wFG!H103-woFG!H103</f>
        <v>-8.3214705899554986E-3</v>
      </c>
      <c r="I103">
        <f>wFG!I103-woFG!I103</f>
        <v>8.5711070268159234E-17</v>
      </c>
      <c r="J103">
        <f>wFG!J103-woFG!J103</f>
        <v>-1.7579198488027971E-15</v>
      </c>
      <c r="K103">
        <f>wFG!K103-woFG!K103</f>
        <v>-2.7748289475755823E-15</v>
      </c>
      <c r="L103">
        <f>wFG!L103-woFG!L103</f>
        <v>-1.3144050767933999E-2</v>
      </c>
      <c r="M103">
        <f>wFG!M103-woFG!M103</f>
        <v>0</v>
      </c>
      <c r="N103">
        <f>wFG!N103-woFG!N103</f>
        <v>0</v>
      </c>
      <c r="O103">
        <f>wFG!O103-woFG!O103</f>
        <v>1.9851301533312695E-14</v>
      </c>
      <c r="P103">
        <f>wFG!P103-woFG!P103</f>
        <v>0</v>
      </c>
      <c r="Q103">
        <f>wFG!Q103-woFG!Q103</f>
        <v>9.0891820146587199E-2</v>
      </c>
      <c r="R103">
        <f>wFG!R103-woFG!R103</f>
        <v>0</v>
      </c>
      <c r="S103">
        <f>wFG!S103-woFG!S103</f>
        <v>0</v>
      </c>
      <c r="T103">
        <f>wFG!T103-woFG!T103</f>
        <v>0</v>
      </c>
      <c r="U103">
        <f>wFG!U103-woFG!U103</f>
        <v>0</v>
      </c>
      <c r="V103">
        <f>wFG!V103-woFG!V103</f>
        <v>0</v>
      </c>
      <c r="W103">
        <f>wFG!W103-woFG!W103</f>
        <v>0</v>
      </c>
      <c r="X103">
        <f>wFG!X103-woFG!X103</f>
        <v>0</v>
      </c>
      <c r="Y103">
        <f>wFG!Y103-woFG!Y103</f>
        <v>9.1096782298797702E-16</v>
      </c>
      <c r="Z103">
        <f>wFG!Z103-woFG!Z103</f>
        <v>-1.565161034293238E-15</v>
      </c>
      <c r="AA103">
        <f>wFG!AA103-woFG!AA103</f>
        <v>7.5312230664173105E-16</v>
      </c>
      <c r="AB103">
        <f>wFG!AB103-woFG!AB103</f>
        <v>-1.0022083015409819E-16</v>
      </c>
      <c r="AC103">
        <f>wFG!AC103-woFG!AC103</f>
        <v>2.4180536485041932E-15</v>
      </c>
      <c r="AD103">
        <f>wFG!AD103-woFG!AD103</f>
        <v>6.7070749651650197E-15</v>
      </c>
      <c r="AE103">
        <f>wFG!AE103-woFG!AE103</f>
        <v>-2.3917904939043597E-3</v>
      </c>
      <c r="AF103">
        <f>wFG!AF103-woFG!AF103</f>
        <v>-0.135743589977391</v>
      </c>
      <c r="AK103" s="1">
        <f t="shared" si="11"/>
        <v>48395</v>
      </c>
      <c r="AL103">
        <f t="shared" si="12"/>
        <v>-1.1996425608623018E-2</v>
      </c>
      <c r="AM103">
        <f t="shared" si="13"/>
        <v>-8.9138170244290934E-17</v>
      </c>
      <c r="AN103">
        <f t="shared" si="14"/>
        <v>-1.9643040387076399E-2</v>
      </c>
      <c r="AO103">
        <f t="shared" si="15"/>
        <v>-5.6404691212486902E-9</v>
      </c>
      <c r="AP103">
        <f t="shared" si="16"/>
        <v>-0.19969016431724051</v>
      </c>
      <c r="AQ103">
        <f t="shared" si="17"/>
        <v>2.8551537681200303E-2</v>
      </c>
      <c r="AR103">
        <f t="shared" si="18"/>
        <v>-8.3214705899554986E-3</v>
      </c>
      <c r="AS103">
        <f t="shared" si="19"/>
        <v>9.0891820146587199E-2</v>
      </c>
      <c r="AT103">
        <f t="shared" si="20"/>
        <v>-1.5535841261813871E-2</v>
      </c>
    </row>
    <row r="104" spans="1:46" x14ac:dyDescent="0.25">
      <c r="A104" s="1">
        <v>48487</v>
      </c>
      <c r="B104">
        <f>wFG!B104-woFG!B104</f>
        <v>-1.1852653705332006E-2</v>
      </c>
      <c r="C104">
        <f>wFG!C104-woFG!C104</f>
        <v>-5.7226376372051501E-16</v>
      </c>
      <c r="D104">
        <f>wFG!D104-woFG!D104</f>
        <v>-1.944660998320559E-2</v>
      </c>
      <c r="E104">
        <f>wFG!E104-woFG!E104</f>
        <v>-3.9291016821527802E-9</v>
      </c>
      <c r="F104">
        <f>wFG!F104-woFG!F104</f>
        <v>-0.197693262674068</v>
      </c>
      <c r="G104">
        <f>wFG!G104-woFG!G104</f>
        <v>2.81395338789154E-2</v>
      </c>
      <c r="H104">
        <f>wFG!H104-woFG!H104</f>
        <v>-7.8896601633393904E-3</v>
      </c>
      <c r="I104">
        <f>wFG!I104-woFG!I104</f>
        <v>8.3678048929050488E-17</v>
      </c>
      <c r="J104">
        <f>wFG!J104-woFG!J104</f>
        <v>-1.7675530219682998E-15</v>
      </c>
      <c r="K104">
        <f>wFG!K104-woFG!K104</f>
        <v>-2.7315043452589234E-15</v>
      </c>
      <c r="L104">
        <f>wFG!L104-woFG!L104</f>
        <v>-1.2874499282009899E-2</v>
      </c>
      <c r="M104">
        <f>wFG!M104-woFG!M104</f>
        <v>0</v>
      </c>
      <c r="N104">
        <f>wFG!N104-woFG!N104</f>
        <v>0</v>
      </c>
      <c r="O104">
        <f>wFG!O104-woFG!O104</f>
        <v>1.9897961330593194E-14</v>
      </c>
      <c r="P104">
        <f>wFG!P104-woFG!P104</f>
        <v>0</v>
      </c>
      <c r="Q104">
        <f>wFG!Q104-woFG!Q104</f>
        <v>9.0106418274016692E-2</v>
      </c>
      <c r="R104">
        <f>wFG!R104-woFG!R104</f>
        <v>0</v>
      </c>
      <c r="S104">
        <f>wFG!S104-woFG!S104</f>
        <v>0</v>
      </c>
      <c r="T104">
        <f>wFG!T104-woFG!T104</f>
        <v>0</v>
      </c>
      <c r="U104">
        <f>wFG!U104-woFG!U104</f>
        <v>0</v>
      </c>
      <c r="V104">
        <f>wFG!V104-woFG!V104</f>
        <v>0</v>
      </c>
      <c r="W104">
        <f>wFG!W104-woFG!W104</f>
        <v>0</v>
      </c>
      <c r="X104">
        <f>wFG!X104-woFG!X104</f>
        <v>0</v>
      </c>
      <c r="Y104">
        <f>wFG!Y104-woFG!Y104</f>
        <v>8.9836412621108107E-16</v>
      </c>
      <c r="Z104">
        <f>wFG!Z104-woFG!Z104</f>
        <v>-1.5441739878954919E-15</v>
      </c>
      <c r="AA104">
        <f>wFG!AA104-woFG!AA104</f>
        <v>7.4519996911740602E-16</v>
      </c>
      <c r="AB104">
        <f>wFG!AB104-woFG!AB104</f>
        <v>-9.7706548544065883E-17</v>
      </c>
      <c r="AC104">
        <f>wFG!AC104-woFG!AC104</f>
        <v>2.3911799902728642E-15</v>
      </c>
      <c r="AD104">
        <f>wFG!AD104-woFG!AD104</f>
        <v>6.6302320775592392E-15</v>
      </c>
      <c r="AE104">
        <f>wFG!AE104-woFG!AE104</f>
        <v>-2.3676847168330895E-3</v>
      </c>
      <c r="AF104">
        <f>wFG!AF104-woFG!AF104</f>
        <v>-0.133878422300934</v>
      </c>
      <c r="AK104" s="1">
        <f t="shared" si="11"/>
        <v>48487</v>
      </c>
      <c r="AL104">
        <f t="shared" si="12"/>
        <v>-1.1852653705332006E-2</v>
      </c>
      <c r="AM104">
        <f t="shared" si="13"/>
        <v>-5.7226376372051501E-16</v>
      </c>
      <c r="AN104">
        <f t="shared" si="14"/>
        <v>-1.944660998320559E-2</v>
      </c>
      <c r="AO104">
        <f t="shared" si="15"/>
        <v>-3.9291016821527802E-9</v>
      </c>
      <c r="AP104">
        <f t="shared" si="16"/>
        <v>-0.197693262674068</v>
      </c>
      <c r="AQ104">
        <f t="shared" si="17"/>
        <v>2.81395338789154E-2</v>
      </c>
      <c r="AR104">
        <f t="shared" si="18"/>
        <v>-7.8896601633393904E-3</v>
      </c>
      <c r="AS104">
        <f t="shared" si="19"/>
        <v>9.0106418274016692E-2</v>
      </c>
      <c r="AT104">
        <f t="shared" si="20"/>
        <v>-1.5242183998818853E-2</v>
      </c>
    </row>
    <row r="105" spans="1:46" x14ac:dyDescent="0.25">
      <c r="A105" s="1">
        <v>48579</v>
      </c>
      <c r="B105">
        <f>wFG!B105-woFG!B105</f>
        <v>-1.1710745603266015E-2</v>
      </c>
      <c r="C105">
        <f>wFG!C105-woFG!C105</f>
        <v>-8.21116047164186E-16</v>
      </c>
      <c r="D105">
        <f>wFG!D105-woFG!D105</f>
        <v>-1.9252143883373096E-2</v>
      </c>
      <c r="E105">
        <f>wFG!E105-woFG!E105</f>
        <v>-2.7369787514658995E-9</v>
      </c>
      <c r="F105">
        <f>wFG!F105-woFG!F105</f>
        <v>-0.19571633004732719</v>
      </c>
      <c r="G105">
        <f>wFG!G105-woFG!G105</f>
        <v>2.7731131773130399E-2</v>
      </c>
      <c r="H105">
        <f>wFG!H105-woFG!H105</f>
        <v>-7.4797709820449004E-3</v>
      </c>
      <c r="I105">
        <f>wFG!I105-woFG!I105</f>
        <v>8.1670209648139998E-17</v>
      </c>
      <c r="J105">
        <f>wFG!J105-woFG!J105</f>
        <v>-1.7764683440392027E-15</v>
      </c>
      <c r="K105">
        <f>wFG!K105-woFG!K105</f>
        <v>-2.6893858317728095E-15</v>
      </c>
      <c r="L105">
        <f>wFG!L105-woFG!L105</f>
        <v>-1.2608966039942097E-2</v>
      </c>
      <c r="M105">
        <f>wFG!M105-woFG!M105</f>
        <v>0</v>
      </c>
      <c r="N105">
        <f>wFG!N105-woFG!N105</f>
        <v>0</v>
      </c>
      <c r="O105">
        <f>wFG!O105-woFG!O105</f>
        <v>1.9940911401746091E-14</v>
      </c>
      <c r="P105">
        <f>wFG!P105-woFG!P105</f>
        <v>0</v>
      </c>
      <c r="Q105">
        <f>wFG!Q105-woFG!Q105</f>
        <v>8.9325059388180583E-2</v>
      </c>
      <c r="R105">
        <f>wFG!R105-woFG!R105</f>
        <v>0</v>
      </c>
      <c r="S105">
        <f>wFG!S105-woFG!S105</f>
        <v>0</v>
      </c>
      <c r="T105">
        <f>wFG!T105-woFG!T105</f>
        <v>0</v>
      </c>
      <c r="U105">
        <f>wFG!U105-woFG!U105</f>
        <v>0</v>
      </c>
      <c r="V105">
        <f>wFG!V105-woFG!V105</f>
        <v>0</v>
      </c>
      <c r="W105">
        <f>wFG!W105-woFG!W105</f>
        <v>0</v>
      </c>
      <c r="X105">
        <f>wFG!X105-woFG!X105</f>
        <v>0</v>
      </c>
      <c r="Y105">
        <f>wFG!Y105-woFG!Y105</f>
        <v>8.8603423825368998E-16</v>
      </c>
      <c r="Z105">
        <f>wFG!Z105-woFG!Z105</f>
        <v>-1.523590644282227E-15</v>
      </c>
      <c r="AA105">
        <f>wFG!AA105-woFG!AA105</f>
        <v>7.3738109408559599E-16</v>
      </c>
      <c r="AB105">
        <f>wFG!AB105-woFG!AB105</f>
        <v>-9.5269002638099026E-17</v>
      </c>
      <c r="AC105">
        <f>wFG!AC105-woFG!AC105</f>
        <v>2.3647415398079214E-15</v>
      </c>
      <c r="AD105">
        <f>wFG!AD105-woFG!AD105</f>
        <v>6.5545947887218101E-15</v>
      </c>
      <c r="AE105">
        <f>wFG!AE105-woFG!AE105</f>
        <v>-2.3438302424990294E-3</v>
      </c>
      <c r="AF105">
        <f>wFG!AF105-woFG!AF105</f>
        <v>-0.13205559837409903</v>
      </c>
      <c r="AK105" s="1">
        <f t="shared" si="11"/>
        <v>48579</v>
      </c>
      <c r="AL105">
        <f t="shared" si="12"/>
        <v>-1.1710745603266015E-2</v>
      </c>
      <c r="AM105">
        <f t="shared" si="13"/>
        <v>-8.21116047164186E-16</v>
      </c>
      <c r="AN105">
        <f t="shared" si="14"/>
        <v>-1.9252143883373096E-2</v>
      </c>
      <c r="AO105">
        <f t="shared" si="15"/>
        <v>-2.7369787514658995E-9</v>
      </c>
      <c r="AP105">
        <f t="shared" si="16"/>
        <v>-0.19571633004732719</v>
      </c>
      <c r="AQ105">
        <f t="shared" si="17"/>
        <v>2.7731131773130399E-2</v>
      </c>
      <c r="AR105">
        <f t="shared" si="18"/>
        <v>-7.4797709820449004E-3</v>
      </c>
      <c r="AS105">
        <f t="shared" si="19"/>
        <v>8.9325059388180583E-2</v>
      </c>
      <c r="AT105">
        <f t="shared" si="20"/>
        <v>-1.4952796282419245E-2</v>
      </c>
    </row>
    <row r="106" spans="1:46" x14ac:dyDescent="0.25">
      <c r="A106" s="1">
        <v>48669</v>
      </c>
      <c r="B106">
        <f>wFG!B106-woFG!B106</f>
        <v>-1.1570674736135989E-2</v>
      </c>
      <c r="C106">
        <f>wFG!C106-woFG!C106</f>
        <v>-9.4829254313799403E-16</v>
      </c>
      <c r="D106">
        <f>wFG!D106-woFG!D106</f>
        <v>-1.9059622444539806E-2</v>
      </c>
      <c r="E106">
        <f>wFG!E106-woFG!E106</f>
        <v>-1.9065567989422402E-9</v>
      </c>
      <c r="F106">
        <f>wFG!F106-woFG!F106</f>
        <v>-0.19375916674685428</v>
      </c>
      <c r="G106">
        <f>wFG!G106-woFG!G106</f>
        <v>2.7326354255600701E-2</v>
      </c>
      <c r="H106">
        <f>wFG!H106-woFG!H106</f>
        <v>-7.0907316229797124E-3</v>
      </c>
      <c r="I106">
        <f>wFG!I106-woFG!I106</f>
        <v>7.9691042427290423E-17</v>
      </c>
      <c r="J106">
        <f>wFG!J106-woFG!J106</f>
        <v>-1.7846917530231003E-15</v>
      </c>
      <c r="K106">
        <f>wFG!K106-woFG!K106</f>
        <v>-2.6484024744793768E-15</v>
      </c>
      <c r="L106">
        <f>wFG!L106-woFG!L106</f>
        <v>-1.2347621733317E-2</v>
      </c>
      <c r="M106">
        <f>wFG!M106-woFG!M106</f>
        <v>0</v>
      </c>
      <c r="N106">
        <f>wFG!N106-woFG!N106</f>
        <v>0</v>
      </c>
      <c r="O106">
        <f>wFG!O106-woFG!O106</f>
        <v>1.9980243786268993E-14</v>
      </c>
      <c r="P106">
        <f>wFG!P106-woFG!P106</f>
        <v>0</v>
      </c>
      <c r="Q106">
        <f>wFG!Q106-woFG!Q106</f>
        <v>8.8547901575030299E-2</v>
      </c>
      <c r="R106">
        <f>wFG!R106-woFG!R106</f>
        <v>0</v>
      </c>
      <c r="S106">
        <f>wFG!S106-woFG!S106</f>
        <v>0</v>
      </c>
      <c r="T106">
        <f>wFG!T106-woFG!T106</f>
        <v>0</v>
      </c>
      <c r="U106">
        <f>wFG!U106-woFG!U106</f>
        <v>0</v>
      </c>
      <c r="V106">
        <f>wFG!V106-woFG!V106</f>
        <v>0</v>
      </c>
      <c r="W106">
        <f>wFG!W106-woFG!W106</f>
        <v>0</v>
      </c>
      <c r="X106">
        <f>wFG!X106-woFG!X106</f>
        <v>0</v>
      </c>
      <c r="Y106">
        <f>wFG!Y106-woFG!Y106</f>
        <v>8.7397125804134599E-16</v>
      </c>
      <c r="Z106">
        <f>wFG!Z106-woFG!Z106</f>
        <v>-1.5034152660993171E-15</v>
      </c>
      <c r="AA106">
        <f>wFG!AA106-woFG!AA106</f>
        <v>7.2966029398771895E-16</v>
      </c>
      <c r="AB106">
        <f>wFG!AB106-woFG!AB106</f>
        <v>-9.2913571381910079E-17</v>
      </c>
      <c r="AC106">
        <f>wFG!AC106-woFG!AC106</f>
        <v>2.3387250648478951E-15</v>
      </c>
      <c r="AD106">
        <f>wFG!AD106-woFG!AD106</f>
        <v>6.4801495740622498E-15</v>
      </c>
      <c r="AE106">
        <f>wFG!AE106-woFG!AE106</f>
        <v>-2.3202243375692096E-3</v>
      </c>
      <c r="AF106">
        <f>wFG!AF106-woFG!AF106</f>
        <v>-0.13027378769729803</v>
      </c>
      <c r="AK106" s="1">
        <f t="shared" si="11"/>
        <v>48669</v>
      </c>
      <c r="AL106">
        <f t="shared" si="12"/>
        <v>-1.1570674736135989E-2</v>
      </c>
      <c r="AM106">
        <f t="shared" si="13"/>
        <v>-9.4829254313799403E-16</v>
      </c>
      <c r="AN106">
        <f t="shared" si="14"/>
        <v>-1.9059622444539806E-2</v>
      </c>
      <c r="AO106">
        <f t="shared" si="15"/>
        <v>-1.9065567989422402E-9</v>
      </c>
      <c r="AP106">
        <f t="shared" si="16"/>
        <v>-0.19375916674685428</v>
      </c>
      <c r="AQ106">
        <f t="shared" si="17"/>
        <v>2.7326354255600701E-2</v>
      </c>
      <c r="AR106">
        <f t="shared" si="18"/>
        <v>-7.0907316229797124E-3</v>
      </c>
      <c r="AS106">
        <f t="shared" si="19"/>
        <v>8.8547901575030299E-2</v>
      </c>
      <c r="AT106">
        <f t="shared" si="20"/>
        <v>-1.4667846070861482E-2</v>
      </c>
    </row>
    <row r="107" spans="1:46" x14ac:dyDescent="0.25">
      <c r="A107" s="1">
        <v>48760</v>
      </c>
      <c r="B107">
        <f>wFG!B107-woFG!B107</f>
        <v>-1.1432414887482006E-2</v>
      </c>
      <c r="C107">
        <f>wFG!C107-woFG!C107</f>
        <v>-1.0122462571715011E-15</v>
      </c>
      <c r="D107">
        <f>wFG!D107-woFG!D107</f>
        <v>-1.8869026220094703E-2</v>
      </c>
      <c r="E107">
        <f>wFG!E107-woFG!E107</f>
        <v>-1.3280924414942999E-9</v>
      </c>
      <c r="F107">
        <f>wFG!F107-woFG!F107</f>
        <v>-0.19182157507938538</v>
      </c>
      <c r="G107">
        <f>wFG!G107-woFG!G107</f>
        <v>2.69252272684606E-2</v>
      </c>
      <c r="H107">
        <f>wFG!H107-woFG!H107</f>
        <v>-6.7215161561725023E-3</v>
      </c>
      <c r="I107">
        <f>wFG!I107-woFG!I107</f>
        <v>7.7743587800679957E-17</v>
      </c>
      <c r="J107">
        <f>wFG!J107-woFG!J107</f>
        <v>-1.7922481303989004E-15</v>
      </c>
      <c r="K107">
        <f>wFG!K107-woFG!K107</f>
        <v>-2.6084879443411121E-15</v>
      </c>
      <c r="L107">
        <f>wFG!L107-woFG!L107</f>
        <v>-1.2090602081912503E-2</v>
      </c>
      <c r="M107">
        <f>wFG!M107-woFG!M107</f>
        <v>0</v>
      </c>
      <c r="N107">
        <f>wFG!N107-woFG!N107</f>
        <v>0</v>
      </c>
      <c r="O107">
        <f>wFG!O107-woFG!O107</f>
        <v>2.0016048752260401E-14</v>
      </c>
      <c r="P107">
        <f>wFG!P107-woFG!P107</f>
        <v>0</v>
      </c>
      <c r="Q107">
        <f>wFG!Q107-woFG!Q107</f>
        <v>8.7775083007174889E-2</v>
      </c>
      <c r="R107">
        <f>wFG!R107-woFG!R107</f>
        <v>0</v>
      </c>
      <c r="S107">
        <f>wFG!S107-woFG!S107</f>
        <v>0</v>
      </c>
      <c r="T107">
        <f>wFG!T107-woFG!T107</f>
        <v>0</v>
      </c>
      <c r="U107">
        <f>wFG!U107-woFG!U107</f>
        <v>0</v>
      </c>
      <c r="V107">
        <f>wFG!V107-woFG!V107</f>
        <v>0</v>
      </c>
      <c r="W107">
        <f>wFG!W107-woFG!W107</f>
        <v>0</v>
      </c>
      <c r="X107">
        <f>wFG!X107-woFG!X107</f>
        <v>0</v>
      </c>
      <c r="Y107">
        <f>wFG!Y107-woFG!Y107</f>
        <v>8.6216798603146495E-16</v>
      </c>
      <c r="Z107">
        <f>wFG!Z107-woFG!Z107</f>
        <v>-1.483648962817821E-15</v>
      </c>
      <c r="AA107">
        <f>wFG!AA107-woFG!AA107</f>
        <v>7.2203301623513694E-16</v>
      </c>
      <c r="AB107">
        <f>wFG!AB107-woFG!AB107</f>
        <v>-9.0643884784913051E-17</v>
      </c>
      <c r="AC107">
        <f>wFG!AC107-woFG!AC107</f>
        <v>2.3131175083950819E-15</v>
      </c>
      <c r="AD107">
        <f>wFG!AD107-woFG!AD107</f>
        <v>6.4068796257240392E-15</v>
      </c>
      <c r="AE107">
        <f>wFG!AE107-woFG!AE107</f>
        <v>-2.2968643003654504E-3</v>
      </c>
      <c r="AF107">
        <f>wFG!AF107-woFG!AF107</f>
        <v>-0.12853168977784801</v>
      </c>
      <c r="AK107" s="1">
        <f t="shared" si="11"/>
        <v>48760</v>
      </c>
      <c r="AL107">
        <f t="shared" si="12"/>
        <v>-1.1432414887482006E-2</v>
      </c>
      <c r="AM107">
        <f t="shared" si="13"/>
        <v>-1.0122462571715011E-15</v>
      </c>
      <c r="AN107">
        <f t="shared" si="14"/>
        <v>-1.8869026220094703E-2</v>
      </c>
      <c r="AO107">
        <f t="shared" si="15"/>
        <v>-1.3280924414942999E-9</v>
      </c>
      <c r="AP107">
        <f t="shared" si="16"/>
        <v>-0.19182157507938538</v>
      </c>
      <c r="AQ107">
        <f t="shared" si="17"/>
        <v>2.69252272684606E-2</v>
      </c>
      <c r="AR107">
        <f t="shared" si="18"/>
        <v>-6.7215161561725023E-3</v>
      </c>
      <c r="AS107">
        <f t="shared" si="19"/>
        <v>8.7775083007174889E-2</v>
      </c>
      <c r="AT107">
        <f t="shared" si="20"/>
        <v>-1.4387466382255479E-2</v>
      </c>
    </row>
    <row r="108" spans="1:46" x14ac:dyDescent="0.25">
      <c r="A108" s="1">
        <v>48852</v>
      </c>
      <c r="B108">
        <f>wFG!B108-woFG!B108</f>
        <v>-1.1295940196206E-2</v>
      </c>
      <c r="C108">
        <f>wFG!C108-woFG!C108</f>
        <v>-1.0433234800115481E-15</v>
      </c>
      <c r="D108">
        <f>wFG!D108-woFG!D108</f>
        <v>-1.8680335957893202E-2</v>
      </c>
      <c r="E108">
        <f>wFG!E108-woFG!E108</f>
        <v>-9.251394416136E-10</v>
      </c>
      <c r="F108">
        <f>wFG!F108-woFG!F108</f>
        <v>-0.18990335932859131</v>
      </c>
      <c r="G108">
        <f>wFG!G108-woFG!G108</f>
        <v>2.6527778657793898E-2</v>
      </c>
      <c r="H108">
        <f>wFG!H108-woFG!H108</f>
        <v>-6.3711431937049992E-3</v>
      </c>
      <c r="I108">
        <f>wFG!I108-woFG!I108</f>
        <v>7.5830451989258918E-17</v>
      </c>
      <c r="J108">
        <f>wFG!J108-woFG!J108</f>
        <v>-1.7991613203529005E-15</v>
      </c>
      <c r="K108">
        <f>wFG!K108-woFG!K108</f>
        <v>-2.5695804621290075E-15</v>
      </c>
      <c r="L108">
        <f>wFG!L108-woFG!L108</f>
        <v>-1.1838012241226201E-2</v>
      </c>
      <c r="M108">
        <f>wFG!M108-woFG!M108</f>
        <v>0</v>
      </c>
      <c r="N108">
        <f>wFG!N108-woFG!N108</f>
        <v>0</v>
      </c>
      <c r="O108">
        <f>wFG!O108-woFG!O108</f>
        <v>2.0048414733757793E-14</v>
      </c>
      <c r="P108">
        <f>wFG!P108-woFG!P108</f>
        <v>0</v>
      </c>
      <c r="Q108">
        <f>wFG!Q108-woFG!Q108</f>
        <v>8.7006724364285387E-2</v>
      </c>
      <c r="R108">
        <f>wFG!R108-woFG!R108</f>
        <v>0</v>
      </c>
      <c r="S108">
        <f>wFG!S108-woFG!S108</f>
        <v>0</v>
      </c>
      <c r="T108">
        <f>wFG!T108-woFG!T108</f>
        <v>0</v>
      </c>
      <c r="U108">
        <f>wFG!U108-woFG!U108</f>
        <v>0</v>
      </c>
      <c r="V108">
        <f>wFG!V108-woFG!V108</f>
        <v>0</v>
      </c>
      <c r="W108">
        <f>wFG!W108-woFG!W108</f>
        <v>0</v>
      </c>
      <c r="X108">
        <f>wFG!X108-woFG!X108</f>
        <v>0</v>
      </c>
      <c r="Y108">
        <f>wFG!Y108-woFG!Y108</f>
        <v>8.5061701214089104E-16</v>
      </c>
      <c r="Z108">
        <f>wFG!Z108-woFG!Z108</f>
        <v>-1.4642901511774249E-15</v>
      </c>
      <c r="AA108">
        <f>wFG!AA108-woFG!AA108</f>
        <v>7.1449541765708401E-16</v>
      </c>
      <c r="AB108">
        <f>wFG!AB108-woFG!AB108</f>
        <v>-8.8462080683279842E-17</v>
      </c>
      <c r="AC108">
        <f>wFG!AC108-woFG!AC108</f>
        <v>2.2879060677085512E-15</v>
      </c>
      <c r="AD108">
        <f>wFG!AD108-woFG!AD108</f>
        <v>6.3347654343503504E-15</v>
      </c>
      <c r="AE108">
        <f>wFG!AE108-woFG!AE108</f>
        <v>-2.2737474604656305E-3</v>
      </c>
      <c r="AF108">
        <f>wFG!AF108-woFG!AF108</f>
        <v>-0.12682803628112599</v>
      </c>
      <c r="AK108" s="1">
        <f t="shared" si="11"/>
        <v>48852</v>
      </c>
      <c r="AL108">
        <f t="shared" si="12"/>
        <v>-1.1295940196206E-2</v>
      </c>
      <c r="AM108">
        <f t="shared" si="13"/>
        <v>-1.0433234800115481E-15</v>
      </c>
      <c r="AN108">
        <f t="shared" si="14"/>
        <v>-1.8680335957893202E-2</v>
      </c>
      <c r="AO108">
        <f t="shared" si="15"/>
        <v>-9.251394416136E-10</v>
      </c>
      <c r="AP108">
        <f t="shared" si="16"/>
        <v>-0.18990335932859131</v>
      </c>
      <c r="AQ108">
        <f t="shared" si="17"/>
        <v>2.6527778657793898E-2</v>
      </c>
      <c r="AR108">
        <f t="shared" si="18"/>
        <v>-6.3711431937049992E-3</v>
      </c>
      <c r="AS108">
        <f t="shared" si="19"/>
        <v>8.7006724364285387E-2</v>
      </c>
      <c r="AT108">
        <f t="shared" si="20"/>
        <v>-1.411175970166928E-2</v>
      </c>
    </row>
    <row r="109" spans="1:46" x14ac:dyDescent="0.25">
      <c r="A109" s="1">
        <v>48944</v>
      </c>
      <c r="B109">
        <f>wFG!B109-woFG!B109</f>
        <v>-1.116122516044199E-2</v>
      </c>
      <c r="C109">
        <f>wFG!C109-woFG!C109</f>
        <v>-1.0572800799396599E-15</v>
      </c>
      <c r="D109">
        <f>wFG!D109-woFG!D109</f>
        <v>-1.8493532598314905E-2</v>
      </c>
      <c r="E109">
        <f>wFG!E109-woFG!E109</f>
        <v>-6.4444604903988998E-10</v>
      </c>
      <c r="F109">
        <f>wFG!F109-woFG!F109</f>
        <v>-0.1880043257353059</v>
      </c>
      <c r="G109">
        <f>wFG!G109-woFG!G109</f>
        <v>2.6134037247573797E-2</v>
      </c>
      <c r="H109">
        <f>wFG!H109-woFG!H109</f>
        <v>-6.0386748022314002E-3</v>
      </c>
      <c r="I109">
        <f>wFG!I109-woFG!I109</f>
        <v>7.3953826473209229E-17</v>
      </c>
      <c r="J109">
        <f>wFG!J109-woFG!J109</f>
        <v>-1.8054541572544976E-15</v>
      </c>
      <c r="K109">
        <f>wFG!K109-woFG!K109</f>
        <v>-2.5316226863696647E-15</v>
      </c>
      <c r="L109">
        <f>wFG!L109-woFG!L109</f>
        <v>-1.1589930696056704E-2</v>
      </c>
      <c r="M109">
        <f>wFG!M109-woFG!M109</f>
        <v>0</v>
      </c>
      <c r="N109">
        <f>wFG!N109-woFG!N109</f>
        <v>0</v>
      </c>
      <c r="O109">
        <f>wFG!O109-woFG!O109</f>
        <v>2.0077428287108398E-14</v>
      </c>
      <c r="P109">
        <f>wFG!P109-woFG!P109</f>
        <v>0</v>
      </c>
      <c r="Q109">
        <f>wFG!Q109-woFG!Q109</f>
        <v>8.6242930929248299E-2</v>
      </c>
      <c r="R109">
        <f>wFG!R109-woFG!R109</f>
        <v>0</v>
      </c>
      <c r="S109">
        <f>wFG!S109-woFG!S109</f>
        <v>0</v>
      </c>
      <c r="T109">
        <f>wFG!T109-woFG!T109</f>
        <v>0</v>
      </c>
      <c r="U109">
        <f>wFG!U109-woFG!U109</f>
        <v>0</v>
      </c>
      <c r="V109">
        <f>wFG!V109-woFG!V109</f>
        <v>0</v>
      </c>
      <c r="W109">
        <f>wFG!W109-woFG!W109</f>
        <v>0</v>
      </c>
      <c r="X109">
        <f>wFG!X109-woFG!X109</f>
        <v>0</v>
      </c>
      <c r="Y109">
        <f>wFG!Y109-woFG!Y109</f>
        <v>8.3931079423700898E-16</v>
      </c>
      <c r="Z109">
        <f>wFG!Z109-woFG!Z109</f>
        <v>-1.4453349760153181E-15</v>
      </c>
      <c r="AA109">
        <f>wFG!AA109-woFG!AA109</f>
        <v>7.0704425424259292E-16</v>
      </c>
      <c r="AB109">
        <f>wFG!AB109-woFG!AB109</f>
        <v>-8.6369036596223002E-17</v>
      </c>
      <c r="AC109">
        <f>wFG!AC109-woFG!AC109</f>
        <v>2.2630782575985788E-15</v>
      </c>
      <c r="AD109">
        <f>wFG!AD109-woFG!AD109</f>
        <v>6.2637853158020799E-15</v>
      </c>
      <c r="AE109">
        <f>wFG!AE109-woFG!AE109</f>
        <v>-2.2508711783084997E-3</v>
      </c>
      <c r="AF109">
        <f>wFG!AF109-woFG!AF109</f>
        <v>-0.12516159263826099</v>
      </c>
      <c r="AK109" s="1">
        <f t="shared" si="11"/>
        <v>48944</v>
      </c>
      <c r="AL109">
        <f t="shared" si="12"/>
        <v>-1.116122516044199E-2</v>
      </c>
      <c r="AM109">
        <f t="shared" si="13"/>
        <v>-1.0572800799396599E-15</v>
      </c>
      <c r="AN109">
        <f t="shared" si="14"/>
        <v>-1.8493532598314905E-2</v>
      </c>
      <c r="AO109">
        <f t="shared" si="15"/>
        <v>-6.4444604903988998E-10</v>
      </c>
      <c r="AP109">
        <f t="shared" si="16"/>
        <v>-0.1880043257353059</v>
      </c>
      <c r="AQ109">
        <f t="shared" si="17"/>
        <v>2.6134037247573797E-2</v>
      </c>
      <c r="AR109">
        <f t="shared" si="18"/>
        <v>-6.0386748022314002E-3</v>
      </c>
      <c r="AS109">
        <f t="shared" si="19"/>
        <v>8.6242930929248299E-2</v>
      </c>
      <c r="AT109">
        <f t="shared" si="20"/>
        <v>-1.3840801874341793E-2</v>
      </c>
    </row>
    <row r="110" spans="1:46" x14ac:dyDescent="0.25">
      <c r="A110" s="1">
        <v>49034</v>
      </c>
      <c r="B110">
        <f>wFG!B110-woFG!B110</f>
        <v>-1.102824464003499E-2</v>
      </c>
      <c r="C110">
        <f>wFG!C110-woFG!C110</f>
        <v>-1.0622978505454489E-15</v>
      </c>
      <c r="D110">
        <f>wFG!D110-woFG!D110</f>
        <v>-1.8308597272331611E-2</v>
      </c>
      <c r="E110">
        <f>wFG!E110-woFG!E110</f>
        <v>-4.4891758131373705E-10</v>
      </c>
      <c r="F110">
        <f>wFG!F110-woFG!F110</f>
        <v>-0.1861242824779529</v>
      </c>
      <c r="G110">
        <f>wFG!G110-woFG!G110</f>
        <v>2.57440320941189E-2</v>
      </c>
      <c r="H110">
        <f>wFG!H110-woFG!H110</f>
        <v>-5.7232153103838057E-3</v>
      </c>
      <c r="I110">
        <f>wFG!I110-woFG!I110</f>
        <v>7.2115510954648797E-17</v>
      </c>
      <c r="J110">
        <f>wFG!J110-woFG!J110</f>
        <v>-1.8111484993172051E-15</v>
      </c>
      <c r="K110">
        <f>wFG!K110-woFG!K110</f>
        <v>-2.4945615568530498E-15</v>
      </c>
      <c r="L110">
        <f>wFG!L110-woFG!L110</f>
        <v>-1.1346412698231598E-2</v>
      </c>
      <c r="M110">
        <f>wFG!M110-woFG!M110</f>
        <v>0</v>
      </c>
      <c r="N110">
        <f>wFG!N110-woFG!N110</f>
        <v>0</v>
      </c>
      <c r="O110">
        <f>wFG!O110-woFG!O110</f>
        <v>2.0103174063856707E-14</v>
      </c>
      <c r="P110">
        <f>wFG!P110-woFG!P110</f>
        <v>0</v>
      </c>
      <c r="Q110">
        <f>wFG!Q110-woFG!Q110</f>
        <v>8.5483794407034699E-2</v>
      </c>
      <c r="R110">
        <f>wFG!R110-woFG!R110</f>
        <v>0</v>
      </c>
      <c r="S110">
        <f>wFG!S110-woFG!S110</f>
        <v>0</v>
      </c>
      <c r="T110">
        <f>wFG!T110-woFG!T110</f>
        <v>0</v>
      </c>
      <c r="U110">
        <f>wFG!U110-woFG!U110</f>
        <v>0</v>
      </c>
      <c r="V110">
        <f>wFG!V110-woFG!V110</f>
        <v>0</v>
      </c>
      <c r="W110">
        <f>wFG!W110-woFG!W110</f>
        <v>0</v>
      </c>
      <c r="X110">
        <f>wFG!X110-woFG!X110</f>
        <v>0</v>
      </c>
      <c r="Y110">
        <f>wFG!Y110-woFG!Y110</f>
        <v>8.282417275313099E-16</v>
      </c>
      <c r="Z110">
        <f>wFG!Z110-woFG!Z110</f>
        <v>-1.426777691760344E-15</v>
      </c>
      <c r="AA110">
        <f>wFG!AA110-woFG!AA110</f>
        <v>6.9967678494907602E-16</v>
      </c>
      <c r="AB110">
        <f>wFG!AB110-woFG!AB110</f>
        <v>-8.436457754185402E-17</v>
      </c>
      <c r="AC110">
        <f>wFG!AC110-woFG!AC110</f>
        <v>2.2386219599678872E-15</v>
      </c>
      <c r="AD110">
        <f>wFG!AD110-woFG!AD110</f>
        <v>6.1939158841289298E-15</v>
      </c>
      <c r="AE110">
        <f>wFG!AE110-woFG!AE110</f>
        <v>-2.22823284480567E-3</v>
      </c>
      <c r="AF110">
        <f>wFG!AF110-woFG!AF110</f>
        <v>-0.123531159191483</v>
      </c>
      <c r="AK110" s="1">
        <f t="shared" si="11"/>
        <v>49034</v>
      </c>
      <c r="AL110">
        <f t="shared" si="12"/>
        <v>-1.102824464003499E-2</v>
      </c>
      <c r="AM110">
        <f t="shared" si="13"/>
        <v>-1.0622978505454489E-15</v>
      </c>
      <c r="AN110">
        <f t="shared" si="14"/>
        <v>-1.8308597272331611E-2</v>
      </c>
      <c r="AO110">
        <f t="shared" si="15"/>
        <v>-4.4891758131373705E-10</v>
      </c>
      <c r="AP110">
        <f t="shared" si="16"/>
        <v>-0.1861242824779529</v>
      </c>
      <c r="AQ110">
        <f t="shared" si="17"/>
        <v>2.57440320941189E-2</v>
      </c>
      <c r="AR110">
        <f t="shared" si="18"/>
        <v>-5.7232153103838057E-3</v>
      </c>
      <c r="AS110">
        <f t="shared" si="19"/>
        <v>8.5483794407034699E-2</v>
      </c>
      <c r="AT110">
        <f t="shared" si="20"/>
        <v>-1.3574645543014643E-2</v>
      </c>
    </row>
    <row r="111" spans="1:46" x14ac:dyDescent="0.25">
      <c r="A111" s="1">
        <v>49125</v>
      </c>
      <c r="B111">
        <f>wFG!B111-woFG!B111</f>
        <v>-1.0896973857793008E-2</v>
      </c>
      <c r="C111">
        <f>wFG!C111-woFG!C111</f>
        <v>-1.0626267221547677E-15</v>
      </c>
      <c r="D111">
        <f>wFG!D111-woFG!D111</f>
        <v>-1.8125511299607711E-2</v>
      </c>
      <c r="E111">
        <f>wFG!E111-woFG!E111</f>
        <v>-3.1271422171717104E-10</v>
      </c>
      <c r="F111">
        <f>wFG!F111-woFG!F111</f>
        <v>-0.18426303965317298</v>
      </c>
      <c r="G111">
        <f>wFG!G111-woFG!G111</f>
        <v>2.5357791888590199E-2</v>
      </c>
      <c r="H111">
        <f>wFG!H111-woFG!H111</f>
        <v>-5.4239100375115049E-3</v>
      </c>
      <c r="I111">
        <f>wFG!I111-woFG!I111</f>
        <v>7.0316938782809401E-17</v>
      </c>
      <c r="J111">
        <f>wFG!J111-woFG!J111</f>
        <v>-1.8162652667088951E-15</v>
      </c>
      <c r="K111">
        <f>wFG!K111-woFG!K111</f>
        <v>-2.4583481054150502E-15</v>
      </c>
      <c r="L111">
        <f>wFG!L111-woFG!L111</f>
        <v>-1.1107493300238198E-2</v>
      </c>
      <c r="M111">
        <f>wFG!M111-woFG!M111</f>
        <v>0</v>
      </c>
      <c r="N111">
        <f>wFG!N111-woFG!N111</f>
        <v>0</v>
      </c>
      <c r="O111">
        <f>wFG!O111-woFG!O111</f>
        <v>2.0125734797848602E-14</v>
      </c>
      <c r="P111">
        <f>wFG!P111-woFG!P111</f>
        <v>0</v>
      </c>
      <c r="Q111">
        <f>wFG!Q111-woFG!Q111</f>
        <v>8.4729394505939609E-2</v>
      </c>
      <c r="R111">
        <f>wFG!R111-woFG!R111</f>
        <v>0</v>
      </c>
      <c r="S111">
        <f>wFG!S111-woFG!S111</f>
        <v>0</v>
      </c>
      <c r="T111">
        <f>wFG!T111-woFG!T111</f>
        <v>0</v>
      </c>
      <c r="U111">
        <f>wFG!U111-woFG!U111</f>
        <v>0</v>
      </c>
      <c r="V111">
        <f>wFG!V111-woFG!V111</f>
        <v>0</v>
      </c>
      <c r="W111">
        <f>wFG!W111-woFG!W111</f>
        <v>0</v>
      </c>
      <c r="X111">
        <f>wFG!X111-woFG!X111</f>
        <v>0</v>
      </c>
      <c r="Y111">
        <f>wFG!Y111-woFG!Y111</f>
        <v>8.1740220530478107E-16</v>
      </c>
      <c r="Z111">
        <f>wFG!Z111-woFG!Z111</f>
        <v>-1.4086110055774679E-15</v>
      </c>
      <c r="AA111">
        <f>wFG!AA111-woFG!AA111</f>
        <v>6.9239068831022905E-16</v>
      </c>
      <c r="AB111">
        <f>wFG!AB111-woFG!AB111</f>
        <v>-8.2447660983351027E-17</v>
      </c>
      <c r="AC111">
        <f>wFG!AC111-woFG!AC111</f>
        <v>2.2145254613776921E-15</v>
      </c>
      <c r="AD111">
        <f>wFG!AD111-woFG!AD111</f>
        <v>6.1251324728016495E-15</v>
      </c>
      <c r="AE111">
        <f>wFG!AE111-woFG!AE111</f>
        <v>-2.2058298809585694E-3</v>
      </c>
      <c r="AF111">
        <f>wFG!AF111-woFG!AF111</f>
        <v>-0.12193557194744598</v>
      </c>
      <c r="AK111" s="1">
        <f t="shared" si="11"/>
        <v>49125</v>
      </c>
      <c r="AL111">
        <f t="shared" si="12"/>
        <v>-1.0896973857793008E-2</v>
      </c>
      <c r="AM111">
        <f t="shared" si="13"/>
        <v>-1.0626267221547677E-15</v>
      </c>
      <c r="AN111">
        <f t="shared" si="14"/>
        <v>-1.8125511299607711E-2</v>
      </c>
      <c r="AO111">
        <f t="shared" si="15"/>
        <v>-3.1271422171717104E-10</v>
      </c>
      <c r="AP111">
        <f t="shared" si="16"/>
        <v>-0.18426303965317298</v>
      </c>
      <c r="AQ111">
        <f t="shared" si="17"/>
        <v>2.5357791888590199E-2</v>
      </c>
      <c r="AR111">
        <f t="shared" si="18"/>
        <v>-5.4239100375115049E-3</v>
      </c>
      <c r="AS111">
        <f t="shared" si="19"/>
        <v>8.4729394505939609E-2</v>
      </c>
      <c r="AT111">
        <f t="shared" si="20"/>
        <v>-1.3313323181175313E-2</v>
      </c>
    </row>
    <row r="112" spans="1:46" x14ac:dyDescent="0.25">
      <c r="A112" s="1">
        <v>49217</v>
      </c>
      <c r="B112">
        <f>wFG!B112-woFG!B112</f>
        <v>-1.0767388399714986E-2</v>
      </c>
      <c r="C112">
        <f>wFG!C112-woFG!C112</f>
        <v>-1.0604754509980736E-15</v>
      </c>
      <c r="D112">
        <f>wFG!D112-woFG!D112</f>
        <v>-1.7944256186612204E-2</v>
      </c>
      <c r="E112">
        <f>wFG!E112-woFG!E112</f>
        <v>-2.1783619012891696E-10</v>
      </c>
      <c r="F112">
        <f>wFG!F112-woFG!F112</f>
        <v>-0.18242040925664171</v>
      </c>
      <c r="G112">
        <f>wFG!G112-woFG!G112</f>
        <v>2.4975344481029102E-2</v>
      </c>
      <c r="H112">
        <f>wFG!H112-woFG!H112</f>
        <v>-5.1399439660504004E-3</v>
      </c>
      <c r="I112">
        <f>wFG!I112-woFG!I112</f>
        <v>6.8559204018950312E-17</v>
      </c>
      <c r="J112">
        <f>wFG!J112-woFG!J112</f>
        <v>-1.8208244826471981E-15</v>
      </c>
      <c r="K112">
        <f>wFG!K112-woFG!K112</f>
        <v>-2.4229372438273819E-15</v>
      </c>
      <c r="L112">
        <f>wFG!L112-woFG!L112</f>
        <v>-1.08731900308335E-2</v>
      </c>
      <c r="M112">
        <f>wFG!M112-woFG!M112</f>
        <v>0</v>
      </c>
      <c r="N112">
        <f>wFG!N112-woFG!N112</f>
        <v>0</v>
      </c>
      <c r="O112">
        <f>wFG!O112-woFG!O112</f>
        <v>2.0145191304464409E-14</v>
      </c>
      <c r="P112">
        <f>wFG!P112-woFG!P112</f>
        <v>0</v>
      </c>
      <c r="Q112">
        <f>wFG!Q112-woFG!Q112</f>
        <v>8.3979800314736008E-2</v>
      </c>
      <c r="R112">
        <f>wFG!R112-woFG!R112</f>
        <v>0</v>
      </c>
      <c r="S112">
        <f>wFG!S112-woFG!S112</f>
        <v>0</v>
      </c>
      <c r="T112">
        <f>wFG!T112-woFG!T112</f>
        <v>0</v>
      </c>
      <c r="U112">
        <f>wFG!U112-woFG!U112</f>
        <v>0</v>
      </c>
      <c r="V112">
        <f>wFG!V112-woFG!V112</f>
        <v>0</v>
      </c>
      <c r="W112">
        <f>wFG!W112-woFG!W112</f>
        <v>0</v>
      </c>
      <c r="X112">
        <f>wFG!X112-woFG!X112</f>
        <v>0</v>
      </c>
      <c r="Y112">
        <f>wFG!Y112-woFG!Y112</f>
        <v>8.0678467146198696E-16</v>
      </c>
      <c r="Z112">
        <f>wFG!Z112-woFG!Z112</f>
        <v>-1.390826383675812E-15</v>
      </c>
      <c r="AA112">
        <f>wFG!AA112-woFG!AA112</f>
        <v>6.8518399058126702E-16</v>
      </c>
      <c r="AB112">
        <f>wFG!AB112-woFG!AB112</f>
        <v>-8.0616540281278067E-17</v>
      </c>
      <c r="AC112">
        <f>wFG!AC112-woFG!AC112</f>
        <v>2.1907774802543952E-15</v>
      </c>
      <c r="AD112">
        <f>wFG!AD112-woFG!AD112</f>
        <v>6.05740950674139E-15</v>
      </c>
      <c r="AE112">
        <f>wFG!AE112-woFG!AE112</f>
        <v>-2.1836597374795489E-3</v>
      </c>
      <c r="AF112">
        <f>wFG!AF112-woFG!AF112</f>
        <v>-0.12037370299938099</v>
      </c>
      <c r="AK112" s="1">
        <f t="shared" si="11"/>
        <v>49217</v>
      </c>
      <c r="AL112">
        <f t="shared" si="12"/>
        <v>-1.0767388399714986E-2</v>
      </c>
      <c r="AM112">
        <f t="shared" si="13"/>
        <v>-1.0604754509980736E-15</v>
      </c>
      <c r="AN112">
        <f t="shared" si="14"/>
        <v>-1.7944256186612204E-2</v>
      </c>
      <c r="AO112">
        <f t="shared" si="15"/>
        <v>-2.1783619012891696E-10</v>
      </c>
      <c r="AP112">
        <f t="shared" si="16"/>
        <v>-0.18242040925664171</v>
      </c>
      <c r="AQ112">
        <f t="shared" si="17"/>
        <v>2.4975344481029102E-2</v>
      </c>
      <c r="AR112">
        <f t="shared" si="18"/>
        <v>-5.1399439660504004E-3</v>
      </c>
      <c r="AS112">
        <f t="shared" si="19"/>
        <v>8.3979800314736008E-2</v>
      </c>
      <c r="AT112">
        <f t="shared" si="20"/>
        <v>-1.305684976828958E-2</v>
      </c>
    </row>
    <row r="113" spans="1:46" x14ac:dyDescent="0.25">
      <c r="A113" s="1">
        <v>49309</v>
      </c>
      <c r="B113">
        <f>wFG!B113-woFG!B113</f>
        <v>-1.0639464214338992E-2</v>
      </c>
      <c r="C113">
        <f>wFG!C113-woFG!C113</f>
        <v>-1.0569930887428228E-15</v>
      </c>
      <c r="D113">
        <f>wFG!D113-woFG!D113</f>
        <v>-1.7764813624745801E-2</v>
      </c>
      <c r="E113">
        <f>wFG!E113-woFG!E113</f>
        <v>-1.5174500425651197E-10</v>
      </c>
      <c r="F113">
        <f>wFG!F113-woFG!F113</f>
        <v>-0.18059620516407501</v>
      </c>
      <c r="G113">
        <f>wFG!G113-woFG!G113</f>
        <v>2.4596716504276302E-2</v>
      </c>
      <c r="H113">
        <f>wFG!H113-woFG!H113</f>
        <v>-4.870540376263402E-3</v>
      </c>
      <c r="I113">
        <f>wFG!I113-woFG!I113</f>
        <v>6.6843089425100609E-17</v>
      </c>
      <c r="J113">
        <f>wFG!J113-woFG!J113</f>
        <v>-1.8248453162735005E-15</v>
      </c>
      <c r="K113">
        <f>wFG!K113-woFG!K113</f>
        <v>-2.388287536961739E-15</v>
      </c>
      <c r="L113">
        <f>wFG!L113-woFG!L113</f>
        <v>-1.0643505253609305E-2</v>
      </c>
      <c r="M113">
        <f>wFG!M113-woFG!M113</f>
        <v>0</v>
      </c>
      <c r="N113">
        <f>wFG!N113-woFG!N113</f>
        <v>0</v>
      </c>
      <c r="O113">
        <f>wFG!O113-woFG!O113</f>
        <v>2.0161622490097808E-14</v>
      </c>
      <c r="P113">
        <f>wFG!P113-woFG!P113</f>
        <v>0</v>
      </c>
      <c r="Q113">
        <f>wFG!Q113-woFG!Q113</f>
        <v>8.3235071504180386E-2</v>
      </c>
      <c r="R113">
        <f>wFG!R113-woFG!R113</f>
        <v>0</v>
      </c>
      <c r="S113">
        <f>wFG!S113-woFG!S113</f>
        <v>0</v>
      </c>
      <c r="T113">
        <f>wFG!T113-woFG!T113</f>
        <v>0</v>
      </c>
      <c r="U113">
        <f>wFG!U113-woFG!U113</f>
        <v>0</v>
      </c>
      <c r="V113">
        <f>wFG!V113-woFG!V113</f>
        <v>0</v>
      </c>
      <c r="W113">
        <f>wFG!W113-woFG!W113</f>
        <v>0</v>
      </c>
      <c r="X113">
        <f>wFG!X113-woFG!X113</f>
        <v>0</v>
      </c>
      <c r="Y113">
        <f>wFG!Y113-woFG!Y113</f>
        <v>7.9638166545726187E-16</v>
      </c>
      <c r="Z113">
        <f>wFG!Z113-woFG!Z113</f>
        <v>-1.3734143226742388E-15</v>
      </c>
      <c r="AA113">
        <f>wFG!AA113-woFG!AA113</f>
        <v>6.7805500419761696E-16</v>
      </c>
      <c r="AB113">
        <f>wFG!AB113-woFG!AB113</f>
        <v>-7.8868908154174972E-17</v>
      </c>
      <c r="AC113">
        <f>wFG!AC113-woFG!AC113</f>
        <v>2.167367185198752E-15</v>
      </c>
      <c r="AD113">
        <f>wFG!AD113-woFG!AD113</f>
        <v>5.9907208280549304E-15</v>
      </c>
      <c r="AE113">
        <f>wFG!AE113-woFG!AE113</f>
        <v>-2.16171989442006E-3</v>
      </c>
      <c r="AF113">
        <f>wFG!AF113-woFG!AF113</f>
        <v>-0.11884446067071802</v>
      </c>
      <c r="AK113" s="1">
        <f t="shared" si="11"/>
        <v>49309</v>
      </c>
      <c r="AL113">
        <f t="shared" si="12"/>
        <v>-1.0639464214338992E-2</v>
      </c>
      <c r="AM113">
        <f t="shared" si="13"/>
        <v>-1.0569930887428228E-15</v>
      </c>
      <c r="AN113">
        <f t="shared" si="14"/>
        <v>-1.7764813624745801E-2</v>
      </c>
      <c r="AO113">
        <f t="shared" si="15"/>
        <v>-1.5174500425651197E-10</v>
      </c>
      <c r="AP113">
        <f t="shared" si="16"/>
        <v>-0.18059620516407501</v>
      </c>
      <c r="AQ113">
        <f t="shared" si="17"/>
        <v>2.4596716504276302E-2</v>
      </c>
      <c r="AR113">
        <f t="shared" si="18"/>
        <v>-4.870540376263402E-3</v>
      </c>
      <c r="AS113">
        <f t="shared" si="19"/>
        <v>8.3235071504180386E-2</v>
      </c>
      <c r="AT113">
        <f t="shared" si="20"/>
        <v>-1.2805225148005445E-2</v>
      </c>
    </row>
    <row r="114" spans="1:46" x14ac:dyDescent="0.25">
      <c r="A114" s="1">
        <v>49399</v>
      </c>
      <c r="B114">
        <f>wFG!B114-woFG!B114</f>
        <v>-1.0513177611331012E-2</v>
      </c>
      <c r="C114">
        <f>wFG!C114-woFG!C114</f>
        <v>-1.0527784735771777E-15</v>
      </c>
      <c r="D114">
        <f>wFG!D114-woFG!D114</f>
        <v>-1.7587165488498299E-2</v>
      </c>
      <c r="E114">
        <f>wFG!E114-woFG!E114</f>
        <v>-1.0570647195402403E-10</v>
      </c>
      <c r="F114">
        <f>wFG!F114-woFG!F114</f>
        <v>-0.1787902431124348</v>
      </c>
      <c r="G114">
        <f>wFG!G114-woFG!G114</f>
        <v>2.4221933080037696E-2</v>
      </c>
      <c r="H114">
        <f>wFG!H114-woFG!H114</f>
        <v>-4.6149594590626994E-3</v>
      </c>
      <c r="I114">
        <f>wFG!I114-woFG!I114</f>
        <v>6.5169094764780213E-17</v>
      </c>
      <c r="J114">
        <f>wFG!J114-woFG!J114</f>
        <v>-1.8283461263121981E-15</v>
      </c>
      <c r="K114">
        <f>wFG!K114-woFG!K114</f>
        <v>-2.3543609679326351E-15</v>
      </c>
      <c r="L114">
        <f>wFG!L114-woFG!L114</f>
        <v>-1.0418428244930701E-2</v>
      </c>
      <c r="M114">
        <f>wFG!M114-woFG!M114</f>
        <v>0</v>
      </c>
      <c r="N114">
        <f>wFG!N114-woFG!N114</f>
        <v>0</v>
      </c>
      <c r="O114">
        <f>wFG!O114-woFG!O114</f>
        <v>2.0175105370193793E-14</v>
      </c>
      <c r="P114">
        <f>wFG!P114-woFG!P114</f>
        <v>0</v>
      </c>
      <c r="Q114">
        <f>wFG!Q114-woFG!Q114</f>
        <v>8.2495259377065297E-2</v>
      </c>
      <c r="R114">
        <f>wFG!R114-woFG!R114</f>
        <v>0</v>
      </c>
      <c r="S114">
        <f>wFG!S114-woFG!S114</f>
        <v>0</v>
      </c>
      <c r="T114">
        <f>wFG!T114-woFG!T114</f>
        <v>0</v>
      </c>
      <c r="U114">
        <f>wFG!U114-woFG!U114</f>
        <v>0</v>
      </c>
      <c r="V114">
        <f>wFG!V114-woFG!V114</f>
        <v>0</v>
      </c>
      <c r="W114">
        <f>wFG!W114-woFG!W114</f>
        <v>0</v>
      </c>
      <c r="X114">
        <f>wFG!X114-woFG!X114</f>
        <v>0</v>
      </c>
      <c r="Y114">
        <f>wFG!Y114-woFG!Y114</f>
        <v>7.8618586016490192E-16</v>
      </c>
      <c r="Z114">
        <f>wFG!Z114-woFG!Z114</f>
        <v>-1.356364588177381E-15</v>
      </c>
      <c r="AA114">
        <f>wFG!AA114-woFG!AA114</f>
        <v>6.7100227538377604E-16</v>
      </c>
      <c r="AB114">
        <f>wFG!AB114-woFG!AB114</f>
        <v>-7.7202021713224037E-17</v>
      </c>
      <c r="AC114">
        <f>wFG!AC114-woFG!AC114</f>
        <v>2.144284205712695E-15</v>
      </c>
      <c r="AD114">
        <f>wFG!AD114-woFG!AD114</f>
        <v>5.9250399786279703E-15</v>
      </c>
      <c r="AE114">
        <f>wFG!AE114-woFG!AE114</f>
        <v>-2.1400078608027114E-3</v>
      </c>
      <c r="AF114">
        <f>wFG!AF114-woFG!AF114</f>
        <v>-0.117346789425642</v>
      </c>
      <c r="AK114" s="1">
        <f t="shared" si="11"/>
        <v>49399</v>
      </c>
      <c r="AL114">
        <f t="shared" si="12"/>
        <v>-1.0513177611331012E-2</v>
      </c>
      <c r="AM114">
        <f t="shared" si="13"/>
        <v>-1.0527784735771777E-15</v>
      </c>
      <c r="AN114">
        <f t="shared" si="14"/>
        <v>-1.7587165488498299E-2</v>
      </c>
      <c r="AO114">
        <f t="shared" si="15"/>
        <v>-1.0570647195402403E-10</v>
      </c>
      <c r="AP114">
        <f t="shared" si="16"/>
        <v>-0.1787902431124348</v>
      </c>
      <c r="AQ114">
        <f t="shared" si="17"/>
        <v>2.4221933080037696E-2</v>
      </c>
      <c r="AR114">
        <f t="shared" si="18"/>
        <v>-4.6149594590626994E-3</v>
      </c>
      <c r="AS114">
        <f t="shared" si="19"/>
        <v>8.2495259377065297E-2</v>
      </c>
      <c r="AT114">
        <f t="shared" si="20"/>
        <v>-1.2558436105710655E-2</v>
      </c>
    </row>
    <row r="115" spans="1:46" x14ac:dyDescent="0.25">
      <c r="A115" s="1">
        <v>49490</v>
      </c>
      <c r="B115">
        <f>wFG!B115-woFG!B115</f>
        <v>-1.0388505259444999E-2</v>
      </c>
      <c r="C115">
        <f>wFG!C115-woFG!C115</f>
        <v>-1.0481447157304916E-15</v>
      </c>
      <c r="D115">
        <f>wFG!D115-woFG!D115</f>
        <v>-1.7411293833613908E-2</v>
      </c>
      <c r="E115">
        <f>wFG!E115-woFG!E115</f>
        <v>-7.3636434816989011E-11</v>
      </c>
      <c r="F115">
        <f>wFG!F115-woFG!F115</f>
        <v>-0.17700234068130988</v>
      </c>
      <c r="G115">
        <f>wFG!G115-woFG!G115</f>
        <v>2.3851017592553196E-2</v>
      </c>
      <c r="H115">
        <f>wFG!H115-woFG!H115</f>
        <v>-4.3724969200108973E-3</v>
      </c>
      <c r="I115">
        <f>wFG!I115-woFG!I115</f>
        <v>6.3537464903100178E-17</v>
      </c>
      <c r="J115">
        <f>wFG!J115-woFG!J115</f>
        <v>-1.8313445047168939E-15</v>
      </c>
      <c r="K115">
        <f>wFG!K115-woFG!K115</f>
        <v>-2.3211227006508008E-15</v>
      </c>
      <c r="L115">
        <f>wFG!L115-woFG!L115</f>
        <v>-1.0197937023580406E-2</v>
      </c>
      <c r="M115">
        <f>wFG!M115-woFG!M115</f>
        <v>0</v>
      </c>
      <c r="N115">
        <f>wFG!N115-woFG!N115</f>
        <v>0</v>
      </c>
      <c r="O115">
        <f>wFG!O115-woFG!O115</f>
        <v>2.0185715094344895E-14</v>
      </c>
      <c r="P115">
        <f>wFG!P115-woFG!P115</f>
        <v>0</v>
      </c>
      <c r="Q115">
        <f>wFG!Q115-woFG!Q115</f>
        <v>8.1760407787402289E-2</v>
      </c>
      <c r="R115">
        <f>wFG!R115-woFG!R115</f>
        <v>0</v>
      </c>
      <c r="S115">
        <f>wFG!S115-woFG!S115</f>
        <v>0</v>
      </c>
      <c r="T115">
        <f>wFG!T115-woFG!T115</f>
        <v>0</v>
      </c>
      <c r="U115">
        <f>wFG!U115-woFG!U115</f>
        <v>0</v>
      </c>
      <c r="V115">
        <f>wFG!V115-woFG!V115</f>
        <v>0</v>
      </c>
      <c r="W115">
        <f>wFG!W115-woFG!W115</f>
        <v>0</v>
      </c>
      <c r="X115">
        <f>wFG!X115-woFG!X115</f>
        <v>0</v>
      </c>
      <c r="Y115">
        <f>wFG!Y115-woFG!Y115</f>
        <v>7.7619009327898306E-16</v>
      </c>
      <c r="Z115">
        <f>wFG!Z115-woFG!Z115</f>
        <v>-1.339666422874319E-15</v>
      </c>
      <c r="AA115">
        <f>wFG!AA115-woFG!AA115</f>
        <v>6.6402453982376903E-16</v>
      </c>
      <c r="AB115">
        <f>wFG!AB115-woFG!AB115</f>
        <v>-7.5612810652158949E-17</v>
      </c>
      <c r="AC115">
        <f>wFG!AC115-woFG!AC115</f>
        <v>2.1215186365217222E-15</v>
      </c>
      <c r="AD115">
        <f>wFG!AD115-woFG!AD115</f>
        <v>5.8603404428649393E-15</v>
      </c>
      <c r="AE115">
        <f>wFG!AE115-woFG!AE115</f>
        <v>-2.1185211742586786E-3</v>
      </c>
      <c r="AF115">
        <f>wFG!AF115-woFG!AF115</f>
        <v>-0.11587966958587803</v>
      </c>
      <c r="AK115" s="1">
        <f t="shared" si="11"/>
        <v>49490</v>
      </c>
      <c r="AL115">
        <f t="shared" si="12"/>
        <v>-1.0388505259444999E-2</v>
      </c>
      <c r="AM115">
        <f t="shared" si="13"/>
        <v>-1.0481447157304916E-15</v>
      </c>
      <c r="AN115">
        <f t="shared" si="14"/>
        <v>-1.7411293833613908E-2</v>
      </c>
      <c r="AO115">
        <f t="shared" si="15"/>
        <v>-7.3636434816989011E-11</v>
      </c>
      <c r="AP115">
        <f t="shared" si="16"/>
        <v>-0.17700234068130988</v>
      </c>
      <c r="AQ115">
        <f t="shared" si="17"/>
        <v>2.3851017592553196E-2</v>
      </c>
      <c r="AR115">
        <f t="shared" si="18"/>
        <v>-4.3724969200108973E-3</v>
      </c>
      <c r="AS115">
        <f t="shared" si="19"/>
        <v>8.1760407787402289E-2</v>
      </c>
      <c r="AT115">
        <f t="shared" si="20"/>
        <v>-1.2316458197816349E-2</v>
      </c>
    </row>
    <row r="116" spans="1:46" x14ac:dyDescent="0.25">
      <c r="A116" s="1">
        <v>49582</v>
      </c>
      <c r="B116">
        <f>wFG!B116-woFG!B116</f>
        <v>-1.0265424183932004E-2</v>
      </c>
      <c r="C116">
        <f>wFG!C116-woFG!C116</f>
        <v>-1.0432564995727101E-15</v>
      </c>
      <c r="D116">
        <f>wFG!D116-woFG!D116</f>
        <v>-1.7237180895277801E-2</v>
      </c>
      <c r="E116">
        <f>wFG!E116-woFG!E116</f>
        <v>-5.1296723721445199E-11</v>
      </c>
      <c r="F116">
        <f>wFG!F116-woFG!F116</f>
        <v>-0.17523231727449731</v>
      </c>
      <c r="G116">
        <f>wFG!G116-woFG!G116</f>
        <v>2.3483991517922104E-2</v>
      </c>
      <c r="H116">
        <f>wFG!H116-woFG!H116</f>
        <v>-4.1424825853822039E-3</v>
      </c>
      <c r="I116">
        <f>wFG!I116-woFG!I116</f>
        <v>6.19482172853597E-17</v>
      </c>
      <c r="J116">
        <f>wFG!J116-woFG!J116</f>
        <v>-1.8338573196713951E-15</v>
      </c>
      <c r="K116">
        <f>wFG!K116-woFG!K116</f>
        <v>-2.28854084411919E-15</v>
      </c>
      <c r="L116">
        <f>wFG!L116-woFG!L116</f>
        <v>-9.9819999608095969E-3</v>
      </c>
      <c r="M116">
        <f>wFG!M116-woFG!M116</f>
        <v>0</v>
      </c>
      <c r="N116">
        <f>wFG!N116-woFG!N116</f>
        <v>0</v>
      </c>
      <c r="O116">
        <f>wFG!O116-woFG!O116</f>
        <v>2.0193524977118796E-14</v>
      </c>
      <c r="P116">
        <f>wFG!P116-woFG!P116</f>
        <v>0</v>
      </c>
      <c r="Q116">
        <f>wFG!Q116-woFG!Q116</f>
        <v>8.1030553946363895E-2</v>
      </c>
      <c r="R116">
        <f>wFG!R116-woFG!R116</f>
        <v>0</v>
      </c>
      <c r="S116">
        <f>wFG!S116-woFG!S116</f>
        <v>0</v>
      </c>
      <c r="T116">
        <f>wFG!T116-woFG!T116</f>
        <v>0</v>
      </c>
      <c r="U116">
        <f>wFG!U116-woFG!U116</f>
        <v>0</v>
      </c>
      <c r="V116">
        <f>wFG!V116-woFG!V116</f>
        <v>0</v>
      </c>
      <c r="W116">
        <f>wFG!W116-woFG!W116</f>
        <v>0</v>
      </c>
      <c r="X116">
        <f>wFG!X116-woFG!X116</f>
        <v>0</v>
      </c>
      <c r="Y116">
        <f>wFG!Y116-woFG!Y116</f>
        <v>7.6638739282896593E-16</v>
      </c>
      <c r="Z116">
        <f>wFG!Z116-woFG!Z116</f>
        <v>-1.3233087265514299E-15</v>
      </c>
      <c r="AA116">
        <f>wFG!AA116-woFG!AA116</f>
        <v>6.5712068538812202E-16</v>
      </c>
      <c r="AB116">
        <f>wFG!AB116-woFG!AB116</f>
        <v>-7.4097970152189049E-17</v>
      </c>
      <c r="AC116">
        <f>wFG!AC116-woFG!AC116</f>
        <v>2.0990610365418922E-15</v>
      </c>
      <c r="AD116">
        <f>wFG!AD116-woFG!AD116</f>
        <v>5.7965958539120704E-15</v>
      </c>
      <c r="AE116">
        <f>wFG!AE116-woFG!AE116</f>
        <v>-2.0972574006703597E-3</v>
      </c>
      <c r="AF116">
        <f>wFG!AF116-woFG!AF116</f>
        <v>-0.11444211688755698</v>
      </c>
      <c r="AK116" s="1">
        <f t="shared" si="11"/>
        <v>49582</v>
      </c>
      <c r="AL116">
        <f t="shared" si="12"/>
        <v>-1.0265424183932004E-2</v>
      </c>
      <c r="AM116">
        <f t="shared" si="13"/>
        <v>-1.0432564995727101E-15</v>
      </c>
      <c r="AN116">
        <f t="shared" si="14"/>
        <v>-1.7237180895277801E-2</v>
      </c>
      <c r="AO116">
        <f t="shared" si="15"/>
        <v>-5.1296723721445199E-11</v>
      </c>
      <c r="AP116">
        <f t="shared" si="16"/>
        <v>-0.17523231727449731</v>
      </c>
      <c r="AQ116">
        <f t="shared" si="17"/>
        <v>2.3483991517922104E-2</v>
      </c>
      <c r="AR116">
        <f t="shared" si="18"/>
        <v>-4.1424825853822039E-3</v>
      </c>
      <c r="AS116">
        <f t="shared" si="19"/>
        <v>8.1030553946363895E-2</v>
      </c>
      <c r="AT116">
        <f t="shared" si="20"/>
        <v>-1.2079257361455917E-2</v>
      </c>
    </row>
    <row r="117" spans="1:46" x14ac:dyDescent="0.25">
      <c r="A117" s="1">
        <v>49674</v>
      </c>
      <c r="B117">
        <f>wFG!B117-woFG!B117</f>
        <v>-1.014391176350099E-2</v>
      </c>
      <c r="C117">
        <f>wFG!C117-woFG!C117</f>
        <v>-1.0382013640425553E-15</v>
      </c>
      <c r="D117">
        <f>wFG!D117-woFG!D117</f>
        <v>-1.7064809086325003E-2</v>
      </c>
      <c r="E117">
        <f>wFG!E117-woFG!E117</f>
        <v>-3.5735068802047693E-11</v>
      </c>
      <c r="F117">
        <f>wFG!F117-woFG!F117</f>
        <v>-0.1734799941017518</v>
      </c>
      <c r="G117">
        <f>wFG!G117-woFG!G117</f>
        <v>2.3120874299251096E-2</v>
      </c>
      <c r="H117">
        <f>wFG!H117-woFG!H117</f>
        <v>-3.924279019252401E-3</v>
      </c>
      <c r="I117">
        <f>wFG!I117-woFG!I117</f>
        <v>6.0401168458130085E-17</v>
      </c>
      <c r="J117">
        <f>wFG!J117-woFG!J117</f>
        <v>-1.8359007574511979E-15</v>
      </c>
      <c r="K117">
        <f>wFG!K117-woFG!K117</f>
        <v>-2.256586221861093E-15</v>
      </c>
      <c r="L117">
        <f>wFG!L117-woFG!L117</f>
        <v>-9.7705771962413035E-3</v>
      </c>
      <c r="M117">
        <f>wFG!M117-woFG!M117</f>
        <v>0</v>
      </c>
      <c r="N117">
        <f>wFG!N117-woFG!N117</f>
        <v>0</v>
      </c>
      <c r="O117">
        <f>wFG!O117-woFG!O117</f>
        <v>2.0198606533447008E-14</v>
      </c>
      <c r="P117">
        <f>wFG!P117-woFG!P117</f>
        <v>0</v>
      </c>
      <c r="Q117">
        <f>wFG!Q117-woFG!Q117</f>
        <v>8.0305729130009204E-2</v>
      </c>
      <c r="R117">
        <f>wFG!R117-woFG!R117</f>
        <v>0</v>
      </c>
      <c r="S117">
        <f>wFG!S117-woFG!S117</f>
        <v>0</v>
      </c>
      <c r="T117">
        <f>wFG!T117-woFG!T117</f>
        <v>0</v>
      </c>
      <c r="U117">
        <f>wFG!U117-woFG!U117</f>
        <v>0</v>
      </c>
      <c r="V117">
        <f>wFG!V117-woFG!V117</f>
        <v>0</v>
      </c>
      <c r="W117">
        <f>wFG!W117-woFG!W117</f>
        <v>0</v>
      </c>
      <c r="X117">
        <f>wFG!X117-woFG!X117</f>
        <v>0</v>
      </c>
      <c r="Y117">
        <f>wFG!Y117-woFG!Y117</f>
        <v>7.5677099738810105E-16</v>
      </c>
      <c r="Z117">
        <f>wFG!Z117-woFG!Z117</f>
        <v>-1.307280210426431E-15</v>
      </c>
      <c r="AA117">
        <f>wFG!AA117-woFG!AA117</f>
        <v>6.5028972099953303E-16</v>
      </c>
      <c r="AB117">
        <f>wFG!AB117-woFG!AB117</f>
        <v>-7.2654040012722916E-17</v>
      </c>
      <c r="AC117">
        <f>wFG!AC117-woFG!AC117</f>
        <v>2.0769024234218442E-15</v>
      </c>
      <c r="AD117">
        <f>wFG!AD117-woFG!AD117</f>
        <v>5.7337801666776703E-15</v>
      </c>
      <c r="AE117">
        <f>wFG!AE117-woFG!AE117</f>
        <v>-2.0762141338187198E-3</v>
      </c>
      <c r="AF117">
        <f>wFG!AF117-woFG!AF117</f>
        <v>-0.11303318190734399</v>
      </c>
      <c r="AK117" s="1">
        <f t="shared" si="11"/>
        <v>49674</v>
      </c>
      <c r="AL117">
        <f t="shared" si="12"/>
        <v>-1.014391176350099E-2</v>
      </c>
      <c r="AM117">
        <f t="shared" si="13"/>
        <v>-1.0382013640425553E-15</v>
      </c>
      <c r="AN117">
        <f t="shared" si="14"/>
        <v>-1.7064809086325003E-2</v>
      </c>
      <c r="AO117">
        <f t="shared" si="15"/>
        <v>-3.5735068802047693E-11</v>
      </c>
      <c r="AP117">
        <f t="shared" si="16"/>
        <v>-0.1734799941017518</v>
      </c>
      <c r="AQ117">
        <f t="shared" si="17"/>
        <v>2.3120874299251096E-2</v>
      </c>
      <c r="AR117">
        <f t="shared" si="18"/>
        <v>-3.924279019252401E-3</v>
      </c>
      <c r="AS117">
        <f t="shared" si="19"/>
        <v>8.0305729130009204E-2</v>
      </c>
      <c r="AT117">
        <f t="shared" si="20"/>
        <v>-1.1846791330037978E-2</v>
      </c>
    </row>
    <row r="118" spans="1:46" x14ac:dyDescent="0.25">
      <c r="A118" s="1">
        <v>49765</v>
      </c>
      <c r="B118">
        <f>wFG!B118-woFG!B118</f>
        <v>-1.0023945726895994E-2</v>
      </c>
      <c r="C118">
        <f>wFG!C118-woFG!C118</f>
        <v>-1.0330267106214186E-15</v>
      </c>
      <c r="D118">
        <f>wFG!D118-woFG!D118</f>
        <v>-1.6894160995461802E-2</v>
      </c>
      <c r="E118">
        <f>wFG!E118-woFG!E118</f>
        <v>-2.4894945862496296E-11</v>
      </c>
      <c r="F118">
        <f>wFG!F118-woFG!F118</f>
        <v>-0.171745194160735</v>
      </c>
      <c r="G118">
        <f>wFG!G118-woFG!G118</f>
        <v>2.2761683259517797E-2</v>
      </c>
      <c r="H118">
        <f>wFG!H118-woFG!H118</f>
        <v>-3.7172801589599042E-3</v>
      </c>
      <c r="I118">
        <f>wFG!I118-woFG!I118</f>
        <v>5.8895959372179692E-17</v>
      </c>
      <c r="J118">
        <f>wFG!J118-woFG!J118</f>
        <v>-1.8374903627797996E-15</v>
      </c>
      <c r="K118">
        <f>wFG!K118-woFG!K118</f>
        <v>-2.2252321490690211E-15</v>
      </c>
      <c r="L118">
        <f>wFG!L118-woFG!L118</f>
        <v>-9.5636218821961022E-3</v>
      </c>
      <c r="M118">
        <f>wFG!M118-woFG!M118</f>
        <v>0</v>
      </c>
      <c r="N118">
        <f>wFG!N118-woFG!N118</f>
        <v>0</v>
      </c>
      <c r="O118">
        <f>wFG!O118-woFG!O118</f>
        <v>2.0201029517558806E-14</v>
      </c>
      <c r="P118">
        <f>wFG!P118-woFG!P118</f>
        <v>0</v>
      </c>
      <c r="Q118">
        <f>wFG!Q118-woFG!Q118</f>
        <v>7.9585959301743808E-2</v>
      </c>
      <c r="R118">
        <f>wFG!R118-woFG!R118</f>
        <v>0</v>
      </c>
      <c r="S118">
        <f>wFG!S118-woFG!S118</f>
        <v>0</v>
      </c>
      <c r="T118">
        <f>wFG!T118-woFG!T118</f>
        <v>0</v>
      </c>
      <c r="U118">
        <f>wFG!U118-woFG!U118</f>
        <v>0</v>
      </c>
      <c r="V118">
        <f>wFG!V118-woFG!V118</f>
        <v>0</v>
      </c>
      <c r="W118">
        <f>wFG!W118-woFG!W118</f>
        <v>0</v>
      </c>
      <c r="X118">
        <f>wFG!X118-woFG!X118</f>
        <v>0</v>
      </c>
      <c r="Y118">
        <f>wFG!Y118-woFG!Y118</f>
        <v>7.4733437153375707E-16</v>
      </c>
      <c r="Z118">
        <f>wFG!Z118-woFG!Z118</f>
        <v>-1.2915695281766619E-15</v>
      </c>
      <c r="AA118">
        <f>wFG!AA118-woFG!AA118</f>
        <v>6.4353075080671203E-16</v>
      </c>
      <c r="AB118">
        <f>wFG!AB118-woFG!AB118</f>
        <v>-7.1277471450192889E-17</v>
      </c>
      <c r="AC118">
        <f>wFG!AC118-woFG!AC118</f>
        <v>2.0550342644799141E-15</v>
      </c>
      <c r="AD118">
        <f>wFG!AD118-woFG!AD118</f>
        <v>5.6718678008867499E-15</v>
      </c>
      <c r="AE118">
        <f>wFG!AE118-woFG!AE118</f>
        <v>-2.0553889950354187E-3</v>
      </c>
      <c r="AF118">
        <f>wFG!AF118-woFG!AF118</f>
        <v>-0.11165194938289499</v>
      </c>
      <c r="AK118" s="1">
        <f t="shared" si="11"/>
        <v>49765</v>
      </c>
      <c r="AL118">
        <f t="shared" si="12"/>
        <v>-1.0023945726895994E-2</v>
      </c>
      <c r="AM118">
        <f t="shared" si="13"/>
        <v>-1.0330267106214186E-15</v>
      </c>
      <c r="AN118">
        <f t="shared" si="14"/>
        <v>-1.6894160995461802E-2</v>
      </c>
      <c r="AO118">
        <f t="shared" si="15"/>
        <v>-2.4894945862496296E-11</v>
      </c>
      <c r="AP118">
        <f t="shared" si="16"/>
        <v>-0.171745194160735</v>
      </c>
      <c r="AQ118">
        <f t="shared" si="17"/>
        <v>2.2761683259517797E-2</v>
      </c>
      <c r="AR118">
        <f t="shared" si="18"/>
        <v>-3.7172801589599042E-3</v>
      </c>
      <c r="AS118">
        <f t="shared" si="19"/>
        <v>7.9585959301743808E-2</v>
      </c>
      <c r="AT118">
        <f t="shared" si="20"/>
        <v>-1.1619010877207903E-2</v>
      </c>
    </row>
    <row r="119" spans="1:46" x14ac:dyDescent="0.25">
      <c r="A119" s="1">
        <v>49856</v>
      </c>
      <c r="B119">
        <f>wFG!B119-woFG!B119</f>
        <v>-9.9055041491410006E-3</v>
      </c>
      <c r="C119">
        <f>wFG!C119-woFG!C119</f>
        <v>-1.0277590199610075E-15</v>
      </c>
      <c r="D119">
        <f>wFG!D119-woFG!D119</f>
        <v>-1.6725219385507098E-2</v>
      </c>
      <c r="E119">
        <f>wFG!E119-woFG!E119</f>
        <v>-1.7343798951371801E-11</v>
      </c>
      <c r="F119">
        <f>wFG!F119-woFG!F119</f>
        <v>-0.17002774221912689</v>
      </c>
      <c r="G119">
        <f>wFG!G119-woFG!G119</f>
        <v>2.2406433545454997E-2</v>
      </c>
      <c r="H119">
        <f>wFG!H119-woFG!H119</f>
        <v>-3.5209099748879022E-3</v>
      </c>
      <c r="I119">
        <f>wFG!I119-woFG!I119</f>
        <v>5.7432079273969744E-17</v>
      </c>
      <c r="J119">
        <f>wFG!J119-woFG!J119</f>
        <v>-1.8386410774073045E-15</v>
      </c>
      <c r="K119">
        <f>wFG!K119-woFG!K119</f>
        <v>-2.1944542193871872E-15</v>
      </c>
      <c r="L119">
        <f>wFG!L119-woFG!L119</f>
        <v>-9.3610812764214971E-3</v>
      </c>
      <c r="M119">
        <f>wFG!M119-woFG!M119</f>
        <v>0</v>
      </c>
      <c r="N119">
        <f>wFG!N119-woFG!N119</f>
        <v>0</v>
      </c>
      <c r="O119">
        <f>wFG!O119-woFG!O119</f>
        <v>2.0200861964571904E-14</v>
      </c>
      <c r="P119">
        <f>wFG!P119-woFG!P119</f>
        <v>0</v>
      </c>
      <c r="Q119">
        <f>wFG!Q119-woFG!Q119</f>
        <v>7.8871265660599585E-2</v>
      </c>
      <c r="R119">
        <f>wFG!R119-woFG!R119</f>
        <v>0</v>
      </c>
      <c r="S119">
        <f>wFG!S119-woFG!S119</f>
        <v>0</v>
      </c>
      <c r="T119">
        <f>wFG!T119-woFG!T119</f>
        <v>0</v>
      </c>
      <c r="U119">
        <f>wFG!U119-woFG!U119</f>
        <v>0</v>
      </c>
      <c r="V119">
        <f>wFG!V119-woFG!V119</f>
        <v>0</v>
      </c>
      <c r="W119">
        <f>wFG!W119-woFG!W119</f>
        <v>0</v>
      </c>
      <c r="X119">
        <f>wFG!X119-woFG!X119</f>
        <v>0</v>
      </c>
      <c r="Y119">
        <f>wFG!Y119-woFG!Y119</f>
        <v>7.3807121709517607E-16</v>
      </c>
      <c r="Z119">
        <f>wFG!Z119-woFG!Z119</f>
        <v>-1.276165385962789E-15</v>
      </c>
      <c r="AA119">
        <f>wFG!AA119-woFG!AA119</f>
        <v>6.3684295292142002E-16</v>
      </c>
      <c r="AB119">
        <f>wFG!AB119-woFG!AB119</f>
        <v>-6.9964682925232022E-17</v>
      </c>
      <c r="AC119">
        <f>wFG!AC119-woFG!AC119</f>
        <v>2.0334484647557018E-15</v>
      </c>
      <c r="AD119">
        <f>wFG!AD119-woFG!AD119</f>
        <v>5.6108337572866402E-15</v>
      </c>
      <c r="AE119">
        <f>wFG!AE119-woFG!AE119</f>
        <v>-2.0347796328602299E-3</v>
      </c>
      <c r="AF119">
        <f>wFG!AF119-woFG!AF119</f>
        <v>-0.11029753744921197</v>
      </c>
      <c r="AK119" s="1">
        <f t="shared" si="11"/>
        <v>49856</v>
      </c>
      <c r="AL119">
        <f t="shared" si="12"/>
        <v>-9.9055041491410006E-3</v>
      </c>
      <c r="AM119">
        <f t="shared" si="13"/>
        <v>-1.0277590199610075E-15</v>
      </c>
      <c r="AN119">
        <f t="shared" si="14"/>
        <v>-1.6725219385507098E-2</v>
      </c>
      <c r="AO119">
        <f t="shared" si="15"/>
        <v>-1.7343798951371801E-11</v>
      </c>
      <c r="AP119">
        <f t="shared" si="16"/>
        <v>-0.17002774221912689</v>
      </c>
      <c r="AQ119">
        <f t="shared" si="17"/>
        <v>2.2406433545454997E-2</v>
      </c>
      <c r="AR119">
        <f t="shared" si="18"/>
        <v>-3.5209099748879022E-3</v>
      </c>
      <c r="AS119">
        <f t="shared" si="19"/>
        <v>7.8871265660599585E-2</v>
      </c>
      <c r="AT119">
        <f t="shared" si="20"/>
        <v>-1.1395860909258829E-2</v>
      </c>
    </row>
    <row r="120" spans="1:46" x14ac:dyDescent="0.25">
      <c r="A120" s="1">
        <v>49948</v>
      </c>
      <c r="B120">
        <f>wFG!B120-woFG!B120</f>
        <v>-9.7885654475399902E-3</v>
      </c>
      <c r="C120">
        <f>wFG!C120-woFG!C120</f>
        <v>-1.0224138325655734E-15</v>
      </c>
      <c r="D120">
        <f>wFG!D120-woFG!D120</f>
        <v>-1.6557967191651993E-2</v>
      </c>
      <c r="E120">
        <f>wFG!E120-woFG!E120</f>
        <v>-1.2083722692739999E-11</v>
      </c>
      <c r="F120">
        <f>wFG!F120-woFG!F120</f>
        <v>-0.16832746479693628</v>
      </c>
      <c r="G120">
        <f>wFG!G120-woFG!G120</f>
        <v>2.2055138096916997E-2</v>
      </c>
      <c r="H120">
        <f>wFG!H120-woFG!H120</f>
        <v>-3.3346211593285012E-3</v>
      </c>
      <c r="I120">
        <f>wFG!I120-woFG!I120</f>
        <v>5.6008888050819465E-17</v>
      </c>
      <c r="J120">
        <f>wFG!J120-woFG!J120</f>
        <v>-1.8393672767326031E-15</v>
      </c>
      <c r="K120">
        <f>wFG!K120-woFG!K120</f>
        <v>-2.164230102676327E-15</v>
      </c>
      <c r="L120">
        <f>wFG!L120-woFG!L120</f>
        <v>-9.1628977009352991E-3</v>
      </c>
      <c r="M120">
        <f>wFG!M120-woFG!M120</f>
        <v>0</v>
      </c>
      <c r="N120">
        <f>wFG!N120-woFG!N120</f>
        <v>0</v>
      </c>
      <c r="O120">
        <f>wFG!O120-woFG!O120</f>
        <v>2.0198170233979003E-14</v>
      </c>
      <c r="P120">
        <f>wFG!P120-woFG!P120</f>
        <v>0</v>
      </c>
      <c r="Q120">
        <f>wFG!Q120-woFG!Q120</f>
        <v>7.8161665124904994E-2</v>
      </c>
      <c r="R120">
        <f>wFG!R120-woFG!R120</f>
        <v>0</v>
      </c>
      <c r="S120">
        <f>wFG!S120-woFG!S120</f>
        <v>0</v>
      </c>
      <c r="T120">
        <f>wFG!T120-woFG!T120</f>
        <v>0</v>
      </c>
      <c r="U120">
        <f>wFG!U120-woFG!U120</f>
        <v>0</v>
      </c>
      <c r="V120">
        <f>wFG!V120-woFG!V120</f>
        <v>0</v>
      </c>
      <c r="W120">
        <f>wFG!W120-woFG!W120</f>
        <v>0</v>
      </c>
      <c r="X120">
        <f>wFG!X120-woFG!X120</f>
        <v>0</v>
      </c>
      <c r="Y120">
        <f>wFG!Y120-woFG!Y120</f>
        <v>7.2897548069552504E-16</v>
      </c>
      <c r="Z120">
        <f>wFG!Z120-woFG!Z120</f>
        <v>-1.2610566336494589E-15</v>
      </c>
      <c r="AA120">
        <f>wFG!AA120-woFG!AA120</f>
        <v>6.3022556205561E-16</v>
      </c>
      <c r="AB120">
        <f>wFG!AB120-woFG!AB120</f>
        <v>-6.8712106267939981E-17</v>
      </c>
      <c r="AC120">
        <f>wFG!AC120-woFG!AC120</f>
        <v>2.0121373528035321E-15</v>
      </c>
      <c r="AD120">
        <f>wFG!AD120-woFG!AD120</f>
        <v>5.5506537099693501E-15</v>
      </c>
      <c r="AE120">
        <f>wFG!AE120-woFG!AE120</f>
        <v>-2.0143837227022902E-3</v>
      </c>
      <c r="AF120">
        <f>wFG!AF120-woFG!AF120</f>
        <v>-0.10896909680933503</v>
      </c>
      <c r="AK120" s="1">
        <f t="shared" si="11"/>
        <v>49948</v>
      </c>
      <c r="AL120">
        <f t="shared" si="12"/>
        <v>-9.7885654475399902E-3</v>
      </c>
      <c r="AM120">
        <f t="shared" si="13"/>
        <v>-1.0224138325655734E-15</v>
      </c>
      <c r="AN120">
        <f t="shared" si="14"/>
        <v>-1.6557967191651993E-2</v>
      </c>
      <c r="AO120">
        <f t="shared" si="15"/>
        <v>-1.2083722692739999E-11</v>
      </c>
      <c r="AP120">
        <f t="shared" si="16"/>
        <v>-0.16832746479693628</v>
      </c>
      <c r="AQ120">
        <f t="shared" si="17"/>
        <v>2.2055138096916997E-2</v>
      </c>
      <c r="AR120">
        <f t="shared" si="18"/>
        <v>-3.3346211593285012E-3</v>
      </c>
      <c r="AS120">
        <f t="shared" si="19"/>
        <v>7.8161665124904994E-2</v>
      </c>
      <c r="AT120">
        <f t="shared" si="20"/>
        <v>-1.1177281423615515E-2</v>
      </c>
    </row>
    <row r="121" spans="1:46" x14ac:dyDescent="0.25">
      <c r="A121" s="1">
        <v>50040</v>
      </c>
      <c r="B121">
        <f>wFG!B121-woFG!B121</f>
        <v>-9.6731083774410087E-3</v>
      </c>
      <c r="C121">
        <f>wFG!C121-woFG!C121</f>
        <v>-1.0170009346786865E-15</v>
      </c>
      <c r="D121">
        <f>wFG!D121-woFG!D121</f>
        <v>-1.6392387519735499E-2</v>
      </c>
      <c r="E121">
        <f>wFG!E121-woFG!E121</f>
        <v>-8.4195853281811983E-12</v>
      </c>
      <c r="F121">
        <f>wFG!F121-woFG!F121</f>
        <v>-0.16664419014896631</v>
      </c>
      <c r="G121">
        <f>wFG!G121-woFG!G121</f>
        <v>2.1707807637134605E-2</v>
      </c>
      <c r="H121">
        <f>wFG!H121-woFG!H121</f>
        <v>-3.1578938481786022E-3</v>
      </c>
      <c r="I121">
        <f>wFG!I121-woFG!I121</f>
        <v>5.4625636945319809E-17</v>
      </c>
      <c r="J121">
        <f>wFG!J121-woFG!J121</f>
        <v>-1.8396828043513964E-15</v>
      </c>
      <c r="K121">
        <f>wFG!K121-woFG!K121</f>
        <v>-2.1345393546429658E-15</v>
      </c>
      <c r="L121">
        <f>wFG!L121-woFG!L121</f>
        <v>-8.9690093826543978E-3</v>
      </c>
      <c r="M121">
        <f>wFG!M121-woFG!M121</f>
        <v>0</v>
      </c>
      <c r="N121">
        <f>wFG!N121-woFG!N121</f>
        <v>0</v>
      </c>
      <c r="O121">
        <f>wFG!O121-woFG!O121</f>
        <v>2.0193019054378397E-14</v>
      </c>
      <c r="P121">
        <f>wFG!P121-woFG!P121</f>
        <v>0</v>
      </c>
      <c r="Q121">
        <f>wFG!Q121-woFG!Q121</f>
        <v>7.7457170759588509E-2</v>
      </c>
      <c r="R121">
        <f>wFG!R121-woFG!R121</f>
        <v>0</v>
      </c>
      <c r="S121">
        <f>wFG!S121-woFG!S121</f>
        <v>0</v>
      </c>
      <c r="T121">
        <f>wFG!T121-woFG!T121</f>
        <v>0</v>
      </c>
      <c r="U121">
        <f>wFG!U121-woFG!U121</f>
        <v>0</v>
      </c>
      <c r="V121">
        <f>wFG!V121-woFG!V121</f>
        <v>0</v>
      </c>
      <c r="W121">
        <f>wFG!W121-woFG!W121</f>
        <v>0</v>
      </c>
      <c r="X121">
        <f>wFG!X121-woFG!X121</f>
        <v>0</v>
      </c>
      <c r="Y121">
        <f>wFG!Y121-woFG!Y121</f>
        <v>7.2004135806328802E-16</v>
      </c>
      <c r="Z121">
        <f>wFG!Z121-woFG!Z121</f>
        <v>-1.246232339304989E-15</v>
      </c>
      <c r="AA121">
        <f>wFG!AA121-woFG!AA121</f>
        <v>6.2367785547222407E-16</v>
      </c>
      <c r="AB121">
        <f>wFG!AB121-woFG!AB121</f>
        <v>-6.7516224275932037E-17</v>
      </c>
      <c r="AC121">
        <f>wFG!AC121-woFG!AC121</f>
        <v>1.9910936647716539E-15</v>
      </c>
      <c r="AD121">
        <f>wFG!AD121-woFG!AD121</f>
        <v>5.4913040776033703E-15</v>
      </c>
      <c r="AE121">
        <f>wFG!AE121-woFG!AE121</f>
        <v>-1.9941989665068389E-3</v>
      </c>
      <c r="AF121">
        <f>wFG!AF121-woFG!AF121</f>
        <v>-0.107665809855158</v>
      </c>
      <c r="AK121" s="1">
        <f t="shared" si="11"/>
        <v>50040</v>
      </c>
      <c r="AL121">
        <f t="shared" si="12"/>
        <v>-9.6731083774410087E-3</v>
      </c>
      <c r="AM121">
        <f t="shared" si="13"/>
        <v>-1.0170009346786865E-15</v>
      </c>
      <c r="AN121">
        <f t="shared" si="14"/>
        <v>-1.6392387519735499E-2</v>
      </c>
      <c r="AO121">
        <f t="shared" si="15"/>
        <v>-8.4195853281811983E-12</v>
      </c>
      <c r="AP121">
        <f t="shared" si="16"/>
        <v>-0.16664419014896631</v>
      </c>
      <c r="AQ121">
        <f t="shared" si="17"/>
        <v>2.1707807637134605E-2</v>
      </c>
      <c r="AR121">
        <f t="shared" si="18"/>
        <v>-3.1578938481786022E-3</v>
      </c>
      <c r="AS121">
        <f t="shared" si="19"/>
        <v>7.7457170759588509E-2</v>
      </c>
      <c r="AT121">
        <f t="shared" si="20"/>
        <v>-1.0963208349139095E-2</v>
      </c>
    </row>
    <row r="122" spans="1:46" x14ac:dyDescent="0.25">
      <c r="A122" s="1">
        <v>50130</v>
      </c>
      <c r="B122">
        <f>wFG!B122-woFG!B122</f>
        <v>-9.5591120278339936E-3</v>
      </c>
      <c r="C122">
        <f>wFG!C122-woFG!C122</f>
        <v>-1.0115270548086285E-15</v>
      </c>
      <c r="D122">
        <f>wFG!D122-woFG!D122</f>
        <v>-1.6228463644538102E-2</v>
      </c>
      <c r="E122">
        <f>wFG!E122-woFG!E122</f>
        <v>-5.867164433346802E-12</v>
      </c>
      <c r="F122">
        <f>wFG!F122-woFG!F122</f>
        <v>-0.16497774824747721</v>
      </c>
      <c r="G122">
        <f>wFG!G122-woFG!G122</f>
        <v>2.1364450680049798E-2</v>
      </c>
      <c r="H122">
        <f>wFG!H122-woFG!H122</f>
        <v>-2.9902343783516014E-3</v>
      </c>
      <c r="I122">
        <f>wFG!I122-woFG!I122</f>
        <v>5.328148759686983E-17</v>
      </c>
      <c r="J122">
        <f>wFG!J122-woFG!J122</f>
        <v>-1.8396010044794023E-15</v>
      </c>
      <c r="K122">
        <f>wFG!K122-woFG!K122</f>
        <v>-2.1053632388327361E-15</v>
      </c>
      <c r="L122">
        <f>wFG!L122-woFG!L122</f>
        <v>-8.7793511896762967E-3</v>
      </c>
      <c r="M122">
        <f>wFG!M122-woFG!M122</f>
        <v>0</v>
      </c>
      <c r="N122">
        <f>wFG!N122-woFG!N122</f>
        <v>0</v>
      </c>
      <c r="O122">
        <f>wFG!O122-woFG!O122</f>
        <v>2.0185471568893607E-14</v>
      </c>
      <c r="P122">
        <f>wFG!P122-woFG!P122</f>
        <v>0</v>
      </c>
      <c r="Q122">
        <f>wFG!Q122-woFG!Q122</f>
        <v>7.6757792154260096E-2</v>
      </c>
      <c r="R122">
        <f>wFG!R122-woFG!R122</f>
        <v>0</v>
      </c>
      <c r="S122">
        <f>wFG!S122-woFG!S122</f>
        <v>0</v>
      </c>
      <c r="T122">
        <f>wFG!T122-woFG!T122</f>
        <v>0</v>
      </c>
      <c r="U122">
        <f>wFG!U122-woFG!U122</f>
        <v>0</v>
      </c>
      <c r="V122">
        <f>wFG!V122-woFG!V122</f>
        <v>0</v>
      </c>
      <c r="W122">
        <f>wFG!W122-woFG!W122</f>
        <v>0</v>
      </c>
      <c r="X122">
        <f>wFG!X122-woFG!X122</f>
        <v>0</v>
      </c>
      <c r="Y122">
        <f>wFG!Y122-woFG!Y122</f>
        <v>7.1126329555457202E-16</v>
      </c>
      <c r="Z122">
        <f>wFG!Z122-woFG!Z122</f>
        <v>-1.231681848929806E-15</v>
      </c>
      <c r="AA122">
        <f>wFG!AA122-woFG!AA122</f>
        <v>6.1719914173442095E-16</v>
      </c>
      <c r="AB122">
        <f>wFG!AB122-woFG!AB122</f>
        <v>-6.6373600863329054E-17</v>
      </c>
      <c r="AC122">
        <f>wFG!AC122-woFG!AC122</f>
        <v>1.9703105272355894E-15</v>
      </c>
      <c r="AD122">
        <f>wFG!AD122-woFG!AD122</f>
        <v>5.4327620761803402E-15</v>
      </c>
      <c r="AE122">
        <f>wFG!AE122-woFG!AE122</f>
        <v>-1.9742230924259807E-3</v>
      </c>
      <c r="AF122">
        <f>wFG!AF122-woFG!AF122</f>
        <v>-0.10638688975183902</v>
      </c>
      <c r="AK122" s="1">
        <f t="shared" si="11"/>
        <v>50130</v>
      </c>
      <c r="AL122">
        <f t="shared" si="12"/>
        <v>-9.5591120278339936E-3</v>
      </c>
      <c r="AM122">
        <f t="shared" si="13"/>
        <v>-1.0115270548086285E-15</v>
      </c>
      <c r="AN122">
        <f t="shared" si="14"/>
        <v>-1.6228463644538102E-2</v>
      </c>
      <c r="AO122">
        <f t="shared" si="15"/>
        <v>-5.867164433346802E-12</v>
      </c>
      <c r="AP122">
        <f t="shared" si="16"/>
        <v>-0.16497774824747721</v>
      </c>
      <c r="AQ122">
        <f t="shared" si="17"/>
        <v>2.1364450680049798E-2</v>
      </c>
      <c r="AR122">
        <f t="shared" si="18"/>
        <v>-2.9902343783516014E-3</v>
      </c>
      <c r="AS122">
        <f t="shared" si="19"/>
        <v>7.6757792154260096E-2</v>
      </c>
      <c r="AT122">
        <f t="shared" si="20"/>
        <v>-1.075357428207982E-2</v>
      </c>
    </row>
    <row r="123" spans="1:46" x14ac:dyDescent="0.25">
      <c r="A123" s="1">
        <v>50221</v>
      </c>
      <c r="B123">
        <f>wFG!B123-woFG!B123</f>
        <v>-9.4465558168080055E-3</v>
      </c>
      <c r="C123">
        <f>wFG!C123-woFG!C123</f>
        <v>-1.0059972676719536E-15</v>
      </c>
      <c r="D123">
        <f>wFG!D123-woFG!D123</f>
        <v>-1.6066179008092693E-2</v>
      </c>
      <c r="E123">
        <f>wFG!E123-woFG!E123</f>
        <v>-4.0891550978419592E-12</v>
      </c>
      <c r="F123">
        <f>wFG!F123-woFG!F123</f>
        <v>-0.16332797076500188</v>
      </c>
      <c r="G123">
        <f>wFG!G123-woFG!G123</f>
        <v>2.1025073551559397E-2</v>
      </c>
      <c r="H123">
        <f>wFG!H123-woFG!H123</f>
        <v>-2.8311740830622989E-3</v>
      </c>
      <c r="I123">
        <f>wFG!I123-woFG!I123</f>
        <v>5.1975529404289838E-17</v>
      </c>
      <c r="J123">
        <f>wFG!J123-woFG!J123</f>
        <v>-1.839134752237299E-15</v>
      </c>
      <c r="K123">
        <f>wFG!K123-woFG!K123</f>
        <v>-2.0766845611794299E-15</v>
      </c>
      <c r="L123">
        <f>wFG!L123-woFG!L123</f>
        <v>-8.5938552754949993E-3</v>
      </c>
      <c r="M123">
        <f>wFG!M123-woFG!M123</f>
        <v>0</v>
      </c>
      <c r="N123">
        <f>wFG!N123-woFG!N123</f>
        <v>0</v>
      </c>
      <c r="O123">
        <f>wFG!O123-woFG!O123</f>
        <v>2.01755893808184E-14</v>
      </c>
      <c r="P123">
        <f>wFG!P123-woFG!P123</f>
        <v>0</v>
      </c>
      <c r="Q123">
        <f>wFG!Q123-woFG!Q123</f>
        <v>7.6063535758224707E-2</v>
      </c>
      <c r="R123">
        <f>wFG!R123-woFG!R123</f>
        <v>0</v>
      </c>
      <c r="S123">
        <f>wFG!S123-woFG!S123</f>
        <v>0</v>
      </c>
      <c r="T123">
        <f>wFG!T123-woFG!T123</f>
        <v>0</v>
      </c>
      <c r="U123">
        <f>wFG!U123-woFG!U123</f>
        <v>0</v>
      </c>
      <c r="V123">
        <f>wFG!V123-woFG!V123</f>
        <v>0</v>
      </c>
      <c r="W123">
        <f>wFG!W123-woFG!W123</f>
        <v>0</v>
      </c>
      <c r="X123">
        <f>wFG!X123-woFG!X123</f>
        <v>0</v>
      </c>
      <c r="Y123">
        <f>wFG!Y123-woFG!Y123</f>
        <v>7.0263598929274808E-16</v>
      </c>
      <c r="Z123">
        <f>wFG!Z123-woFG!Z123</f>
        <v>-1.21739483322339E-15</v>
      </c>
      <c r="AA123">
        <f>wFG!AA123-woFG!AA123</f>
        <v>6.1078875180357105E-16</v>
      </c>
      <c r="AB123">
        <f>wFG!AB123-woFG!AB123</f>
        <v>-6.5280904743109007E-17</v>
      </c>
      <c r="AC123">
        <f>wFG!AC123-woFG!AC123</f>
        <v>1.9497814391861492E-15</v>
      </c>
      <c r="AD123">
        <f>wFG!AD123-woFG!AD123</f>
        <v>5.3750057556870905E-15</v>
      </c>
      <c r="AE123">
        <f>wFG!AE123-woFG!AE123</f>
        <v>-1.9544538544942706E-3</v>
      </c>
      <c r="AF123">
        <f>wFG!AF123-woFG!AF123</f>
        <v>-0.105131579497239</v>
      </c>
      <c r="AK123" s="1">
        <f t="shared" si="11"/>
        <v>50221</v>
      </c>
      <c r="AL123">
        <f t="shared" si="12"/>
        <v>-9.4465558168080055E-3</v>
      </c>
      <c r="AM123">
        <f t="shared" si="13"/>
        <v>-1.0059972676719536E-15</v>
      </c>
      <c r="AN123">
        <f t="shared" si="14"/>
        <v>-1.6066179008092693E-2</v>
      </c>
      <c r="AO123">
        <f t="shared" si="15"/>
        <v>-4.0891550978419592E-12</v>
      </c>
      <c r="AP123">
        <f t="shared" si="16"/>
        <v>-0.16332797076500188</v>
      </c>
      <c r="AQ123">
        <f t="shared" si="17"/>
        <v>2.1025073551559397E-2</v>
      </c>
      <c r="AR123">
        <f t="shared" si="18"/>
        <v>-2.8311740830622989E-3</v>
      </c>
      <c r="AS123">
        <f t="shared" si="19"/>
        <v>7.6063535758224707E-2</v>
      </c>
      <c r="AT123">
        <f t="shared" si="20"/>
        <v>-1.0548309129968056E-2</v>
      </c>
    </row>
    <row r="124" spans="1:46" x14ac:dyDescent="0.25">
      <c r="A124" s="1">
        <v>50313</v>
      </c>
      <c r="B124">
        <f>wFG!B124-woFG!B124</f>
        <v>-9.3354194868929957E-3</v>
      </c>
      <c r="C124">
        <f>wFG!C124-woFG!C124</f>
        <v>-1.0004157268297039E-15</v>
      </c>
      <c r="D124">
        <f>wFG!D124-woFG!D124</f>
        <v>-1.5905517218011811E-2</v>
      </c>
      <c r="E124">
        <f>wFG!E124-woFG!E124</f>
        <v>-2.8505938082844308E-12</v>
      </c>
      <c r="F124">
        <f>wFG!F124-woFG!F124</f>
        <v>-0.16169469105735221</v>
      </c>
      <c r="G124">
        <f>wFG!G124-woFG!G124</f>
        <v>2.0689680422029903E-2</v>
      </c>
      <c r="H124">
        <f>wFG!H124-woFG!H124</f>
        <v>-2.6802681265208003E-3</v>
      </c>
      <c r="I124">
        <f>wFG!I124-woFG!I124</f>
        <v>5.0706795231690198E-17</v>
      </c>
      <c r="J124">
        <f>wFG!J124-woFG!J124</f>
        <v>-1.8382964818254988E-15</v>
      </c>
      <c r="K124">
        <f>wFG!K124-woFG!K124</f>
        <v>-2.0484875170550713E-15</v>
      </c>
      <c r="L124">
        <f>wFG!L124-woFG!L124</f>
        <v>-8.4124516419926028E-3</v>
      </c>
      <c r="M124">
        <f>wFG!M124-woFG!M124</f>
        <v>0</v>
      </c>
      <c r="N124">
        <f>wFG!N124-woFG!N124</f>
        <v>0</v>
      </c>
      <c r="O124">
        <f>wFG!O124-woFG!O124</f>
        <v>2.0163432599098597E-14</v>
      </c>
      <c r="P124">
        <f>wFG!P124-woFG!P124</f>
        <v>0</v>
      </c>
      <c r="Q124">
        <f>wFG!Q124-woFG!Q124</f>
        <v>7.5374405177797116E-2</v>
      </c>
      <c r="R124">
        <f>wFG!R124-woFG!R124</f>
        <v>0</v>
      </c>
      <c r="S124">
        <f>wFG!S124-woFG!S124</f>
        <v>0</v>
      </c>
      <c r="T124">
        <f>wFG!T124-woFG!T124</f>
        <v>0</v>
      </c>
      <c r="U124">
        <f>wFG!U124-woFG!U124</f>
        <v>0</v>
      </c>
      <c r="V124">
        <f>wFG!V124-woFG!V124</f>
        <v>0</v>
      </c>
      <c r="W124">
        <f>wFG!W124-woFG!W124</f>
        <v>0</v>
      </c>
      <c r="X124">
        <f>wFG!X124-woFG!X124</f>
        <v>0</v>
      </c>
      <c r="Y124">
        <f>wFG!Y124-woFG!Y124</f>
        <v>6.9415438229721103E-16</v>
      </c>
      <c r="Z124">
        <f>wFG!Z124-woFG!Z124</f>
        <v>-1.2033613230563541E-15</v>
      </c>
      <c r="AA124">
        <f>wFG!AA124-woFG!AA124</f>
        <v>6.0444603209550409E-16</v>
      </c>
      <c r="AB124">
        <f>wFG!AB124-woFG!AB124</f>
        <v>-6.4234927532184993E-17</v>
      </c>
      <c r="AC124">
        <f>wFG!AC124-woFG!AC124</f>
        <v>1.9295002535121399E-15</v>
      </c>
      <c r="AD124">
        <f>wFG!AD124-woFG!AD124</f>
        <v>5.3180140229161796E-15</v>
      </c>
      <c r="AE124">
        <f>wFG!AE124-woFG!AE124</f>
        <v>-1.9348890323085503E-3</v>
      </c>
      <c r="AF124">
        <f>wFG!AF124-woFG!AF124</f>
        <v>-0.10389915096608102</v>
      </c>
      <c r="AK124" s="1">
        <f t="shared" si="11"/>
        <v>50313</v>
      </c>
      <c r="AL124">
        <f t="shared" si="12"/>
        <v>-9.3354194868929957E-3</v>
      </c>
      <c r="AM124">
        <f t="shared" si="13"/>
        <v>-1.0004157268297039E-15</v>
      </c>
      <c r="AN124">
        <f t="shared" si="14"/>
        <v>-1.5905517218011811E-2</v>
      </c>
      <c r="AO124">
        <f t="shared" si="15"/>
        <v>-2.8505938082844308E-12</v>
      </c>
      <c r="AP124">
        <f t="shared" si="16"/>
        <v>-0.16169469105735221</v>
      </c>
      <c r="AQ124">
        <f t="shared" si="17"/>
        <v>2.0689680422029903E-2</v>
      </c>
      <c r="AR124">
        <f t="shared" si="18"/>
        <v>-2.6802681265208003E-3</v>
      </c>
      <c r="AS124">
        <f t="shared" si="19"/>
        <v>7.5374405177797116E-2</v>
      </c>
      <c r="AT124">
        <f t="shared" si="20"/>
        <v>-1.0347340674278616E-2</v>
      </c>
    </row>
    <row r="125" spans="1:46" x14ac:dyDescent="0.25">
      <c r="A125" s="1">
        <v>50405</v>
      </c>
      <c r="B125">
        <f>wFG!B125-woFG!B125</f>
        <v>-9.2256831003239975E-3</v>
      </c>
      <c r="C125">
        <f>wFG!C125-woFG!C125</f>
        <v>-9.9478604854436059E-16</v>
      </c>
      <c r="D125">
        <f>wFG!D125-woFG!D125</f>
        <v>-1.5746462045831702E-2</v>
      </c>
      <c r="E125">
        <f>wFG!E125-woFG!E125</f>
        <v>-1.9878071327216003E-12</v>
      </c>
      <c r="F125">
        <f>wFG!F125-woFG!F125</f>
        <v>-0.16007774414677942</v>
      </c>
      <c r="G125">
        <f>wFG!G125-woFG!G125</f>
        <v>2.0358273347882198E-2</v>
      </c>
      <c r="H125">
        <f>wFG!H125-woFG!H125</f>
        <v>-2.5370943790451982E-3</v>
      </c>
      <c r="I125">
        <f>wFG!I125-woFG!I125</f>
        <v>4.9474275503329952E-17</v>
      </c>
      <c r="J125">
        <f>wFG!J125-woFG!J125</f>
        <v>-1.8370982126439006E-15</v>
      </c>
      <c r="K125">
        <f>wFG!K125-woFG!K125</f>
        <v>-2.0207575505750849E-15</v>
      </c>
      <c r="L125">
        <f>wFG!L125-woFG!L125</f>
        <v>-8.2350686308104992E-3</v>
      </c>
      <c r="M125">
        <f>wFG!M125-woFG!M125</f>
        <v>0</v>
      </c>
      <c r="N125">
        <f>wFG!N125-woFG!N125</f>
        <v>0</v>
      </c>
      <c r="O125">
        <f>wFG!O125-woFG!O125</f>
        <v>2.0149059883333102E-14</v>
      </c>
      <c r="P125">
        <f>wFG!P125-woFG!P125</f>
        <v>0</v>
      </c>
      <c r="Q125">
        <f>wFG!Q125-woFG!Q125</f>
        <v>7.4690401440561716E-2</v>
      </c>
      <c r="R125">
        <f>wFG!R125-woFG!R125</f>
        <v>0</v>
      </c>
      <c r="S125">
        <f>wFG!S125-woFG!S125</f>
        <v>0</v>
      </c>
      <c r="T125">
        <f>wFG!T125-woFG!T125</f>
        <v>0</v>
      </c>
      <c r="U125">
        <f>wFG!U125-woFG!U125</f>
        <v>0</v>
      </c>
      <c r="V125">
        <f>wFG!V125-woFG!V125</f>
        <v>0</v>
      </c>
      <c r="W125">
        <f>wFG!W125-woFG!W125</f>
        <v>0</v>
      </c>
      <c r="X125">
        <f>wFG!X125-woFG!X125</f>
        <v>0</v>
      </c>
      <c r="Y125">
        <f>wFG!Y125-woFG!Y125</f>
        <v>6.8581365993818203E-16</v>
      </c>
      <c r="Z125">
        <f>wFG!Z125-woFG!Z125</f>
        <v>-1.189571735171329E-15</v>
      </c>
      <c r="AA125">
        <f>wFG!AA125-woFG!AA125</f>
        <v>5.9817033915787891E-16</v>
      </c>
      <c r="AB125">
        <f>wFG!AB125-woFG!AB125</f>
        <v>-6.3232597079339005E-17</v>
      </c>
      <c r="AC125">
        <f>wFG!AC125-woFG!AC125</f>
        <v>1.9094611582635391E-15</v>
      </c>
      <c r="AD125">
        <f>wFG!AD125-woFG!AD125</f>
        <v>5.2617666524321403E-15</v>
      </c>
      <c r="AE125">
        <f>wFG!AE125-woFG!AE125</f>
        <v>-1.9155264307120891E-3</v>
      </c>
      <c r="AF125">
        <f>wFG!AF125-woFG!AF125</f>
        <v>-0.10268890394702498</v>
      </c>
      <c r="AK125" s="1">
        <f t="shared" si="11"/>
        <v>50405</v>
      </c>
      <c r="AL125">
        <f t="shared" si="12"/>
        <v>-9.2256831003239975E-3</v>
      </c>
      <c r="AM125">
        <f t="shared" si="13"/>
        <v>-9.9478604854436059E-16</v>
      </c>
      <c r="AN125">
        <f t="shared" si="14"/>
        <v>-1.5746462045831702E-2</v>
      </c>
      <c r="AO125">
        <f t="shared" si="15"/>
        <v>-1.9878071327216003E-12</v>
      </c>
      <c r="AP125">
        <f t="shared" si="16"/>
        <v>-0.16007774414677942</v>
      </c>
      <c r="AQ125">
        <f t="shared" si="17"/>
        <v>2.0358273347882198E-2</v>
      </c>
      <c r="AR125">
        <f t="shared" si="18"/>
        <v>-2.5370943790451982E-3</v>
      </c>
      <c r="AS125">
        <f t="shared" si="19"/>
        <v>7.4690401440561716E-2</v>
      </c>
      <c r="AT125">
        <f t="shared" si="20"/>
        <v>-1.015059506149979E-2</v>
      </c>
    </row>
    <row r="126" spans="1:46" x14ac:dyDescent="0.25">
      <c r="A126" s="1">
        <v>50495</v>
      </c>
      <c r="B126">
        <f>wFG!B126-woFG!B126</f>
        <v>-9.1173270342466972E-3</v>
      </c>
      <c r="C126">
        <f>wFG!C126-woFG!C126</f>
        <v>-9.8911151430508467E-16</v>
      </c>
      <c r="D126">
        <f>wFG!D126-woFG!D126</f>
        <v>-1.558899742537341E-2</v>
      </c>
      <c r="E126">
        <f>wFG!E126-woFG!E126</f>
        <v>-1.3867816580443997E-12</v>
      </c>
      <c r="F126">
        <f>wFG!F126-woFG!F126</f>
        <v>-0.15847696670531169</v>
      </c>
      <c r="G126">
        <f>wFG!G126-woFG!G126</f>
        <v>2.0030852320410901E-2</v>
      </c>
      <c r="H126">
        <f>wFG!H126-woFG!H126</f>
        <v>-2.4012523331679997E-3</v>
      </c>
      <c r="I126">
        <f>wFG!I126-woFG!I126</f>
        <v>4.8276930751490028E-17</v>
      </c>
      <c r="J126">
        <f>wFG!J126-woFG!J126</f>
        <v>-1.8355515734329011E-15</v>
      </c>
      <c r="K126">
        <f>wFG!K126-woFG!K126</f>
        <v>-1.993481225765399E-15</v>
      </c>
      <c r="L126">
        <f>wFG!L126-woFG!L126</f>
        <v>-8.0616333515858007E-3</v>
      </c>
      <c r="M126">
        <f>wFG!M126-woFG!M126</f>
        <v>0</v>
      </c>
      <c r="N126">
        <f>wFG!N126-woFG!N126</f>
        <v>0</v>
      </c>
      <c r="O126">
        <f>wFG!O126-woFG!O126</f>
        <v>2.0132528488036206E-14</v>
      </c>
      <c r="P126">
        <f>wFG!P126-woFG!P126</f>
        <v>0</v>
      </c>
      <c r="Q126">
        <f>wFG!Q126-woFG!Q126</f>
        <v>7.4011523230617812E-2</v>
      </c>
      <c r="R126">
        <f>wFG!R126-woFG!R126</f>
        <v>0</v>
      </c>
      <c r="S126">
        <f>wFG!S126-woFG!S126</f>
        <v>0</v>
      </c>
      <c r="T126">
        <f>wFG!T126-woFG!T126</f>
        <v>0</v>
      </c>
      <c r="U126">
        <f>wFG!U126-woFG!U126</f>
        <v>0</v>
      </c>
      <c r="V126">
        <f>wFG!V126-woFG!V126</f>
        <v>0</v>
      </c>
      <c r="W126">
        <f>wFG!W126-woFG!W126</f>
        <v>0</v>
      </c>
      <c r="X126">
        <f>wFG!X126-woFG!X126</f>
        <v>0</v>
      </c>
      <c r="Y126">
        <f>wFG!Y126-woFG!Y126</f>
        <v>6.7760924402120704E-16</v>
      </c>
      <c r="Z126">
        <f>wFG!Z126-woFG!Z126</f>
        <v>-1.1760168894963611E-15</v>
      </c>
      <c r="AA126">
        <f>wFG!AA126-woFG!AA126</f>
        <v>5.9196103567953994E-16</v>
      </c>
      <c r="AB126">
        <f>wFG!AB126-woFG!AB126</f>
        <v>-6.227098673168502E-17</v>
      </c>
      <c r="AC126">
        <f>wFG!AC126-woFG!AC126</f>
        <v>1.889658657933249E-15</v>
      </c>
      <c r="AD126">
        <f>wFG!AD126-woFG!AD126</f>
        <v>5.2062442875192699E-15</v>
      </c>
      <c r="AE126">
        <f>wFG!AE126-woFG!AE126</f>
        <v>-1.8963638794833107E-3</v>
      </c>
      <c r="AF126">
        <f>wFG!AF126-woFG!AF126</f>
        <v>-0.101500165179505</v>
      </c>
      <c r="AK126" s="1">
        <f t="shared" si="11"/>
        <v>50495</v>
      </c>
      <c r="AL126">
        <f t="shared" si="12"/>
        <v>-9.1173270342466972E-3</v>
      </c>
      <c r="AM126">
        <f t="shared" si="13"/>
        <v>-9.8911151430508467E-16</v>
      </c>
      <c r="AN126">
        <f t="shared" si="14"/>
        <v>-1.558899742537341E-2</v>
      </c>
      <c r="AO126">
        <f t="shared" si="15"/>
        <v>-1.3867816580443997E-12</v>
      </c>
      <c r="AP126">
        <f t="shared" si="16"/>
        <v>-0.15847696670531169</v>
      </c>
      <c r="AQ126">
        <f t="shared" si="17"/>
        <v>2.0030852320410901E-2</v>
      </c>
      <c r="AR126">
        <f t="shared" si="18"/>
        <v>-2.4012523331679997E-3</v>
      </c>
      <c r="AS126">
        <f t="shared" si="19"/>
        <v>7.4011523230617812E-2</v>
      </c>
      <c r="AT126">
        <f t="shared" si="20"/>
        <v>-9.9579972310461645E-3</v>
      </c>
    </row>
    <row r="127" spans="1:46" x14ac:dyDescent="0.25">
      <c r="A127" s="1">
        <v>50586</v>
      </c>
      <c r="B127">
        <f>wFG!B127-woFG!B127</f>
        <v>-9.0103319758792072E-3</v>
      </c>
      <c r="C127">
        <f>wFG!C127-woFG!C127</f>
        <v>-9.8339517896521096E-16</v>
      </c>
      <c r="D127">
        <f>wFG!D127-woFG!D127</f>
        <v>-1.5433107451119699E-2</v>
      </c>
      <c r="E127">
        <f>wFG!E127-woFG!E127</f>
        <v>-9.6809668612064017E-13</v>
      </c>
      <c r="F127">
        <f>wFG!F127-woFG!F127</f>
        <v>-0.15689219703825769</v>
      </c>
      <c r="G127">
        <f>wFG!G127-woFG!G127</f>
        <v>1.9707415320302596E-2</v>
      </c>
      <c r="H127">
        <f>wFG!H127-woFG!H127</f>
        <v>-2.2723620609393994E-3</v>
      </c>
      <c r="I127">
        <f>wFG!I127-woFG!I127</f>
        <v>4.711370269417004E-17</v>
      </c>
      <c r="J127">
        <f>wFG!J127-woFG!J127</f>
        <v>-1.8336678245241008E-15</v>
      </c>
      <c r="K127">
        <f>wFG!K127-woFG!K127</f>
        <v>-1.9666461090903921E-15</v>
      </c>
      <c r="L127">
        <f>wFG!L127-woFG!L127</f>
        <v>-7.8920720545401016E-3</v>
      </c>
      <c r="M127">
        <f>wFG!M127-woFG!M127</f>
        <v>0</v>
      </c>
      <c r="N127">
        <f>wFG!N127-woFG!N127</f>
        <v>0</v>
      </c>
      <c r="O127">
        <f>wFG!O127-woFG!O127</f>
        <v>2.0113894305955696E-14</v>
      </c>
      <c r="P127">
        <f>wFG!P127-woFG!P127</f>
        <v>0</v>
      </c>
      <c r="Q127">
        <f>wFG!Q127-woFG!Q127</f>
        <v>7.3337767098330009E-2</v>
      </c>
      <c r="R127">
        <f>wFG!R127-woFG!R127</f>
        <v>0</v>
      </c>
      <c r="S127">
        <f>wFG!S127-woFG!S127</f>
        <v>0</v>
      </c>
      <c r="T127">
        <f>wFG!T127-woFG!T127</f>
        <v>0</v>
      </c>
      <c r="U127">
        <f>wFG!U127-woFG!U127</f>
        <v>0</v>
      </c>
      <c r="V127">
        <f>wFG!V127-woFG!V127</f>
        <v>0</v>
      </c>
      <c r="W127">
        <f>wFG!W127-woFG!W127</f>
        <v>0</v>
      </c>
      <c r="X127">
        <f>wFG!X127-woFG!X127</f>
        <v>0</v>
      </c>
      <c r="Y127">
        <f>wFG!Y127-woFG!Y127</f>
        <v>6.6953678577246898E-16</v>
      </c>
      <c r="Z127">
        <f>wFG!Z127-woFG!Z127</f>
        <v>-1.1626880193192441E-15</v>
      </c>
      <c r="AA127">
        <f>wFG!AA127-woFG!AA127</f>
        <v>5.8581748758473804E-16</v>
      </c>
      <c r="AB127">
        <f>wFG!AB127-woFG!AB127</f>
        <v>-6.1347321176195939E-17</v>
      </c>
      <c r="AC127">
        <f>wFG!AC127-woFG!AC127</f>
        <v>1.8700875549531129E-15</v>
      </c>
      <c r="AD127">
        <f>wFG!AD127-woFG!AD127</f>
        <v>5.15142843275311E-15</v>
      </c>
      <c r="AE127">
        <f>wFG!AE127-woFG!AE127</f>
        <v>-1.8773992330284204E-3</v>
      </c>
      <c r="AF127">
        <f>wFG!AF127-woFG!AF127</f>
        <v>-0.10033228739607999</v>
      </c>
      <c r="AK127" s="1">
        <f t="shared" si="11"/>
        <v>50586</v>
      </c>
      <c r="AL127">
        <f t="shared" si="12"/>
        <v>-9.0103319758792072E-3</v>
      </c>
      <c r="AM127">
        <f t="shared" si="13"/>
        <v>-9.8339517896521096E-16</v>
      </c>
      <c r="AN127">
        <f t="shared" si="14"/>
        <v>-1.5433107451119699E-2</v>
      </c>
      <c r="AO127">
        <f t="shared" si="15"/>
        <v>-9.6809668612064017E-13</v>
      </c>
      <c r="AP127">
        <f t="shared" si="16"/>
        <v>-0.15689219703825769</v>
      </c>
      <c r="AQ127">
        <f t="shared" si="17"/>
        <v>1.9707415320302596E-2</v>
      </c>
      <c r="AR127">
        <f t="shared" si="18"/>
        <v>-2.2723620609393994E-3</v>
      </c>
      <c r="AS127">
        <f t="shared" si="19"/>
        <v>7.3337767098330009E-2</v>
      </c>
      <c r="AT127">
        <f t="shared" si="20"/>
        <v>-9.7694712875475431E-3</v>
      </c>
    </row>
    <row r="128" spans="1:46" x14ac:dyDescent="0.25">
      <c r="A128" s="1">
        <v>50678</v>
      </c>
      <c r="B128">
        <f>wFG!B128-woFG!B128</f>
        <v>-8.9046789176590035E-3</v>
      </c>
      <c r="C128">
        <f>wFG!C128-woFG!C128</f>
        <v>-9.7763992964546388E-16</v>
      </c>
      <c r="D128">
        <f>wFG!D128-woFG!D128</f>
        <v>-1.5278776376608502E-2</v>
      </c>
      <c r="E128">
        <f>wFG!E128-woFG!E128</f>
        <v>-6.7642848766283009E-13</v>
      </c>
      <c r="F128">
        <f>wFG!F128-woFG!F128</f>
        <v>-0.15532327506787508</v>
      </c>
      <c r="G128">
        <f>wFG!G128-woFG!G128</f>
        <v>1.9387958376568898E-2</v>
      </c>
      <c r="H128">
        <f>wFG!H128-woFG!H128</f>
        <v>-2.1500632123265979E-3</v>
      </c>
      <c r="I128">
        <f>wFG!I128-woFG!I128</f>
        <v>4.5983523929560092E-17</v>
      </c>
      <c r="J128">
        <f>wFG!J128-woFG!J128</f>
        <v>-1.8314578783080002E-15</v>
      </c>
      <c r="K128">
        <f>wFG!K128-woFG!K128</f>
        <v>-1.9402406627635648E-15</v>
      </c>
      <c r="L128">
        <f>wFG!L128-woFG!L128</f>
        <v>-7.7263104540556994E-3</v>
      </c>
      <c r="M128">
        <f>wFG!M128-woFG!M128</f>
        <v>0</v>
      </c>
      <c r="N128">
        <f>wFG!N128-woFG!N128</f>
        <v>0</v>
      </c>
      <c r="O128">
        <f>wFG!O128-woFG!O128</f>
        <v>2.009321191028629E-14</v>
      </c>
      <c r="P128">
        <f>wFG!P128-woFG!P128</f>
        <v>0</v>
      </c>
      <c r="Q128">
        <f>wFG!Q128-woFG!Q128</f>
        <v>7.2669127647665005E-2</v>
      </c>
      <c r="R128">
        <f>wFG!R128-woFG!R128</f>
        <v>0</v>
      </c>
      <c r="S128">
        <f>wFG!S128-woFG!S128</f>
        <v>0</v>
      </c>
      <c r="T128">
        <f>wFG!T128-woFG!T128</f>
        <v>0</v>
      </c>
      <c r="U128">
        <f>wFG!U128-woFG!U128</f>
        <v>0</v>
      </c>
      <c r="V128">
        <f>wFG!V128-woFG!V128</f>
        <v>0</v>
      </c>
      <c r="W128">
        <f>wFG!W128-woFG!W128</f>
        <v>0</v>
      </c>
      <c r="X128">
        <f>wFG!X128-woFG!X128</f>
        <v>0</v>
      </c>
      <c r="Y128">
        <f>wFG!Y128-woFG!Y128</f>
        <v>6.6159215796577195E-16</v>
      </c>
      <c r="Z128">
        <f>wFG!Z128-woFG!Z128</f>
        <v>-1.1495767754424281E-15</v>
      </c>
      <c r="AA128">
        <f>wFG!AA128-woFG!AA128</f>
        <v>5.7973906200284408E-16</v>
      </c>
      <c r="AB128">
        <f>wFG!AB128-woFG!AB128</f>
        <v>-6.045897941937499E-17</v>
      </c>
      <c r="AC128">
        <f>wFG!AC128-woFG!AC128</f>
        <v>1.8507429315630348E-15</v>
      </c>
      <c r="AD128">
        <f>wFG!AD128-woFG!AD128</f>
        <v>5.0973014396626404E-15</v>
      </c>
      <c r="AE128">
        <f>wFG!AE128-woFG!AE128</f>
        <v>-1.8586303700784497E-3</v>
      </c>
      <c r="AF128">
        <f>wFG!AF128-woFG!AF128</f>
        <v>-9.9184648375025969E-2</v>
      </c>
      <c r="AK128" s="1">
        <f t="shared" si="11"/>
        <v>50678</v>
      </c>
      <c r="AL128">
        <f t="shared" si="12"/>
        <v>-8.9046789176590035E-3</v>
      </c>
      <c r="AM128">
        <f t="shared" si="13"/>
        <v>-9.7763992964546388E-16</v>
      </c>
      <c r="AN128">
        <f t="shared" si="14"/>
        <v>-1.5278776376608502E-2</v>
      </c>
      <c r="AO128">
        <f t="shared" si="15"/>
        <v>-6.7642848766283009E-13</v>
      </c>
      <c r="AP128">
        <f t="shared" si="16"/>
        <v>-0.15532327506787508</v>
      </c>
      <c r="AQ128">
        <f t="shared" si="17"/>
        <v>1.9387958376568898E-2</v>
      </c>
      <c r="AR128">
        <f t="shared" si="18"/>
        <v>-2.1500632123265979E-3</v>
      </c>
      <c r="AS128">
        <f t="shared" si="19"/>
        <v>7.2669127647665005E-2</v>
      </c>
      <c r="AT128">
        <f t="shared" si="20"/>
        <v>-9.5849408241132639E-3</v>
      </c>
    </row>
    <row r="129" spans="1:46" x14ac:dyDescent="0.25">
      <c r="A129" s="1">
        <v>50770</v>
      </c>
      <c r="B129">
        <f>wFG!B129-woFG!B129</f>
        <v>-8.8003491523721972E-3</v>
      </c>
      <c r="C129">
        <f>wFG!C129-woFG!C129</f>
        <v>-9.7184851886162389E-16</v>
      </c>
      <c r="D129">
        <f>wFG!D129-woFG!D129</f>
        <v>-1.5125988612842492E-2</v>
      </c>
      <c r="E129">
        <f>wFG!E129-woFG!E129</f>
        <v>-4.7323906142520903E-13</v>
      </c>
      <c r="F129">
        <f>wFG!F129-woFG!F129</f>
        <v>-0.1537700423171966</v>
      </c>
      <c r="G129">
        <f>wFG!G129-woFG!G129</f>
        <v>1.9072475628823596E-2</v>
      </c>
      <c r="H129">
        <f>wFG!H129-woFG!H129</f>
        <v>-2.0340140543502021E-3</v>
      </c>
      <c r="I129">
        <f>wFG!I129-woFG!I129</f>
        <v>4.4885326340630335E-17</v>
      </c>
      <c r="J129">
        <f>wFG!J129-woFG!J129</f>
        <v>-1.8289323180221994E-15</v>
      </c>
      <c r="K129">
        <f>wFG!K129-woFG!K129</f>
        <v>-1.9142541482123508E-15</v>
      </c>
      <c r="L129">
        <f>wFG!L129-woFG!L129</f>
        <v>-7.5642740090834035E-3</v>
      </c>
      <c r="M129">
        <f>wFG!M129-woFG!M129</f>
        <v>0</v>
      </c>
      <c r="N129">
        <f>wFG!N129-woFG!N129</f>
        <v>0</v>
      </c>
      <c r="O129">
        <f>wFG!O129-woFG!O129</f>
        <v>2.00705345956589E-14</v>
      </c>
      <c r="P129">
        <f>wFG!P129-woFG!P129</f>
        <v>0</v>
      </c>
      <c r="Q129">
        <f>wFG!Q129-woFG!Q129</f>
        <v>7.2005597703776292E-2</v>
      </c>
      <c r="R129">
        <f>wFG!R129-woFG!R129</f>
        <v>0</v>
      </c>
      <c r="S129">
        <f>wFG!S129-woFG!S129</f>
        <v>0</v>
      </c>
      <c r="T129">
        <f>wFG!T129-woFG!T129</f>
        <v>0</v>
      </c>
      <c r="U129">
        <f>wFG!U129-woFG!U129</f>
        <v>0</v>
      </c>
      <c r="V129">
        <f>wFG!V129-woFG!V129</f>
        <v>0</v>
      </c>
      <c r="W129">
        <f>wFG!W129-woFG!W129</f>
        <v>0</v>
      </c>
      <c r="X129">
        <f>wFG!X129-woFG!X129</f>
        <v>0</v>
      </c>
      <c r="Y129">
        <f>wFG!Y129-woFG!Y129</f>
        <v>6.5377144640316297E-16</v>
      </c>
      <c r="Z129">
        <f>wFG!Z129-woFG!Z129</f>
        <v>-1.1366752253165429E-15</v>
      </c>
      <c r="AA129">
        <f>wFG!AA129-woFG!AA129</f>
        <v>5.7372512593655198E-16</v>
      </c>
      <c r="AB129">
        <f>wFG!AB129-woFG!AB129</f>
        <v>-5.9603495400445008E-17</v>
      </c>
      <c r="AC129">
        <f>wFG!AC129-woFG!AC129</f>
        <v>1.8316201321798037E-15</v>
      </c>
      <c r="AD129">
        <f>wFG!AD129-woFG!AD129</f>
        <v>5.0438464867854501E-15</v>
      </c>
      <c r="AE129">
        <f>wFG!AE129-woFG!AE129</f>
        <v>-1.8400551933903308E-3</v>
      </c>
      <c r="AF129">
        <f>wFG!AF129-woFG!AF129</f>
        <v>-9.805665000708802E-2</v>
      </c>
      <c r="AK129" s="1">
        <f t="shared" si="11"/>
        <v>50770</v>
      </c>
      <c r="AL129">
        <f t="shared" si="12"/>
        <v>-8.8003491523721972E-3</v>
      </c>
      <c r="AM129">
        <f t="shared" si="13"/>
        <v>-9.7184851886162389E-16</v>
      </c>
      <c r="AN129">
        <f t="shared" si="14"/>
        <v>-1.5125988612842492E-2</v>
      </c>
      <c r="AO129">
        <f t="shared" si="15"/>
        <v>-4.7323906142520903E-13</v>
      </c>
      <c r="AP129">
        <f t="shared" si="16"/>
        <v>-0.1537700423171966</v>
      </c>
      <c r="AQ129">
        <f t="shared" si="17"/>
        <v>1.9072475628823596E-2</v>
      </c>
      <c r="AR129">
        <f t="shared" si="18"/>
        <v>-2.0340140543502021E-3</v>
      </c>
      <c r="AS129">
        <f t="shared" si="19"/>
        <v>7.2005597703776292E-2</v>
      </c>
      <c r="AT129">
        <f t="shared" si="20"/>
        <v>-9.4043292024522385E-3</v>
      </c>
    </row>
    <row r="130" spans="1:46" x14ac:dyDescent="0.25">
      <c r="A130" s="1">
        <v>50860</v>
      </c>
      <c r="B130">
        <f>wFG!B130-woFG!B130</f>
        <v>-8.6973242683019009E-3</v>
      </c>
      <c r="C130">
        <f>wFG!C130-woFG!C130</f>
        <v>-9.6602358407250055E-16</v>
      </c>
      <c r="D130">
        <f>wFG!D130-woFG!D130</f>
        <v>-1.4974728726714001E-2</v>
      </c>
      <c r="E130">
        <f>wFG!E130-woFG!E130</f>
        <v>-3.3168319070329901E-13</v>
      </c>
      <c r="F130">
        <f>wFG!F130-woFG!F130</f>
        <v>-0.1522323418940246</v>
      </c>
      <c r="G130">
        <f>wFG!G130-woFG!G130</f>
        <v>1.8760959392002299E-2</v>
      </c>
      <c r="H130">
        <f>wFG!H130-woFG!H130</f>
        <v>-1.9238905503989011E-3</v>
      </c>
      <c r="I130">
        <f>wFG!I130-woFG!I130</f>
        <v>4.3818048306179505E-17</v>
      </c>
      <c r="J130">
        <f>wFG!J130-woFG!J130</f>
        <v>-1.8261014149743959E-15</v>
      </c>
      <c r="K130">
        <f>wFG!K130-woFG!K130</f>
        <v>-1.8886765390393331E-15</v>
      </c>
      <c r="L130">
        <f>wFG!L130-woFG!L130</f>
        <v>-7.4058881655558982E-3</v>
      </c>
      <c r="M130">
        <f>wFG!M130-woFG!M130</f>
        <v>0</v>
      </c>
      <c r="N130">
        <f>wFG!N130-woFG!N130</f>
        <v>0</v>
      </c>
      <c r="O130">
        <f>wFG!O130-woFG!O130</f>
        <v>2.0045914417817797E-14</v>
      </c>
      <c r="P130">
        <f>wFG!P130-woFG!P130</f>
        <v>0</v>
      </c>
      <c r="Q130">
        <f>wFG!Q130-woFG!Q130</f>
        <v>7.1347168463197413E-2</v>
      </c>
      <c r="R130">
        <f>wFG!R130-woFG!R130</f>
        <v>0</v>
      </c>
      <c r="S130">
        <f>wFG!S130-woFG!S130</f>
        <v>0</v>
      </c>
      <c r="T130">
        <f>wFG!T130-woFG!T130</f>
        <v>0</v>
      </c>
      <c r="U130">
        <f>wFG!U130-woFG!U130</f>
        <v>0</v>
      </c>
      <c r="V130">
        <f>wFG!V130-woFG!V130</f>
        <v>0</v>
      </c>
      <c r="W130">
        <f>wFG!W130-woFG!W130</f>
        <v>0</v>
      </c>
      <c r="X130">
        <f>wFG!X130-woFG!X130</f>
        <v>0</v>
      </c>
      <c r="Y130">
        <f>wFG!Y130-woFG!Y130</f>
        <v>6.4607094093440396E-16</v>
      </c>
      <c r="Z130">
        <f>wFG!Z130-woFG!Z130</f>
        <v>-1.1239758480369659E-15</v>
      </c>
      <c r="AA130">
        <f>wFG!AA130-woFG!AA130</f>
        <v>5.6777504548033596E-16</v>
      </c>
      <c r="AB130">
        <f>wFG!AB130-woFG!AB130</f>
        <v>-5.8778556671508995E-17</v>
      </c>
      <c r="AC130">
        <f>wFG!AC130-woFG!AC130</f>
        <v>1.8127147463637789E-15</v>
      </c>
      <c r="AD130">
        <f>wFG!AD130-woFG!AD130</f>
        <v>4.9910475552644003E-15</v>
      </c>
      <c r="AE130">
        <f>wFG!AE130-woFG!AE130</f>
        <v>-1.8216716294519389E-3</v>
      </c>
      <c r="AF130">
        <f>wFG!AF130-woFG!AF130</f>
        <v>-9.6947717379560011E-2</v>
      </c>
      <c r="AK130" s="1">
        <f t="shared" si="11"/>
        <v>50860</v>
      </c>
      <c r="AL130">
        <f t="shared" si="12"/>
        <v>-8.6973242683019009E-3</v>
      </c>
      <c r="AM130">
        <f t="shared" si="13"/>
        <v>-9.6602358407250055E-16</v>
      </c>
      <c r="AN130">
        <f t="shared" si="14"/>
        <v>-1.4974728726714001E-2</v>
      </c>
      <c r="AO130">
        <f t="shared" si="15"/>
        <v>-3.3168319070329901E-13</v>
      </c>
      <c r="AP130">
        <f t="shared" si="16"/>
        <v>-0.1522323418940246</v>
      </c>
      <c r="AQ130">
        <f t="shared" si="17"/>
        <v>1.8760959392002299E-2</v>
      </c>
      <c r="AR130">
        <f t="shared" si="18"/>
        <v>-1.9238905503989011E-3</v>
      </c>
      <c r="AS130">
        <f t="shared" si="19"/>
        <v>7.1347168463197413E-2</v>
      </c>
      <c r="AT130">
        <f t="shared" si="20"/>
        <v>-9.2275597949876553E-3</v>
      </c>
    </row>
    <row r="131" spans="1:46" x14ac:dyDescent="0.25">
      <c r="A131" s="1">
        <v>50951</v>
      </c>
      <c r="B131">
        <f>wFG!B131-woFG!B131</f>
        <v>-8.5955861443818005E-3</v>
      </c>
      <c r="C131">
        <f>wFG!C131-woFG!C131</f>
        <v>-9.6016765999626633E-16</v>
      </c>
      <c r="D131">
        <f>wFG!D131-woFG!D131</f>
        <v>-1.4824981439446897E-2</v>
      </c>
      <c r="E131">
        <f>wFG!E131-woFG!E131</f>
        <v>-2.3306074545674996E-13</v>
      </c>
      <c r="F131">
        <f>wFG!F131-woFG!F131</f>
        <v>-0.15071001847508461</v>
      </c>
      <c r="G131">
        <f>wFG!G131-woFG!G131</f>
        <v>1.84534002227765E-2</v>
      </c>
      <c r="H131">
        <f>wFG!H131-woFG!H131</f>
        <v>-1.8193854789825981E-3</v>
      </c>
      <c r="I131">
        <f>wFG!I131-woFG!I131</f>
        <v>4.2780640816490127E-17</v>
      </c>
      <c r="J131">
        <f>wFG!J131-woFG!J131</f>
        <v>-1.822975144312699E-15</v>
      </c>
      <c r="K131">
        <f>wFG!K131-woFG!K131</f>
        <v>-1.8634984428099899E-15</v>
      </c>
      <c r="L131">
        <f>wFG!L131-woFG!L131</f>
        <v>-7.2510785653636979E-3</v>
      </c>
      <c r="M131">
        <f>wFG!M131-woFG!M131</f>
        <v>0</v>
      </c>
      <c r="N131">
        <f>wFG!N131-woFG!N131</f>
        <v>0</v>
      </c>
      <c r="O131">
        <f>wFG!O131-woFG!O131</f>
        <v>2.0019402231928407E-14</v>
      </c>
      <c r="P131">
        <f>wFG!P131-woFG!P131</f>
        <v>0</v>
      </c>
      <c r="Q131">
        <f>wFG!Q131-woFG!Q131</f>
        <v>7.0693829628667687E-2</v>
      </c>
      <c r="R131">
        <f>wFG!R131-woFG!R131</f>
        <v>0</v>
      </c>
      <c r="S131">
        <f>wFG!S131-woFG!S131</f>
        <v>0</v>
      </c>
      <c r="T131">
        <f>wFG!T131-woFG!T131</f>
        <v>0</v>
      </c>
      <c r="U131">
        <f>wFG!U131-woFG!U131</f>
        <v>0</v>
      </c>
      <c r="V131">
        <f>wFG!V131-woFG!V131</f>
        <v>0</v>
      </c>
      <c r="W131">
        <f>wFG!W131-woFG!W131</f>
        <v>0</v>
      </c>
      <c r="X131">
        <f>wFG!X131-woFG!X131</f>
        <v>0</v>
      </c>
      <c r="Y131">
        <f>wFG!Y131-woFG!Y131</f>
        <v>6.3848712617606497E-16</v>
      </c>
      <c r="Z131">
        <f>wFG!Z131-woFG!Z131</f>
        <v>-1.1114715259825941E-15</v>
      </c>
      <c r="AA131">
        <f>wFG!AA131-woFG!AA131</f>
        <v>5.6188818546561793E-16</v>
      </c>
      <c r="AB131">
        <f>wFG!AB131-woFG!AB131</f>
        <v>-5.7982001521882037E-17</v>
      </c>
      <c r="AC131">
        <f>wFG!AC131-woFG!AC131</f>
        <v>1.7940225924579839E-15</v>
      </c>
      <c r="AD131">
        <f>wFG!AD131-woFG!AD131</f>
        <v>4.9388894009918902E-15</v>
      </c>
      <c r="AE131">
        <f>wFG!AE131-woFG!AE131</f>
        <v>-1.8034776281913405E-3</v>
      </c>
      <c r="AF131">
        <f>wFG!AF131-woFG!AF131</f>
        <v>-9.5857297880218989E-2</v>
      </c>
      <c r="AK131" s="1">
        <f t="shared" ref="AK131:AK132" si="21">+A131</f>
        <v>50951</v>
      </c>
      <c r="AL131">
        <f t="shared" ref="AL131:AL132" si="22">+B131</f>
        <v>-8.5955861443818005E-3</v>
      </c>
      <c r="AM131">
        <f t="shared" ref="AM131:AM132" si="23">+C131</f>
        <v>-9.6016765999626633E-16</v>
      </c>
      <c r="AN131">
        <f t="shared" ref="AN131:AN132" si="24">+D131</f>
        <v>-1.4824981439446897E-2</v>
      </c>
      <c r="AO131">
        <f t="shared" ref="AO131:AO132" si="25">+E131</f>
        <v>-2.3306074545674996E-13</v>
      </c>
      <c r="AP131">
        <f t="shared" ref="AP131:AP132" si="26">+F131</f>
        <v>-0.15071001847508461</v>
      </c>
      <c r="AQ131">
        <f t="shared" ref="AQ131:AQ132" si="27">+G131</f>
        <v>1.84534002227765E-2</v>
      </c>
      <c r="AR131">
        <f t="shared" ref="AR131:AR132" si="28">+H131</f>
        <v>-1.8193854789825981E-3</v>
      </c>
      <c r="AS131">
        <f t="shared" ref="AS131:AS132" si="29">+Q131</f>
        <v>7.0693829628667687E-2</v>
      </c>
      <c r="AT131">
        <f t="shared" ref="AT131:AT132" si="30">+AF131-SUM(AL131:AS131)</f>
        <v>-9.0545561935332364E-3</v>
      </c>
    </row>
    <row r="132" spans="1:46" x14ac:dyDescent="0.25">
      <c r="A132" s="1">
        <v>51043</v>
      </c>
      <c r="B132">
        <f>wFG!B132-woFG!B132</f>
        <v>-8.4951169453860997E-3</v>
      </c>
      <c r="C132">
        <f>wFG!C132-woFG!C132</f>
        <v>-9.5428318700643203E-16</v>
      </c>
      <c r="D132">
        <f>wFG!D132-woFG!D132</f>
        <v>-1.4676731625052397E-2</v>
      </c>
      <c r="E132">
        <f>wFG!E132-woFG!E132</f>
        <v>-1.6434538840773299E-13</v>
      </c>
      <c r="F132">
        <f>wFG!F132-woFG!F132</f>
        <v>-0.14920291829033372</v>
      </c>
      <c r="G132">
        <f>wFG!G132-woFG!G132</f>
        <v>1.8149786987030604E-2</v>
      </c>
      <c r="H132">
        <f>wFG!H132-woFG!H132</f>
        <v>-1.7202075910639006E-3</v>
      </c>
      <c r="I132">
        <f>wFG!I132-woFG!I132</f>
        <v>4.1772072590659749E-17</v>
      </c>
      <c r="J132">
        <f>wFG!J132-woFG!J132</f>
        <v>-1.8195631994539017E-15</v>
      </c>
      <c r="K132">
        <f>wFG!K132-woFG!K132</f>
        <v>-1.8387110309986972E-15</v>
      </c>
      <c r="L132">
        <f>wFG!L132-woFG!L132</f>
        <v>-7.0997712259305984E-3</v>
      </c>
      <c r="M132">
        <f>wFG!M132-woFG!M132</f>
        <v>0</v>
      </c>
      <c r="N132">
        <f>wFG!N132-woFG!N132</f>
        <v>0</v>
      </c>
      <c r="O132">
        <f>wFG!O132-woFG!O132</f>
        <v>1.9991047729478996E-14</v>
      </c>
      <c r="P132">
        <f>wFG!P132-woFG!P132</f>
        <v>0</v>
      </c>
      <c r="Q132">
        <f>wFG!Q132-woFG!Q132</f>
        <v>7.0045569530419197E-2</v>
      </c>
      <c r="R132">
        <f>wFG!R132-woFG!R132</f>
        <v>0</v>
      </c>
      <c r="S132">
        <f>wFG!S132-woFG!S132</f>
        <v>0</v>
      </c>
      <c r="T132">
        <f>wFG!T132-woFG!T132</f>
        <v>0</v>
      </c>
      <c r="U132">
        <f>wFG!U132-woFG!U132</f>
        <v>0</v>
      </c>
      <c r="V132">
        <f>wFG!V132-woFG!V132</f>
        <v>0</v>
      </c>
      <c r="W132">
        <f>wFG!W132-woFG!W132</f>
        <v>0</v>
      </c>
      <c r="X132">
        <f>wFG!X132-woFG!X132</f>
        <v>0</v>
      </c>
      <c r="Y132">
        <f>wFG!Y132-woFG!Y132</f>
        <v>6.3101667206799192E-16</v>
      </c>
      <c r="Z132">
        <f>wFG!Z132-woFG!Z132</f>
        <v>-1.0991555337789911E-15</v>
      </c>
      <c r="AA132">
        <f>wFG!AA132-woFG!AA132</f>
        <v>5.5606390943041599E-16</v>
      </c>
      <c r="AB132">
        <f>wFG!AB132-woFG!AB132</f>
        <v>-5.7211814872915953E-17</v>
      </c>
      <c r="AC132">
        <f>wFG!AC132-woFG!AC132</f>
        <v>1.7755397019530651E-15</v>
      </c>
      <c r="AD132">
        <f>wFG!AD132-woFG!AD132</f>
        <v>4.8873575241769706E-15</v>
      </c>
      <c r="AE132">
        <f>wFG!AE132-woFG!AE132</f>
        <v>-1.7854711626897404E-3</v>
      </c>
      <c r="AF132">
        <f>wFG!AF132-woFG!AF132</f>
        <v>-9.4784860323151976E-2</v>
      </c>
      <c r="AK132" s="1">
        <f t="shared" si="21"/>
        <v>51043</v>
      </c>
      <c r="AL132">
        <f t="shared" si="22"/>
        <v>-8.4951169453860997E-3</v>
      </c>
      <c r="AM132">
        <f t="shared" si="23"/>
        <v>-9.5428318700643203E-16</v>
      </c>
      <c r="AN132">
        <f t="shared" si="24"/>
        <v>-1.4676731625052397E-2</v>
      </c>
      <c r="AO132">
        <f t="shared" si="25"/>
        <v>-1.6434538840773299E-13</v>
      </c>
      <c r="AP132">
        <f t="shared" si="26"/>
        <v>-0.14920291829033372</v>
      </c>
      <c r="AQ132">
        <f t="shared" si="27"/>
        <v>1.8149786987030604E-2</v>
      </c>
      <c r="AR132">
        <f t="shared" si="28"/>
        <v>-1.7202075910639006E-3</v>
      </c>
      <c r="AS132">
        <f t="shared" si="29"/>
        <v>7.0045569530419197E-2</v>
      </c>
      <c r="AT132">
        <f t="shared" si="30"/>
        <v>-8.8852423886003756E-3</v>
      </c>
    </row>
  </sheetData>
  <conditionalFormatting sqref="B57:AE57">
    <cfRule type="top10" dxfId="0" priority="1" bottom="1" rank="10"/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73D1C-22DA-4795-8E86-0EBAD9506EC0}">
  <sheetPr codeName="Sheet2"/>
  <dimension ref="A1:AF132"/>
  <sheetViews>
    <sheetView topLeftCell="L1" workbookViewId="0">
      <selection activeCell="G12" sqref="G12"/>
    </sheetView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>
        <v>39172</v>
      </c>
      <c r="B2">
        <v>-0.113660801895032</v>
      </c>
      <c r="C2" s="2">
        <v>1.3149136267803799E-6</v>
      </c>
      <c r="D2">
        <v>-0.148056468987111</v>
      </c>
      <c r="E2">
        <v>1.03202174481558E-3</v>
      </c>
      <c r="F2">
        <v>0.49989433643112702</v>
      </c>
      <c r="G2">
        <v>-4.6535517226704202E-2</v>
      </c>
      <c r="H2">
        <v>0.13489570255630701</v>
      </c>
      <c r="I2" s="2">
        <v>3.2757224183061398E-17</v>
      </c>
      <c r="J2" s="2">
        <v>4.6015927926861096E-16</v>
      </c>
      <c r="K2" s="2">
        <v>1.4912699904016598E-14</v>
      </c>
      <c r="L2">
        <v>-2.1460482418565598E-2</v>
      </c>
      <c r="M2">
        <v>0</v>
      </c>
      <c r="N2">
        <v>0</v>
      </c>
      <c r="O2" s="2">
        <v>1.67145883416796E-13</v>
      </c>
      <c r="P2">
        <v>0</v>
      </c>
      <c r="Q2">
        <v>1.61751419132709E-2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3.2509986033183398E-2</v>
      </c>
      <c r="AF2">
        <v>0.35479523306509902</v>
      </c>
    </row>
    <row r="3" spans="1:32" x14ac:dyDescent="0.25">
      <c r="A3" s="1">
        <v>39263</v>
      </c>
      <c r="B3">
        <v>-0.103934527704782</v>
      </c>
      <c r="C3" s="2">
        <v>9.9853957602127709E-7</v>
      </c>
      <c r="D3">
        <v>-0.16808400283353001</v>
      </c>
      <c r="E3">
        <v>1.1083013698974099E-3</v>
      </c>
      <c r="F3">
        <v>0.55099943188654099</v>
      </c>
      <c r="G3">
        <v>-3.9492100070202797E-2</v>
      </c>
      <c r="H3">
        <v>0.118158199866612</v>
      </c>
      <c r="I3" s="2">
        <v>1.9791939252185599E-16</v>
      </c>
      <c r="J3" s="2">
        <v>1.6929746064614701E-15</v>
      </c>
      <c r="K3" s="2">
        <v>1.3782584189267499E-14</v>
      </c>
      <c r="L3">
        <v>-1.51912421724571E-2</v>
      </c>
      <c r="M3">
        <v>0</v>
      </c>
      <c r="N3">
        <v>0</v>
      </c>
      <c r="O3" s="2">
        <v>1.67945255525682E-13</v>
      </c>
      <c r="P3">
        <v>0</v>
      </c>
      <c r="Q3">
        <v>-0.12032188879936601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3.2110116080205302E-2</v>
      </c>
      <c r="AF3">
        <v>0.255353286162677</v>
      </c>
    </row>
    <row r="4" spans="1:32" x14ac:dyDescent="0.25">
      <c r="A4" s="1">
        <v>39355</v>
      </c>
      <c r="B4">
        <v>-0.108349136269102</v>
      </c>
      <c r="C4" s="2">
        <v>7.4870962440389104E-7</v>
      </c>
      <c r="D4">
        <v>-0.33960205079135503</v>
      </c>
      <c r="E4">
        <v>1.3447260365434901E-3</v>
      </c>
      <c r="F4">
        <v>0.55825445338645496</v>
      </c>
      <c r="G4">
        <v>-5.6755706444890898E-2</v>
      </c>
      <c r="H4">
        <v>0.13713848203114901</v>
      </c>
      <c r="I4" s="2">
        <v>-1.00562736617197E-16</v>
      </c>
      <c r="J4" s="2">
        <v>2.7546436307016798E-15</v>
      </c>
      <c r="K4" s="2">
        <v>1.43173064319787E-14</v>
      </c>
      <c r="L4">
        <v>-4.8840945808636897E-2</v>
      </c>
      <c r="M4">
        <v>0</v>
      </c>
      <c r="N4">
        <v>0</v>
      </c>
      <c r="O4" s="2">
        <v>1.68731501787606E-13</v>
      </c>
      <c r="P4">
        <v>0</v>
      </c>
      <c r="Q4">
        <v>-0.154497102178278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3.1715429377039701E-2</v>
      </c>
      <c r="AF4">
        <v>2.0408898048734601E-2</v>
      </c>
    </row>
    <row r="5" spans="1:32" x14ac:dyDescent="0.25">
      <c r="A5" s="1">
        <v>39447</v>
      </c>
      <c r="B5">
        <v>-0.105420783601633</v>
      </c>
      <c r="C5" s="2">
        <v>9.2705621571938897E-7</v>
      </c>
      <c r="D5">
        <v>-0.476883371177103</v>
      </c>
      <c r="E5">
        <v>1.3066356511569201E-3</v>
      </c>
      <c r="F5">
        <v>0.53311641177040603</v>
      </c>
      <c r="G5">
        <v>-6.9494743970194103E-2</v>
      </c>
      <c r="H5">
        <v>0.140077433345942</v>
      </c>
      <c r="I5" s="2">
        <v>-6.1410961094798904E-16</v>
      </c>
      <c r="J5" s="2">
        <v>3.3744854379635498E-15</v>
      </c>
      <c r="K5" s="2">
        <v>1.5913286443943001E-14</v>
      </c>
      <c r="L5">
        <v>-8.2827574054473094E-2</v>
      </c>
      <c r="M5">
        <v>0</v>
      </c>
      <c r="N5">
        <v>0</v>
      </c>
      <c r="O5" s="2">
        <v>1.6848228956147501E-13</v>
      </c>
      <c r="P5">
        <v>0</v>
      </c>
      <c r="Q5">
        <v>-0.126845448422716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3.1325856969527603E-2</v>
      </c>
      <c r="AF5">
        <v>-0.15564465643268299</v>
      </c>
    </row>
    <row r="6" spans="1:32" x14ac:dyDescent="0.25">
      <c r="A6" s="1">
        <v>39538</v>
      </c>
      <c r="B6">
        <v>-0.107088511735925</v>
      </c>
      <c r="C6" s="2">
        <v>-6.9510789696031002E-7</v>
      </c>
      <c r="D6">
        <v>-0.63739719906801795</v>
      </c>
      <c r="E6" s="2">
        <v>-6.9906395665178197E-5</v>
      </c>
      <c r="F6">
        <v>0.47917861114667798</v>
      </c>
      <c r="G6">
        <v>-6.3279753526090596E-2</v>
      </c>
      <c r="H6">
        <v>0.15166680742571501</v>
      </c>
      <c r="I6" s="2">
        <v>-3.3654739332929401E-16</v>
      </c>
      <c r="J6" s="2">
        <v>4.0417278949893503E-15</v>
      </c>
      <c r="K6" s="2">
        <v>1.7171333157347099E-14</v>
      </c>
      <c r="L6">
        <v>-9.6206958671159207E-2</v>
      </c>
      <c r="M6">
        <v>0</v>
      </c>
      <c r="N6">
        <v>0</v>
      </c>
      <c r="O6" s="2">
        <v>1.6836823978272199E-13</v>
      </c>
      <c r="P6">
        <v>0</v>
      </c>
      <c r="Q6">
        <v>-0.24518844525605099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3.09413307703361E-2</v>
      </c>
      <c r="AF6">
        <v>-0.487444720417887</v>
      </c>
    </row>
    <row r="7" spans="1:32" x14ac:dyDescent="0.25">
      <c r="A7" s="1">
        <v>39629</v>
      </c>
      <c r="B7">
        <v>-0.11005887401075599</v>
      </c>
      <c r="C7" s="2">
        <v>-8.3140169137532696E-7</v>
      </c>
      <c r="D7">
        <v>-0.60089367467504196</v>
      </c>
      <c r="E7">
        <v>-5.5720817392754295E-4</v>
      </c>
      <c r="F7">
        <v>0.51071481983091305</v>
      </c>
      <c r="G7">
        <v>-6.4217593082941907E-2</v>
      </c>
      <c r="H7">
        <v>0.14725971118704001</v>
      </c>
      <c r="I7" s="2">
        <v>-2.23067202428126E-16</v>
      </c>
      <c r="J7" s="2">
        <v>5.1511512469119699E-15</v>
      </c>
      <c r="K7" s="2">
        <v>1.84572714677957E-14</v>
      </c>
      <c r="L7">
        <v>-9.7981846848597801E-2</v>
      </c>
      <c r="M7">
        <v>0</v>
      </c>
      <c r="N7">
        <v>0</v>
      </c>
      <c r="O7" s="2">
        <v>1.68411752125672E-13</v>
      </c>
      <c r="P7">
        <v>0</v>
      </c>
      <c r="Q7">
        <v>-0.28425778513600602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3.05617835508015E-2</v>
      </c>
      <c r="AF7">
        <v>-0.469431498760016</v>
      </c>
    </row>
    <row r="8" spans="1:32" x14ac:dyDescent="0.25">
      <c r="A8" s="1">
        <v>39721</v>
      </c>
      <c r="B8">
        <v>-9.5576150765832604E-2</v>
      </c>
      <c r="C8" s="2">
        <v>-2.7227547727334601E-6</v>
      </c>
      <c r="D8">
        <v>-0.708834757721447</v>
      </c>
      <c r="E8">
        <v>-1.71577308688112E-3</v>
      </c>
      <c r="F8">
        <v>0.481401531735479</v>
      </c>
      <c r="G8">
        <v>-5.61464349929955E-2</v>
      </c>
      <c r="H8">
        <v>0.14669397088522201</v>
      </c>
      <c r="I8" s="2">
        <v>-7.90829994782449E-16</v>
      </c>
      <c r="J8" s="2">
        <v>5.9907225613854701E-15</v>
      </c>
      <c r="K8" s="2">
        <v>1.6409196298038799E-14</v>
      </c>
      <c r="L8">
        <v>-9.7148869082909303E-2</v>
      </c>
      <c r="M8">
        <v>0</v>
      </c>
      <c r="N8">
        <v>0</v>
      </c>
      <c r="O8" s="2">
        <v>1.66746852748416E-13</v>
      </c>
      <c r="P8">
        <v>0</v>
      </c>
      <c r="Q8">
        <v>-0.33074135812522198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3.01871489327626E-2</v>
      </c>
      <c r="AF8">
        <v>-0.63188341497640799</v>
      </c>
    </row>
    <row r="9" spans="1:32" x14ac:dyDescent="0.25">
      <c r="A9" s="1">
        <v>39813</v>
      </c>
      <c r="B9">
        <v>-6.27960588740403E-2</v>
      </c>
      <c r="C9" s="2">
        <v>-6.4937485315544696E-6</v>
      </c>
      <c r="D9">
        <v>-1.3052323393987599</v>
      </c>
      <c r="E9">
        <v>-3.34464264390729E-3</v>
      </c>
      <c r="F9">
        <v>0.18028868373019999</v>
      </c>
      <c r="G9">
        <v>5.1103001425709402E-3</v>
      </c>
      <c r="H9">
        <v>0.20604348676672599</v>
      </c>
      <c r="I9" s="2">
        <v>1.3384411813936899E-15</v>
      </c>
      <c r="J9" s="2">
        <v>6.5599874946423999E-15</v>
      </c>
      <c r="K9" s="2">
        <v>1.4327031200357299E-14</v>
      </c>
      <c r="L9">
        <v>-0.17718309514084901</v>
      </c>
      <c r="M9">
        <v>0</v>
      </c>
      <c r="N9">
        <v>0</v>
      </c>
      <c r="O9" s="2">
        <v>1.68781659192522E-13</v>
      </c>
      <c r="P9">
        <v>0</v>
      </c>
      <c r="Q9">
        <v>-0.53437858810063499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s="2">
        <v>-1.7409995029107699E-15</v>
      </c>
      <c r="Z9" s="2">
        <v>-1.3696935944511099E-15</v>
      </c>
      <c r="AA9" s="2">
        <v>-3.4921307000827998E-16</v>
      </c>
      <c r="AB9" s="2">
        <v>-1.1441474238510101E-16</v>
      </c>
      <c r="AC9" s="2">
        <v>-7.7682647267673897E-17</v>
      </c>
      <c r="AD9" s="2">
        <v>-1.590058037343E-16</v>
      </c>
      <c r="AE9">
        <v>2.9817361380386199E-2</v>
      </c>
      <c r="AF9">
        <v>-1.6616813858866499</v>
      </c>
    </row>
    <row r="10" spans="1:32" x14ac:dyDescent="0.25">
      <c r="A10" s="1">
        <v>39903</v>
      </c>
      <c r="B10">
        <v>-4.8434583804719003E-2</v>
      </c>
      <c r="C10" s="2">
        <v>-5.0814270225590698E-6</v>
      </c>
      <c r="D10">
        <v>-1.0841320777110901</v>
      </c>
      <c r="E10">
        <v>-3.3354405162071498E-3</v>
      </c>
      <c r="F10">
        <v>0.22792314189836499</v>
      </c>
      <c r="G10">
        <v>-7.9065710647330895E-2</v>
      </c>
      <c r="H10">
        <v>0.19404586912015401</v>
      </c>
      <c r="I10" s="2">
        <v>1.5745905109737899E-15</v>
      </c>
      <c r="J10" s="2">
        <v>8.8883074695750003E-15</v>
      </c>
      <c r="K10" s="2">
        <v>1.1135896332816999E-14</v>
      </c>
      <c r="L10">
        <v>-0.225485485440063</v>
      </c>
      <c r="M10">
        <v>0</v>
      </c>
      <c r="N10">
        <v>0</v>
      </c>
      <c r="O10" s="2">
        <v>1.71107553131381E-13</v>
      </c>
      <c r="P10">
        <v>0</v>
      </c>
      <c r="Q10">
        <v>-0.54306393749675297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s="2">
        <v>-2.55136346571107E-15</v>
      </c>
      <c r="Z10" s="2">
        <v>-2.3014758066581999E-15</v>
      </c>
      <c r="AA10" s="2">
        <v>-1.18214384641359E-15</v>
      </c>
      <c r="AB10" s="2">
        <v>-2.3301425871716602E-16</v>
      </c>
      <c r="AC10" s="2">
        <v>-5.5350642259387805E-16</v>
      </c>
      <c r="AD10" s="2">
        <v>-1.21609891775737E-15</v>
      </c>
      <c r="AE10">
        <v>2.9452356191986401E-2</v>
      </c>
      <c r="AF10">
        <v>-1.53210094983249</v>
      </c>
    </row>
    <row r="11" spans="1:32" x14ac:dyDescent="0.25">
      <c r="A11" s="1">
        <v>39994</v>
      </c>
      <c r="B11">
        <v>-3.6765570810340403E-2</v>
      </c>
      <c r="C11" s="2">
        <v>-3.4644480912826899E-6</v>
      </c>
      <c r="D11">
        <v>-0.87506873396343499</v>
      </c>
      <c r="E11">
        <v>-3.0217147525348998E-3</v>
      </c>
      <c r="F11">
        <v>0.23573740964795301</v>
      </c>
      <c r="G11">
        <v>-0.105216617451278</v>
      </c>
      <c r="H11">
        <v>0.15345819202808</v>
      </c>
      <c r="I11" s="2">
        <v>1.35346481214252E-15</v>
      </c>
      <c r="J11" s="2">
        <v>8.7624816443261306E-15</v>
      </c>
      <c r="K11" s="2">
        <v>9.7304029049647608E-15</v>
      </c>
      <c r="L11">
        <v>-0.15466516133986399</v>
      </c>
      <c r="M11">
        <v>0</v>
      </c>
      <c r="N11">
        <v>0</v>
      </c>
      <c r="O11" s="2">
        <v>1.666786342047E-13</v>
      </c>
      <c r="P11">
        <v>0</v>
      </c>
      <c r="Q11">
        <v>-0.44595367339972197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s="2">
        <v>-2.5237790694045101E-15</v>
      </c>
      <c r="Z11" s="2">
        <v>-2.3104953470080301E-15</v>
      </c>
      <c r="AA11" s="2">
        <v>-1.9096676708366301E-15</v>
      </c>
      <c r="AB11" s="2">
        <v>-1.07553620606467E-15</v>
      </c>
      <c r="AC11" s="2">
        <v>-4.8725674647647896E-16</v>
      </c>
      <c r="AD11" s="2">
        <v>-2.84134259971888E-15</v>
      </c>
      <c r="AE11">
        <v>2.9092069491841399E-2</v>
      </c>
      <c r="AF11">
        <v>-1.20240726499721</v>
      </c>
    </row>
    <row r="12" spans="1:32" x14ac:dyDescent="0.25">
      <c r="A12" s="1">
        <v>40086</v>
      </c>
      <c r="B12">
        <v>-5.2618199485541403E-2</v>
      </c>
      <c r="C12" s="2">
        <v>7.7119382180851905E-7</v>
      </c>
      <c r="D12">
        <v>-0.66704285197135504</v>
      </c>
      <c r="E12">
        <v>-2.4179338590541201E-3</v>
      </c>
      <c r="F12">
        <v>0.18732409801708699</v>
      </c>
      <c r="G12">
        <v>-0.19104247657923501</v>
      </c>
      <c r="H12">
        <v>0.125980029077152</v>
      </c>
      <c r="I12" s="2">
        <v>1.24160986479293E-15</v>
      </c>
      <c r="J12" s="2">
        <v>9.2135726225354998E-15</v>
      </c>
      <c r="K12" s="2">
        <v>9.8036629404601298E-15</v>
      </c>
      <c r="L12">
        <v>-5.8618210888906799E-2</v>
      </c>
      <c r="M12">
        <v>0</v>
      </c>
      <c r="N12">
        <v>0</v>
      </c>
      <c r="O12" s="2">
        <v>1.5761032252638399E-13</v>
      </c>
      <c r="P12">
        <v>0</v>
      </c>
      <c r="Q12">
        <v>-0.497629781886268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s="2">
        <v>-1.5046549937533899E-15</v>
      </c>
      <c r="Z12" s="2">
        <v>-1.43340780777966E-15</v>
      </c>
      <c r="AA12" s="2">
        <v>-1.1360413852687199E-15</v>
      </c>
      <c r="AB12" s="2">
        <v>-7.7620564199410502E-16</v>
      </c>
      <c r="AC12" s="2">
        <v>-2.4403192254184601E-16</v>
      </c>
      <c r="AD12" s="2">
        <v>-4.18574391980305E-15</v>
      </c>
      <c r="AE12">
        <v>2.8736438222009501E-2</v>
      </c>
      <c r="AF12">
        <v>-1.12732811816012</v>
      </c>
    </row>
    <row r="13" spans="1:32" x14ac:dyDescent="0.25">
      <c r="A13" s="1">
        <v>40178</v>
      </c>
      <c r="B13">
        <v>-3.9747872155617203E-2</v>
      </c>
      <c r="C13" s="2">
        <v>-6.44643652720412E-7</v>
      </c>
      <c r="D13">
        <v>-0.58072914083451199</v>
      </c>
      <c r="E13">
        <v>-2.5576396996007198E-3</v>
      </c>
      <c r="F13">
        <v>0.14490357439646501</v>
      </c>
      <c r="G13">
        <v>-0.183086827400118</v>
      </c>
      <c r="H13">
        <v>6.8534478816869498E-2</v>
      </c>
      <c r="I13" s="2">
        <v>-2.9983289445509499E-17</v>
      </c>
      <c r="J13" s="2">
        <v>9.8462438326470493E-15</v>
      </c>
      <c r="K13" s="2">
        <v>7.03679363456216E-15</v>
      </c>
      <c r="L13">
        <v>3.5748259595808E-3</v>
      </c>
      <c r="M13">
        <v>0</v>
      </c>
      <c r="N13">
        <v>0</v>
      </c>
      <c r="O13" s="2">
        <v>1.5039331566310001E-13</v>
      </c>
      <c r="P13">
        <v>0</v>
      </c>
      <c r="Q13">
        <v>-0.40725864949706198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s="2">
        <v>-1.71204348680278E-15</v>
      </c>
      <c r="Z13" s="2">
        <v>-1.4335119387823401E-15</v>
      </c>
      <c r="AA13" s="2">
        <v>-1.7119932047870301E-15</v>
      </c>
      <c r="AB13" s="2">
        <v>-8.3423365446273699E-16</v>
      </c>
      <c r="AC13" s="2">
        <v>-4.0814107338231698E-16</v>
      </c>
      <c r="AD13" s="2">
        <v>-5.7364052854013698E-15</v>
      </c>
      <c r="AE13">
        <v>2.8385400134147101E-2</v>
      </c>
      <c r="AF13">
        <v>-0.96798249492334398</v>
      </c>
    </row>
    <row r="14" spans="1:32" x14ac:dyDescent="0.25">
      <c r="A14" s="1">
        <v>40268</v>
      </c>
      <c r="B14">
        <v>-4.1220779154173999E-2</v>
      </c>
      <c r="C14" s="2">
        <v>4.2653500933031797E-7</v>
      </c>
      <c r="D14">
        <v>-0.48517374573893002</v>
      </c>
      <c r="E14">
        <v>-2.2883303391452899E-3</v>
      </c>
      <c r="F14">
        <v>8.4004713428496497E-2</v>
      </c>
      <c r="G14">
        <v>-0.24470983128659399</v>
      </c>
      <c r="H14">
        <v>5.6359130709460997E-2</v>
      </c>
      <c r="I14" s="2">
        <v>7.5811217613415305E-17</v>
      </c>
      <c r="J14" s="2">
        <v>1.13717706525307E-14</v>
      </c>
      <c r="K14" s="2">
        <v>6.1727131945452898E-15</v>
      </c>
      <c r="L14">
        <v>-1.89094999349332E-2</v>
      </c>
      <c r="M14">
        <v>0</v>
      </c>
      <c r="N14">
        <v>0</v>
      </c>
      <c r="O14" s="2">
        <v>1.49357591095695E-13</v>
      </c>
      <c r="P14">
        <v>0</v>
      </c>
      <c r="Q14">
        <v>-0.60441873783506905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s="2">
        <v>-1.4224778977523501E-15</v>
      </c>
      <c r="Z14" s="2">
        <v>-7.9809202232693895E-16</v>
      </c>
      <c r="AA14" s="2">
        <v>-9.6943249560047008E-16</v>
      </c>
      <c r="AB14" s="2">
        <v>-3.43058875183719E-16</v>
      </c>
      <c r="AC14" s="2">
        <v>1.9523162513683199E-16</v>
      </c>
      <c r="AD14" s="2">
        <v>-7.2335445657836098E-15</v>
      </c>
      <c r="AE14">
        <v>2.8038893781329899E-2</v>
      </c>
      <c r="AF14">
        <v>-1.22831775983439</v>
      </c>
    </row>
    <row r="15" spans="1:32" x14ac:dyDescent="0.25">
      <c r="A15" s="1">
        <v>40359</v>
      </c>
      <c r="B15">
        <v>-4.1036485401263999E-2</v>
      </c>
      <c r="C15" s="2">
        <v>2.8992863018909E-6</v>
      </c>
      <c r="D15">
        <v>-0.63934151705290998</v>
      </c>
      <c r="E15">
        <v>-1.4935123181934601E-3</v>
      </c>
      <c r="F15">
        <v>-0.16828579307114599</v>
      </c>
      <c r="G15">
        <v>-0.227937447586853</v>
      </c>
      <c r="H15">
        <v>5.0718498270295398E-2</v>
      </c>
      <c r="I15" s="2">
        <v>2.2766642036099701E-16</v>
      </c>
      <c r="J15" s="2">
        <v>1.20680040485294E-14</v>
      </c>
      <c r="K15" s="2">
        <v>6.69191096353187E-15</v>
      </c>
      <c r="L15">
        <v>2.76535264463432E-2</v>
      </c>
      <c r="M15">
        <v>0</v>
      </c>
      <c r="N15">
        <v>0</v>
      </c>
      <c r="O15" s="2">
        <v>1.42676950068925E-13</v>
      </c>
      <c r="P15">
        <v>0</v>
      </c>
      <c r="Q15">
        <v>-0.81629772561427305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s="2">
        <v>-3.4928504763663998E-16</v>
      </c>
      <c r="Z15" s="2">
        <v>1.8127513064191199E-16</v>
      </c>
      <c r="AA15" s="2">
        <v>4.7530377092739204E-16</v>
      </c>
      <c r="AB15" s="2">
        <v>1.30508595070243E-15</v>
      </c>
      <c r="AC15" s="2">
        <v>2.3800640668150501E-15</v>
      </c>
      <c r="AD15" s="2">
        <v>-7.1395112861579205E-15</v>
      </c>
      <c r="AE15">
        <v>2.7696858509882499E-2</v>
      </c>
      <c r="AF15">
        <v>-1.78832069853165</v>
      </c>
    </row>
    <row r="16" spans="1:32" x14ac:dyDescent="0.25">
      <c r="A16" s="1">
        <v>40451</v>
      </c>
      <c r="B16">
        <v>-3.2043149940031497E-2</v>
      </c>
      <c r="C16" s="2">
        <v>1.29232601472686E-6</v>
      </c>
      <c r="D16">
        <v>-0.701078917046285</v>
      </c>
      <c r="E16">
        <v>-1.01086541317011E-3</v>
      </c>
      <c r="F16">
        <v>-0.206801457945579</v>
      </c>
      <c r="G16">
        <v>-0.25471588089098002</v>
      </c>
      <c r="H16">
        <v>2.11467514290377E-2</v>
      </c>
      <c r="I16" s="2">
        <v>5.8652205377945601E-16</v>
      </c>
      <c r="J16" s="2">
        <v>1.2885159675519899E-14</v>
      </c>
      <c r="K16" s="2">
        <v>5.3868649481787498E-15</v>
      </c>
      <c r="L16">
        <v>-2.8796532337340801E-2</v>
      </c>
      <c r="M16">
        <v>0</v>
      </c>
      <c r="N16">
        <v>0</v>
      </c>
      <c r="O16" s="2">
        <v>1.4175082706973299E-13</v>
      </c>
      <c r="P16">
        <v>0</v>
      </c>
      <c r="Q16">
        <v>-0.74071606339691498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s="2">
        <v>-6.9581196487895403E-16</v>
      </c>
      <c r="Z16" s="2">
        <v>-4.5646704480858701E-17</v>
      </c>
      <c r="AA16" s="2">
        <v>4.52811124563708E-16</v>
      </c>
      <c r="AB16" s="2">
        <v>1.0061714871648499E-15</v>
      </c>
      <c r="AC16" s="2">
        <v>2.8204201618292901E-15</v>
      </c>
      <c r="AD16" s="2">
        <v>-6.6363657679885303E-15</v>
      </c>
      <c r="AE16">
        <v>2.7359234451215301E-2</v>
      </c>
      <c r="AF16">
        <v>-1.9166555887638701</v>
      </c>
    </row>
    <row r="17" spans="1:32" x14ac:dyDescent="0.25">
      <c r="A17" s="1">
        <v>40543</v>
      </c>
      <c r="B17">
        <v>-5.4083678149935102E-2</v>
      </c>
      <c r="C17" s="2">
        <v>2.9346039439203298E-7</v>
      </c>
      <c r="D17">
        <v>-0.67727075373777601</v>
      </c>
      <c r="E17">
        <v>-6.6718192726367696E-4</v>
      </c>
      <c r="F17">
        <v>-0.19242421851765301</v>
      </c>
      <c r="G17">
        <v>-0.222979051542053</v>
      </c>
      <c r="H17">
        <v>3.89100667548696E-3</v>
      </c>
      <c r="I17" s="2">
        <v>-3.2409724507675102E-16</v>
      </c>
      <c r="J17" s="2">
        <v>1.38742548515368E-14</v>
      </c>
      <c r="K17" s="2">
        <v>4.3410338591045604E-15</v>
      </c>
      <c r="L17">
        <v>1.54767603298471E-2</v>
      </c>
      <c r="M17">
        <v>0</v>
      </c>
      <c r="N17">
        <v>0</v>
      </c>
      <c r="O17" s="2">
        <v>1.3860115074124601E-13</v>
      </c>
      <c r="P17">
        <v>0</v>
      </c>
      <c r="Q17">
        <v>-0.70975663625913399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s="2">
        <v>-6.3187852121252703E-16</v>
      </c>
      <c r="Z17" s="2">
        <v>-5.8197765359929606E-17</v>
      </c>
      <c r="AA17" s="2">
        <v>3.58550581479208E-16</v>
      </c>
      <c r="AB17" s="2">
        <v>8.2576255814988103E-16</v>
      </c>
      <c r="AC17" s="2">
        <v>2.0544328485290202E-15</v>
      </c>
      <c r="AD17" s="2">
        <v>-6.9416149122309999E-15</v>
      </c>
      <c r="AE17">
        <v>2.7025962513673601E-2</v>
      </c>
      <c r="AF17">
        <v>-1.8107874971542599</v>
      </c>
    </row>
    <row r="18" spans="1:32" x14ac:dyDescent="0.25">
      <c r="A18" s="1">
        <v>40633</v>
      </c>
      <c r="B18">
        <v>-7.1565573629814694E-2</v>
      </c>
      <c r="C18" s="2">
        <v>1.8658316033086001E-7</v>
      </c>
      <c r="D18">
        <v>-0.51200534631618799</v>
      </c>
      <c r="E18">
        <v>-1.1120934041994499E-3</v>
      </c>
      <c r="F18">
        <v>-0.191119497712265</v>
      </c>
      <c r="G18">
        <v>-0.25727389518223698</v>
      </c>
      <c r="H18">
        <v>1.6499528677458401E-2</v>
      </c>
      <c r="I18" s="2">
        <v>-6.19743773835096E-16</v>
      </c>
      <c r="J18" s="2">
        <v>1.4080064545294499E-14</v>
      </c>
      <c r="K18" s="2">
        <v>4.3027756891698596E-15</v>
      </c>
      <c r="L18">
        <v>-1.3495719687929401E-2</v>
      </c>
      <c r="M18">
        <v>0</v>
      </c>
      <c r="N18">
        <v>0</v>
      </c>
      <c r="O18" s="2">
        <v>1.3629299658156099E-13</v>
      </c>
      <c r="P18">
        <v>0</v>
      </c>
      <c r="Q18">
        <v>-0.60047908777062098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s="2">
        <v>-7.9890128998935204E-16</v>
      </c>
      <c r="Z18" s="2">
        <v>-3.1674719615276898E-16</v>
      </c>
      <c r="AA18" s="2">
        <v>-2.4434767527493798E-16</v>
      </c>
      <c r="AB18" s="2">
        <v>1.6483405149993499E-16</v>
      </c>
      <c r="AC18" s="2">
        <v>1.8879502593830699E-15</v>
      </c>
      <c r="AD18" s="2">
        <v>-8.0792201503528199E-15</v>
      </c>
      <c r="AE18">
        <v>2.6696984374400198E-2</v>
      </c>
      <c r="AF18">
        <v>-1.60385451406809</v>
      </c>
    </row>
    <row r="19" spans="1:32" x14ac:dyDescent="0.25">
      <c r="A19" s="1">
        <v>40724</v>
      </c>
      <c r="B19">
        <v>-7.7022561533050204E-2</v>
      </c>
      <c r="C19" s="2">
        <v>1.1553467917964699E-6</v>
      </c>
      <c r="D19">
        <v>-0.66247062572913196</v>
      </c>
      <c r="E19">
        <v>-6.8434920352204004E-4</v>
      </c>
      <c r="F19">
        <v>-0.28973317435587997</v>
      </c>
      <c r="G19">
        <v>-0.240142820045778</v>
      </c>
      <c r="H19">
        <v>-7.5886632681407902E-4</v>
      </c>
      <c r="I19" s="2">
        <v>-1.6894680063342799E-15</v>
      </c>
      <c r="J19" s="2">
        <v>1.5546860840660899E-14</v>
      </c>
      <c r="K19" s="2">
        <v>3.7246071712643603E-15</v>
      </c>
      <c r="L19">
        <v>3.7818842278715702E-2</v>
      </c>
      <c r="M19">
        <v>0</v>
      </c>
      <c r="N19">
        <v>0</v>
      </c>
      <c r="O19" s="2">
        <v>1.33468601206623E-13</v>
      </c>
      <c r="P19">
        <v>0</v>
      </c>
      <c r="Q19">
        <v>-0.88282602634793705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s="2">
        <v>-1.13044772713269E-16</v>
      </c>
      <c r="Z19" s="2">
        <v>3.9515685093357899E-16</v>
      </c>
      <c r="AA19" s="2">
        <v>8.4462900926246402E-16</v>
      </c>
      <c r="AB19" s="2">
        <v>9.0195179728351001E-16</v>
      </c>
      <c r="AC19" s="2">
        <v>3.1925794876677599E-15</v>
      </c>
      <c r="AD19" s="2">
        <v>-8.4567088788280906E-15</v>
      </c>
      <c r="AE19">
        <v>2.6372242471213499E-2</v>
      </c>
      <c r="AF19">
        <v>-2.08944618344524</v>
      </c>
    </row>
    <row r="20" spans="1:32" x14ac:dyDescent="0.25">
      <c r="A20" s="1">
        <v>40816</v>
      </c>
      <c r="B20">
        <v>-9.9739620571139498E-2</v>
      </c>
      <c r="C20" s="2">
        <v>1.4985025131804801E-6</v>
      </c>
      <c r="D20">
        <v>-0.84956787105640497</v>
      </c>
      <c r="E20">
        <v>-2.5087942265700301E-4</v>
      </c>
      <c r="F20">
        <v>-0.45682787062253499</v>
      </c>
      <c r="G20">
        <v>-0.202648784009438</v>
      </c>
      <c r="H20">
        <v>9.1484099602521E-4</v>
      </c>
      <c r="I20" s="2">
        <v>-1.8655613631941302E-15</v>
      </c>
      <c r="J20" s="2">
        <v>1.6450648973020299E-14</v>
      </c>
      <c r="K20" s="2">
        <v>3.1119868811224E-15</v>
      </c>
      <c r="L20">
        <v>6.8522336963458302E-2</v>
      </c>
      <c r="M20">
        <v>0</v>
      </c>
      <c r="N20">
        <v>0</v>
      </c>
      <c r="O20" s="2">
        <v>1.29752560853074E-13</v>
      </c>
      <c r="P20">
        <v>0</v>
      </c>
      <c r="Q20">
        <v>-1.06096003400505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s="2">
        <v>2.9901036986449498E-16</v>
      </c>
      <c r="Z20" s="2">
        <v>1.0001166962283801E-15</v>
      </c>
      <c r="AA20" s="2">
        <v>1.48950074133666E-15</v>
      </c>
      <c r="AB20" s="2">
        <v>1.69283459118702E-15</v>
      </c>
      <c r="AC20" s="2">
        <v>3.9911780670053001E-15</v>
      </c>
      <c r="AD20" s="2">
        <v>-7.4412845305224595E-15</v>
      </c>
      <c r="AE20">
        <v>2.6051679994504001E-2</v>
      </c>
      <c r="AF20">
        <v>-2.5745047032305699</v>
      </c>
    </row>
    <row r="21" spans="1:32" x14ac:dyDescent="0.25">
      <c r="A21" s="1">
        <v>40908</v>
      </c>
      <c r="B21">
        <v>-9.6063363709761998E-2</v>
      </c>
      <c r="C21" s="2">
        <v>4.2021126768967701E-7</v>
      </c>
      <c r="D21">
        <v>-0.85213334138774</v>
      </c>
      <c r="E21">
        <v>3.8509197611494398E-4</v>
      </c>
      <c r="F21">
        <v>-0.43750371812918099</v>
      </c>
      <c r="G21">
        <v>-0.18318744531697001</v>
      </c>
      <c r="H21">
        <v>-1.1554139204061901E-2</v>
      </c>
      <c r="I21" s="2">
        <v>-1.6967616642228999E-15</v>
      </c>
      <c r="J21" s="2">
        <v>1.83091319475205E-14</v>
      </c>
      <c r="K21" s="2">
        <v>2.6450439442201599E-15</v>
      </c>
      <c r="L21">
        <v>3.1036828127537299E-2</v>
      </c>
      <c r="M21">
        <v>0</v>
      </c>
      <c r="N21">
        <v>0</v>
      </c>
      <c r="O21" s="2">
        <v>1.3416942679137399E-13</v>
      </c>
      <c r="P21">
        <v>0</v>
      </c>
      <c r="Q21">
        <v>-1.19728846643204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s="2">
        <v>1.7571583743525999E-16</v>
      </c>
      <c r="Z21" s="2">
        <v>7.3053122963229698E-16</v>
      </c>
      <c r="AA21" s="2">
        <v>1.20335027677548E-15</v>
      </c>
      <c r="AB21" s="2">
        <v>1.88240419089725E-15</v>
      </c>
      <c r="AC21" s="2">
        <v>3.13677006000727E-15</v>
      </c>
      <c r="AD21" s="2">
        <v>-6.7283230802412501E-15</v>
      </c>
      <c r="AE21">
        <v>2.5735240879151799E-2</v>
      </c>
      <c r="AF21">
        <v>-2.72057289298552</v>
      </c>
    </row>
    <row r="22" spans="1:32" x14ac:dyDescent="0.25">
      <c r="A22" s="1">
        <v>40999</v>
      </c>
      <c r="B22">
        <v>-9.4019545308480904E-2</v>
      </c>
      <c r="C22" s="2">
        <v>1.40154065617396E-6</v>
      </c>
      <c r="D22">
        <v>-0.82995494807520698</v>
      </c>
      <c r="E22">
        <v>4.2746057105490102E-4</v>
      </c>
      <c r="F22">
        <v>-0.49327720808299003</v>
      </c>
      <c r="G22">
        <v>-0.170526262755266</v>
      </c>
      <c r="H22">
        <v>-4.17100366144059E-2</v>
      </c>
      <c r="I22" s="2">
        <v>-2.8405557907599201E-15</v>
      </c>
      <c r="J22" s="2">
        <v>1.8526171706647799E-14</v>
      </c>
      <c r="K22" s="2">
        <v>3.3611867301258402E-15</v>
      </c>
      <c r="L22">
        <v>4.0223492765667897E-2</v>
      </c>
      <c r="M22">
        <v>0</v>
      </c>
      <c r="N22">
        <v>0</v>
      </c>
      <c r="O22" s="2">
        <v>1.29080347252324E-13</v>
      </c>
      <c r="P22">
        <v>0</v>
      </c>
      <c r="Q22">
        <v>-0.96816473687826299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s="2">
        <v>5.0418823437585999E-16</v>
      </c>
      <c r="Z22" s="2">
        <v>9.0704451032960997E-16</v>
      </c>
      <c r="AA22" s="2">
        <v>8.5565411796658495E-16</v>
      </c>
      <c r="AB22" s="2">
        <v>2.3809528013233099E-15</v>
      </c>
      <c r="AC22" s="2">
        <v>2.4210471813811802E-15</v>
      </c>
      <c r="AD22" s="2">
        <v>-6.1627775152292903E-15</v>
      </c>
      <c r="AE22">
        <v>2.54228697964646E-2</v>
      </c>
      <c r="AF22">
        <v>-2.53157751304061</v>
      </c>
    </row>
    <row r="23" spans="1:32" x14ac:dyDescent="0.25">
      <c r="A23" s="1">
        <v>41090</v>
      </c>
      <c r="B23">
        <v>-9.9447698915443097E-2</v>
      </c>
      <c r="C23" s="2">
        <v>-3.0775305221905801E-8</v>
      </c>
      <c r="D23">
        <v>-0.910353131897229</v>
      </c>
      <c r="E23">
        <v>3.6504088278819298E-4</v>
      </c>
      <c r="F23">
        <v>-0.50714989514414799</v>
      </c>
      <c r="G23">
        <v>-0.16440557312219001</v>
      </c>
      <c r="H23">
        <v>-4.52327998707827E-2</v>
      </c>
      <c r="I23" s="2">
        <v>-2.58682715117911E-15</v>
      </c>
      <c r="J23" s="2">
        <v>1.9346668161905501E-14</v>
      </c>
      <c r="K23" s="2">
        <v>1.9839324639925602E-15</v>
      </c>
      <c r="L23">
        <v>3.8421986938470397E-2</v>
      </c>
      <c r="M23">
        <v>0</v>
      </c>
      <c r="N23">
        <v>0</v>
      </c>
      <c r="O23" s="2">
        <v>1.29535778570505E-13</v>
      </c>
      <c r="P23">
        <v>0</v>
      </c>
      <c r="Q23">
        <v>-1.1067505490676099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s="2">
        <v>5.3943384014094098E-17</v>
      </c>
      <c r="Z23" s="2">
        <v>1.05380813293507E-15</v>
      </c>
      <c r="AA23" s="2">
        <v>6.7469601795449001E-16</v>
      </c>
      <c r="AB23" s="2">
        <v>2.7749481812224802E-15</v>
      </c>
      <c r="AC23" s="2">
        <v>2.2802454105080599E-15</v>
      </c>
      <c r="AD23" s="2">
        <v>-6.3407280350449496E-15</v>
      </c>
      <c r="AE23">
        <v>2.5114512146142399E-2</v>
      </c>
      <c r="AF23">
        <v>-2.7694381388251501</v>
      </c>
    </row>
    <row r="24" spans="1:32" x14ac:dyDescent="0.25">
      <c r="A24" s="1">
        <v>41182</v>
      </c>
      <c r="B24">
        <v>-0.10635781740856</v>
      </c>
      <c r="C24" s="2">
        <v>1.2040006228574599E-7</v>
      </c>
      <c r="D24">
        <v>-0.82557130105587195</v>
      </c>
      <c r="E24">
        <v>-3.5232939436240002E-4</v>
      </c>
      <c r="F24">
        <v>-0.55320723657118998</v>
      </c>
      <c r="G24">
        <v>-0.17060274964192401</v>
      </c>
      <c r="H24">
        <v>-2.10677567232079E-2</v>
      </c>
      <c r="I24" s="2">
        <v>-2.5718682723710899E-15</v>
      </c>
      <c r="J24" s="2">
        <v>2.05418824163358E-14</v>
      </c>
      <c r="K24" s="2">
        <v>1.7830702189532801E-15</v>
      </c>
      <c r="L24">
        <v>2.6789652868600598E-2</v>
      </c>
      <c r="M24">
        <v>0</v>
      </c>
      <c r="N24">
        <v>0</v>
      </c>
      <c r="O24" s="2">
        <v>1.27007261576765E-13</v>
      </c>
      <c r="P24">
        <v>0</v>
      </c>
      <c r="Q24">
        <v>-1.05426800771657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s="2">
        <v>-7.6687395564335396E-17</v>
      </c>
      <c r="Z24" s="2">
        <v>9.3583083640222108E-16</v>
      </c>
      <c r="AA24" s="2">
        <v>7.1986392054000902E-16</v>
      </c>
      <c r="AB24" s="2">
        <v>2.9145079643250601E-15</v>
      </c>
      <c r="AC24" s="2">
        <v>3.0158701338809099E-15</v>
      </c>
      <c r="AD24" s="2">
        <v>-5.7251516842673999E-15</v>
      </c>
      <c r="AE24">
        <v>2.48101140482671E-2</v>
      </c>
      <c r="AF24">
        <v>-2.6798273111945998</v>
      </c>
    </row>
    <row r="25" spans="1:32" x14ac:dyDescent="0.25">
      <c r="A25" s="1">
        <v>41274</v>
      </c>
      <c r="B25">
        <v>-0.10087912046931501</v>
      </c>
      <c r="C25" s="2">
        <v>1.4281768351384E-6</v>
      </c>
      <c r="D25">
        <v>-0.83304420766910703</v>
      </c>
      <c r="E25">
        <v>-1.3190177039636801E-4</v>
      </c>
      <c r="F25">
        <v>-0.56923737222715698</v>
      </c>
      <c r="G25">
        <v>-0.17985926787679801</v>
      </c>
      <c r="H25">
        <v>-3.5132085767519902E-2</v>
      </c>
      <c r="I25" s="2">
        <v>-2.5721548775373901E-15</v>
      </c>
      <c r="J25" s="2">
        <v>2.0440955224695799E-14</v>
      </c>
      <c r="K25" s="2">
        <v>2.5414425881797201E-15</v>
      </c>
      <c r="L25">
        <v>5.0641973015037901E-2</v>
      </c>
      <c r="M25">
        <v>0</v>
      </c>
      <c r="N25">
        <v>0</v>
      </c>
      <c r="O25" s="2">
        <v>1.2225260990634101E-13</v>
      </c>
      <c r="P25">
        <v>0</v>
      </c>
      <c r="Q25">
        <v>-0.91675648912178698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s="2">
        <v>3.9983985792087098E-16</v>
      </c>
      <c r="Z25" s="2">
        <v>1.1859758430521E-15</v>
      </c>
      <c r="AA25" s="2">
        <v>9.0641732586173995E-16</v>
      </c>
      <c r="AB25" s="2">
        <v>3.0470429923458899E-15</v>
      </c>
      <c r="AC25" s="2">
        <v>3.10451183222537E-15</v>
      </c>
      <c r="AD25" s="2">
        <v>-5.6634263988377804E-15</v>
      </c>
      <c r="AE25">
        <v>2.45096223353213E-2</v>
      </c>
      <c r="AF25">
        <v>-2.5598874213747398</v>
      </c>
    </row>
    <row r="26" spans="1:32" x14ac:dyDescent="0.25">
      <c r="A26" s="1">
        <v>41364</v>
      </c>
      <c r="B26">
        <v>-0.11346570297931401</v>
      </c>
      <c r="C26" s="2">
        <v>1.0645626718156899E-6</v>
      </c>
      <c r="D26">
        <v>-0.83154556805272795</v>
      </c>
      <c r="E26">
        <v>1.4873422278065601E-4</v>
      </c>
      <c r="F26">
        <v>-0.52150464238781502</v>
      </c>
      <c r="G26">
        <v>-0.16389708649280699</v>
      </c>
      <c r="H26">
        <v>-5.7767770125893403E-2</v>
      </c>
      <c r="I26" s="2">
        <v>-2.9599670314248201E-15</v>
      </c>
      <c r="J26" s="2">
        <v>2.2104903189871899E-14</v>
      </c>
      <c r="K26" s="2">
        <v>1.22994997923626E-15</v>
      </c>
      <c r="L26">
        <v>6.5744990276440193E-2</v>
      </c>
      <c r="M26">
        <v>0</v>
      </c>
      <c r="N26">
        <v>0</v>
      </c>
      <c r="O26" s="2">
        <v>1.2309781264836199E-13</v>
      </c>
      <c r="P26">
        <v>0</v>
      </c>
      <c r="Q26">
        <v>-1.0271977177575899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s="2">
        <v>6.0171099446490903E-16</v>
      </c>
      <c r="Z26" s="2">
        <v>1.0282618473980401E-15</v>
      </c>
      <c r="AA26" s="2">
        <v>7.6592484000351097E-16</v>
      </c>
      <c r="AB26" s="2">
        <v>2.8854468442486701E-15</v>
      </c>
      <c r="AC26" s="2">
        <v>2.9742798272298099E-15</v>
      </c>
      <c r="AD26" s="2">
        <v>-5.0808975385046398E-15</v>
      </c>
      <c r="AE26">
        <v>2.4212984544237301E-2</v>
      </c>
      <c r="AF26">
        <v>-2.6252707141898699</v>
      </c>
    </row>
    <row r="27" spans="1:32" x14ac:dyDescent="0.25">
      <c r="A27" s="1">
        <v>41455</v>
      </c>
      <c r="B27">
        <v>-0.108005592251539</v>
      </c>
      <c r="C27" s="2">
        <v>-3.11601288542805E-7</v>
      </c>
      <c r="D27">
        <v>-0.81262311228769102</v>
      </c>
      <c r="E27" s="2">
        <v>-4.8657447458023798E-5</v>
      </c>
      <c r="F27">
        <v>-0.45722271840741202</v>
      </c>
      <c r="G27">
        <v>-0.139856854005072</v>
      </c>
      <c r="H27">
        <v>-6.8107832333129406E-2</v>
      </c>
      <c r="I27" s="2">
        <v>-2.6690550186545099E-15</v>
      </c>
      <c r="J27" s="2">
        <v>2.2964584340382798E-14</v>
      </c>
      <c r="K27" s="2">
        <v>1.21477396878685E-16</v>
      </c>
      <c r="L27">
        <v>7.3782233306480594E-2</v>
      </c>
      <c r="M27">
        <v>0</v>
      </c>
      <c r="N27">
        <v>0</v>
      </c>
      <c r="O27" s="2">
        <v>1.2347159320476301E-13</v>
      </c>
      <c r="P27">
        <v>0</v>
      </c>
      <c r="Q27">
        <v>-0.99046122171703499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s="2">
        <v>3.9291901563951801E-16</v>
      </c>
      <c r="Z27" s="2">
        <v>4.5658546714784699E-16</v>
      </c>
      <c r="AA27" s="2">
        <v>6.7994230698173903E-16</v>
      </c>
      <c r="AB27" s="2">
        <v>2.7282148339847101E-15</v>
      </c>
      <c r="AC27" s="2">
        <v>2.3028180375302001E-15</v>
      </c>
      <c r="AD27" s="2">
        <v>-5.2118329454302002E-15</v>
      </c>
      <c r="AE27">
        <v>2.3920148908478499E-2</v>
      </c>
      <c r="AF27">
        <v>-2.4786239178355198</v>
      </c>
    </row>
    <row r="28" spans="1:32" x14ac:dyDescent="0.25">
      <c r="A28" s="1">
        <v>41547</v>
      </c>
      <c r="B28">
        <v>-0.11249530584633401</v>
      </c>
      <c r="C28" s="2">
        <v>6.6913572735912596E-7</v>
      </c>
      <c r="D28">
        <v>-0.77390179274084003</v>
      </c>
      <c r="E28">
        <v>-4.5861752536922098E-4</v>
      </c>
      <c r="F28">
        <v>-0.496443085445327</v>
      </c>
      <c r="G28">
        <v>-0.12731573355759401</v>
      </c>
      <c r="H28">
        <v>-9.0336761706617905E-2</v>
      </c>
      <c r="I28" s="2">
        <v>-3.4853097890196E-15</v>
      </c>
      <c r="J28" s="2">
        <v>2.42805593332675E-14</v>
      </c>
      <c r="K28" s="2">
        <v>-6.8281054238057696E-16</v>
      </c>
      <c r="L28">
        <v>9.5407273070832299E-2</v>
      </c>
      <c r="M28">
        <v>0</v>
      </c>
      <c r="N28">
        <v>0</v>
      </c>
      <c r="O28" s="2">
        <v>1.2090274107843299E-13</v>
      </c>
      <c r="P28">
        <v>0</v>
      </c>
      <c r="Q28">
        <v>-1.0093646576742099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s="2">
        <v>8.8926137613266594E-16</v>
      </c>
      <c r="Z28" s="2">
        <v>6.6126811238099002E-16</v>
      </c>
      <c r="AA28" s="2">
        <v>1.31291271963967E-15</v>
      </c>
      <c r="AB28" s="2">
        <v>2.91233327382346E-15</v>
      </c>
      <c r="AC28" s="2">
        <v>3.0578215181066701E-15</v>
      </c>
      <c r="AD28" s="2">
        <v>-5.2512284497992604E-15</v>
      </c>
      <c r="AE28">
        <v>2.36310643501546E-2</v>
      </c>
      <c r="AF28">
        <v>-2.4912769479394301</v>
      </c>
    </row>
    <row r="29" spans="1:32" x14ac:dyDescent="0.25">
      <c r="A29" s="1">
        <v>41639</v>
      </c>
      <c r="B29">
        <v>-0.123528240203694</v>
      </c>
      <c r="C29" s="2">
        <v>4.4458999391134198E-7</v>
      </c>
      <c r="D29">
        <v>-0.759804803960617</v>
      </c>
      <c r="E29">
        <v>-4.5833855568253203E-4</v>
      </c>
      <c r="F29">
        <v>-0.456736170431919</v>
      </c>
      <c r="G29">
        <v>-0.12694081521999401</v>
      </c>
      <c r="H29">
        <v>-0.12336162340055</v>
      </c>
      <c r="I29" s="2">
        <v>-4.0552852547035797E-15</v>
      </c>
      <c r="J29" s="2">
        <v>2.5208358354952899E-14</v>
      </c>
      <c r="K29" s="2">
        <v>-1.56137617989329E-15</v>
      </c>
      <c r="L29">
        <v>9.2768459170521705E-2</v>
      </c>
      <c r="M29">
        <v>0</v>
      </c>
      <c r="N29">
        <v>0</v>
      </c>
      <c r="O29" s="2">
        <v>1.2145200790049601E-13</v>
      </c>
      <c r="P29">
        <v>0</v>
      </c>
      <c r="Q29">
        <v>-1.0223719973204499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s="2">
        <v>1.1418924776325301E-15</v>
      </c>
      <c r="Z29" s="2">
        <v>8.8574888800966503E-16</v>
      </c>
      <c r="AA29" s="2">
        <v>1.8284327341002599E-15</v>
      </c>
      <c r="AB29" s="2">
        <v>2.4443409115269598E-15</v>
      </c>
      <c r="AC29" s="2">
        <v>3.18400800141331E-15</v>
      </c>
      <c r="AD29" s="2">
        <v>-5.22840762691445E-15</v>
      </c>
      <c r="AE29">
        <v>2.33456804721726E-2</v>
      </c>
      <c r="AF29">
        <v>-2.49708740486007</v>
      </c>
    </row>
    <row r="30" spans="1:32" x14ac:dyDescent="0.25">
      <c r="A30" s="1">
        <v>41729</v>
      </c>
      <c r="B30">
        <v>-0.13717723491679801</v>
      </c>
      <c r="C30" s="2">
        <v>2.8557071977979499E-7</v>
      </c>
      <c r="D30">
        <v>-0.72656699743374398</v>
      </c>
      <c r="E30">
        <v>-7.3563470741440904E-4</v>
      </c>
      <c r="F30">
        <v>-0.47427688381042499</v>
      </c>
      <c r="G30">
        <v>-0.120270599078673</v>
      </c>
      <c r="H30">
        <v>-0.112420981052026</v>
      </c>
      <c r="I30" s="2">
        <v>-3.6125668044493396E-15</v>
      </c>
      <c r="J30" s="2">
        <v>2.5459843059468799E-14</v>
      </c>
      <c r="K30" s="2">
        <v>-1.8380435848199199E-15</v>
      </c>
      <c r="L30">
        <v>0.100267302586309</v>
      </c>
      <c r="M30">
        <v>0</v>
      </c>
      <c r="N30">
        <v>0</v>
      </c>
      <c r="O30" s="2">
        <v>1.18929121239073E-13</v>
      </c>
      <c r="P30">
        <v>0</v>
      </c>
      <c r="Q30">
        <v>-0.94414484629184203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s="2">
        <v>9.9749666821417505E-16</v>
      </c>
      <c r="Z30" s="2">
        <v>1.0315694518493499E-15</v>
      </c>
      <c r="AA30" s="2">
        <v>2.3367193537315199E-15</v>
      </c>
      <c r="AB30" s="2">
        <v>2.4868202949249699E-15</v>
      </c>
      <c r="AC30" s="2">
        <v>2.7188068959305402E-15</v>
      </c>
      <c r="AD30" s="2">
        <v>-5.7197909473965196E-15</v>
      </c>
      <c r="AE30">
        <v>2.3063947550425699E-2</v>
      </c>
      <c r="AF30">
        <v>-2.3922616415833202</v>
      </c>
    </row>
    <row r="31" spans="1:32" x14ac:dyDescent="0.25">
      <c r="A31" s="1">
        <v>41820</v>
      </c>
      <c r="B31">
        <v>-0.13078910436014801</v>
      </c>
      <c r="C31" s="2">
        <v>8.4234208585708803E-7</v>
      </c>
      <c r="D31">
        <v>-0.74238981826283201</v>
      </c>
      <c r="E31" s="2">
        <v>-8.9627655020081795E-5</v>
      </c>
      <c r="F31">
        <v>-0.46199865693870301</v>
      </c>
      <c r="G31">
        <v>-0.10153026750227</v>
      </c>
      <c r="H31">
        <v>-0.13309843900403101</v>
      </c>
      <c r="I31" s="2">
        <v>-4.4665509475349696E-15</v>
      </c>
      <c r="J31" s="2">
        <v>2.6788990810136601E-14</v>
      </c>
      <c r="K31" s="2">
        <v>-1.4317216847125401E-15</v>
      </c>
      <c r="L31">
        <v>0.106526232283755</v>
      </c>
      <c r="M31">
        <v>0</v>
      </c>
      <c r="N31">
        <v>0</v>
      </c>
      <c r="O31" s="2">
        <v>1.1908927271530999E-13</v>
      </c>
      <c r="P31">
        <v>0</v>
      </c>
      <c r="Q31">
        <v>-0.94823073964370397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s="2">
        <v>1.3594080574545299E-15</v>
      </c>
      <c r="Z31" s="2">
        <v>1.13738288051895E-15</v>
      </c>
      <c r="AA31" s="2">
        <v>2.2962839676901802E-15</v>
      </c>
      <c r="AB31" s="2">
        <v>2.8393101775774799E-15</v>
      </c>
      <c r="AC31" s="2">
        <v>2.3591530203709298E-15</v>
      </c>
      <c r="AD31" s="2">
        <v>-5.9678813415769803E-15</v>
      </c>
      <c r="AE31">
        <v>2.2785816526020401E-2</v>
      </c>
      <c r="AF31">
        <v>-2.3888137622147001</v>
      </c>
    </row>
    <row r="32" spans="1:32" x14ac:dyDescent="0.25">
      <c r="A32" s="1">
        <v>41912</v>
      </c>
      <c r="B32">
        <v>-0.135389612689431</v>
      </c>
      <c r="C32" s="2">
        <v>5.6136062213927797E-7</v>
      </c>
      <c r="D32">
        <v>-0.79056927940076605</v>
      </c>
      <c r="E32">
        <v>1.63542623909983E-4</v>
      </c>
      <c r="F32">
        <v>-0.45529200072650899</v>
      </c>
      <c r="G32">
        <v>-8.5587944955465595E-2</v>
      </c>
      <c r="H32">
        <v>-0.15901665491396499</v>
      </c>
      <c r="I32" s="2">
        <v>-4.6878118749189402E-15</v>
      </c>
      <c r="J32" s="2">
        <v>2.7773868942170799E-14</v>
      </c>
      <c r="K32" s="2">
        <v>-2.0969555427145099E-15</v>
      </c>
      <c r="L32">
        <v>9.6045395837712697E-2</v>
      </c>
      <c r="M32">
        <v>0</v>
      </c>
      <c r="N32">
        <v>0</v>
      </c>
      <c r="O32" s="2">
        <v>1.1951033804733099E-13</v>
      </c>
      <c r="P32">
        <v>0</v>
      </c>
      <c r="Q32">
        <v>-0.921170783053465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s="2">
        <v>1.4265344196325801E-15</v>
      </c>
      <c r="Z32" s="2">
        <v>1.4738211914471501E-15</v>
      </c>
      <c r="AA32" s="2">
        <v>2.1636391292906101E-15</v>
      </c>
      <c r="AB32" s="2">
        <v>2.71739444380606E-15</v>
      </c>
      <c r="AC32" s="2">
        <v>2.26451102345634E-15</v>
      </c>
      <c r="AD32" s="2">
        <v>-6.0990772597955898E-15</v>
      </c>
      <c r="AE32">
        <v>2.2511238997545101E-2</v>
      </c>
      <c r="AF32">
        <v>-2.4283055369196598</v>
      </c>
    </row>
    <row r="33" spans="1:32" x14ac:dyDescent="0.25">
      <c r="A33" s="1">
        <v>42004</v>
      </c>
      <c r="B33">
        <v>-0.14008568762997201</v>
      </c>
      <c r="C33" s="2">
        <v>9.1141763976235104E-7</v>
      </c>
      <c r="D33">
        <v>-0.88504007563492704</v>
      </c>
      <c r="E33">
        <v>5.6103050022816099E-4</v>
      </c>
      <c r="F33">
        <v>-0.50179895855940604</v>
      </c>
      <c r="G33">
        <v>-7.3729596558575194E-2</v>
      </c>
      <c r="H33">
        <v>-0.15526505094426299</v>
      </c>
      <c r="I33" s="2">
        <v>-4.1660034828948501E-15</v>
      </c>
      <c r="J33" s="2">
        <v>2.8321429425268999E-14</v>
      </c>
      <c r="K33" s="2">
        <v>-1.5699637935373399E-15</v>
      </c>
      <c r="L33">
        <v>5.6587214067815E-2</v>
      </c>
      <c r="M33">
        <v>0</v>
      </c>
      <c r="N33">
        <v>0</v>
      </c>
      <c r="O33" s="2">
        <v>1.20431291130434E-13</v>
      </c>
      <c r="P33">
        <v>0</v>
      </c>
      <c r="Q33">
        <v>-0.86612692421830895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s="2">
        <v>1.4741058412761E-15</v>
      </c>
      <c r="Z33" s="2">
        <v>1.4536769437704701E-15</v>
      </c>
      <c r="AA33" s="2">
        <v>2.31049043849272E-15</v>
      </c>
      <c r="AB33" s="2">
        <v>2.8801070911686102E-15</v>
      </c>
      <c r="AC33" s="2">
        <v>2.3278153907058401E-15</v>
      </c>
      <c r="AD33" s="2">
        <v>-5.63552190435896E-15</v>
      </c>
      <c r="AE33">
        <v>2.2240167213380398E-2</v>
      </c>
      <c r="AF33">
        <v>-2.5426569703462301</v>
      </c>
    </row>
    <row r="34" spans="1:32" x14ac:dyDescent="0.25">
      <c r="A34" s="1">
        <v>42094</v>
      </c>
      <c r="B34">
        <v>-0.13649425671549001</v>
      </c>
      <c r="C34" s="2">
        <v>2.71344292063437E-7</v>
      </c>
      <c r="D34">
        <v>-0.95106995044715803</v>
      </c>
      <c r="E34">
        <v>2.4837863468342902E-4</v>
      </c>
      <c r="F34">
        <v>-0.53643537125287999</v>
      </c>
      <c r="G34">
        <v>-5.75176919434102E-2</v>
      </c>
      <c r="H34">
        <v>-0.17469837572382599</v>
      </c>
      <c r="I34" s="2">
        <v>-3.5265349076921598E-15</v>
      </c>
      <c r="J34" s="2">
        <v>2.8594428521915101E-14</v>
      </c>
      <c r="K34" s="2">
        <v>-2.8125240153205701E-15</v>
      </c>
      <c r="L34">
        <v>5.1367458568643998E-2</v>
      </c>
      <c r="M34">
        <v>0</v>
      </c>
      <c r="N34">
        <v>0</v>
      </c>
      <c r="O34" s="2">
        <v>1.18634462335362E-13</v>
      </c>
      <c r="P34">
        <v>0</v>
      </c>
      <c r="Q34">
        <v>-0.76795558406851805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s="2">
        <v>1.37029608988878E-15</v>
      </c>
      <c r="Z34" s="2">
        <v>1.4657066551788E-15</v>
      </c>
      <c r="AA34" s="2">
        <v>2.33381084923899E-15</v>
      </c>
      <c r="AB34" s="2">
        <v>2.7994631221879098E-15</v>
      </c>
      <c r="AC34" s="2">
        <v>2.51220240849674E-15</v>
      </c>
      <c r="AD34" s="2">
        <v>-5.5143359926858098E-15</v>
      </c>
      <c r="AE34">
        <v>2.1972554064053299E-2</v>
      </c>
      <c r="AF34">
        <v>-2.5505825675394602</v>
      </c>
    </row>
    <row r="35" spans="1:32" x14ac:dyDescent="0.25">
      <c r="A35" s="1">
        <v>42185</v>
      </c>
      <c r="B35">
        <v>-0.140044499205177</v>
      </c>
      <c r="C35" s="2">
        <v>-7.7063042317798596E-8</v>
      </c>
      <c r="D35">
        <v>-0.97074996803663605</v>
      </c>
      <c r="E35">
        <v>1.36589481363826E-4</v>
      </c>
      <c r="F35">
        <v>-0.52431337922805998</v>
      </c>
      <c r="G35">
        <v>-4.9687277167159198E-2</v>
      </c>
      <c r="H35">
        <v>-0.18834118628274801</v>
      </c>
      <c r="I35" s="2">
        <v>-4.83756718385114E-15</v>
      </c>
      <c r="J35" s="2">
        <v>2.9018099592444E-14</v>
      </c>
      <c r="K35" s="2">
        <v>-2.7235089834402399E-15</v>
      </c>
      <c r="L35">
        <v>4.0189942049330199E-2</v>
      </c>
      <c r="M35">
        <v>0</v>
      </c>
      <c r="N35">
        <v>0</v>
      </c>
      <c r="O35" s="2">
        <v>1.1832928851272901E-13</v>
      </c>
      <c r="P35">
        <v>0</v>
      </c>
      <c r="Q35">
        <v>-0.67670281543267796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s="2">
        <v>1.2841861487716201E-15</v>
      </c>
      <c r="Z35" s="2">
        <v>1.4035589966671501E-15</v>
      </c>
      <c r="AA35" s="2">
        <v>2.2047153352088901E-15</v>
      </c>
      <c r="AB35" s="2">
        <v>2.9134911274975401E-15</v>
      </c>
      <c r="AC35" s="2">
        <v>2.5294767709100899E-15</v>
      </c>
      <c r="AD35" s="2">
        <v>-5.3273255955407899E-15</v>
      </c>
      <c r="AE35">
        <v>2.1708353074635402E-2</v>
      </c>
      <c r="AF35">
        <v>-2.4878043178100202</v>
      </c>
    </row>
    <row r="36" spans="1:32" x14ac:dyDescent="0.25">
      <c r="A36" s="1">
        <v>42277</v>
      </c>
      <c r="B36">
        <v>-0.148214070717334</v>
      </c>
      <c r="C36" s="2">
        <v>-3.9426315809775402E-9</v>
      </c>
      <c r="D36">
        <v>-1.11530315357944</v>
      </c>
      <c r="E36">
        <v>4.4319886735691899E-4</v>
      </c>
      <c r="F36">
        <v>-0.57511491042403995</v>
      </c>
      <c r="G36">
        <v>-2.95307663537463E-2</v>
      </c>
      <c r="H36">
        <v>-0.183615117246714</v>
      </c>
      <c r="I36" s="2">
        <v>-4.5597037527712096E-15</v>
      </c>
      <c r="J36" s="2">
        <v>2.9560175973326299E-14</v>
      </c>
      <c r="K36" s="2">
        <v>-2.12842606700141E-15</v>
      </c>
      <c r="L36">
        <v>2.2200162304314899E-2</v>
      </c>
      <c r="M36">
        <v>0</v>
      </c>
      <c r="N36">
        <v>0</v>
      </c>
      <c r="O36" s="2">
        <v>1.1917716200244201E-13</v>
      </c>
      <c r="P36">
        <v>0</v>
      </c>
      <c r="Q36">
        <v>-0.69467589444025102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s="2">
        <v>1.42384077985969E-15</v>
      </c>
      <c r="Z36" s="2">
        <v>1.46311835184708E-15</v>
      </c>
      <c r="AA36" s="2">
        <v>2.4543167999468799E-15</v>
      </c>
      <c r="AB36" s="2">
        <v>3.0490635420135001E-15</v>
      </c>
      <c r="AC36" s="2">
        <v>2.7214854810350301E-15</v>
      </c>
      <c r="AD36" s="2">
        <v>-5.1140690139346E-15</v>
      </c>
      <c r="AE36">
        <v>2.14475183971891E-2</v>
      </c>
      <c r="AF36">
        <v>-2.7023630371351501</v>
      </c>
    </row>
    <row r="37" spans="1:32" x14ac:dyDescent="0.25">
      <c r="A37" s="1">
        <v>42369</v>
      </c>
      <c r="B37">
        <v>-0.146534133593611</v>
      </c>
      <c r="C37" s="2">
        <v>-2.22237279616011E-7</v>
      </c>
      <c r="D37">
        <v>-1.10251041718446</v>
      </c>
      <c r="E37" s="2">
        <v>-3.9694229760650599E-5</v>
      </c>
      <c r="F37">
        <v>-0.600035085285614</v>
      </c>
      <c r="G37">
        <v>-2.2246638953570302E-2</v>
      </c>
      <c r="H37">
        <v>-0.16893030927317901</v>
      </c>
      <c r="I37" s="2">
        <v>-4.1790550426297402E-15</v>
      </c>
      <c r="J37" s="2">
        <v>3.04047455132454E-14</v>
      </c>
      <c r="K37" s="2">
        <v>-2.4129317973602699E-15</v>
      </c>
      <c r="L37">
        <v>-1.99735023730978E-4</v>
      </c>
      <c r="M37">
        <v>0</v>
      </c>
      <c r="N37">
        <v>0</v>
      </c>
      <c r="O37" s="2">
        <v>1.20057032318505E-13</v>
      </c>
      <c r="P37">
        <v>0</v>
      </c>
      <c r="Q37">
        <v>-0.69358626480334795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s="2">
        <v>1.3014489589026301E-15</v>
      </c>
      <c r="Z37" s="2">
        <v>1.5409169495584901E-15</v>
      </c>
      <c r="AA37" s="2">
        <v>2.4564176318901898E-15</v>
      </c>
      <c r="AB37" s="2">
        <v>3.1167494464799501E-15</v>
      </c>
      <c r="AC37" s="2">
        <v>2.7645356406422501E-15</v>
      </c>
      <c r="AD37" s="2">
        <v>-5.0044409432763898E-15</v>
      </c>
      <c r="AE37">
        <v>2.1190004803259398E-2</v>
      </c>
      <c r="AF37">
        <v>-2.7128924957811398</v>
      </c>
    </row>
    <row r="38" spans="1:32" x14ac:dyDescent="0.25">
      <c r="A38" s="1">
        <v>42460</v>
      </c>
      <c r="B38">
        <v>-0.145567470188736</v>
      </c>
      <c r="C38" s="2">
        <v>1.48843511866528E-7</v>
      </c>
      <c r="D38">
        <v>-1.25923720493228</v>
      </c>
      <c r="E38">
        <v>8.78088620101959E-4</v>
      </c>
      <c r="F38">
        <v>-0.61829308330392296</v>
      </c>
      <c r="G38">
        <v>-2.1212301810374101E-2</v>
      </c>
      <c r="H38">
        <v>-0.174584700599097</v>
      </c>
      <c r="I38" s="2">
        <v>-4.4559115657332399E-15</v>
      </c>
      <c r="J38" s="2">
        <v>3.11191261780792E-14</v>
      </c>
      <c r="K38" s="2">
        <v>-1.89146700402633E-15</v>
      </c>
      <c r="L38">
        <v>-1.3009109297716299E-2</v>
      </c>
      <c r="M38">
        <v>0</v>
      </c>
      <c r="N38">
        <v>0</v>
      </c>
      <c r="O38" s="2">
        <v>1.2101604669881201E-13</v>
      </c>
      <c r="P38">
        <v>0</v>
      </c>
      <c r="Q38">
        <v>-0.66854947146667898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s="2">
        <v>1.5607723327214199E-15</v>
      </c>
      <c r="Z38" s="2">
        <v>1.7102458911835399E-15</v>
      </c>
      <c r="AA38" s="2">
        <v>2.6497377374025401E-15</v>
      </c>
      <c r="AB38" s="2">
        <v>3.2539292692147798E-15</v>
      </c>
      <c r="AC38" s="2">
        <v>2.8647215691454E-15</v>
      </c>
      <c r="AD38" s="2">
        <v>-4.8485907465340497E-15</v>
      </c>
      <c r="AE38">
        <v>2.0935767676415799E-2</v>
      </c>
      <c r="AF38">
        <v>-2.8786393364586198</v>
      </c>
    </row>
    <row r="39" spans="1:32" x14ac:dyDescent="0.25">
      <c r="A39" s="1">
        <v>42551</v>
      </c>
      <c r="B39">
        <v>-0.15869833219034299</v>
      </c>
      <c r="C39" s="2">
        <v>-7.4075423908058805E-8</v>
      </c>
      <c r="D39">
        <v>-1.1237381328799401</v>
      </c>
      <c r="E39">
        <v>3.2838833699681602E-4</v>
      </c>
      <c r="F39">
        <v>-0.59176045079341999</v>
      </c>
      <c r="G39">
        <v>-3.0120402600663801E-2</v>
      </c>
      <c r="H39">
        <v>-0.158146766900744</v>
      </c>
      <c r="I39" s="2">
        <v>-5.9617766662281399E-15</v>
      </c>
      <c r="J39" s="2">
        <v>3.19623978571214E-14</v>
      </c>
      <c r="K39" s="2">
        <v>-2.2577524517241301E-15</v>
      </c>
      <c r="L39">
        <v>2.54987666308167E-2</v>
      </c>
      <c r="M39">
        <v>0</v>
      </c>
      <c r="N39">
        <v>0</v>
      </c>
      <c r="O39" s="2">
        <v>1.19168880529452E-13</v>
      </c>
      <c r="P39">
        <v>0</v>
      </c>
      <c r="Q39">
        <v>-0.67904989603252797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s="2">
        <v>1.4081947885675499E-15</v>
      </c>
      <c r="Z39" s="2">
        <v>1.60268158640268E-15</v>
      </c>
      <c r="AA39" s="2">
        <v>2.5091713005577502E-15</v>
      </c>
      <c r="AB39" s="2">
        <v>3.0723975083534501E-15</v>
      </c>
      <c r="AC39" s="2">
        <v>2.6504751808053699E-15</v>
      </c>
      <c r="AD39" s="2">
        <v>-4.8658144935980002E-15</v>
      </c>
      <c r="AE39">
        <v>2.06847630048437E-2</v>
      </c>
      <c r="AF39">
        <v>-2.6950021375002602</v>
      </c>
    </row>
    <row r="40" spans="1:32" x14ac:dyDescent="0.25">
      <c r="A40" s="1">
        <v>42643</v>
      </c>
      <c r="B40">
        <v>-0.16021930268913701</v>
      </c>
      <c r="C40" s="2">
        <v>1.56905230963349E-7</v>
      </c>
      <c r="D40">
        <v>-1.0826455855019099</v>
      </c>
      <c r="E40">
        <v>7.5687858549612999E-4</v>
      </c>
      <c r="F40">
        <v>-0.558365995582913</v>
      </c>
      <c r="G40">
        <v>-2.97466192127285E-2</v>
      </c>
      <c r="H40">
        <v>-0.16987191883383501</v>
      </c>
      <c r="I40" s="2">
        <v>-5.7219437323053302E-15</v>
      </c>
      <c r="J40" s="2">
        <v>3.2793822821175398E-14</v>
      </c>
      <c r="K40" s="2">
        <v>-2.1867345731015399E-15</v>
      </c>
      <c r="L40">
        <v>3.5411637943842098E-2</v>
      </c>
      <c r="M40">
        <v>0</v>
      </c>
      <c r="N40">
        <v>0</v>
      </c>
      <c r="O40" s="2">
        <v>1.19504452037207E-13</v>
      </c>
      <c r="P40">
        <v>0</v>
      </c>
      <c r="Q40">
        <v>-0.65563142593240797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s="2">
        <v>1.4466801058568499E-15</v>
      </c>
      <c r="Z40" s="2">
        <v>1.60467505404536E-15</v>
      </c>
      <c r="AA40" s="2">
        <v>2.47666544002822E-15</v>
      </c>
      <c r="AB40" s="2">
        <v>3.0059384961795001E-15</v>
      </c>
      <c r="AC40" s="2">
        <v>2.6840174079888499E-15</v>
      </c>
      <c r="AD40" s="2">
        <v>-4.63565276381102E-15</v>
      </c>
      <c r="AE40">
        <v>2.0436947373986498E-2</v>
      </c>
      <c r="AF40">
        <v>-2.5998752269442198</v>
      </c>
    </row>
    <row r="41" spans="1:32" x14ac:dyDescent="0.25">
      <c r="A41" s="1">
        <v>42735</v>
      </c>
      <c r="B41">
        <v>-0.162731903640666</v>
      </c>
      <c r="C41" s="2">
        <v>-4.0130271539078498E-7</v>
      </c>
      <c r="D41">
        <v>-0.93352726284693599</v>
      </c>
      <c r="E41">
        <v>3.58037575989611E-4</v>
      </c>
      <c r="F41">
        <v>-0.508179048813439</v>
      </c>
      <c r="G41">
        <v>-2.39616267677745E-2</v>
      </c>
      <c r="H41">
        <v>-0.17655851835254599</v>
      </c>
      <c r="I41" s="2">
        <v>-5.8406349260847598E-15</v>
      </c>
      <c r="J41" s="2">
        <v>3.3339401929904502E-14</v>
      </c>
      <c r="K41" s="2">
        <v>-2.7795150608741998E-15</v>
      </c>
      <c r="L41">
        <v>5.1625336365611701E-2</v>
      </c>
      <c r="M41">
        <v>0</v>
      </c>
      <c r="N41">
        <v>0</v>
      </c>
      <c r="O41" s="2">
        <v>1.1943851022704E-13</v>
      </c>
      <c r="P41">
        <v>0</v>
      </c>
      <c r="Q41">
        <v>-0.62337549120080504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s="2">
        <v>1.2874749207602699E-15</v>
      </c>
      <c r="Z41" s="2">
        <v>1.4351692843565001E-15</v>
      </c>
      <c r="AA41" s="2">
        <v>2.30534865909296E-15</v>
      </c>
      <c r="AB41" s="2">
        <v>2.9262229378245499E-15</v>
      </c>
      <c r="AC41" s="2">
        <v>2.7127776137917802E-15</v>
      </c>
      <c r="AD41" s="2">
        <v>-4.7279769356831998E-15</v>
      </c>
      <c r="AE41">
        <v>2.0192277959240001E-2</v>
      </c>
      <c r="AF41">
        <v>-2.3561586010238802</v>
      </c>
    </row>
    <row r="42" spans="1:32" x14ac:dyDescent="0.25">
      <c r="A42" s="1">
        <v>42825</v>
      </c>
      <c r="B42">
        <v>-0.16966702615577001</v>
      </c>
      <c r="C42" s="2">
        <v>1.9557500122118501E-7</v>
      </c>
      <c r="D42">
        <v>-0.83162132646312403</v>
      </c>
      <c r="E42">
        <v>6.6980765116019902E-4</v>
      </c>
      <c r="F42">
        <v>-0.49683804508441098</v>
      </c>
      <c r="G42">
        <v>-3.4347510119241503E-2</v>
      </c>
      <c r="H42">
        <v>-0.18005563331983199</v>
      </c>
      <c r="I42" s="2">
        <v>-6.1922868464728302E-15</v>
      </c>
      <c r="J42" s="2">
        <v>3.38332608778098E-14</v>
      </c>
      <c r="K42" s="2">
        <v>-2.5210181633284199E-15</v>
      </c>
      <c r="L42">
        <v>4.9852200674733997E-2</v>
      </c>
      <c r="M42">
        <v>0</v>
      </c>
      <c r="N42">
        <v>0</v>
      </c>
      <c r="O42" s="2">
        <v>1.1941095883333E-13</v>
      </c>
      <c r="P42">
        <v>0</v>
      </c>
      <c r="Q42">
        <v>-0.59523249189809502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s="2">
        <v>1.2976449287927001E-15</v>
      </c>
      <c r="Z42" s="2">
        <v>1.4201883743218601E-15</v>
      </c>
      <c r="AA42" s="2">
        <v>2.3587392135411799E-15</v>
      </c>
      <c r="AB42" s="2">
        <v>3.0560463657792698E-15</v>
      </c>
      <c r="AC42" s="2">
        <v>2.6612692497857001E-15</v>
      </c>
      <c r="AD42" s="2">
        <v>-4.7109974588265701E-15</v>
      </c>
      <c r="AE42">
        <v>1.9950712518699901E-2</v>
      </c>
      <c r="AF42">
        <v>-2.2372891166207198</v>
      </c>
    </row>
    <row r="43" spans="1:32" x14ac:dyDescent="0.25">
      <c r="A43" s="1">
        <v>42916</v>
      </c>
      <c r="B43">
        <v>-0.16591848722624</v>
      </c>
      <c r="C43" s="2">
        <v>7.0859619830105095E-8</v>
      </c>
      <c r="D43">
        <v>-0.79796890641108797</v>
      </c>
      <c r="E43">
        <v>7.0274242497685602E-4</v>
      </c>
      <c r="F43">
        <v>-0.51845252152108101</v>
      </c>
      <c r="G43">
        <v>-2.5377707350740599E-2</v>
      </c>
      <c r="H43">
        <v>-0.16963868389629999</v>
      </c>
      <c r="I43" s="2">
        <v>-5.6797959582842303E-15</v>
      </c>
      <c r="J43" s="2">
        <v>3.4428055078242299E-14</v>
      </c>
      <c r="K43" s="2">
        <v>-2.3872263599293301E-15</v>
      </c>
      <c r="L43">
        <v>5.5113019626045402E-2</v>
      </c>
      <c r="M43">
        <v>0</v>
      </c>
      <c r="N43">
        <v>0</v>
      </c>
      <c r="O43" s="2">
        <v>1.19031294184655E-13</v>
      </c>
      <c r="P43">
        <v>0</v>
      </c>
      <c r="Q43">
        <v>-0.60000621698678602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s="2">
        <v>1.2938475681885E-15</v>
      </c>
      <c r="Z43" s="2">
        <v>1.4828834949333601E-15</v>
      </c>
      <c r="AA43" s="2">
        <v>2.4798996548071799E-15</v>
      </c>
      <c r="AB43" s="2">
        <v>3.00142069033849E-15</v>
      </c>
      <c r="AC43" s="2">
        <v>2.5786133866608599E-15</v>
      </c>
      <c r="AD43" s="2">
        <v>-4.6942619425155302E-15</v>
      </c>
      <c r="AE43">
        <v>1.9712209385962801E-2</v>
      </c>
      <c r="AF43">
        <v>-2.20183448109547</v>
      </c>
    </row>
    <row r="44" spans="1:32" x14ac:dyDescent="0.25">
      <c r="A44" s="1">
        <v>43008</v>
      </c>
      <c r="B44">
        <v>-0.16666650023093901</v>
      </c>
      <c r="C44" s="2">
        <v>-3.6660736748076002E-8</v>
      </c>
      <c r="D44">
        <v>-0.716159595894443</v>
      </c>
      <c r="E44">
        <v>5.1887962895446195E-4</v>
      </c>
      <c r="F44">
        <v>-0.54057690826897298</v>
      </c>
      <c r="G44">
        <v>-2.98549466373981E-2</v>
      </c>
      <c r="H44">
        <v>-0.17947045368188999</v>
      </c>
      <c r="I44" s="2">
        <v>-5.8020180589572197E-15</v>
      </c>
      <c r="J44" s="2">
        <v>3.4736499152164602E-14</v>
      </c>
      <c r="K44" s="2">
        <v>-2.6863091009111799E-15</v>
      </c>
      <c r="L44">
        <v>4.7516559991683603E-2</v>
      </c>
      <c r="M44">
        <v>0</v>
      </c>
      <c r="N44">
        <v>0</v>
      </c>
      <c r="O44" s="2">
        <v>1.17491104482494E-13</v>
      </c>
      <c r="P44">
        <v>0</v>
      </c>
      <c r="Q44">
        <v>-0.50360208181168797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s="2">
        <v>1.26707892356643E-15</v>
      </c>
      <c r="Z44" s="2">
        <v>1.52721633527012E-15</v>
      </c>
      <c r="AA44" s="2">
        <v>2.3839664354873399E-15</v>
      </c>
      <c r="AB44" s="2">
        <v>2.8909623157351702E-15</v>
      </c>
      <c r="AC44" s="2">
        <v>2.5009834322779799E-15</v>
      </c>
      <c r="AD44" s="2">
        <v>-4.7931924605705804E-15</v>
      </c>
      <c r="AE44">
        <v>1.9476727462982402E-2</v>
      </c>
      <c r="AF44">
        <v>-2.0688183561022901</v>
      </c>
    </row>
    <row r="45" spans="1:32" x14ac:dyDescent="0.25">
      <c r="A45" s="1">
        <v>43100</v>
      </c>
      <c r="B45">
        <v>-0.17255337317906699</v>
      </c>
      <c r="C45" s="2">
        <v>8.23112926958683E-7</v>
      </c>
      <c r="D45">
        <v>-0.62340906373495197</v>
      </c>
      <c r="E45">
        <v>9.6541009872979896E-4</v>
      </c>
      <c r="F45">
        <v>-0.57475213822201698</v>
      </c>
      <c r="G45">
        <v>-1.61608563058326E-2</v>
      </c>
      <c r="H45">
        <v>-0.20408347722344999</v>
      </c>
      <c r="I45" s="2">
        <v>-6.3766461149318597E-15</v>
      </c>
      <c r="J45" s="2">
        <v>3.4954831496713798E-14</v>
      </c>
      <c r="K45" s="2">
        <v>-2.2094841907980001E-15</v>
      </c>
      <c r="L45">
        <v>5.4927452266599397E-2</v>
      </c>
      <c r="M45">
        <v>0</v>
      </c>
      <c r="N45">
        <v>0</v>
      </c>
      <c r="O45" s="2">
        <v>1.1562341569664901E-13</v>
      </c>
      <c r="P45">
        <v>0</v>
      </c>
      <c r="Q45">
        <v>-0.41790499156758898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s="2">
        <v>1.4079614601736601E-15</v>
      </c>
      <c r="Z45" s="2">
        <v>1.5340509120482899E-15</v>
      </c>
      <c r="AA45" s="2">
        <v>2.3583296413445802E-15</v>
      </c>
      <c r="AB45" s="2">
        <v>2.8616408342918202E-15</v>
      </c>
      <c r="AC45" s="2">
        <v>2.3533030334346499E-15</v>
      </c>
      <c r="AD45" s="2">
        <v>-4.78627957565713E-15</v>
      </c>
      <c r="AE45">
        <v>1.9244226212981101E-2</v>
      </c>
      <c r="AF45">
        <v>-1.9337259885415199</v>
      </c>
    </row>
    <row r="46" spans="1:32" x14ac:dyDescent="0.25">
      <c r="A46" s="1">
        <v>43190</v>
      </c>
      <c r="B46">
        <v>-0.17351852784841101</v>
      </c>
      <c r="C46" s="2">
        <v>1.0521348855106301E-6</v>
      </c>
      <c r="D46">
        <v>-0.53546130770713096</v>
      </c>
      <c r="E46">
        <v>1.0833722803395599E-3</v>
      </c>
      <c r="F46">
        <v>-0.58831592763196405</v>
      </c>
      <c r="G46">
        <v>-1.11401938568641E-2</v>
      </c>
      <c r="H46">
        <v>-0.19906938125441601</v>
      </c>
      <c r="I46" s="2">
        <v>-7.2442038653007601E-15</v>
      </c>
      <c r="J46" s="2">
        <v>3.5484736140088598E-14</v>
      </c>
      <c r="K46" s="2">
        <v>-1.9345218619317399E-15</v>
      </c>
      <c r="L46">
        <v>5.43529916216541E-2</v>
      </c>
      <c r="M46">
        <v>0</v>
      </c>
      <c r="N46">
        <v>0</v>
      </c>
      <c r="O46" s="2">
        <v>1.1494279846393599E-13</v>
      </c>
      <c r="P46">
        <v>0</v>
      </c>
      <c r="Q46">
        <v>-0.41305119433982401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s="2">
        <v>1.33717328591076E-15</v>
      </c>
      <c r="Z46" s="2">
        <v>1.4512143059070601E-15</v>
      </c>
      <c r="AA46" s="2">
        <v>2.28912278183024E-15</v>
      </c>
      <c r="AB46" s="2">
        <v>2.69683659086125E-15</v>
      </c>
      <c r="AC46" s="2">
        <v>2.2652321797238398E-15</v>
      </c>
      <c r="AD46" s="2">
        <v>-4.3724543480408098E-15</v>
      </c>
      <c r="AE46">
        <v>1.9014665653417698E-2</v>
      </c>
      <c r="AF46">
        <v>-1.8461044509481599</v>
      </c>
    </row>
    <row r="47" spans="1:32" x14ac:dyDescent="0.25">
      <c r="A47" s="1">
        <v>43281</v>
      </c>
      <c r="B47">
        <v>-0.16922624539501999</v>
      </c>
      <c r="C47" s="2">
        <v>4.7074138057116E-7</v>
      </c>
      <c r="D47">
        <v>-0.58696642651709496</v>
      </c>
      <c r="E47">
        <v>1.0860961209080899E-3</v>
      </c>
      <c r="F47">
        <v>-0.62159267163361598</v>
      </c>
      <c r="G47">
        <v>-4.28330411586201E-3</v>
      </c>
      <c r="H47">
        <v>-0.19604516676352601</v>
      </c>
      <c r="I47" s="2">
        <v>-7.6578066660393103E-15</v>
      </c>
      <c r="J47" s="2">
        <v>3.6200777382949502E-14</v>
      </c>
      <c r="K47" s="2">
        <v>-2.0242762329008602E-15</v>
      </c>
      <c r="L47">
        <v>3.8298806445652402E-2</v>
      </c>
      <c r="M47">
        <v>0</v>
      </c>
      <c r="N47">
        <v>0</v>
      </c>
      <c r="O47" s="2">
        <v>1.1575271759129701E-13</v>
      </c>
      <c r="P47">
        <v>0</v>
      </c>
      <c r="Q47">
        <v>-0.47391490698806399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s="2">
        <v>1.2866512602361499E-15</v>
      </c>
      <c r="Z47" s="2">
        <v>1.42085626617794E-15</v>
      </c>
      <c r="AA47" s="2">
        <v>2.1817618793173598E-15</v>
      </c>
      <c r="AB47" s="2">
        <v>2.6545104995589101E-15</v>
      </c>
      <c r="AC47" s="2">
        <v>2.5982566928727801E-15</v>
      </c>
      <c r="AD47" s="2">
        <v>-3.5478396895594399E-15</v>
      </c>
      <c r="AE47">
        <v>1.87880063490133E-2</v>
      </c>
      <c r="AF47">
        <v>-1.99385534175607</v>
      </c>
    </row>
    <row r="48" spans="1:32" x14ac:dyDescent="0.25">
      <c r="A48" s="1">
        <v>43373</v>
      </c>
      <c r="B48">
        <v>-0.16111760829042501</v>
      </c>
      <c r="C48" s="2">
        <v>6.0026523410524404E-7</v>
      </c>
      <c r="D48">
        <v>-0.56165660235345904</v>
      </c>
      <c r="E48">
        <v>1.1467392648759601E-3</v>
      </c>
      <c r="F48">
        <v>-0.65231997441493395</v>
      </c>
      <c r="G48">
        <v>-5.4630835278322298E-3</v>
      </c>
      <c r="H48">
        <v>-0.20409921152862101</v>
      </c>
      <c r="I48" s="2">
        <v>-7.0995678836405401E-15</v>
      </c>
      <c r="J48" s="2">
        <v>3.67015918014354E-14</v>
      </c>
      <c r="K48" s="2">
        <v>-2.3788941291277201E-15</v>
      </c>
      <c r="L48">
        <v>2.4148324078392101E-2</v>
      </c>
      <c r="M48">
        <v>0</v>
      </c>
      <c r="N48">
        <v>0</v>
      </c>
      <c r="O48" s="2">
        <v>1.1495358758844E-13</v>
      </c>
      <c r="P48">
        <v>0</v>
      </c>
      <c r="Q48">
        <v>-0.42869106516037397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s="2">
        <v>1.19871829136678E-15</v>
      </c>
      <c r="Z48" s="2">
        <v>1.27005748128398E-15</v>
      </c>
      <c r="AA48" s="2">
        <v>2.0979902920448702E-15</v>
      </c>
      <c r="AB48" s="2">
        <v>2.8901737258976499E-15</v>
      </c>
      <c r="AC48" s="2">
        <v>3.2069415334472099E-15</v>
      </c>
      <c r="AD48" s="2">
        <v>-3.6330024975339901E-15</v>
      </c>
      <c r="AE48">
        <v>1.85642094048333E-2</v>
      </c>
      <c r="AF48">
        <v>-1.9694876722621599</v>
      </c>
    </row>
    <row r="49" spans="1:32" x14ac:dyDescent="0.25">
      <c r="A49" s="1">
        <v>43465</v>
      </c>
      <c r="B49">
        <v>-0.15674932927409799</v>
      </c>
      <c r="C49" s="2">
        <v>8.8127138054169798E-7</v>
      </c>
      <c r="D49">
        <v>-0.61239173763247401</v>
      </c>
      <c r="E49">
        <v>1.3615056046790499E-3</v>
      </c>
      <c r="F49">
        <v>-0.71844822533297803</v>
      </c>
      <c r="G49">
        <v>-2.5107726328668302E-3</v>
      </c>
      <c r="H49">
        <v>-0.18460005563586299</v>
      </c>
      <c r="I49" s="2">
        <v>-7.5105695730076704E-15</v>
      </c>
      <c r="J49" s="2">
        <v>3.7392901075500401E-14</v>
      </c>
      <c r="K49" s="2">
        <v>-2.2148933557457198E-15</v>
      </c>
      <c r="L49">
        <v>1.12732147394051E-2</v>
      </c>
      <c r="M49">
        <v>0</v>
      </c>
      <c r="N49">
        <v>0</v>
      </c>
      <c r="O49" s="2">
        <v>1.1462739885978701E-13</v>
      </c>
      <c r="P49">
        <v>0</v>
      </c>
      <c r="Q49">
        <v>-0.45873568447777802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s="2">
        <v>1.1499948709786501E-15</v>
      </c>
      <c r="Z49" s="2">
        <v>1.2753755547046401E-15</v>
      </c>
      <c r="AA49" s="2">
        <v>2.3683659876995899E-15</v>
      </c>
      <c r="AB49" s="2">
        <v>3.4592884233661801E-15</v>
      </c>
      <c r="AC49" s="2">
        <v>3.1019420578180199E-15</v>
      </c>
      <c r="AD49" s="2">
        <v>-2.90951174825889E-15</v>
      </c>
      <c r="AE49">
        <v>1.83432364594294E-2</v>
      </c>
      <c r="AF49">
        <v>-2.10245696691101</v>
      </c>
    </row>
    <row r="50" spans="1:32" x14ac:dyDescent="0.25">
      <c r="A50" s="1">
        <v>43555</v>
      </c>
      <c r="B50">
        <v>-0.14227011137928799</v>
      </c>
      <c r="C50" s="2">
        <v>9.9600676198452793E-7</v>
      </c>
      <c r="D50">
        <v>-0.65823278684488096</v>
      </c>
      <c r="E50">
        <v>1.2012334568359999E-3</v>
      </c>
      <c r="F50">
        <v>-0.80792469130413003</v>
      </c>
      <c r="G50">
        <v>6.2026001460943796E-3</v>
      </c>
      <c r="H50">
        <v>-0.20203404621660401</v>
      </c>
      <c r="I50" s="2">
        <v>-7.0844833532985001E-15</v>
      </c>
      <c r="J50" s="2">
        <v>3.7045396068783098E-14</v>
      </c>
      <c r="K50" s="2">
        <v>-2.6590390856734601E-15</v>
      </c>
      <c r="L50">
        <v>8.6715375799783102E-3</v>
      </c>
      <c r="M50">
        <v>0</v>
      </c>
      <c r="N50">
        <v>0</v>
      </c>
      <c r="O50" s="2">
        <v>1.12070445613557E-13</v>
      </c>
      <c r="P50">
        <v>0</v>
      </c>
      <c r="Q50">
        <v>-0.40697581294183899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s="2">
        <v>1.0761190122228101E-15</v>
      </c>
      <c r="Z50" s="2">
        <v>1.4563290713694901E-15</v>
      </c>
      <c r="AA50" s="2">
        <v>2.7968851478946301E-15</v>
      </c>
      <c r="AB50" s="2">
        <v>3.2941662900752001E-15</v>
      </c>
      <c r="AC50" s="2">
        <v>3.5889452022226702E-15</v>
      </c>
      <c r="AD50" s="2">
        <v>-3.30167058647475E-15</v>
      </c>
      <c r="AE50">
        <v>1.8125049678039198E-2</v>
      </c>
      <c r="AF50">
        <v>-2.1832360318188799</v>
      </c>
    </row>
    <row r="51" spans="1:32" x14ac:dyDescent="0.25">
      <c r="A51" s="1">
        <v>43646</v>
      </c>
      <c r="B51">
        <v>-0.15868456326904901</v>
      </c>
      <c r="C51" s="2">
        <v>1.89258800930839E-6</v>
      </c>
      <c r="D51">
        <v>-0.67887350949998804</v>
      </c>
      <c r="E51">
        <v>1.84448561558156E-3</v>
      </c>
      <c r="F51">
        <v>-0.83493278797270198</v>
      </c>
      <c r="G51">
        <v>4.2542922009169998E-3</v>
      </c>
      <c r="H51">
        <v>-0.22281660511870199</v>
      </c>
      <c r="I51" s="2">
        <v>-7.5646715154296299E-15</v>
      </c>
      <c r="J51" s="2">
        <v>3.7663235215199701E-14</v>
      </c>
      <c r="K51" s="2">
        <v>-2.6717951317963E-15</v>
      </c>
      <c r="L51">
        <v>2.0905989602534699E-2</v>
      </c>
      <c r="M51">
        <v>0</v>
      </c>
      <c r="N51">
        <v>0</v>
      </c>
      <c r="O51" s="2">
        <v>1.11095434451466E-13</v>
      </c>
      <c r="P51">
        <v>0</v>
      </c>
      <c r="Q51">
        <v>-0.47028528663282398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s="2">
        <v>1.2591244040566301E-15</v>
      </c>
      <c r="Z51" s="2">
        <v>1.87481371587268E-15</v>
      </c>
      <c r="AA51" s="2">
        <v>2.6641716918530802E-15</v>
      </c>
      <c r="AB51" s="2">
        <v>3.7031246479688702E-15</v>
      </c>
      <c r="AC51" s="2">
        <v>3.16098799311993E-15</v>
      </c>
      <c r="AD51" s="2">
        <v>-3.36866562288579E-15</v>
      </c>
      <c r="AE51">
        <v>1.7909611745846599E-2</v>
      </c>
      <c r="AF51">
        <v>-2.3206764807402198</v>
      </c>
    </row>
    <row r="52" spans="1:32" x14ac:dyDescent="0.25">
      <c r="A52" s="1">
        <v>43738</v>
      </c>
      <c r="B52">
        <v>-0.15851231133256799</v>
      </c>
      <c r="C52" s="2">
        <v>2.84913992505697E-6</v>
      </c>
      <c r="D52">
        <v>-0.68405480379728101</v>
      </c>
      <c r="E52">
        <v>2.0454799420345999E-3</v>
      </c>
      <c r="F52">
        <v>-0.85794118698826605</v>
      </c>
      <c r="G52">
        <v>-2.1104420532303301E-2</v>
      </c>
      <c r="H52">
        <v>-0.23246947652927899</v>
      </c>
      <c r="I52" s="2">
        <v>-7.5100088211306895E-15</v>
      </c>
      <c r="J52" s="2">
        <v>3.8386896331768597E-14</v>
      </c>
      <c r="K52" s="2">
        <v>-2.4005886791104202E-15</v>
      </c>
      <c r="L52">
        <v>5.4839522026501404E-4</v>
      </c>
      <c r="M52">
        <v>0</v>
      </c>
      <c r="N52">
        <v>0</v>
      </c>
      <c r="O52" s="2">
        <v>1.10853910449956E-13</v>
      </c>
      <c r="P52">
        <v>0</v>
      </c>
      <c r="Q52">
        <v>-0.51742072781779802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s="2">
        <v>1.49939384098164E-15</v>
      </c>
      <c r="Z52" s="2">
        <v>1.65978685617696E-15</v>
      </c>
      <c r="AA52" s="2">
        <v>2.9581192982299399E-15</v>
      </c>
      <c r="AB52" s="2">
        <v>3.3057510034366599E-15</v>
      </c>
      <c r="AC52" s="2">
        <v>3.0527455931958701E-15</v>
      </c>
      <c r="AD52" s="2">
        <v>-3.2371574980727599E-15</v>
      </c>
      <c r="AE52">
        <v>1.7696885861300801E-2</v>
      </c>
      <c r="AF52">
        <v>-2.4512093168338098</v>
      </c>
    </row>
    <row r="53" spans="1:32" x14ac:dyDescent="0.25">
      <c r="A53" s="1">
        <v>43830</v>
      </c>
      <c r="B53">
        <v>-0.14957284094753201</v>
      </c>
      <c r="C53" s="2">
        <v>4.1517684003026698E-6</v>
      </c>
      <c r="D53">
        <v>-0.63287944109041006</v>
      </c>
      <c r="E53">
        <v>1.5081204440681899E-3</v>
      </c>
      <c r="F53">
        <v>-0.89172132888321798</v>
      </c>
      <c r="G53">
        <v>-4.7423843822835002E-2</v>
      </c>
      <c r="H53">
        <v>-0.23624753850572699</v>
      </c>
      <c r="I53" s="2">
        <v>-7.35108173062783E-15</v>
      </c>
      <c r="J53" s="2">
        <v>3.8289184702608598E-14</v>
      </c>
      <c r="K53" s="2">
        <v>-2.2530377684035002E-15</v>
      </c>
      <c r="L53">
        <v>-2.5404385624312801E-2</v>
      </c>
      <c r="M53">
        <v>0</v>
      </c>
      <c r="N53">
        <v>0</v>
      </c>
      <c r="O53" s="2">
        <v>1.0844615255239099E-13</v>
      </c>
      <c r="P53">
        <v>0</v>
      </c>
      <c r="Q53">
        <v>-0.435541396918674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s="2">
        <v>1.12310003134718E-15</v>
      </c>
      <c r="Z53" s="2">
        <v>1.7691030009704799E-15</v>
      </c>
      <c r="AA53" s="2">
        <v>2.4831057174523199E-15</v>
      </c>
      <c r="AB53" s="2">
        <v>3.1014549100565801E-15</v>
      </c>
      <c r="AC53" s="2">
        <v>3.0193012024237201E-15</v>
      </c>
      <c r="AD53" s="2">
        <v>-2.9903133522513199E-15</v>
      </c>
      <c r="AE53">
        <v>1.7486835729497E-2</v>
      </c>
      <c r="AF53">
        <v>-2.3997916678505899</v>
      </c>
    </row>
    <row r="54" spans="1:32" x14ac:dyDescent="0.25">
      <c r="A54" s="1">
        <v>43921</v>
      </c>
      <c r="B54">
        <v>-0.128341136521191</v>
      </c>
      <c r="C54" s="2">
        <v>3.02142926486868E-6</v>
      </c>
      <c r="D54">
        <v>-0.888119806513189</v>
      </c>
      <c r="E54">
        <v>-1.0118910693076499E-3</v>
      </c>
      <c r="F54">
        <v>-1.07866992969474</v>
      </c>
      <c r="G54">
        <v>-7.4035730522333002E-3</v>
      </c>
      <c r="H54">
        <v>-0.21478383562595399</v>
      </c>
      <c r="I54" s="2">
        <v>-7.5191461973589692E-15</v>
      </c>
      <c r="J54" s="2">
        <v>3.7620026149541001E-14</v>
      </c>
      <c r="K54" s="2">
        <v>-3.7834499311293502E-15</v>
      </c>
      <c r="L54">
        <v>3.0242082297185498E-2</v>
      </c>
      <c r="M54">
        <v>0</v>
      </c>
      <c r="N54">
        <v>0</v>
      </c>
      <c r="O54" s="2">
        <v>1.00608947153631E-13</v>
      </c>
      <c r="P54">
        <v>0</v>
      </c>
      <c r="Q54">
        <v>-0.53238815466997003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s="2">
        <v>1.19075596975998E-15</v>
      </c>
      <c r="Z54" s="2">
        <v>1.29622035198293E-15</v>
      </c>
      <c r="AA54" s="2">
        <v>2.2200478763905001E-15</v>
      </c>
      <c r="AB54" s="2">
        <v>2.9074788196054602E-15</v>
      </c>
      <c r="AC54" s="2">
        <v>2.91459853162909E-15</v>
      </c>
      <c r="AD54" s="2">
        <v>-2.7068225367858001E-15</v>
      </c>
      <c r="AE54">
        <v>1.72794255556174E-2</v>
      </c>
      <c r="AF54">
        <v>-2.8031937978643899</v>
      </c>
    </row>
    <row r="55" spans="1:32" x14ac:dyDescent="0.25">
      <c r="A55" s="1">
        <v>44012</v>
      </c>
      <c r="B55">
        <v>-0.20417815046526899</v>
      </c>
      <c r="C55" s="2">
        <v>-1.4768815302170801E-5</v>
      </c>
      <c r="D55">
        <v>-0.89674288947871805</v>
      </c>
      <c r="E55">
        <v>-1.00729758924344E-2</v>
      </c>
      <c r="F55">
        <v>-1.25508523884197</v>
      </c>
      <c r="G55">
        <v>0.15620616798070699</v>
      </c>
      <c r="H55">
        <v>-0.268204927877713</v>
      </c>
      <c r="I55" s="2">
        <v>-4.5710579825560097E-15</v>
      </c>
      <c r="J55" s="2">
        <v>3.4521905825314898E-14</v>
      </c>
      <c r="K55" s="2">
        <v>-2.8026871943309199E-14</v>
      </c>
      <c r="L55">
        <v>0.25899059017631898</v>
      </c>
      <c r="M55">
        <v>0</v>
      </c>
      <c r="N55">
        <v>0</v>
      </c>
      <c r="O55" s="2">
        <v>8.0612914292108695E-14</v>
      </c>
      <c r="P55">
        <v>0</v>
      </c>
      <c r="Q55">
        <v>-0.70173477195084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s="2">
        <v>-3.8828544410606799E-15</v>
      </c>
      <c r="Z55" s="2">
        <v>1.0174807416490301E-15</v>
      </c>
      <c r="AA55" s="2">
        <v>4.1446596189132903E-15</v>
      </c>
      <c r="AB55" s="2">
        <v>6.0991980482921703E-15</v>
      </c>
      <c r="AC55" s="2">
        <v>6.2250095621563101E-15</v>
      </c>
      <c r="AD55" s="2">
        <v>5.2154254211356202E-16</v>
      </c>
      <c r="AE55">
        <v>1.7074620038432901E-2</v>
      </c>
      <c r="AF55">
        <v>-2.9037623451266898</v>
      </c>
    </row>
    <row r="56" spans="1:32" x14ac:dyDescent="0.25">
      <c r="A56" s="1">
        <v>44104</v>
      </c>
      <c r="B56">
        <v>-0.20254179690902099</v>
      </c>
      <c r="C56" s="2">
        <v>6.3798231518993102E-6</v>
      </c>
      <c r="D56">
        <v>-0.80966224069085502</v>
      </c>
      <c r="E56">
        <v>2.0744720628813802E-3</v>
      </c>
      <c r="F56">
        <v>-1.10649277252419</v>
      </c>
      <c r="G56">
        <v>-2.3580511264548999E-2</v>
      </c>
      <c r="H56">
        <v>-0.32794926985891498</v>
      </c>
      <c r="I56" s="2">
        <v>-7.4243950133389901E-15</v>
      </c>
      <c r="J56" s="2">
        <v>3.4629206163135101E-14</v>
      </c>
      <c r="K56" s="2">
        <v>-5.52693298659127E-15</v>
      </c>
      <c r="L56">
        <v>-5.8910057193252E-2</v>
      </c>
      <c r="M56">
        <v>0</v>
      </c>
      <c r="N56">
        <v>0</v>
      </c>
      <c r="O56" s="2">
        <v>9.5245480326196298E-14</v>
      </c>
      <c r="P56">
        <v>0</v>
      </c>
      <c r="Q56">
        <v>-2.1261374602511399E-3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s="2">
        <v>3.1646962492221601E-15</v>
      </c>
      <c r="Z56" s="2">
        <v>3.7082685414125699E-15</v>
      </c>
      <c r="AA56" s="2">
        <v>4.1068525094616896E-15</v>
      </c>
      <c r="AB56" s="2">
        <v>4.7487305818355697E-15</v>
      </c>
      <c r="AC56" s="2">
        <v>4.5085443653561499E-15</v>
      </c>
      <c r="AD56" s="2">
        <v>1.3726206617460299E-15</v>
      </c>
      <c r="AE56">
        <v>1.68723843638671E-2</v>
      </c>
      <c r="AF56">
        <v>-2.5123095496509902</v>
      </c>
    </row>
    <row r="57" spans="1:32" x14ac:dyDescent="0.25">
      <c r="A57" s="1">
        <v>44196</v>
      </c>
      <c r="B57">
        <v>-0.172138262745304</v>
      </c>
      <c r="C57" s="2">
        <v>1.2792228347526E-6</v>
      </c>
      <c r="D57">
        <v>-0.68285734715621005</v>
      </c>
      <c r="E57">
        <v>-1.6092962717497699E-3</v>
      </c>
      <c r="F57">
        <v>-1.1806109262136</v>
      </c>
      <c r="G57">
        <v>1.5582482101387501E-2</v>
      </c>
      <c r="H57">
        <v>-0.31238195358225801</v>
      </c>
      <c r="I57" s="2">
        <v>-7.1110475332236295E-15</v>
      </c>
      <c r="J57" s="2">
        <v>3.3378139451322899E-14</v>
      </c>
      <c r="K57" s="2">
        <v>-9.2492467401027507E-15</v>
      </c>
      <c r="L57">
        <v>4.6327185694055702E-2</v>
      </c>
      <c r="M57">
        <v>0</v>
      </c>
      <c r="N57">
        <v>0</v>
      </c>
      <c r="O57" s="2">
        <v>8.4340421517471603E-14</v>
      </c>
      <c r="P57">
        <v>0</v>
      </c>
      <c r="Q57">
        <v>-0.148360420148203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s="2">
        <v>2.2614872687086202E-15</v>
      </c>
      <c r="Z57" s="2">
        <v>4.0866883478754103E-15</v>
      </c>
      <c r="AA57" s="2">
        <v>5.0511963641372098E-15</v>
      </c>
      <c r="AB57" s="2">
        <v>6.0137723075337402E-15</v>
      </c>
      <c r="AC57" s="2">
        <v>5.8700271129339498E-15</v>
      </c>
      <c r="AD57" s="2">
        <v>3.11458541926391E-15</v>
      </c>
      <c r="AE57">
        <v>1.6672684198621598E-2</v>
      </c>
      <c r="AF57">
        <v>-2.4193745749003002</v>
      </c>
    </row>
    <row r="58" spans="1:32" x14ac:dyDescent="0.25">
      <c r="A58" s="1">
        <v>44286</v>
      </c>
      <c r="B58">
        <v>-0.20090354693551299</v>
      </c>
      <c r="C58" s="2">
        <v>1.2199271688239001E-6</v>
      </c>
      <c r="D58">
        <v>-0.55466426295615101</v>
      </c>
      <c r="E58">
        <v>-1.7282417864162901E-3</v>
      </c>
      <c r="F58">
        <v>-1.07651583097702</v>
      </c>
      <c r="G58">
        <v>-2.80722936339068E-2</v>
      </c>
      <c r="H58">
        <v>-0.32721712142357201</v>
      </c>
      <c r="I58" s="2">
        <v>-9.4174503232733507E-15</v>
      </c>
      <c r="J58" s="2">
        <v>3.3271883092286498E-14</v>
      </c>
      <c r="K58" s="2">
        <v>-8.5526689405812197E-15</v>
      </c>
      <c r="L58">
        <v>1.2454058285889999E-3</v>
      </c>
      <c r="M58">
        <v>0</v>
      </c>
      <c r="N58">
        <v>0</v>
      </c>
      <c r="O58" s="2">
        <v>8.3482154587469694E-14</v>
      </c>
      <c r="P58">
        <v>0</v>
      </c>
      <c r="Q58">
        <v>-9.3346797231216402E-2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s="2">
        <v>3.2130828196428598E-15</v>
      </c>
      <c r="Z58" s="2">
        <v>4.7630835851696897E-15</v>
      </c>
      <c r="AA58" s="2">
        <v>5.5812501270837001E-15</v>
      </c>
      <c r="AB58" s="2">
        <v>6.25825767226466E-15</v>
      </c>
      <c r="AC58" s="2">
        <v>6.0360812934879901E-15</v>
      </c>
      <c r="AD58" s="2">
        <v>4.3480985861387097E-15</v>
      </c>
      <c r="AE58">
        <v>1.6475485683864002E-2</v>
      </c>
      <c r="AF58">
        <v>-2.2647259835040501</v>
      </c>
    </row>
    <row r="59" spans="1:32" x14ac:dyDescent="0.25">
      <c r="A59" s="1">
        <v>44377</v>
      </c>
      <c r="B59">
        <v>-0.24067476015522801</v>
      </c>
      <c r="C59" s="2">
        <v>3.2126724545666502E-6</v>
      </c>
      <c r="D59">
        <v>-0.49835000810254798</v>
      </c>
      <c r="E59">
        <v>-1.1620939751886799E-3</v>
      </c>
      <c r="F59">
        <v>-1.0454141271344399</v>
      </c>
      <c r="G59">
        <v>-6.8358253725552806E-2</v>
      </c>
      <c r="H59">
        <v>-0.34579331180904399</v>
      </c>
      <c r="I59" s="2">
        <v>-1.25157059488181E-14</v>
      </c>
      <c r="J59" s="2">
        <v>3.2791695576683502E-14</v>
      </c>
      <c r="K59" s="2">
        <v>-6.2297981624450703E-15</v>
      </c>
      <c r="L59">
        <v>-6.3400379145263294E-2</v>
      </c>
      <c r="M59">
        <v>0</v>
      </c>
      <c r="N59">
        <v>0</v>
      </c>
      <c r="O59" s="2">
        <v>8.2673852761759498E-14</v>
      </c>
      <c r="P59">
        <v>0</v>
      </c>
      <c r="Q59">
        <v>-1.2630075006367E-2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s="2">
        <v>4.49874506876625E-15</v>
      </c>
      <c r="Z59" s="2">
        <v>5.5058684136551097E-15</v>
      </c>
      <c r="AA59" s="2">
        <v>5.9713686075739097E-15</v>
      </c>
      <c r="AB59" s="2">
        <v>6.3787343171415998E-15</v>
      </c>
      <c r="AC59" s="2">
        <v>6.07102412834999E-15</v>
      </c>
      <c r="AD59" s="2">
        <v>5.0691215519719002E-15</v>
      </c>
      <c r="AE59">
        <v>1.6280755428976699E-2</v>
      </c>
      <c r="AF59">
        <v>-2.2594990409520701</v>
      </c>
    </row>
    <row r="60" spans="1:32" x14ac:dyDescent="0.25">
      <c r="A60" s="1">
        <v>44469</v>
      </c>
      <c r="B60">
        <v>-0.22626268681386499</v>
      </c>
      <c r="C60" s="2">
        <v>-1.2341739695190299E-6</v>
      </c>
      <c r="D60">
        <v>-0.35964642249440598</v>
      </c>
      <c r="E60">
        <v>-1.6769761174678E-3</v>
      </c>
      <c r="F60">
        <v>-0.86182618825042001</v>
      </c>
      <c r="G60">
        <v>-2.5549513583365499E-3</v>
      </c>
      <c r="H60">
        <v>-0.33533430196351599</v>
      </c>
      <c r="I60" s="2">
        <v>-1.3835177318469199E-14</v>
      </c>
      <c r="J60" s="2">
        <v>3.25783720987609E-14</v>
      </c>
      <c r="K60" s="2">
        <v>-7.5094166052993406E-15</v>
      </c>
      <c r="L60">
        <v>-4.1385057592996599E-2</v>
      </c>
      <c r="M60">
        <v>0</v>
      </c>
      <c r="N60">
        <v>0</v>
      </c>
      <c r="O60" s="2">
        <v>8.4412233872774904E-14</v>
      </c>
      <c r="P60">
        <v>0</v>
      </c>
      <c r="Q60">
        <v>-3.7495524113994302E-2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s="2">
        <v>3.6113710292557902E-15</v>
      </c>
      <c r="Z60" s="2">
        <v>4.0253346537329997E-15</v>
      </c>
      <c r="AA60" s="2">
        <v>5.2904858806273397E-15</v>
      </c>
      <c r="AB60" s="2">
        <v>5.23220234551254E-15</v>
      </c>
      <c r="AC60" s="2">
        <v>5.0861986138431197E-15</v>
      </c>
      <c r="AD60" s="2">
        <v>4.61069343415262E-15</v>
      </c>
      <c r="AE60">
        <v>1.60884605053698E-2</v>
      </c>
      <c r="AF60">
        <v>-1.85009488237348</v>
      </c>
    </row>
    <row r="61" spans="1:32" x14ac:dyDescent="0.25">
      <c r="A61" s="1">
        <v>44561</v>
      </c>
      <c r="B61">
        <v>-0.20653920072240101</v>
      </c>
      <c r="C61" s="2">
        <v>1.41502312525357E-6</v>
      </c>
      <c r="D61">
        <v>-0.410923435468737</v>
      </c>
      <c r="E61">
        <v>-1.41670861580951E-3</v>
      </c>
      <c r="F61">
        <v>-0.85413389307866505</v>
      </c>
      <c r="G61">
        <v>-2.97388396591192E-3</v>
      </c>
      <c r="H61">
        <v>-0.339055203789003</v>
      </c>
      <c r="I61" s="2">
        <v>-1.535410186519E-14</v>
      </c>
      <c r="J61" s="2">
        <v>3.2477195757860998E-14</v>
      </c>
      <c r="K61" s="2">
        <v>-4.9141891789161403E-15</v>
      </c>
      <c r="L61">
        <v>-5.5998630402576403E-2</v>
      </c>
      <c r="M61">
        <v>0</v>
      </c>
      <c r="N61">
        <v>0</v>
      </c>
      <c r="O61" s="2">
        <v>8.4141585685690994E-14</v>
      </c>
      <c r="P61">
        <v>0</v>
      </c>
      <c r="Q61">
        <v>-0.140890837023851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s="2">
        <v>5.1368201229012297E-15</v>
      </c>
      <c r="Z61" s="2">
        <v>4.4101533670139401E-15</v>
      </c>
      <c r="AA61" s="2">
        <v>6.0767387553035699E-15</v>
      </c>
      <c r="AB61" s="2">
        <v>5.7260517622851302E-15</v>
      </c>
      <c r="AC61" s="2">
        <v>5.3577477383883496E-15</v>
      </c>
      <c r="AD61" s="2">
        <v>4.3205069997529503E-15</v>
      </c>
      <c r="AE61">
        <v>1.5898568440355799E-2</v>
      </c>
      <c r="AF61">
        <v>-1.99603180960334</v>
      </c>
    </row>
    <row r="62" spans="1:32" x14ac:dyDescent="0.25">
      <c r="A62" s="1">
        <v>44651</v>
      </c>
      <c r="B62">
        <v>-0.20369096021847699</v>
      </c>
      <c r="C62" s="2">
        <v>-1.86819691931855E-7</v>
      </c>
      <c r="D62">
        <v>-0.50941921468176998</v>
      </c>
      <c r="E62">
        <v>-8.4606282449106198E-4</v>
      </c>
      <c r="F62">
        <v>-0.74535463299492499</v>
      </c>
      <c r="G62">
        <v>8.8667255546647103E-2</v>
      </c>
      <c r="H62">
        <v>-0.29647459556662198</v>
      </c>
      <c r="I62" s="2">
        <v>-1.7666643871351901E-14</v>
      </c>
      <c r="J62" s="2">
        <v>3.3123832774069498E-14</v>
      </c>
      <c r="K62" s="2">
        <v>-3.3873177615564801E-15</v>
      </c>
      <c r="L62">
        <v>-1.5872039856689599E-2</v>
      </c>
      <c r="M62">
        <v>0</v>
      </c>
      <c r="N62">
        <v>0</v>
      </c>
      <c r="O62" s="2">
        <v>8.5637896991174295E-14</v>
      </c>
      <c r="P62">
        <v>0</v>
      </c>
      <c r="Q62">
        <v>-0.21102191122410099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s="2">
        <v>4.4263846661984098E-15</v>
      </c>
      <c r="Z62" s="2">
        <v>4.5223860027292399E-15</v>
      </c>
      <c r="AA62" s="2">
        <v>5.5604267189731801E-15</v>
      </c>
      <c r="AB62" s="2">
        <v>5.4358651753631598E-15</v>
      </c>
      <c r="AC62" s="2">
        <v>5.4781808912578498E-15</v>
      </c>
      <c r="AD62" s="2">
        <v>4.2075235194500499E-15</v>
      </c>
      <c r="AE62">
        <v>1.57110472110863E-2</v>
      </c>
      <c r="AF62">
        <v>-1.8783013014289001</v>
      </c>
    </row>
    <row r="63" spans="1:32" x14ac:dyDescent="0.25">
      <c r="A63" s="1">
        <v>44742</v>
      </c>
      <c r="B63">
        <v>-0.20748829275973099</v>
      </c>
      <c r="C63" s="2">
        <v>-2.9880177791215499E-6</v>
      </c>
      <c r="D63">
        <v>-0.281207955828019</v>
      </c>
      <c r="E63">
        <v>1.3757546747408E-4</v>
      </c>
      <c r="F63">
        <v>-0.41623137158423501</v>
      </c>
      <c r="G63">
        <v>0.14763933084529901</v>
      </c>
      <c r="H63">
        <v>-0.270499402376708</v>
      </c>
      <c r="I63" s="2">
        <v>-1.93934581589497E-14</v>
      </c>
      <c r="J63" s="2">
        <v>3.4439695994635197E-14</v>
      </c>
      <c r="K63" s="2">
        <v>-2.8901490676165601E-15</v>
      </c>
      <c r="L63">
        <v>-5.3607753103341399E-2</v>
      </c>
      <c r="M63">
        <v>0</v>
      </c>
      <c r="N63">
        <v>0</v>
      </c>
      <c r="O63" s="2">
        <v>9.8189088064003197E-14</v>
      </c>
      <c r="P63">
        <v>0</v>
      </c>
      <c r="Q63">
        <v>-0.285693531214191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s="2">
        <v>3.4322085214255498E-15</v>
      </c>
      <c r="Z63" s="2">
        <v>1.9947003663504701E-15</v>
      </c>
      <c r="AA63" s="2">
        <v>3.4580664715930601E-15</v>
      </c>
      <c r="AB63" s="2">
        <v>1.9049250614189999E-15</v>
      </c>
      <c r="AC63" s="2">
        <v>4.7314368364693702E-15</v>
      </c>
      <c r="AD63" s="2">
        <v>3.4245203293896798E-15</v>
      </c>
      <c r="AE63">
        <v>1.5525865238553101E-2</v>
      </c>
      <c r="AF63">
        <v>-1.35142852333255</v>
      </c>
    </row>
    <row r="64" spans="1:32" x14ac:dyDescent="0.25">
      <c r="A64" s="1">
        <v>44834</v>
      </c>
      <c r="B64">
        <v>-0.19712999834528899</v>
      </c>
      <c r="C64" s="2">
        <v>-4.0100457224432303E-8</v>
      </c>
      <c r="D64">
        <v>-0.28984665512909902</v>
      </c>
      <c r="E64">
        <v>7.7969477040284703E-4</v>
      </c>
      <c r="F64">
        <v>-0.38633182343776101</v>
      </c>
      <c r="G64">
        <v>0.150310302625692</v>
      </c>
      <c r="H64">
        <v>-0.28855063417516102</v>
      </c>
      <c r="I64" s="2">
        <v>-1.94076365483033E-14</v>
      </c>
      <c r="J64" s="2">
        <v>3.4751209205408601E-14</v>
      </c>
      <c r="K64" s="2">
        <v>-4.2223969492646798E-15</v>
      </c>
      <c r="L64">
        <v>-7.3942708310763203E-2</v>
      </c>
      <c r="M64">
        <v>0</v>
      </c>
      <c r="N64">
        <v>0</v>
      </c>
      <c r="O64" s="2">
        <v>1.00683633076841E-13</v>
      </c>
      <c r="P64">
        <v>0</v>
      </c>
      <c r="Q64">
        <v>-0.33353511119933799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s="2">
        <v>4.1708982289043901E-15</v>
      </c>
      <c r="Z64" s="2">
        <v>1.4074779168675699E-15</v>
      </c>
      <c r="AA64" s="2">
        <v>5.3379554307552599E-15</v>
      </c>
      <c r="AB64" s="2">
        <v>2.1734308551195098E-15</v>
      </c>
      <c r="AC64" s="2">
        <v>5.1817340220787999E-15</v>
      </c>
      <c r="AD64" s="2">
        <v>3.6794468593748002E-15</v>
      </c>
      <c r="AE64">
        <v>1.5342991381650401E-2</v>
      </c>
      <c r="AF64">
        <v>-1.40290398191999</v>
      </c>
    </row>
    <row r="65" spans="1:32" x14ac:dyDescent="0.25">
      <c r="A65" s="1">
        <v>44926</v>
      </c>
      <c r="B65">
        <v>-0.19708282939111799</v>
      </c>
      <c r="C65" s="2">
        <v>-1.5689221558043001E-6</v>
      </c>
      <c r="D65">
        <v>-0.17098193966799499</v>
      </c>
      <c r="E65">
        <v>1.93642969303518E-3</v>
      </c>
      <c r="F65">
        <v>-0.19243439728641201</v>
      </c>
      <c r="G65">
        <v>0.18229766644454301</v>
      </c>
      <c r="H65">
        <v>-0.29055325776624902</v>
      </c>
      <c r="I65" s="2">
        <v>-2.0097896090960501E-14</v>
      </c>
      <c r="J65" s="2">
        <v>3.5629599772363102E-14</v>
      </c>
      <c r="K65" s="2">
        <v>-5.7183669442232903E-15</v>
      </c>
      <c r="L65">
        <v>-8.3398199286656802E-2</v>
      </c>
      <c r="M65">
        <v>0</v>
      </c>
      <c r="N65">
        <v>0</v>
      </c>
      <c r="O65" s="2">
        <v>1.08452757609129E-13</v>
      </c>
      <c r="P65">
        <v>0</v>
      </c>
      <c r="Q65">
        <v>-0.37170153155310498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s="2">
        <v>3.4607874635503802E-15</v>
      </c>
      <c r="Z65" s="2">
        <v>-1.31928551561227E-16</v>
      </c>
      <c r="AA65" s="2">
        <v>3.7099940405182897E-15</v>
      </c>
      <c r="AB65" s="2">
        <v>2.38946219972703E-15</v>
      </c>
      <c r="AC65" s="2">
        <v>5.2503340977778399E-15</v>
      </c>
      <c r="AD65" s="2">
        <v>4.5169924101707998E-15</v>
      </c>
      <c r="AE65">
        <v>1.5162394931300499E-2</v>
      </c>
      <c r="AF65">
        <v>-1.10675723280467</v>
      </c>
    </row>
    <row r="66" spans="1:32" x14ac:dyDescent="0.25">
      <c r="A66" s="1">
        <v>45016</v>
      </c>
      <c r="B66">
        <v>-0.19663047872585099</v>
      </c>
      <c r="C66" s="2">
        <v>4.0209559891328299E-7</v>
      </c>
      <c r="D66">
        <v>-0.15340699641914299</v>
      </c>
      <c r="E66">
        <v>2.7624052225008501E-3</v>
      </c>
      <c r="F66">
        <v>-0.15548634128657601</v>
      </c>
      <c r="G66">
        <v>0.203721601365359</v>
      </c>
      <c r="H66">
        <v>-0.25837652455554799</v>
      </c>
      <c r="I66" s="2">
        <v>-2.0989698672503601E-14</v>
      </c>
      <c r="J66" s="2">
        <v>3.6310154050012598E-14</v>
      </c>
      <c r="K66" s="2">
        <v>-2.1458313223025199E-15</v>
      </c>
      <c r="L66">
        <v>-6.95306919985689E-2</v>
      </c>
      <c r="M66">
        <v>0</v>
      </c>
      <c r="N66">
        <v>0</v>
      </c>
      <c r="O66" s="2">
        <v>1.06848918028357E-13</v>
      </c>
      <c r="P66">
        <v>0</v>
      </c>
      <c r="Q66">
        <v>-3.1532976658913199E-2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s="2">
        <v>3.6694558652121399E-15</v>
      </c>
      <c r="Z66" s="2">
        <v>-3.6131189159132799E-16</v>
      </c>
      <c r="AA66" s="2">
        <v>2.4136022370154501E-15</v>
      </c>
      <c r="AB66" s="2">
        <v>1.41522207948659E-15</v>
      </c>
      <c r="AC66" s="2">
        <v>4.8133817398828398E-15</v>
      </c>
      <c r="AD66" s="2">
        <v>4.6468440747186603E-15</v>
      </c>
      <c r="AE66">
        <v>1.4984045604642801E-2</v>
      </c>
      <c r="AF66">
        <v>-0.64349555535636305</v>
      </c>
    </row>
    <row r="67" spans="1:32" x14ac:dyDescent="0.25">
      <c r="A67" s="1">
        <v>45107</v>
      </c>
      <c r="B67">
        <v>-0.201652929985709</v>
      </c>
      <c r="C67" s="2">
        <v>-3.7035011057207801E-7</v>
      </c>
      <c r="D67">
        <v>-0.17221607611627199</v>
      </c>
      <c r="E67">
        <v>2.4088621533867099E-3</v>
      </c>
      <c r="F67">
        <v>-0.101137291173004</v>
      </c>
      <c r="G67">
        <v>0.229430283075827</v>
      </c>
      <c r="H67">
        <v>-0.27796238553104302</v>
      </c>
      <c r="I67" s="2">
        <v>-2.06542288236681E-14</v>
      </c>
      <c r="J67" s="2">
        <v>3.6475778176314302E-14</v>
      </c>
      <c r="K67" s="2">
        <v>-3.1835672772808101E-15</v>
      </c>
      <c r="L67">
        <v>-3.27204055922381E-2</v>
      </c>
      <c r="M67">
        <v>0</v>
      </c>
      <c r="N67">
        <v>0</v>
      </c>
      <c r="O67" s="2">
        <v>1.07913887035964E-13</v>
      </c>
      <c r="P67">
        <v>0</v>
      </c>
      <c r="Q67">
        <v>-6.8750096035076202E-2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s="2">
        <v>3.1373138605627302E-15</v>
      </c>
      <c r="Z67" s="2">
        <v>-6.5770639435669098E-16</v>
      </c>
      <c r="AA67" s="2">
        <v>2.3326362367806699E-15</v>
      </c>
      <c r="AB67" s="2">
        <v>1.0163420684606901E-15</v>
      </c>
      <c r="AC67" s="2">
        <v>4.93361672171649E-15</v>
      </c>
      <c r="AD67" s="2">
        <v>5.2524031037078902E-15</v>
      </c>
      <c r="AE67">
        <v>1.48079135392846E-2</v>
      </c>
      <c r="AF67">
        <v>-0.60779249601481899</v>
      </c>
    </row>
    <row r="68" spans="1:32" x14ac:dyDescent="0.25">
      <c r="A68" s="1">
        <v>45199</v>
      </c>
      <c r="B68">
        <v>-0.19146209783352899</v>
      </c>
      <c r="C68" s="2">
        <v>-1.3396642938572101E-6</v>
      </c>
      <c r="D68">
        <v>2.8717574084433699E-2</v>
      </c>
      <c r="E68">
        <v>1.849857176041E-3</v>
      </c>
      <c r="F68">
        <v>5.3381266394315001E-2</v>
      </c>
      <c r="G68">
        <v>0.21536457175225299</v>
      </c>
      <c r="H68">
        <v>-0.27889964113266302</v>
      </c>
      <c r="I68" s="2">
        <v>-2.0421187559781199E-14</v>
      </c>
      <c r="J68" s="2">
        <v>3.6729943321860099E-14</v>
      </c>
      <c r="K68" s="2">
        <v>-2.8711739616967599E-15</v>
      </c>
      <c r="L68">
        <v>-5.1358510482141601E-2</v>
      </c>
      <c r="M68">
        <v>0</v>
      </c>
      <c r="N68">
        <v>0</v>
      </c>
      <c r="O68" s="2">
        <v>1.11663271236349E-13</v>
      </c>
      <c r="P68">
        <v>0</v>
      </c>
      <c r="Q68">
        <v>4.6690181896575297E-2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s="2">
        <v>2.4986257439842001E-15</v>
      </c>
      <c r="Z68" s="2">
        <v>-1.98345037144892E-15</v>
      </c>
      <c r="AA68" s="2">
        <v>1.2711287038241999E-15</v>
      </c>
      <c r="AB68" s="2">
        <v>-1.1030612509985E-16</v>
      </c>
      <c r="AC68" s="2">
        <v>3.5676182355168401E-15</v>
      </c>
      <c r="AD68" s="2">
        <v>4.7382440665382799E-15</v>
      </c>
      <c r="AE68">
        <v>1.4633969287615E-2</v>
      </c>
      <c r="AF68">
        <v>-0.16108416852125801</v>
      </c>
    </row>
    <row r="69" spans="1:32" x14ac:dyDescent="0.25">
      <c r="A69" s="1">
        <v>45291</v>
      </c>
      <c r="B69">
        <v>-0.190662129830658</v>
      </c>
      <c r="C69" s="2">
        <v>2.4131256805952803E-7</v>
      </c>
      <c r="D69">
        <v>1.3915017205952901E-2</v>
      </c>
      <c r="E69">
        <v>1.91558457410877E-3</v>
      </c>
      <c r="F69">
        <v>3.3541262167373798E-2</v>
      </c>
      <c r="G69">
        <v>0.189732667530254</v>
      </c>
      <c r="H69">
        <v>-0.30217468535148301</v>
      </c>
      <c r="I69" s="2">
        <v>-1.9702854503348801E-14</v>
      </c>
      <c r="J69" s="2">
        <v>3.6910172959859303E-14</v>
      </c>
      <c r="K69" s="2">
        <v>-2.9042002501349801E-15</v>
      </c>
      <c r="L69">
        <v>-4.4777951832828497E-2</v>
      </c>
      <c r="M69">
        <v>0</v>
      </c>
      <c r="N69">
        <v>0</v>
      </c>
      <c r="O69" s="2">
        <v>1.11493191447631E-13</v>
      </c>
      <c r="P69">
        <v>0</v>
      </c>
      <c r="Q69">
        <v>-7.5367433355988198E-3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s="2">
        <v>2.4795165343968302E-15</v>
      </c>
      <c r="Z69" s="2">
        <v>-2.11226451963424E-15</v>
      </c>
      <c r="AA69" s="2">
        <v>1.2735798693253899E-15</v>
      </c>
      <c r="AB69" s="2">
        <v>4.4656536733400604E-16</v>
      </c>
      <c r="AC69" s="2">
        <v>4.1878175967464898E-15</v>
      </c>
      <c r="AD69" s="2">
        <v>5.1336380690974696E-15</v>
      </c>
      <c r="AE69">
        <v>1.4462183811181899E-2</v>
      </c>
      <c r="AF69">
        <v>-0.291584553748991</v>
      </c>
    </row>
    <row r="70" spans="1:32" x14ac:dyDescent="0.25">
      <c r="A70" s="1">
        <v>45382</v>
      </c>
      <c r="B70">
        <v>-0.1993677521977</v>
      </c>
      <c r="C70" s="2">
        <v>-7.4701507628500896E-7</v>
      </c>
      <c r="D70">
        <v>-2.1418304876840599E-2</v>
      </c>
      <c r="E70">
        <v>1.1909392430088899E-3</v>
      </c>
      <c r="F70">
        <v>5.5020181288554702E-2</v>
      </c>
      <c r="G70">
        <v>0.18993130039572401</v>
      </c>
      <c r="H70">
        <v>-0.31707276790504402</v>
      </c>
      <c r="I70" s="2">
        <v>-2.1043277669290201E-14</v>
      </c>
      <c r="J70" s="2">
        <v>3.63877466566513E-14</v>
      </c>
      <c r="K70" s="2">
        <v>-3.3817737843726401E-15</v>
      </c>
      <c r="L70">
        <v>-1.27186427321132E-2</v>
      </c>
      <c r="M70">
        <v>0</v>
      </c>
      <c r="N70">
        <v>0</v>
      </c>
      <c r="O70" s="2">
        <v>1.07629569956543E-13</v>
      </c>
      <c r="P70">
        <v>0</v>
      </c>
      <c r="Q70">
        <v>0.176594134276085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s="2">
        <v>2.2381786819399102E-15</v>
      </c>
      <c r="Z70" s="2">
        <v>-2.3431388780436402E-15</v>
      </c>
      <c r="AA70" s="2">
        <v>6.6908779753355597E-16</v>
      </c>
      <c r="AB70" s="2">
        <v>-3.3447780728674798E-16</v>
      </c>
      <c r="AC70" s="2">
        <v>3.36425383437939E-15</v>
      </c>
      <c r="AD70" s="2">
        <v>4.8796470944326197E-15</v>
      </c>
      <c r="AE70">
        <v>1.42925284751302E-2</v>
      </c>
      <c r="AF70">
        <v>-0.113549131048142</v>
      </c>
    </row>
    <row r="71" spans="1:32" x14ac:dyDescent="0.25">
      <c r="A71" s="1">
        <v>45473</v>
      </c>
      <c r="B71">
        <v>-0.20035744845105</v>
      </c>
      <c r="C71" s="2">
        <v>7.41020466043336E-7</v>
      </c>
      <c r="D71">
        <v>-9.3540646762693205E-2</v>
      </c>
      <c r="E71">
        <v>6.7669073603759901E-4</v>
      </c>
      <c r="F71">
        <v>4.2272875141765196E-3</v>
      </c>
      <c r="G71">
        <v>0.138670357411351</v>
      </c>
      <c r="H71">
        <v>-0.32598410423489099</v>
      </c>
      <c r="I71" s="2">
        <v>-2.0903047691559701E-14</v>
      </c>
      <c r="J71" s="2">
        <v>3.6843732656625901E-14</v>
      </c>
      <c r="K71" s="2">
        <v>-3.94553283145816E-15</v>
      </c>
      <c r="L71">
        <v>-2.7433558024119901E-2</v>
      </c>
      <c r="M71">
        <v>0</v>
      </c>
      <c r="N71">
        <v>0</v>
      </c>
      <c r="O71" s="2">
        <v>1.07090048311239E-13</v>
      </c>
      <c r="P71">
        <v>0</v>
      </c>
      <c r="Q71">
        <v>-4.4543795127160897E-3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s="2">
        <v>2.5020740893927298E-15</v>
      </c>
      <c r="Z71" s="2">
        <v>-1.2709440756738501E-15</v>
      </c>
      <c r="AA71" s="2">
        <v>1.7241772308622599E-15</v>
      </c>
      <c r="AB71" s="2">
        <v>6.8892922733105496E-16</v>
      </c>
      <c r="AC71" s="2">
        <v>3.8700926131365899E-15</v>
      </c>
      <c r="AD71" s="2">
        <v>5.0719725634688003E-15</v>
      </c>
      <c r="AE71">
        <v>1.4124975042703901E-2</v>
      </c>
      <c r="AF71">
        <v>-0.49407008526060298</v>
      </c>
    </row>
    <row r="72" spans="1:32" x14ac:dyDescent="0.25">
      <c r="A72" s="1">
        <v>45565</v>
      </c>
      <c r="B72">
        <v>-0.20800963466015601</v>
      </c>
      <c r="C72" s="2">
        <v>1.0564683365462999E-6</v>
      </c>
      <c r="D72">
        <v>-0.15421670706990701</v>
      </c>
      <c r="E72">
        <v>7.0349568840564298E-4</v>
      </c>
      <c r="F72">
        <v>-3.8788709767587498E-2</v>
      </c>
      <c r="G72">
        <v>0.122630059955329</v>
      </c>
      <c r="H72">
        <v>-0.32837526864516597</v>
      </c>
      <c r="I72" s="2">
        <v>-2.0580175808254501E-14</v>
      </c>
      <c r="J72" s="2">
        <v>3.7384566636415301E-14</v>
      </c>
      <c r="K72" s="2">
        <v>-4.6714985670466497E-15</v>
      </c>
      <c r="L72">
        <v>-2.9007054099484699E-2</v>
      </c>
      <c r="M72">
        <v>0</v>
      </c>
      <c r="N72">
        <v>0</v>
      </c>
      <c r="O72" s="2">
        <v>1.0640832300085401E-13</v>
      </c>
      <c r="P72">
        <v>0</v>
      </c>
      <c r="Q72">
        <v>-0.109849544175252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s="2">
        <v>2.6196279175482198E-15</v>
      </c>
      <c r="Z72" s="2">
        <v>-1.04236775295353E-15</v>
      </c>
      <c r="AA72" s="2">
        <v>2.5330843842419801E-15</v>
      </c>
      <c r="AB72" s="2">
        <v>1.41995038910536E-15</v>
      </c>
      <c r="AC72" s="2">
        <v>4.24475887391889E-15</v>
      </c>
      <c r="AD72" s="2">
        <v>5.2712826061968198E-15</v>
      </c>
      <c r="AE72">
        <v>1.3959495669809099E-2</v>
      </c>
      <c r="AF72">
        <v>-0.73095281063553996</v>
      </c>
    </row>
    <row r="73" spans="1:32" x14ac:dyDescent="0.25">
      <c r="A73" s="1">
        <v>45657</v>
      </c>
      <c r="B73">
        <v>-0.20558457389896601</v>
      </c>
      <c r="C73" s="2">
        <v>5.4841511263164198E-7</v>
      </c>
      <c r="D73">
        <v>-0.15267453999920799</v>
      </c>
      <c r="E73">
        <v>4.9004866604578795E-4</v>
      </c>
      <c r="F73">
        <v>-3.84008226699116E-2</v>
      </c>
      <c r="G73">
        <v>0.11678312837308499</v>
      </c>
      <c r="H73">
        <v>-0.319158894428139</v>
      </c>
      <c r="I73" s="2">
        <v>-2.0252657345520499E-14</v>
      </c>
      <c r="J73" s="2">
        <v>3.7561052243109898E-14</v>
      </c>
      <c r="K73" s="2">
        <v>-4.5731082343775203E-15</v>
      </c>
      <c r="L73">
        <v>-3.6410013199304501E-2</v>
      </c>
      <c r="M73">
        <v>0</v>
      </c>
      <c r="N73">
        <v>0</v>
      </c>
      <c r="O73" s="2">
        <v>1.0628625405644001E-13</v>
      </c>
      <c r="P73">
        <v>0</v>
      </c>
      <c r="Q73">
        <v>-0.108499159043114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s="2">
        <v>2.5872253329388998E-15</v>
      </c>
      <c r="Z73" s="2">
        <v>-1.05253343155632E-15</v>
      </c>
      <c r="AA73" s="2">
        <v>2.4941699307553699E-15</v>
      </c>
      <c r="AB73" s="2">
        <v>1.38909486527002E-15</v>
      </c>
      <c r="AC73" s="2">
        <v>4.199910335335E-15</v>
      </c>
      <c r="AD73" s="2">
        <v>5.2372941392286703E-15</v>
      </c>
      <c r="AE73">
        <v>1.37960628996393E-2</v>
      </c>
      <c r="AF73">
        <v>-0.72965821488462601</v>
      </c>
    </row>
    <row r="74" spans="1:32" x14ac:dyDescent="0.25">
      <c r="A74" s="1">
        <v>45747</v>
      </c>
      <c r="B74">
        <v>-0.20316921965978199</v>
      </c>
      <c r="C74" s="2">
        <v>2.8468353011819998E-7</v>
      </c>
      <c r="D74">
        <v>-0.15114779459921601</v>
      </c>
      <c r="E74">
        <v>3.41363421341478E-4</v>
      </c>
      <c r="F74">
        <v>-3.8016814443212497E-2</v>
      </c>
      <c r="G74">
        <v>0.111488210983598</v>
      </c>
      <c r="H74">
        <v>-0.30961470531530899</v>
      </c>
      <c r="I74" s="2">
        <v>-1.9917389897610999E-14</v>
      </c>
      <c r="J74" s="2">
        <v>3.7724729371615898E-14</v>
      </c>
      <c r="K74" s="2">
        <v>-4.4781575885231796E-15</v>
      </c>
      <c r="L74">
        <v>-4.2847124882777601E-2</v>
      </c>
      <c r="M74">
        <v>0</v>
      </c>
      <c r="N74">
        <v>0</v>
      </c>
      <c r="O74" s="2">
        <v>1.06156170742246E-13</v>
      </c>
      <c r="P74">
        <v>0</v>
      </c>
      <c r="Q74">
        <v>-0.107219834758395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s="2">
        <v>2.5539368492669301E-15</v>
      </c>
      <c r="Z74" s="2">
        <v>-1.0620530547593801E-15</v>
      </c>
      <c r="AA74" s="2">
        <v>2.45553997130608E-15</v>
      </c>
      <c r="AB74" s="2">
        <v>1.3589437533837501E-15</v>
      </c>
      <c r="AC74" s="2">
        <v>4.1545908647592903E-15</v>
      </c>
      <c r="AD74" s="2">
        <v>5.2009257314543699E-15</v>
      </c>
      <c r="AE74">
        <v>1.3634649657363501E-2</v>
      </c>
      <c r="AF74">
        <v>-0.72655098491272596</v>
      </c>
    </row>
    <row r="75" spans="1:32" x14ac:dyDescent="0.25">
      <c r="A75" s="1">
        <v>45838</v>
      </c>
      <c r="B75">
        <v>-0.200767561044082</v>
      </c>
      <c r="C75" s="2">
        <v>1.47779866601773E-7</v>
      </c>
      <c r="D75">
        <v>-0.14963631665322399</v>
      </c>
      <c r="E75">
        <v>2.3779063897907401E-4</v>
      </c>
      <c r="F75">
        <v>-3.7636646298780302E-2</v>
      </c>
      <c r="G75">
        <v>0.1066852330987</v>
      </c>
      <c r="H75">
        <v>-0.29982395075795398</v>
      </c>
      <c r="I75" s="2">
        <v>-1.957523145456E-14</v>
      </c>
      <c r="J75" s="2">
        <v>3.7876370596815301E-14</v>
      </c>
      <c r="K75" s="2">
        <v>-4.3867444366802902E-15</v>
      </c>
      <c r="L75">
        <v>-4.8403570542592499E-2</v>
      </c>
      <c r="M75">
        <v>0</v>
      </c>
      <c r="N75">
        <v>0</v>
      </c>
      <c r="O75" s="2">
        <v>1.06018003939936E-13</v>
      </c>
      <c r="P75">
        <v>0</v>
      </c>
      <c r="Q75">
        <v>-0.10599538984000299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s="2">
        <v>2.5199725647584202E-15</v>
      </c>
      <c r="Z75" s="2">
        <v>-1.07049123079222E-15</v>
      </c>
      <c r="AA75" s="2">
        <v>2.41755118212524E-15</v>
      </c>
      <c r="AB75" s="2">
        <v>1.32986362432008E-15</v>
      </c>
      <c r="AC75" s="2">
        <v>4.1090042134766397E-15</v>
      </c>
      <c r="AD75" s="2">
        <v>5.1623026773204097E-15</v>
      </c>
      <c r="AE75">
        <v>1.34752292448738E-2</v>
      </c>
      <c r="AF75">
        <v>-0.721865034374082</v>
      </c>
    </row>
    <row r="76" spans="1:32" x14ac:dyDescent="0.25">
      <c r="A76" s="1">
        <v>45930</v>
      </c>
      <c r="B76">
        <v>-0.19838274927211599</v>
      </c>
      <c r="C76" s="2">
        <v>7.6712863910437796E-8</v>
      </c>
      <c r="D76">
        <v>-0.14813995348669101</v>
      </c>
      <c r="E76">
        <v>1.6564278552109999E-4</v>
      </c>
      <c r="F76">
        <v>-3.7260279835792498E-2</v>
      </c>
      <c r="G76">
        <v>0.10232037301623</v>
      </c>
      <c r="H76">
        <v>-0.289862645278613</v>
      </c>
      <c r="I76" s="2">
        <v>-1.92268844721596E-14</v>
      </c>
      <c r="J76" s="2">
        <v>3.8016677382825397E-14</v>
      </c>
      <c r="K76" s="2">
        <v>-4.2988316076916701E-15</v>
      </c>
      <c r="L76">
        <v>-5.3161347948984403E-2</v>
      </c>
      <c r="M76">
        <v>0</v>
      </c>
      <c r="N76">
        <v>0</v>
      </c>
      <c r="O76" s="2">
        <v>1.0587168719250499E-13</v>
      </c>
      <c r="P76">
        <v>0</v>
      </c>
      <c r="Q76">
        <v>-0.10481345069713301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s="2">
        <v>2.4855303906870102E-15</v>
      </c>
      <c r="Z76" s="2">
        <v>-1.07752274679125E-15</v>
      </c>
      <c r="AA76" s="2">
        <v>2.3804594373682E-15</v>
      </c>
      <c r="AB76" s="2">
        <v>1.3021098304672999E-15</v>
      </c>
      <c r="AC76" s="2">
        <v>4.0633228690114297E-15</v>
      </c>
      <c r="AD76" s="2">
        <v>5.1215508806478998E-15</v>
      </c>
      <c r="AE76">
        <v>1.33177753355966E-2</v>
      </c>
      <c r="AF76">
        <v>-0.71581655866898597</v>
      </c>
    </row>
    <row r="77" spans="1:32" x14ac:dyDescent="0.25">
      <c r="A77" s="1">
        <v>46022</v>
      </c>
      <c r="B77">
        <v>-0.19601726058114799</v>
      </c>
      <c r="C77" s="2">
        <v>3.9821821393205403E-8</v>
      </c>
      <c r="D77">
        <v>-0.14665855395182401</v>
      </c>
      <c r="E77">
        <v>1.15385250289693E-4</v>
      </c>
      <c r="F77">
        <v>-3.6887677037434598E-2</v>
      </c>
      <c r="G77">
        <v>9.8345494919284696E-2</v>
      </c>
      <c r="H77">
        <v>-0.27980061493118003</v>
      </c>
      <c r="I77" s="2">
        <v>-1.8872960116307301E-14</v>
      </c>
      <c r="J77" s="2">
        <v>3.8146273965685701E-14</v>
      </c>
      <c r="K77" s="2">
        <v>-4.2142918086784897E-15</v>
      </c>
      <c r="L77">
        <v>-5.7198243300913901E-2</v>
      </c>
      <c r="M77">
        <v>0</v>
      </c>
      <c r="N77">
        <v>0</v>
      </c>
      <c r="O77" s="2">
        <v>1.0571716199599101E-13</v>
      </c>
      <c r="P77">
        <v>0</v>
      </c>
      <c r="Q77">
        <v>-0.103664614846235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s="2">
        <v>2.45079292181053E-15</v>
      </c>
      <c r="Z77" s="2">
        <v>-1.08291996922354E-15</v>
      </c>
      <c r="AA77" s="2">
        <v>2.3444383835179199E-15</v>
      </c>
      <c r="AB77" s="2">
        <v>1.2758457045233499E-15</v>
      </c>
      <c r="AC77" s="2">
        <v>4.0176914706217902E-15</v>
      </c>
      <c r="AD77" s="2">
        <v>5.0788024488775203E-15</v>
      </c>
      <c r="AE77">
        <v>1.3162261969363201E-2</v>
      </c>
      <c r="AF77">
        <v>-0.70860378268784296</v>
      </c>
    </row>
    <row r="78" spans="1:32" x14ac:dyDescent="0.25">
      <c r="A78" s="1">
        <v>46112</v>
      </c>
      <c r="B78">
        <v>-0.19367302716350299</v>
      </c>
      <c r="C78" s="2">
        <v>2.0671597428806799E-8</v>
      </c>
      <c r="D78">
        <v>-0.145191968412306</v>
      </c>
      <c r="E78" s="2">
        <v>8.0376310640404503E-5</v>
      </c>
      <c r="F78">
        <v>-3.6518800267060197E-2</v>
      </c>
      <c r="G78">
        <v>9.4717614292330193E-2</v>
      </c>
      <c r="H78">
        <v>-0.26970101015022602</v>
      </c>
      <c r="I78" s="2">
        <v>-1.85140256923304E-14</v>
      </c>
      <c r="J78" s="2">
        <v>3.8265706511691402E-14</v>
      </c>
      <c r="K78" s="2">
        <v>-4.1329418458008399E-15</v>
      </c>
      <c r="L78">
        <v>-6.0587207279182001E-2</v>
      </c>
      <c r="M78">
        <v>0</v>
      </c>
      <c r="N78">
        <v>0</v>
      </c>
      <c r="O78" s="2">
        <v>1.0555438188498599E-13</v>
      </c>
      <c r="P78">
        <v>0</v>
      </c>
      <c r="Q78">
        <v>-0.102541791034355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s="2">
        <v>2.41592561200612E-15</v>
      </c>
      <c r="Z78" s="2">
        <v>-1.0865397101558599E-15</v>
      </c>
      <c r="AA78" s="2">
        <v>2.3095957136772399E-15</v>
      </c>
      <c r="AB78" s="2">
        <v>1.2511599433603E-15</v>
      </c>
      <c r="AC78" s="2">
        <v>3.9722302060284003E-15</v>
      </c>
      <c r="AD78" s="2">
        <v>5.0341984548142902E-15</v>
      </c>
      <c r="AE78">
        <v>1.3008663547341801E-2</v>
      </c>
      <c r="AF78">
        <v>-0.70040712948458905</v>
      </c>
    </row>
    <row r="79" spans="1:32" x14ac:dyDescent="0.25">
      <c r="A79" s="1">
        <v>46203</v>
      </c>
      <c r="B79">
        <v>-0.19135154248070799</v>
      </c>
      <c r="C79" s="2">
        <v>1.0730672671362299E-8</v>
      </c>
      <c r="D79">
        <v>-0.143740048728183</v>
      </c>
      <c r="E79" s="2">
        <v>5.5989403289610998E-5</v>
      </c>
      <c r="F79">
        <v>-3.6153612264389602E-2</v>
      </c>
      <c r="G79">
        <v>9.1398398922155302E-2</v>
      </c>
      <c r="H79">
        <v>-0.25962015666975302</v>
      </c>
      <c r="I79" s="2">
        <v>-1.81506378378329E-14</v>
      </c>
      <c r="J79" s="2">
        <v>3.8375446009003101E-14</v>
      </c>
      <c r="K79" s="2">
        <v>-4.0545681829246697E-15</v>
      </c>
      <c r="L79">
        <v>-6.3396030526129105E-2</v>
      </c>
      <c r="M79">
        <v>0</v>
      </c>
      <c r="N79">
        <v>0</v>
      </c>
      <c r="O79" s="2">
        <v>1.05383315440572E-13</v>
      </c>
      <c r="P79">
        <v>0</v>
      </c>
      <c r="Q79">
        <v>-0.10143967963778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s="2">
        <v>2.38107594438554E-15</v>
      </c>
      <c r="Z79" s="2">
        <v>-1.08831025829601E-15</v>
      </c>
      <c r="AA79" s="2">
        <v>2.2759871577711302E-15</v>
      </c>
      <c r="AB79" s="2">
        <v>1.2280819695156E-15</v>
      </c>
      <c r="AC79" s="2">
        <v>3.9270380221451901E-15</v>
      </c>
      <c r="AD79" s="2">
        <v>4.9878896062885798E-15</v>
      </c>
      <c r="AE79">
        <v>1.28569548270302E-2</v>
      </c>
      <c r="AF79">
        <v>-0.69138971642365998</v>
      </c>
    </row>
    <row r="80" spans="1:32" x14ac:dyDescent="0.25">
      <c r="A80" s="1">
        <v>46295</v>
      </c>
      <c r="B80">
        <v>-0.189053946025347</v>
      </c>
      <c r="C80" s="2">
        <v>5.5703160501346702E-9</v>
      </c>
      <c r="D80">
        <v>-0.142302648240901</v>
      </c>
      <c r="E80" s="2">
        <v>3.90017065443245E-5</v>
      </c>
      <c r="F80">
        <v>-3.5792076141745698E-2</v>
      </c>
      <c r="G80">
        <v>8.8353706802283799E-2</v>
      </c>
      <c r="H80">
        <v>-0.24960764620446901</v>
      </c>
      <c r="I80" s="2">
        <v>-1.7783364006307301E-14</v>
      </c>
      <c r="J80" s="2">
        <v>3.8475893659872799E-14</v>
      </c>
      <c r="K80" s="2">
        <v>-3.9789455493463401E-15</v>
      </c>
      <c r="L80">
        <v>-6.5687237776272597E-2</v>
      </c>
      <c r="M80">
        <v>0</v>
      </c>
      <c r="N80">
        <v>0</v>
      </c>
      <c r="O80" s="2">
        <v>1.05203948355734E-13</v>
      </c>
      <c r="P80">
        <v>0</v>
      </c>
      <c r="Q80">
        <v>-0.100354364203413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s="2">
        <v>2.3463733448745901E-15</v>
      </c>
      <c r="Z80" s="2">
        <v>-1.08821904517659E-15</v>
      </c>
      <c r="AA80" s="2">
        <v>2.2436283181782599E-15</v>
      </c>
      <c r="AB80" s="2">
        <v>1.20659524102138E-15</v>
      </c>
      <c r="AC80" s="2">
        <v>3.8821955648478097E-15</v>
      </c>
      <c r="AD80" s="2">
        <v>4.9400354505096796E-15</v>
      </c>
      <c r="AE80">
        <v>1.2707110917307699E-2</v>
      </c>
      <c r="AF80">
        <v>-0.68169809359556099</v>
      </c>
    </row>
    <row r="81" spans="1:32" x14ac:dyDescent="0.25">
      <c r="A81" s="1">
        <v>46387</v>
      </c>
      <c r="B81">
        <v>-0.18678109159097001</v>
      </c>
      <c r="C81" s="2">
        <v>2.8915632069986098E-9</v>
      </c>
      <c r="D81">
        <v>-0.140879621758492</v>
      </c>
      <c r="E81" s="2">
        <v>2.7168232272302E-5</v>
      </c>
      <c r="F81">
        <v>-3.5434155380328201E-2</v>
      </c>
      <c r="G81">
        <v>8.5553160995650301E-2</v>
      </c>
      <c r="H81">
        <v>-0.23970659205587799</v>
      </c>
      <c r="I81" s="2">
        <v>-1.7412794600325301E-14</v>
      </c>
      <c r="J81" s="2">
        <v>3.8567387808846599E-14</v>
      </c>
      <c r="K81" s="2">
        <v>-3.9058500514792303E-15</v>
      </c>
      <c r="L81">
        <v>-6.7518138544682998E-2</v>
      </c>
      <c r="M81">
        <v>0</v>
      </c>
      <c r="N81">
        <v>0</v>
      </c>
      <c r="O81" s="2">
        <v>1.05016284692715E-13</v>
      </c>
      <c r="P81">
        <v>0</v>
      </c>
      <c r="Q81">
        <v>-9.9282990973756299E-2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s="2">
        <v>2.3119296378293101E-15</v>
      </c>
      <c r="Z81" s="2">
        <v>-1.08630124478939E-15</v>
      </c>
      <c r="AA81" s="2">
        <v>2.2125045409359199E-15</v>
      </c>
      <c r="AB81" s="2">
        <v>1.1866485897002799E-15</v>
      </c>
      <c r="AC81" s="2">
        <v>3.8377678135913197E-15</v>
      </c>
      <c r="AD81" s="2">
        <v>4.8908026238443101E-15</v>
      </c>
      <c r="AE81">
        <v>1.25591072735488E-2</v>
      </c>
      <c r="AF81">
        <v>-0.671463150910937</v>
      </c>
    </row>
    <row r="82" spans="1:32" x14ac:dyDescent="0.25">
      <c r="A82" s="1">
        <v>46477</v>
      </c>
      <c r="B82">
        <v>-0.184533602301654</v>
      </c>
      <c r="C82" s="2">
        <v>1.5010165218378701E-9</v>
      </c>
      <c r="D82">
        <v>-0.13947082554090701</v>
      </c>
      <c r="E82" s="2">
        <v>1.8925142261558402E-5</v>
      </c>
      <c r="F82">
        <v>-3.5079813826524898E-2</v>
      </c>
      <c r="G82">
        <v>8.2969760618530106E-2</v>
      </c>
      <c r="H82">
        <v>-0.22995399310833001</v>
      </c>
      <c r="I82" s="2">
        <v>-1.7039547876373801E-14</v>
      </c>
      <c r="J82" s="2">
        <v>3.8650211668922302E-14</v>
      </c>
      <c r="K82" s="2">
        <v>-3.8350680055284403E-15</v>
      </c>
      <c r="L82">
        <v>-6.89409869142113E-2</v>
      </c>
      <c r="M82">
        <v>0</v>
      </c>
      <c r="N82">
        <v>0</v>
      </c>
      <c r="O82" s="2">
        <v>1.0482034746121999E-13</v>
      </c>
      <c r="P82">
        <v>0</v>
      </c>
      <c r="Q82">
        <v>-9.8223517993772602E-2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s="2">
        <v>2.2778398833384601E-15</v>
      </c>
      <c r="Z82" s="2">
        <v>-1.0826294769616201E-15</v>
      </c>
      <c r="AA82" s="2">
        <v>2.1825790392982599E-15</v>
      </c>
      <c r="AB82" s="2">
        <v>1.16816573142804E-15</v>
      </c>
      <c r="AC82" s="2">
        <v>3.7938064072378902E-15</v>
      </c>
      <c r="AD82" s="2">
        <v>4.8403625494591703E-15</v>
      </c>
      <c r="AE82">
        <v>1.24129196927939E-2</v>
      </c>
      <c r="AF82">
        <v>-0.66080113273066399</v>
      </c>
    </row>
    <row r="83" spans="1:32" x14ac:dyDescent="0.25">
      <c r="A83" s="1">
        <v>46568</v>
      </c>
      <c r="B83">
        <v>-0.18231191500594601</v>
      </c>
      <c r="C83" s="2">
        <v>7.7918057939330303E-10</v>
      </c>
      <c r="D83">
        <v>-0.13807611728549801</v>
      </c>
      <c r="E83" s="2">
        <v>1.31830811083207E-5</v>
      </c>
      <c r="F83">
        <v>-3.4729015688259701E-2</v>
      </c>
      <c r="G83">
        <v>8.0579526500174303E-2</v>
      </c>
      <c r="H83">
        <v>-0.22038116390988599</v>
      </c>
      <c r="I83" s="2">
        <v>-1.6664269473599899E-14</v>
      </c>
      <c r="J83" s="2">
        <v>3.87246012955464E-14</v>
      </c>
      <c r="K83" s="2">
        <v>-3.7664014946280398E-15</v>
      </c>
      <c r="L83">
        <v>-7.0003214398118394E-2</v>
      </c>
      <c r="M83">
        <v>0</v>
      </c>
      <c r="N83">
        <v>0</v>
      </c>
      <c r="O83" s="2">
        <v>1.04616178637692E-13</v>
      </c>
      <c r="P83">
        <v>0</v>
      </c>
      <c r="Q83">
        <v>-9.7174519185781405E-2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s="2">
        <v>2.2441834697615099E-15</v>
      </c>
      <c r="Z83" s="2">
        <v>-1.0773046910391999E-15</v>
      </c>
      <c r="AA83" s="2">
        <v>2.1537994916433299E-15</v>
      </c>
      <c r="AB83" s="2">
        <v>1.15105312454213E-15</v>
      </c>
      <c r="AC83" s="2">
        <v>3.7503516750270796E-15</v>
      </c>
      <c r="AD83" s="2">
        <v>4.7888888895601302E-15</v>
      </c>
      <c r="AE83">
        <v>1.2268524308981E-2</v>
      </c>
      <c r="AF83">
        <v>-0.64981471080391096</v>
      </c>
    </row>
    <row r="84" spans="1:32" x14ac:dyDescent="0.25">
      <c r="A84" s="1">
        <v>46660</v>
      </c>
      <c r="B84">
        <v>-0.180116316122446</v>
      </c>
      <c r="C84" s="2">
        <v>4.0447390249334002E-10</v>
      </c>
      <c r="D84">
        <v>-0.136695356112643</v>
      </c>
      <c r="E84" s="2">
        <v>9.1832137958752194E-6</v>
      </c>
      <c r="F84">
        <v>-3.4381725531377097E-2</v>
      </c>
      <c r="G84">
        <v>7.8361179678046594E-2</v>
      </c>
      <c r="H84">
        <v>-0.21101419955574499</v>
      </c>
      <c r="I84" s="2">
        <v>-1.62876281406102E-14</v>
      </c>
      <c r="J84" s="2">
        <v>3.8790753411419198E-14</v>
      </c>
      <c r="K84" s="2">
        <v>-3.69967146684516E-15</v>
      </c>
      <c r="L84">
        <v>-7.0747708765254297E-2</v>
      </c>
      <c r="M84">
        <v>0</v>
      </c>
      <c r="N84">
        <v>0</v>
      </c>
      <c r="O84" s="2">
        <v>1.04403838735248E-13</v>
      </c>
      <c r="P84">
        <v>0</v>
      </c>
      <c r="Q84">
        <v>-9.6135031793607398E-2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s="2">
        <v>2.2110253629005098E-15</v>
      </c>
      <c r="Z84" s="2">
        <v>-1.0704482393094199E-15</v>
      </c>
      <c r="AA84" s="2">
        <v>2.1261033279031602E-15</v>
      </c>
      <c r="AB84" s="2">
        <v>1.1352063650443301E-15</v>
      </c>
      <c r="AC84" s="2">
        <v>3.7074343959183197E-15</v>
      </c>
      <c r="AD84" s="2">
        <v>4.7365549775497703E-15</v>
      </c>
      <c r="AE84">
        <v>1.21258975882355E-2</v>
      </c>
      <c r="AF84">
        <v>-0.63859407699638604</v>
      </c>
    </row>
    <row r="85" spans="1:32" x14ac:dyDescent="0.25">
      <c r="A85" s="1">
        <v>46752</v>
      </c>
      <c r="B85">
        <v>-0.177946970610245</v>
      </c>
      <c r="C85" s="2">
        <v>2.0996281590186801E-10</v>
      </c>
      <c r="D85">
        <v>-0.13532840255151701</v>
      </c>
      <c r="E85" s="2">
        <v>6.3969427879204199E-6</v>
      </c>
      <c r="F85">
        <v>-3.4037908276063303E-2</v>
      </c>
      <c r="G85">
        <v>7.6295850654147901E-2</v>
      </c>
      <c r="H85">
        <v>-0.20187445259467199</v>
      </c>
      <c r="I85" s="2">
        <v>-1.5910308964704801E-14</v>
      </c>
      <c r="J85" s="2">
        <v>3.8848832807681999E-14</v>
      </c>
      <c r="K85" s="2">
        <v>-3.6347190296941099E-15</v>
      </c>
      <c r="L85">
        <v>-7.12131186355556E-2</v>
      </c>
      <c r="M85">
        <v>0</v>
      </c>
      <c r="N85">
        <v>0</v>
      </c>
      <c r="O85" s="2">
        <v>1.0418340602228299E-13</v>
      </c>
      <c r="P85">
        <v>0</v>
      </c>
      <c r="Q85">
        <v>-9.5104437996343397E-2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s="2">
        <v>2.17841743596224E-15</v>
      </c>
      <c r="Z85" s="2">
        <v>-1.06219510296352E-15</v>
      </c>
      <c r="AA85" s="2">
        <v>2.0994219034059099E-15</v>
      </c>
      <c r="AB85" s="2">
        <v>1.1205153066916599E-15</v>
      </c>
      <c r="AC85" s="2">
        <v>3.6650773136318403E-15</v>
      </c>
      <c r="AD85" s="2">
        <v>4.6835313882331199E-15</v>
      </c>
      <c r="AE85">
        <v>1.19850163242187E-2</v>
      </c>
      <c r="AF85">
        <v>-0.62721802653314396</v>
      </c>
    </row>
    <row r="86" spans="1:32" x14ac:dyDescent="0.25">
      <c r="A86" s="1">
        <v>46843</v>
      </c>
      <c r="B86">
        <v>-0.17580394540606001</v>
      </c>
      <c r="C86" s="2">
        <v>1.08991669630741E-10</v>
      </c>
      <c r="D86">
        <v>-0.133975118526002</v>
      </c>
      <c r="E86" s="2">
        <v>4.4560518724609201E-6</v>
      </c>
      <c r="F86">
        <v>-3.36975291933026E-2</v>
      </c>
      <c r="G86">
        <v>7.4366817221875006E-2</v>
      </c>
      <c r="H86">
        <v>-0.19297900570465601</v>
      </c>
      <c r="I86" s="2">
        <v>-1.5533005157117899E-14</v>
      </c>
      <c r="J86" s="2">
        <v>3.8898979143571402E-14</v>
      </c>
      <c r="K86" s="2">
        <v>-3.5714054608198302E-15</v>
      </c>
      <c r="L86">
        <v>-7.1434169008142798E-2</v>
      </c>
      <c r="M86">
        <v>0</v>
      </c>
      <c r="N86">
        <v>0</v>
      </c>
      <c r="O86" s="2">
        <v>1.0395497547591999E-13</v>
      </c>
      <c r="P86">
        <v>0</v>
      </c>
      <c r="Q86">
        <v>-9.4082373400392605E-2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s="2">
        <v>2.1463998229541298E-15</v>
      </c>
      <c r="Z86" s="2">
        <v>-1.0526882024393199E-15</v>
      </c>
      <c r="AA86" s="2">
        <v>2.07368373994674E-15</v>
      </c>
      <c r="AB86" s="2">
        <v>1.10686808543651E-15</v>
      </c>
      <c r="AC86" s="2">
        <v>3.6232964356197498E-15</v>
      </c>
      <c r="AD86" s="2">
        <v>4.6299837501894501E-15</v>
      </c>
      <c r="AE86">
        <v>1.1845857633533999E-2</v>
      </c>
      <c r="AF86">
        <v>-0.61575501022214796</v>
      </c>
    </row>
    <row r="87" spans="1:32" x14ac:dyDescent="0.25">
      <c r="A87" s="1">
        <v>46934</v>
      </c>
      <c r="B87">
        <v>-0.17368722840463699</v>
      </c>
      <c r="C87" s="2">
        <v>5.65773189405581E-11</v>
      </c>
      <c r="D87">
        <v>-0.13263536734074199</v>
      </c>
      <c r="E87" s="2">
        <v>3.10404500200287E-6</v>
      </c>
      <c r="F87">
        <v>-3.3360553901369598E-2</v>
      </c>
      <c r="G87">
        <v>7.2559268642981303E-2</v>
      </c>
      <c r="H87">
        <v>-0.184341128862617</v>
      </c>
      <c r="I87" s="2">
        <v>-1.5156409222088299E-14</v>
      </c>
      <c r="J87" s="2">
        <v>3.8941313041180098E-14</v>
      </c>
      <c r="K87" s="2">
        <v>-3.5096113410515299E-15</v>
      </c>
      <c r="L87">
        <v>-7.1441977008526197E-2</v>
      </c>
      <c r="M87">
        <v>0</v>
      </c>
      <c r="N87">
        <v>0</v>
      </c>
      <c r="O87" s="2">
        <v>1.03718657544856E-13</v>
      </c>
      <c r="P87">
        <v>0</v>
      </c>
      <c r="Q87">
        <v>-9.3068656635748495E-2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s="2">
        <v>2.1150022530737498E-15</v>
      </c>
      <c r="Z87" s="2">
        <v>-1.0420737048763801E-15</v>
      </c>
      <c r="AA87" s="2">
        <v>2.04881699343015E-15</v>
      </c>
      <c r="AB87" s="2">
        <v>1.0941542143426399E-15</v>
      </c>
      <c r="AC87" s="2">
        <v>3.5821021432262202E-15</v>
      </c>
      <c r="AD87" s="2">
        <v>4.5760708620982399E-15</v>
      </c>
      <c r="AE87">
        <v>1.17083989511905E-2</v>
      </c>
      <c r="AF87">
        <v>-0.60426414045775301</v>
      </c>
    </row>
    <row r="88" spans="1:32" x14ac:dyDescent="0.25">
      <c r="A88" s="1">
        <v>47026</v>
      </c>
      <c r="B88">
        <v>-0.17159674384659801</v>
      </c>
      <c r="C88" s="2">
        <v>2.9368911219859698E-11</v>
      </c>
      <c r="D88">
        <v>-0.131309013667334</v>
      </c>
      <c r="E88" s="2">
        <v>2.1622493744351898E-6</v>
      </c>
      <c r="F88">
        <v>-3.3026948362355903E-2</v>
      </c>
      <c r="G88">
        <v>7.0860093985754297E-2</v>
      </c>
      <c r="H88">
        <v>-0.17597071350371901</v>
      </c>
      <c r="I88" s="2">
        <v>-1.4781204139770302E-14</v>
      </c>
      <c r="J88" s="2">
        <v>3.8975941428335297E-14</v>
      </c>
      <c r="K88" s="2">
        <v>-3.44923512253247E-15</v>
      </c>
      <c r="L88">
        <v>-7.1264360301138904E-2</v>
      </c>
      <c r="M88">
        <v>0</v>
      </c>
      <c r="N88">
        <v>0</v>
      </c>
      <c r="O88" s="2">
        <v>1.03474576785119E-13</v>
      </c>
      <c r="P88">
        <v>0</v>
      </c>
      <c r="Q88">
        <v>-9.20632354883089E-2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s="2">
        <v>2.0842453355950799E-15</v>
      </c>
      <c r="Z88" s="2">
        <v>-1.0304972311466099E-15</v>
      </c>
      <c r="AA88" s="2">
        <v>2.02475128705963E-15</v>
      </c>
      <c r="AB88" s="2">
        <v>1.0822668993661799E-15</v>
      </c>
      <c r="AC88" s="2">
        <v>3.5415001382956302E-15</v>
      </c>
      <c r="AD88" s="2">
        <v>4.52194314250216E-15</v>
      </c>
      <c r="AE88">
        <v>1.1572618026124901E-2</v>
      </c>
      <c r="AF88">
        <v>-0.59279614087869703</v>
      </c>
    </row>
    <row r="89" spans="1:32" x14ac:dyDescent="0.25">
      <c r="A89" s="1">
        <v>47118</v>
      </c>
      <c r="B89">
        <v>-0.16953236480777301</v>
      </c>
      <c r="C89" s="2">
        <v>1.5244965836451999E-11</v>
      </c>
      <c r="D89">
        <v>-0.129995923530661</v>
      </c>
      <c r="E89" s="2">
        <v>1.5062031490155301E-6</v>
      </c>
      <c r="F89">
        <v>-3.2696678878732302E-2</v>
      </c>
      <c r="G89">
        <v>6.9257692509585897E-2</v>
      </c>
      <c r="H89">
        <v>-0.16787467899649799</v>
      </c>
      <c r="I89" s="2">
        <v>-1.4408055023697002E-14</v>
      </c>
      <c r="J89" s="2">
        <v>3.9002962124137999E-14</v>
      </c>
      <c r="K89" s="2">
        <v>-3.3901913684865101E-15</v>
      </c>
      <c r="L89">
        <v>-7.0926133018647003E-2</v>
      </c>
      <c r="M89">
        <v>0</v>
      </c>
      <c r="N89">
        <v>0</v>
      </c>
      <c r="O89" s="2">
        <v>1.03222870421973E-13</v>
      </c>
      <c r="P89">
        <v>0</v>
      </c>
      <c r="Q89">
        <v>-9.1066145957849301E-2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s="2">
        <v>2.05414177423453E-15</v>
      </c>
      <c r="Z89" s="2">
        <v>-1.0181008611252101E-15</v>
      </c>
      <c r="AA89" s="2">
        <v>2.0014190297036398E-15</v>
      </c>
      <c r="AB89" s="2">
        <v>1.0711047097858901E-15</v>
      </c>
      <c r="AC89" s="2">
        <v>3.5014922490031701E-15</v>
      </c>
      <c r="AD89" s="2">
        <v>4.4677414185720198E-15</v>
      </c>
      <c r="AE89">
        <v>1.14384929167787E-2</v>
      </c>
      <c r="AF89">
        <v>-0.58139423354526598</v>
      </c>
    </row>
    <row r="90" spans="1:32" x14ac:dyDescent="0.25">
      <c r="A90" s="1">
        <v>47208</v>
      </c>
      <c r="B90">
        <v>-0.16749392334774599</v>
      </c>
      <c r="C90" s="2">
        <v>7.9131946587983995E-12</v>
      </c>
      <c r="D90">
        <v>-0.12869596429535399</v>
      </c>
      <c r="E90" s="2">
        <v>1.04920734516066E-6</v>
      </c>
      <c r="F90">
        <v>-3.2369712089944998E-2</v>
      </c>
      <c r="G90">
        <v>6.7741804083399207E-2</v>
      </c>
      <c r="H90">
        <v>-0.160057348861359</v>
      </c>
      <c r="I90" s="2">
        <v>-1.4037601571786E-14</v>
      </c>
      <c r="J90" s="2">
        <v>3.9022467691302002E-14</v>
      </c>
      <c r="K90" s="2">
        <v>-3.3324088398770299E-15</v>
      </c>
      <c r="L90">
        <v>-7.0449385876172693E-2</v>
      </c>
      <c r="M90">
        <v>0</v>
      </c>
      <c r="N90">
        <v>0</v>
      </c>
      <c r="O90" s="2">
        <v>1.02963686881869E-13</v>
      </c>
      <c r="P90">
        <v>0</v>
      </c>
      <c r="Q90">
        <v>-9.0077481391672806E-2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s="2">
        <v>2.0246974974270801E-15</v>
      </c>
      <c r="Z90" s="2">
        <v>-1.0050208366948501E-15</v>
      </c>
      <c r="AA90" s="2">
        <v>1.9787563212523101E-15</v>
      </c>
      <c r="AB90" s="2">
        <v>1.06057272059687E-15</v>
      </c>
      <c r="AC90" s="2">
        <v>3.4620771150525998E-15</v>
      </c>
      <c r="AD90" s="2">
        <v>4.4135960423840801E-15</v>
      </c>
      <c r="AE90">
        <v>1.1306001986733399E-2</v>
      </c>
      <c r="AF90">
        <v>-0.57009496057672304</v>
      </c>
    </row>
    <row r="91" spans="1:32" x14ac:dyDescent="0.25">
      <c r="A91" s="1">
        <v>47299</v>
      </c>
      <c r="B91">
        <v>-0.16548121876608601</v>
      </c>
      <c r="C91" s="2">
        <v>4.1072566228984803E-12</v>
      </c>
      <c r="D91">
        <v>-0.12740900465240099</v>
      </c>
      <c r="E91" s="2">
        <v>7.3086824549238202E-7</v>
      </c>
      <c r="F91">
        <v>-3.2046014969045501E-2</v>
      </c>
      <c r="G91">
        <v>6.6303357745127203E-2</v>
      </c>
      <c r="H91">
        <v>-0.15252079569805599</v>
      </c>
      <c r="I91" s="2">
        <v>-1.36704515138134E-14</v>
      </c>
      <c r="J91" s="2">
        <v>3.9034548599551397E-14</v>
      </c>
      <c r="K91" s="2">
        <v>-3.2758285554337998E-15</v>
      </c>
      <c r="L91">
        <v>-6.9853748497527998E-2</v>
      </c>
      <c r="M91">
        <v>0</v>
      </c>
      <c r="N91">
        <v>0</v>
      </c>
      <c r="O91" s="2">
        <v>1.02697184329916E-13</v>
      </c>
      <c r="P91">
        <v>0</v>
      </c>
      <c r="Q91">
        <v>-8.9097369447234898E-2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s="2">
        <v>1.99591269672283E-15</v>
      </c>
      <c r="Z91" s="2">
        <v>-9.9138586599890092E-16</v>
      </c>
      <c r="AA91" s="2">
        <v>1.9567035307408699E-15</v>
      </c>
      <c r="AB91" s="2">
        <v>1.0505832284779501E-15</v>
      </c>
      <c r="AC91" s="2">
        <v>3.4232507698151198E-15</v>
      </c>
      <c r="AD91" s="2">
        <v>4.3596263116694798E-15</v>
      </c>
      <c r="AE91">
        <v>1.11751239003998E-2</v>
      </c>
      <c r="AF91">
        <v>-0.55892893951233602</v>
      </c>
    </row>
    <row r="92" spans="1:32" x14ac:dyDescent="0.25">
      <c r="A92" s="1">
        <v>47391</v>
      </c>
      <c r="B92">
        <v>-0.163494024327139</v>
      </c>
      <c r="C92" s="2">
        <v>2.1315866606584701E-12</v>
      </c>
      <c r="D92">
        <v>-0.126134914605877</v>
      </c>
      <c r="E92" s="2">
        <v>5.0911613853052301E-7</v>
      </c>
      <c r="F92">
        <v>-3.1725554819355101E-2</v>
      </c>
      <c r="G92">
        <v>6.4934336638643897E-2</v>
      </c>
      <c r="H92">
        <v>-0.145265154892537</v>
      </c>
      <c r="I92" s="2">
        <v>-1.3307175165384199E-14</v>
      </c>
      <c r="J92" s="2">
        <v>3.9039295757080101E-14</v>
      </c>
      <c r="K92" s="2">
        <v>-3.2204019131876501E-15</v>
      </c>
      <c r="L92">
        <v>-6.9156632984812394E-2</v>
      </c>
      <c r="M92">
        <v>0</v>
      </c>
      <c r="N92">
        <v>0</v>
      </c>
      <c r="O92" s="2">
        <v>1.02423529240973E-13</v>
      </c>
      <c r="P92">
        <v>0</v>
      </c>
      <c r="Q92">
        <v>-8.8125955115314097E-2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 s="2">
        <v>1.9677827699348899E-15</v>
      </c>
      <c r="Z92" s="2">
        <v>-9.7731593858152496E-16</v>
      </c>
      <c r="AA92" s="2">
        <v>1.9352056188257602E-15</v>
      </c>
      <c r="AB92" s="2">
        <v>1.0410561283758599E-15</v>
      </c>
      <c r="AC92" s="2">
        <v>3.3850071345846299E-15</v>
      </c>
      <c r="AD92" s="2">
        <v>4.3059401647688597E-15</v>
      </c>
      <c r="AE92">
        <v>1.1045837618764799E-2</v>
      </c>
      <c r="AF92">
        <v>-0.54792155336921899</v>
      </c>
    </row>
    <row r="93" spans="1:32" x14ac:dyDescent="0.25">
      <c r="A93" s="1">
        <v>47483</v>
      </c>
      <c r="B93">
        <v>-0.161532092743957</v>
      </c>
      <c r="C93" s="2">
        <v>1.1060130913861E-12</v>
      </c>
      <c r="D93">
        <v>-0.124873565459818</v>
      </c>
      <c r="E93" s="2">
        <v>3.5464564780787297E-7</v>
      </c>
      <c r="F93">
        <v>-3.1408299271161497E-2</v>
      </c>
      <c r="G93">
        <v>6.3627657697355303E-2</v>
      </c>
      <c r="H93">
        <v>-0.138288907947171</v>
      </c>
      <c r="I93" s="2">
        <v>-1.29483011259534E-14</v>
      </c>
      <c r="J93" s="2">
        <v>3.9036802474141898E-14</v>
      </c>
      <c r="K93" s="2">
        <v>-3.1660889319332302E-15</v>
      </c>
      <c r="L93">
        <v>-6.8373458493269507E-2</v>
      </c>
      <c r="M93">
        <v>0</v>
      </c>
      <c r="N93">
        <v>0</v>
      </c>
      <c r="O93" s="2">
        <v>1.02142895025964E-13</v>
      </c>
      <c r="P93">
        <v>0</v>
      </c>
      <c r="Q93">
        <v>-8.7163388414184403E-2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s="2">
        <v>1.9402991689869899E-15</v>
      </c>
      <c r="Z93" s="2">
        <v>-9.6292156844209594E-16</v>
      </c>
      <c r="AA93" s="2">
        <v>1.9142122638164002E-15</v>
      </c>
      <c r="AB93" s="2">
        <v>1.0319190245103801E-15</v>
      </c>
      <c r="AC93" s="2">
        <v>3.3473384379569701E-15</v>
      </c>
      <c r="AD93" s="2">
        <v>4.2526341156234398E-15</v>
      </c>
      <c r="AE93">
        <v>1.09181223951913E-2</v>
      </c>
      <c r="AF93">
        <v>-0.53709357759012499</v>
      </c>
    </row>
    <row r="94" spans="1:32" x14ac:dyDescent="0.25">
      <c r="A94" s="1">
        <v>47573</v>
      </c>
      <c r="B94">
        <v>-0.15959516065558099</v>
      </c>
      <c r="C94" s="2">
        <v>5.7363679391640803E-13</v>
      </c>
      <c r="D94">
        <v>-0.12362482980521999</v>
      </c>
      <c r="E94" s="2">
        <v>2.4704291595128497E-7</v>
      </c>
      <c r="F94">
        <v>-3.1094216278449899E-2</v>
      </c>
      <c r="G94">
        <v>6.2377064575865303E-2</v>
      </c>
      <c r="H94">
        <v>-0.13158913680043399</v>
      </c>
      <c r="I94" s="2">
        <v>-1.25943131036023E-14</v>
      </c>
      <c r="J94" s="2">
        <v>3.9027165925657601E-14</v>
      </c>
      <c r="K94" s="2">
        <v>-3.1128566483529701E-15</v>
      </c>
      <c r="L94">
        <v>-6.7517857093694997E-2</v>
      </c>
      <c r="M94">
        <v>0</v>
      </c>
      <c r="N94">
        <v>0</v>
      </c>
      <c r="O94" s="2">
        <v>1.01855460729476E-13</v>
      </c>
      <c r="P94">
        <v>0</v>
      </c>
      <c r="Q94">
        <v>-8.6209815665109504E-2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s="2">
        <v>1.9134501548405901E-15</v>
      </c>
      <c r="Z94" s="2">
        <v>-9.4830339006791997E-16</v>
      </c>
      <c r="AA94" s="2">
        <v>1.8936778397857501E-15</v>
      </c>
      <c r="AB94" s="2">
        <v>1.0231071377668201E-15</v>
      </c>
      <c r="AC94" s="2">
        <v>3.3102355714225599E-15</v>
      </c>
      <c r="AD94" s="2">
        <v>4.19979339322409E-15</v>
      </c>
      <c r="AE94">
        <v>1.0791957771274299E-2</v>
      </c>
      <c r="AF94">
        <v>-0.52646174690772296</v>
      </c>
    </row>
    <row r="95" spans="1:32" x14ac:dyDescent="0.25">
      <c r="A95" s="1">
        <v>47664</v>
      </c>
      <c r="B95">
        <v>-0.15768295228656401</v>
      </c>
      <c r="C95" s="2">
        <v>2.9728039419632901E-13</v>
      </c>
      <c r="D95">
        <v>-0.122388581507168</v>
      </c>
      <c r="E95" s="2">
        <v>1.72087836513156E-7</v>
      </c>
      <c r="F95">
        <v>-3.07832741156654E-2</v>
      </c>
      <c r="G95">
        <v>6.1177032459786E-2</v>
      </c>
      <c r="H95">
        <v>-0.12516175083480299</v>
      </c>
      <c r="I95" s="2">
        <v>-1.2245647809326901E-14</v>
      </c>
      <c r="J95" s="2">
        <v>3.9010488179428997E-14</v>
      </c>
      <c r="K95" s="2">
        <v>-3.0606776885306301E-15</v>
      </c>
      <c r="L95">
        <v>-6.6601861564659207E-2</v>
      </c>
      <c r="M95">
        <v>0</v>
      </c>
      <c r="N95">
        <v>0</v>
      </c>
      <c r="O95" s="2">
        <v>1.01561409809955E-13</v>
      </c>
      <c r="P95">
        <v>0</v>
      </c>
      <c r="Q95">
        <v>-8.5265373496579394E-2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s="2">
        <v>1.8872214636033901E-15</v>
      </c>
      <c r="Z95" s="2">
        <v>-9.3355204073895005E-16</v>
      </c>
      <c r="AA95" s="2">
        <v>1.87356128616289E-15</v>
      </c>
      <c r="AB95" s="2">
        <v>1.01456306099469E-15</v>
      </c>
      <c r="AC95" s="2">
        <v>3.2736883905929099E-15</v>
      </c>
      <c r="AD95" s="2">
        <v>4.1474922503450804E-15</v>
      </c>
      <c r="AE95">
        <v>1.0667323572749901E-2</v>
      </c>
      <c r="AF95">
        <v>-0.51603926568463199</v>
      </c>
    </row>
    <row r="96" spans="1:32" x14ac:dyDescent="0.25">
      <c r="A96" s="1">
        <v>47756</v>
      </c>
      <c r="B96">
        <v>-0.155795182441272</v>
      </c>
      <c r="C96" s="2">
        <v>1.53824576212544E-13</v>
      </c>
      <c r="D96">
        <v>-0.12116469569209599</v>
      </c>
      <c r="E96" s="2">
        <v>1.1987481332491299E-7</v>
      </c>
      <c r="F96">
        <v>-3.0475441374508701E-2</v>
      </c>
      <c r="G96">
        <v>6.00226835068563E-2</v>
      </c>
      <c r="H96">
        <v>-0.119001688463075</v>
      </c>
      <c r="I96" s="2">
        <v>-1.19026938360288E-14</v>
      </c>
      <c r="J96" s="2">
        <v>3.8986876854047499E-14</v>
      </c>
      <c r="K96" s="2">
        <v>-3.0095290201209801E-15</v>
      </c>
      <c r="L96">
        <v>-6.5636075995252494E-2</v>
      </c>
      <c r="M96">
        <v>0</v>
      </c>
      <c r="N96">
        <v>0</v>
      </c>
      <c r="O96" s="2">
        <v>1.01260929009881E-13</v>
      </c>
      <c r="P96">
        <v>0</v>
      </c>
      <c r="Q96">
        <v>-8.4330184911955694E-2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s="2">
        <v>1.8615968890836401E-15</v>
      </c>
      <c r="Z96" s="2">
        <v>-9.1874827049568993E-16</v>
      </c>
      <c r="AA96" s="2">
        <v>1.85382590049298E-15</v>
      </c>
      <c r="AB96" s="2">
        <v>1.00623640461581E-15</v>
      </c>
      <c r="AC96" s="2">
        <v>3.2376859700453298E-15</v>
      </c>
      <c r="AD96" s="2">
        <v>4.0957944080613903E-15</v>
      </c>
      <c r="AE96">
        <v>1.0544199905458801E-2</v>
      </c>
      <c r="AF96">
        <v>-0.50583626559074002</v>
      </c>
    </row>
    <row r="97" spans="1:32" x14ac:dyDescent="0.25">
      <c r="A97" s="1">
        <v>47848</v>
      </c>
      <c r="B97">
        <v>-0.15393155895622199</v>
      </c>
      <c r="C97" s="2">
        <v>7.9357820978358298E-14</v>
      </c>
      <c r="D97">
        <v>-0.119953048735175</v>
      </c>
      <c r="E97" s="2">
        <v>8.35036986403805E-8</v>
      </c>
      <c r="F97">
        <v>-3.0170686960763599E-2</v>
      </c>
      <c r="G97">
        <v>5.89097117888117E-2</v>
      </c>
      <c r="H97">
        <v>-0.113103095270918</v>
      </c>
      <c r="I97" s="2">
        <v>-1.15657914199023E-14</v>
      </c>
      <c r="J97" s="2">
        <v>3.8956445466604298E-14</v>
      </c>
      <c r="K97" s="2">
        <v>-2.9593908825719899E-15</v>
      </c>
      <c r="L97">
        <v>-6.4629830226196797E-2</v>
      </c>
      <c r="M97">
        <v>0</v>
      </c>
      <c r="N97">
        <v>0</v>
      </c>
      <c r="O97" s="2">
        <v>1.00954207320001E-13</v>
      </c>
      <c r="P97">
        <v>0</v>
      </c>
      <c r="Q97">
        <v>-8.3404356902888901E-2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s="2">
        <v>1.8365587877780299E-15</v>
      </c>
      <c r="Z97" s="2">
        <v>-9.0396322890386201E-16</v>
      </c>
      <c r="AA97" s="2">
        <v>1.83443907957299E-15</v>
      </c>
      <c r="AB97" s="2">
        <v>9.9808336706892501E-16</v>
      </c>
      <c r="AC97" s="2">
        <v>3.2022168185471501E-15</v>
      </c>
      <c r="AD97" s="2">
        <v>4.04475360505789E-15</v>
      </c>
      <c r="AE97">
        <v>1.04225671513625E-2</v>
      </c>
      <c r="AF97">
        <v>-0.495860214608074</v>
      </c>
    </row>
    <row r="98" spans="1:32" x14ac:dyDescent="0.25">
      <c r="A98" s="1">
        <v>47938</v>
      </c>
      <c r="B98">
        <v>-0.15209178471021401</v>
      </c>
      <c r="C98" s="2">
        <v>4.0703511456310499E-14</v>
      </c>
      <c r="D98">
        <v>-0.118753518247823</v>
      </c>
      <c r="E98" s="2">
        <v>5.8167912612290703E-8</v>
      </c>
      <c r="F98">
        <v>-2.9868980091155999E-2</v>
      </c>
      <c r="G98">
        <v>5.7834316712149302E-2</v>
      </c>
      <c r="H98">
        <v>-0.107459480705952</v>
      </c>
      <c r="I98" s="2">
        <v>-1.12352329724544E-14</v>
      </c>
      <c r="J98" s="2">
        <v>3.8919313525398898E-14</v>
      </c>
      <c r="K98" s="2">
        <v>-2.9102458867322599E-15</v>
      </c>
      <c r="L98">
        <v>-6.3591319236507904E-2</v>
      </c>
      <c r="M98">
        <v>0</v>
      </c>
      <c r="N98">
        <v>0</v>
      </c>
      <c r="O98" s="2">
        <v>1.0064143503905799E-13</v>
      </c>
      <c r="P98">
        <v>0</v>
      </c>
      <c r="Q98">
        <v>-8.2487979207195597E-2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 s="2">
        <v>1.8120885126656498E-15</v>
      </c>
      <c r="Z98" s="2">
        <v>-8.8925888499042203E-16</v>
      </c>
      <c r="AA98" s="2">
        <v>1.8153720287772299E-15</v>
      </c>
      <c r="AB98" s="2">
        <v>9.9006625787550609E-16</v>
      </c>
      <c r="AC98" s="2">
        <v>3.1672690603850099E-15</v>
      </c>
      <c r="AD98" s="2">
        <v>3.9944142237496099E-15</v>
      </c>
      <c r="AE98">
        <v>1.0302405964612399E-2</v>
      </c>
      <c r="AF98">
        <v>-0.48611628135399598</v>
      </c>
    </row>
    <row r="99" spans="1:32" x14ac:dyDescent="0.25">
      <c r="A99" s="1">
        <v>48029</v>
      </c>
      <c r="B99">
        <v>-0.15027555927304201</v>
      </c>
      <c r="C99" s="2">
        <v>2.06395880462099E-14</v>
      </c>
      <c r="D99">
        <v>-0.11756598306534501</v>
      </c>
      <c r="E99" s="2">
        <v>4.0519235654914902E-8</v>
      </c>
      <c r="F99">
        <v>-2.9570290290244401E-2</v>
      </c>
      <c r="G99">
        <v>5.6793143996741E-2</v>
      </c>
      <c r="H99">
        <v>-0.102063855263024</v>
      </c>
      <c r="I99" s="2">
        <v>-1.09112642681897E-14</v>
      </c>
      <c r="J99" s="2">
        <v>3.8875606417440897E-14</v>
      </c>
      <c r="K99" s="2">
        <v>-2.8620782712752501E-15</v>
      </c>
      <c r="L99">
        <v>-6.25277286125656E-2</v>
      </c>
      <c r="M99">
        <v>0</v>
      </c>
      <c r="N99">
        <v>0</v>
      </c>
      <c r="O99" s="2">
        <v>1.00322802928309E-13</v>
      </c>
      <c r="P99">
        <v>0</v>
      </c>
      <c r="Q99">
        <v>-8.1581123901348404E-2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s="2">
        <v>1.78816678230719E-15</v>
      </c>
      <c r="Z99" s="2">
        <v>-8.7468854337822601E-16</v>
      </c>
      <c r="AA99" s="2">
        <v>1.7965994549304999E-15</v>
      </c>
      <c r="AB99" s="2">
        <v>9.8215299538771394E-16</v>
      </c>
      <c r="AC99" s="2">
        <v>3.1328305876524201E-15</v>
      </c>
      <c r="AD99" s="2">
        <v>3.9448119684910502E-15</v>
      </c>
      <c r="AE99">
        <v>1.0183697267671E-2</v>
      </c>
      <c r="AF99">
        <v>-0.47660765862176402</v>
      </c>
    </row>
    <row r="100" spans="1:32" x14ac:dyDescent="0.25">
      <c r="A100" s="1">
        <v>48121</v>
      </c>
      <c r="B100">
        <v>-0.14848258025833599</v>
      </c>
      <c r="C100" s="2">
        <v>1.02260381770208E-14</v>
      </c>
      <c r="D100">
        <v>-0.11639032323469101</v>
      </c>
      <c r="E100" s="2">
        <v>2.8225328610165701E-8</v>
      </c>
      <c r="F100">
        <v>-2.9274587387342E-2</v>
      </c>
      <c r="G100">
        <v>5.5783233384090199E-2</v>
      </c>
      <c r="H100">
        <v>-9.6908850038399705E-2</v>
      </c>
      <c r="I100" s="2">
        <v>-1.05940861745361E-14</v>
      </c>
      <c r="J100" s="2">
        <v>3.88254551349506E-14</v>
      </c>
      <c r="K100" s="2">
        <v>-2.8148733011115398E-15</v>
      </c>
      <c r="L100">
        <v>-6.1445347230430603E-2</v>
      </c>
      <c r="M100">
        <v>0</v>
      </c>
      <c r="N100">
        <v>0</v>
      </c>
      <c r="O100" s="2">
        <v>9.9998501458484306E-14</v>
      </c>
      <c r="P100">
        <v>0</v>
      </c>
      <c r="Q100">
        <v>-8.0683845589520797E-2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 s="2">
        <v>1.76477399168304E-15</v>
      </c>
      <c r="Z100" s="2">
        <v>-8.6029742566785996E-16</v>
      </c>
      <c r="AA100" s="2">
        <v>1.7780992544318201E-15</v>
      </c>
      <c r="AB100" s="2">
        <v>9.7431659646118008E-16</v>
      </c>
      <c r="AC100" s="2">
        <v>3.0988891876170602E-15</v>
      </c>
      <c r="AD100" s="2">
        <v>3.8959745744693901E-15</v>
      </c>
      <c r="AE100">
        <v>1.00664222474848E-2</v>
      </c>
      <c r="AF100">
        <v>-0.46733584988166799</v>
      </c>
    </row>
    <row r="101" spans="1:32" x14ac:dyDescent="0.25">
      <c r="A101" s="1">
        <v>48213</v>
      </c>
      <c r="B101">
        <v>-0.14671254443374901</v>
      </c>
      <c r="C101" s="2">
        <v>4.82207872732218E-15</v>
      </c>
      <c r="D101">
        <v>-0.115226420002345</v>
      </c>
      <c r="E101" s="2">
        <v>1.9661505339912901E-8</v>
      </c>
      <c r="F101">
        <v>-2.8981841513468502E-2</v>
      </c>
      <c r="G101">
        <v>5.4801972332071902E-2</v>
      </c>
      <c r="H101">
        <v>-9.1986820424999297E-2</v>
      </c>
      <c r="I101" s="2">
        <v>-1.02838568155917E-14</v>
      </c>
      <c r="J101" s="2">
        <v>3.8768995879536597E-14</v>
      </c>
      <c r="K101" s="2">
        <v>-2.7686167919213498E-15</v>
      </c>
      <c r="L101">
        <v>-6.0349668251230601E-2</v>
      </c>
      <c r="M101">
        <v>0</v>
      </c>
      <c r="N101">
        <v>0</v>
      </c>
      <c r="O101" s="2">
        <v>9.96687201455478E-14</v>
      </c>
      <c r="P101">
        <v>0</v>
      </c>
      <c r="Q101">
        <v>-7.9796182007343106E-2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 s="2">
        <v>1.74189047099873E-15</v>
      </c>
      <c r="Z101" s="2">
        <v>-8.4612329149437395E-16</v>
      </c>
      <c r="AA101" s="2">
        <v>1.7598522053598101E-15</v>
      </c>
      <c r="AB101" s="2">
        <v>9.6653467127250709E-16</v>
      </c>
      <c r="AC101" s="2">
        <v>3.0654326486758699E-15</v>
      </c>
      <c r="AD101" s="2">
        <v>3.8479225291161799E-15</v>
      </c>
      <c r="AE101">
        <v>9.9505623517085803E-3</v>
      </c>
      <c r="AF101">
        <v>-0.45830092228770702</v>
      </c>
    </row>
    <row r="102" spans="1:32" x14ac:dyDescent="0.25">
      <c r="A102" s="1">
        <v>48304</v>
      </c>
      <c r="B102">
        <v>-0.14496514863180901</v>
      </c>
      <c r="C102" s="2">
        <v>2.0186663746960199E-15</v>
      </c>
      <c r="D102">
        <v>-0.114074155802321</v>
      </c>
      <c r="E102" s="2">
        <v>1.36960243312288E-8</v>
      </c>
      <c r="F102">
        <v>-2.8692023098333901E-2</v>
      </c>
      <c r="G102">
        <v>5.3847055030520202E-2</v>
      </c>
      <c r="H102">
        <v>-8.7289935606028796E-2</v>
      </c>
      <c r="I102" s="2">
        <v>-9.9806940686910196E-15</v>
      </c>
      <c r="J102" s="2">
        <v>3.87063695774126E-14</v>
      </c>
      <c r="K102" s="2">
        <v>-2.7232947447879602E-15</v>
      </c>
      <c r="L102">
        <v>-5.9245479481526302E-2</v>
      </c>
      <c r="M102">
        <v>0</v>
      </c>
      <c r="N102">
        <v>0</v>
      </c>
      <c r="O102" s="2">
        <v>9.9333646970727705E-14</v>
      </c>
      <c r="P102">
        <v>0</v>
      </c>
      <c r="Q102">
        <v>-7.8918154902447205E-2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 s="2">
        <v>1.71949669838343E-15</v>
      </c>
      <c r="Z102" s="2">
        <v>-8.3219707843601002E-16</v>
      </c>
      <c r="AA102" s="2">
        <v>1.7418416698934099E-15</v>
      </c>
      <c r="AB102" s="2">
        <v>9.5878893317102593E-16</v>
      </c>
      <c r="AC102" s="2">
        <v>3.0324488478928598E-15</v>
      </c>
      <c r="AD102" s="2">
        <v>3.8006697909401001E-15</v>
      </c>
      <c r="AE102">
        <v>9.8360992849804499E-3</v>
      </c>
      <c r="AF102">
        <v>-0.44950172951080197</v>
      </c>
    </row>
    <row r="103" spans="1:32" x14ac:dyDescent="0.25">
      <c r="A103" s="1">
        <v>48395</v>
      </c>
      <c r="B103">
        <v>-0.14324009049668401</v>
      </c>
      <c r="C103" s="2">
        <v>5.6525902403627803E-16</v>
      </c>
      <c r="D103">
        <v>-0.11293341424429799</v>
      </c>
      <c r="E103" s="2">
        <v>9.5405247912040095E-9</v>
      </c>
      <c r="F103">
        <v>-2.8405102867350498E-2</v>
      </c>
      <c r="G103">
        <v>5.2916446142426903E-2</v>
      </c>
      <c r="H103">
        <v>-8.2810255382413794E-2</v>
      </c>
      <c r="I103" s="2">
        <v>-9.6846783017648504E-15</v>
      </c>
      <c r="J103" s="2">
        <v>3.8637721334032201E-14</v>
      </c>
      <c r="K103" s="2">
        <v>-2.6788930753859201E-15</v>
      </c>
      <c r="L103">
        <v>-5.8136944091887799E-2</v>
      </c>
      <c r="M103">
        <v>0</v>
      </c>
      <c r="N103">
        <v>0</v>
      </c>
      <c r="O103" s="2">
        <v>9.8993467879613398E-14</v>
      </c>
      <c r="P103">
        <v>0</v>
      </c>
      <c r="Q103">
        <v>-7.8049771088085806E-2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s="2">
        <v>1.69757347203964E-15</v>
      </c>
      <c r="Z103" s="2">
        <v>-8.1854354409992197E-16</v>
      </c>
      <c r="AA103" s="2">
        <v>1.72405331146664E-15</v>
      </c>
      <c r="AB103" s="2">
        <v>9.5106473072208191E-16</v>
      </c>
      <c r="AC103" s="2">
        <v>2.9999258226845601E-15</v>
      </c>
      <c r="AD103" s="2">
        <v>3.7542244935199799E-15</v>
      </c>
      <c r="AE103">
        <v>9.7230150052469398E-3</v>
      </c>
      <c r="AF103">
        <v>-0.44093610748238299</v>
      </c>
    </row>
    <row r="104" spans="1:32" x14ac:dyDescent="0.25">
      <c r="A104" s="1">
        <v>48487</v>
      </c>
      <c r="B104">
        <v>-0.14153706909566099</v>
      </c>
      <c r="C104" s="2">
        <v>-1.87304770396138E-16</v>
      </c>
      <c r="D104">
        <v>-0.111804080101855</v>
      </c>
      <c r="E104" s="2">
        <v>6.6458417977261198E-9</v>
      </c>
      <c r="F104">
        <v>-2.8121051838677E-2</v>
      </c>
      <c r="G104">
        <v>5.2008348739217801E-2</v>
      </c>
      <c r="H104">
        <v>-7.8539795745458996E-2</v>
      </c>
      <c r="I104" s="2">
        <v>-9.3958552693144496E-15</v>
      </c>
      <c r="J104" s="2">
        <v>3.8563199851931799E-14</v>
      </c>
      <c r="K104" s="2">
        <v>-2.6353974230713998E-15</v>
      </c>
      <c r="L104">
        <v>-5.7027672622065602E-2</v>
      </c>
      <c r="M104">
        <v>0</v>
      </c>
      <c r="N104">
        <v>0</v>
      </c>
      <c r="O104" s="2">
        <v>9.8648366354732099E-14</v>
      </c>
      <c r="P104">
        <v>0</v>
      </c>
      <c r="Q104">
        <v>-7.7191023592673297E-2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s="2">
        <v>1.6761020469961001E-15</v>
      </c>
      <c r="Z104" s="2">
        <v>-8.0518189729490598E-16</v>
      </c>
      <c r="AA104" s="2">
        <v>1.7064748295614001E-15</v>
      </c>
      <c r="AB104" s="2">
        <v>9.4335060687906404E-16</v>
      </c>
      <c r="AC104" s="2">
        <v>2.9678518288575602E-15</v>
      </c>
      <c r="AD104" s="2">
        <v>3.7085896249655598E-15</v>
      </c>
      <c r="AE104">
        <v>9.6112917201379103E-3</v>
      </c>
      <c r="AF104">
        <v>-0.43260104589105702</v>
      </c>
    </row>
    <row r="105" spans="1:32" x14ac:dyDescent="0.25">
      <c r="A105" s="1">
        <v>48579</v>
      </c>
      <c r="B105">
        <v>-0.13985578541885901</v>
      </c>
      <c r="C105" s="2">
        <v>-5.7600835991353203E-16</v>
      </c>
      <c r="D105">
        <v>-0.11068603930083599</v>
      </c>
      <c r="E105" s="2">
        <v>4.6294320858433101E-9</v>
      </c>
      <c r="F105">
        <v>-2.7839841320290201E-2</v>
      </c>
      <c r="G105">
        <v>5.11211759560549E-2</v>
      </c>
      <c r="H105">
        <v>-7.4470584483731297E-2</v>
      </c>
      <c r="I105" s="2">
        <v>-9.1142390950102108E-15</v>
      </c>
      <c r="J105" s="2">
        <v>3.8482956831412398E-14</v>
      </c>
      <c r="K105" s="2">
        <v>-2.5927930263787399E-15</v>
      </c>
      <c r="L105">
        <v>-5.5920787133425499E-2</v>
      </c>
      <c r="M105">
        <v>0</v>
      </c>
      <c r="N105">
        <v>0</v>
      </c>
      <c r="O105" s="2">
        <v>9.8298523055793496E-14</v>
      </c>
      <c r="P105">
        <v>0</v>
      </c>
      <c r="Q105">
        <v>-7.6341892848638404E-2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s="2">
        <v>1.6550642411908799E-15</v>
      </c>
      <c r="Z105" s="2">
        <v>-7.92126408268173E-16</v>
      </c>
      <c r="AA105" s="2">
        <v>1.6890957138596201E-15</v>
      </c>
      <c r="AB105" s="2">
        <v>9.3563788843705093E-16</v>
      </c>
      <c r="AC105" s="2">
        <v>2.9362153868994302E-15</v>
      </c>
      <c r="AD105" s="2">
        <v>3.6637636754384902E-15</v>
      </c>
      <c r="AE105">
        <v>9.5009118833906704E-3</v>
      </c>
      <c r="AF105">
        <v>-0.42449283803676802</v>
      </c>
    </row>
    <row r="106" spans="1:32" x14ac:dyDescent="0.25">
      <c r="A106" s="1">
        <v>48669</v>
      </c>
      <c r="B106">
        <v>-0.13819594278642899</v>
      </c>
      <c r="C106" s="2">
        <v>-7.7578270204410502E-16</v>
      </c>
      <c r="D106">
        <v>-0.10957917890782801</v>
      </c>
      <c r="E106" s="2">
        <v>3.2248195139297098E-9</v>
      </c>
      <c r="F106">
        <v>-2.75614429070873E-2</v>
      </c>
      <c r="G106">
        <v>5.02535259448494E-2</v>
      </c>
      <c r="H106">
        <v>-7.0594707994847405E-2</v>
      </c>
      <c r="I106" s="2">
        <v>-8.8398152790499703E-15</v>
      </c>
      <c r="J106" s="2">
        <v>3.8397146369984602E-14</v>
      </c>
      <c r="K106" s="2">
        <v>-2.5510646527286999E-15</v>
      </c>
      <c r="L106">
        <v>-5.4818978301240301E-2</v>
      </c>
      <c r="M106">
        <v>0</v>
      </c>
      <c r="N106">
        <v>0</v>
      </c>
      <c r="O106" s="2">
        <v>9.7944115521736997E-14</v>
      </c>
      <c r="P106">
        <v>0</v>
      </c>
      <c r="Q106">
        <v>-7.5502347879790696E-2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 s="2">
        <v>1.63444251518241E-15</v>
      </c>
      <c r="Z106" s="2">
        <v>-7.79386990579972E-16</v>
      </c>
      <c r="AA106" s="2">
        <v>1.67190701856432E-15</v>
      </c>
      <c r="AB106" s="2">
        <v>9.279203075044999E-16</v>
      </c>
      <c r="AC106" s="2">
        <v>2.9050053181682199E-15</v>
      </c>
      <c r="AD106" s="2">
        <v>3.6197412473257502E-15</v>
      </c>
      <c r="AE106">
        <v>9.3918581913230905E-3</v>
      </c>
      <c r="AF106">
        <v>-0.41660721141609602</v>
      </c>
    </row>
    <row r="107" spans="1:32" x14ac:dyDescent="0.25">
      <c r="A107" s="1">
        <v>48760</v>
      </c>
      <c r="B107">
        <v>-0.13655724717906401</v>
      </c>
      <c r="C107" s="2">
        <v>-8.7743695029617997E-16</v>
      </c>
      <c r="D107">
        <v>-0.10848338711875</v>
      </c>
      <c r="E107" s="2">
        <v>2.2463792375240799E-9</v>
      </c>
      <c r="F107">
        <v>-2.7285828478016399E-2</v>
      </c>
      <c r="G107">
        <v>4.9404159749129199E-2</v>
      </c>
      <c r="H107">
        <v>-6.6904350360311504E-2</v>
      </c>
      <c r="I107" s="2">
        <v>-8.5725436781736099E-15</v>
      </c>
      <c r="J107" s="2">
        <v>3.8305924373225699E-14</v>
      </c>
      <c r="K107" s="2">
        <v>-2.5101965715123701E-15</v>
      </c>
      <c r="L107">
        <v>-5.3724556172689203E-2</v>
      </c>
      <c r="M107">
        <v>0</v>
      </c>
      <c r="N107">
        <v>0</v>
      </c>
      <c r="O107" s="2">
        <v>9.7585317928780603E-14</v>
      </c>
      <c r="P107">
        <v>0</v>
      </c>
      <c r="Q107">
        <v>-7.4672347458512103E-2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 s="2">
        <v>1.6142200293649299E-15</v>
      </c>
      <c r="Z107" s="2">
        <v>-7.6696974936509295E-16</v>
      </c>
      <c r="AA107" s="2">
        <v>1.65490115700997E-15</v>
      </c>
      <c r="AB107" s="2">
        <v>9.2019365562146699E-16</v>
      </c>
      <c r="AC107" s="2">
        <v>2.8742107724090799E-15</v>
      </c>
      <c r="AD107" s="2">
        <v>3.5765136243789096E-15</v>
      </c>
      <c r="AE107">
        <v>9.2841135793544499E-3</v>
      </c>
      <c r="AF107">
        <v>-0.40893944119234599</v>
      </c>
    </row>
    <row r="108" spans="1:32" x14ac:dyDescent="0.25">
      <c r="A108" s="1">
        <v>48852</v>
      </c>
      <c r="B108">
        <v>-0.134939407504794</v>
      </c>
      <c r="C108" s="2">
        <v>-9.2811239806404104E-16</v>
      </c>
      <c r="D108">
        <v>-0.10739855324756201</v>
      </c>
      <c r="E108" s="2">
        <v>1.5648066867260401E-9</v>
      </c>
      <c r="F108">
        <v>-2.7012970193236299E-2</v>
      </c>
      <c r="G108">
        <v>4.8571981766547097E-2</v>
      </c>
      <c r="H108">
        <v>-6.33918256358149E-2</v>
      </c>
      <c r="I108" s="2">
        <v>-8.3123614154182807E-15</v>
      </c>
      <c r="J108" s="2">
        <v>3.8209447986854302E-14</v>
      </c>
      <c r="K108" s="2">
        <v>-2.4701725610663301E-15</v>
      </c>
      <c r="L108">
        <v>-5.2639495252186898E-2</v>
      </c>
      <c r="M108">
        <v>0</v>
      </c>
      <c r="N108">
        <v>0</v>
      </c>
      <c r="O108" s="2">
        <v>9.7222300898827198E-14</v>
      </c>
      <c r="P108">
        <v>0</v>
      </c>
      <c r="Q108">
        <v>-7.3851841213296604E-2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 s="2">
        <v>1.59438068215825E-15</v>
      </c>
      <c r="Z108" s="2">
        <v>-7.54877492531487E-16</v>
      </c>
      <c r="AA108" s="2">
        <v>1.63807171617198E-15</v>
      </c>
      <c r="AB108" s="2">
        <v>9.1245547030166008E-16</v>
      </c>
      <c r="AC108" s="2">
        <v>2.8438212478415301E-15</v>
      </c>
      <c r="AD108" s="2">
        <v>3.5340692975926E-15</v>
      </c>
      <c r="AE108">
        <v>9.1776612185744694E-3</v>
      </c>
      <c r="AF108">
        <v>-0.40148444849682902</v>
      </c>
    </row>
    <row r="109" spans="1:32" x14ac:dyDescent="0.25">
      <c r="A109" s="1">
        <v>48944</v>
      </c>
      <c r="B109">
        <v>-0.13334213581277499</v>
      </c>
      <c r="C109" s="2">
        <v>-9.5228221076723799E-16</v>
      </c>
      <c r="D109">
        <v>-0.106324567715087</v>
      </c>
      <c r="E109" s="2">
        <v>1.0900294800828799E-9</v>
      </c>
      <c r="F109">
        <v>-2.6742840491303901E-2</v>
      </c>
      <c r="G109">
        <v>4.7756022502080497E-2</v>
      </c>
      <c r="H109">
        <v>-6.0049604211069599E-2</v>
      </c>
      <c r="I109" s="2">
        <v>-8.0591856851735004E-15</v>
      </c>
      <c r="J109" s="2">
        <v>3.8107875057373802E-14</v>
      </c>
      <c r="K109" s="2">
        <v>-2.4309759413554499E-15</v>
      </c>
      <c r="L109">
        <v>-5.1565474514733201E-2</v>
      </c>
      <c r="M109">
        <v>0</v>
      </c>
      <c r="N109">
        <v>0</v>
      </c>
      <c r="O109" s="2">
        <v>9.6855231352817595E-14</v>
      </c>
      <c r="P109">
        <v>0</v>
      </c>
      <c r="Q109">
        <v>-7.3040770674108704E-2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s="2">
        <v>1.57490913225649E-15</v>
      </c>
      <c r="Z109" s="2">
        <v>-7.4311020291894896E-16</v>
      </c>
      <c r="AA109" s="2">
        <v>1.62141329031893E-15</v>
      </c>
      <c r="AB109" s="2">
        <v>9.0470475313657192E-16</v>
      </c>
      <c r="AC109" s="2">
        <v>2.81382660490287E-15</v>
      </c>
      <c r="AD109" s="2">
        <v>3.4923944468119499E-15</v>
      </c>
      <c r="AE109">
        <v>9.0724845123595008E-3</v>
      </c>
      <c r="AF109">
        <v>-0.39423688531447398</v>
      </c>
    </row>
    <row r="110" spans="1:32" x14ac:dyDescent="0.25">
      <c r="A110" s="1">
        <v>49034</v>
      </c>
      <c r="B110">
        <v>-0.1317651474629</v>
      </c>
      <c r="C110" s="2">
        <v>-9.6265243273412103E-16</v>
      </c>
      <c r="D110">
        <v>-0.10526132203793601</v>
      </c>
      <c r="E110" s="2">
        <v>7.59304020001693E-10</v>
      </c>
      <c r="F110">
        <v>-2.6475412086390902E-2</v>
      </c>
      <c r="G110">
        <v>4.6955423348267501E-2</v>
      </c>
      <c r="H110">
        <v>-5.6870334002498503E-2</v>
      </c>
      <c r="I110" s="2">
        <v>-7.8129164267739508E-15</v>
      </c>
      <c r="J110" s="2">
        <v>3.8001363626558097E-14</v>
      </c>
      <c r="K110" s="2">
        <v>-2.3925896254005999E-15</v>
      </c>
      <c r="L110">
        <v>-5.0503912890833898E-2</v>
      </c>
      <c r="M110">
        <v>0</v>
      </c>
      <c r="N110">
        <v>0</v>
      </c>
      <c r="O110" s="2">
        <v>9.6484272403899002E-14</v>
      </c>
      <c r="P110">
        <v>0</v>
      </c>
      <c r="Q110">
        <v>-7.2239070248229301E-2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 s="2">
        <v>1.5557908076598199E-15</v>
      </c>
      <c r="Z110" s="2">
        <v>-7.3166547062779399E-16</v>
      </c>
      <c r="AA110" s="2">
        <v>1.6049213327989E-15</v>
      </c>
      <c r="AB110" s="2">
        <v>8.9694171813467491E-16</v>
      </c>
      <c r="AC110" s="2">
        <v>2.7842170745967602E-15</v>
      </c>
      <c r="AD110" s="2">
        <v>3.45147337805493E-15</v>
      </c>
      <c r="AE110">
        <v>8.9685670930351302E-3</v>
      </c>
      <c r="AF110">
        <v>-0.38719120752804898</v>
      </c>
    </row>
    <row r="111" spans="1:32" x14ac:dyDescent="0.25">
      <c r="A111" s="1">
        <v>49125</v>
      </c>
      <c r="B111">
        <v>-0.13020816125854301</v>
      </c>
      <c r="C111" s="2">
        <v>-9.6582072314504392E-16</v>
      </c>
      <c r="D111">
        <v>-0.10420870881755601</v>
      </c>
      <c r="E111" s="2">
        <v>5.2892368991982497E-10</v>
      </c>
      <c r="F111">
        <v>-2.6210657965527E-2</v>
      </c>
      <c r="G111">
        <v>4.6169423158529101E-2</v>
      </c>
      <c r="H111">
        <v>-5.3846857158931102E-2</v>
      </c>
      <c r="I111" s="2">
        <v>-7.5734388467131405E-15</v>
      </c>
      <c r="J111" s="2">
        <v>3.7890071463298303E-14</v>
      </c>
      <c r="K111" s="2">
        <v>-2.35499618361025E-15</v>
      </c>
      <c r="L111">
        <v>-4.94560007133747E-2</v>
      </c>
      <c r="M111">
        <v>0</v>
      </c>
      <c r="N111">
        <v>0</v>
      </c>
      <c r="O111" s="2">
        <v>9.6109583285596198E-14</v>
      </c>
      <c r="P111">
        <v>0</v>
      </c>
      <c r="Q111">
        <v>-7.1446668123086393E-2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 s="2">
        <v>1.5370119038787701E-15</v>
      </c>
      <c r="Z111" s="2">
        <v>-7.2053888566800798E-16</v>
      </c>
      <c r="AA111" s="2">
        <v>1.58859202478943E-15</v>
      </c>
      <c r="AB111" s="2">
        <v>8.89167568644554E-16</v>
      </c>
      <c r="AC111" s="2">
        <v>2.75498326227824E-15</v>
      </c>
      <c r="AD111" s="2">
        <v>3.41128891733409E-15</v>
      </c>
      <c r="AE111">
        <v>8.8658928185851305E-3</v>
      </c>
      <c r="AF111">
        <v>-0.38034173753084799</v>
      </c>
    </row>
    <row r="112" spans="1:32" x14ac:dyDescent="0.25">
      <c r="A112" s="1">
        <v>49217</v>
      </c>
      <c r="B112">
        <v>-0.12867089954848299</v>
      </c>
      <c r="C112" s="2">
        <v>-9.6521381750733805E-16</v>
      </c>
      <c r="D112">
        <v>-0.103166621729381</v>
      </c>
      <c r="E112" s="2">
        <v>3.6844286024743799E-10</v>
      </c>
      <c r="F112">
        <v>-2.5948551385871699E-2</v>
      </c>
      <c r="G112">
        <v>4.5397346406112302E-2</v>
      </c>
      <c r="H112">
        <v>-5.0972222884649601E-2</v>
      </c>
      <c r="I112" s="2">
        <v>-7.3406257755691303E-15</v>
      </c>
      <c r="J112" s="2">
        <v>3.77741556348879E-14</v>
      </c>
      <c r="K112" s="2">
        <v>-2.3181779161894E-15</v>
      </c>
      <c r="L112">
        <v>-4.8422727567777497E-2</v>
      </c>
      <c r="M112">
        <v>0</v>
      </c>
      <c r="N112">
        <v>0</v>
      </c>
      <c r="O112" s="2">
        <v>9.5731319310509305E-14</v>
      </c>
      <c r="P112">
        <v>0</v>
      </c>
      <c r="Q112">
        <v>-7.0663487095353E-2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 s="2">
        <v>1.51855937339431E-15</v>
      </c>
      <c r="Z112" s="2">
        <v>-7.09724391809359E-16</v>
      </c>
      <c r="AA112" s="2">
        <v>1.57242215974852E-15</v>
      </c>
      <c r="AB112" s="2">
        <v>8.8138430100020902E-16</v>
      </c>
      <c r="AC112" s="2">
        <v>2.7261161476032202E-15</v>
      </c>
      <c r="AD112" s="2">
        <v>3.3718227623867901E-15</v>
      </c>
      <c r="AE112">
        <v>8.7644457694063503E-3</v>
      </c>
      <c r="AF112">
        <v>-0.373682717667421</v>
      </c>
    </row>
    <row r="113" spans="1:32" x14ac:dyDescent="0.25">
      <c r="A113" s="1">
        <v>49309</v>
      </c>
      <c r="B113">
        <v>-0.127153088303051</v>
      </c>
      <c r="C113" s="2">
        <v>-9.6261236965313909E-16</v>
      </c>
      <c r="D113">
        <v>-0.102134955512087</v>
      </c>
      <c r="E113" s="2">
        <v>2.5665338370420701E-10</v>
      </c>
      <c r="F113">
        <v>-2.5689065872013001E-2</v>
      </c>
      <c r="G113">
        <v>4.4638592744757802E-2</v>
      </c>
      <c r="H113">
        <v>-4.82396969153671E-2</v>
      </c>
      <c r="I113" s="2">
        <v>-7.1143398509261799E-15</v>
      </c>
      <c r="J113" s="2">
        <v>3.7653772118633199E-14</v>
      </c>
      <c r="K113" s="2">
        <v>-2.28211692970258E-15</v>
      </c>
      <c r="L113">
        <v>-4.7404906941735402E-2</v>
      </c>
      <c r="M113">
        <v>0</v>
      </c>
      <c r="N113">
        <v>0</v>
      </c>
      <c r="O113" s="2">
        <v>9.5349631855412003E-14</v>
      </c>
      <c r="P113">
        <v>0</v>
      </c>
      <c r="Q113">
        <v>-6.9889445327573602E-2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 s="2">
        <v>1.5004209081779199E-15</v>
      </c>
      <c r="Z113" s="2">
        <v>-6.9921460306472396E-16</v>
      </c>
      <c r="AA113" s="2">
        <v>1.5564090422657599E-15</v>
      </c>
      <c r="AB113" s="2">
        <v>8.7359453290626596E-16</v>
      </c>
      <c r="AC113" s="2">
        <v>2.6976070812809001E-15</v>
      </c>
      <c r="AD113" s="2">
        <v>3.3330557941963201E-15</v>
      </c>
      <c r="AE113">
        <v>8.6642102451084408E-3</v>
      </c>
      <c r="AF113">
        <v>-0.36720835562517501</v>
      </c>
    </row>
    <row r="114" spans="1:32" x14ac:dyDescent="0.25">
      <c r="A114" s="1">
        <v>49399</v>
      </c>
      <c r="B114">
        <v>-0.12565445716868601</v>
      </c>
      <c r="C114" s="2">
        <v>-9.5894250002892092E-16</v>
      </c>
      <c r="D114">
        <v>-0.101113605956966</v>
      </c>
      <c r="E114" s="2">
        <v>1.7878185874887799E-10</v>
      </c>
      <c r="F114">
        <v>-2.5432175213292801E-2</v>
      </c>
      <c r="G114">
        <v>4.3892627808172498E-2</v>
      </c>
      <c r="H114">
        <v>-4.5642768120616697E-2</v>
      </c>
      <c r="I114" s="2">
        <v>-6.8944355219936196E-15</v>
      </c>
      <c r="J114" s="2">
        <v>3.75290754537314E-14</v>
      </c>
      <c r="K114" s="2">
        <v>-2.2467952146607802E-15</v>
      </c>
      <c r="L114">
        <v>-4.6403198029703302E-2</v>
      </c>
      <c r="M114">
        <v>0</v>
      </c>
      <c r="N114">
        <v>0</v>
      </c>
      <c r="O114" s="2">
        <v>9.4964668368973696E-14</v>
      </c>
      <c r="P114">
        <v>0</v>
      </c>
      <c r="Q114">
        <v>-6.9124457034938705E-2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s="2">
        <v>1.4825849168237699E-15</v>
      </c>
      <c r="Z114" s="2">
        <v>-6.8900108464116301E-16</v>
      </c>
      <c r="AA114" s="2">
        <v>1.54055040001472E-15</v>
      </c>
      <c r="AB114" s="2">
        <v>8.6580135453108702E-16</v>
      </c>
      <c r="AC114" s="2">
        <v>2.6694477791881099E-15</v>
      </c>
      <c r="AD114" s="2">
        <v>3.2949683505290199E-15</v>
      </c>
      <c r="AE114">
        <v>8.5651707613585894E-3</v>
      </c>
      <c r="AF114">
        <v>-0.36091286277575901</v>
      </c>
    </row>
    <row r="115" spans="1:32" x14ac:dyDescent="0.25">
      <c r="A115" s="1">
        <v>49490</v>
      </c>
      <c r="B115">
        <v>-0.12417473950438999</v>
      </c>
      <c r="C115" s="2">
        <v>-9.5468668981078101E-16</v>
      </c>
      <c r="D115">
        <v>-0.100102469897397</v>
      </c>
      <c r="E115" s="2">
        <v>1.24537268903521E-10</v>
      </c>
      <c r="F115">
        <v>-2.5177853461159899E-2</v>
      </c>
      <c r="G115">
        <v>4.3158975104024597E-2</v>
      </c>
      <c r="H115">
        <v>-4.31751526501261E-2</v>
      </c>
      <c r="I115" s="2">
        <v>-6.6807608753179598E-15</v>
      </c>
      <c r="J115" s="2">
        <v>3.7400218432609303E-14</v>
      </c>
      <c r="K115" s="2">
        <v>-2.21219472169097E-15</v>
      </c>
      <c r="L115">
        <v>-4.5418125009946103E-2</v>
      </c>
      <c r="M115">
        <v>0</v>
      </c>
      <c r="N115">
        <v>0</v>
      </c>
      <c r="O115" s="2">
        <v>9.4576572398673096E-14</v>
      </c>
      <c r="P115">
        <v>0</v>
      </c>
      <c r="Q115">
        <v>-6.8368433105732707E-2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 s="2">
        <v>1.46504049761941E-15</v>
      </c>
      <c r="Z115" s="2">
        <v>-6.7907460047139504E-16</v>
      </c>
      <c r="AA115" s="2">
        <v>1.52484430753913E-15</v>
      </c>
      <c r="AB115" s="2">
        <v>8.5800820028045903E-16</v>
      </c>
      <c r="AC115" s="2">
        <v>2.6416303143349002E-15</v>
      </c>
      <c r="AD115" s="2">
        <v>3.2575404639456298E-15</v>
      </c>
      <c r="AE115">
        <v>8.4673120467699207E-3</v>
      </c>
      <c r="AF115">
        <v>-0.35479048635328803</v>
      </c>
    </row>
    <row r="116" spans="1:32" x14ac:dyDescent="0.25">
      <c r="A116" s="1">
        <v>49582</v>
      </c>
      <c r="B116">
        <v>-0.12271367240302</v>
      </c>
      <c r="C116" s="2">
        <v>-9.5009707681040593E-16</v>
      </c>
      <c r="D116">
        <v>-9.9101445198422997E-2</v>
      </c>
      <c r="E116" s="2">
        <v>8.6750986152931799E-11</v>
      </c>
      <c r="F116">
        <v>-2.4926074926548299E-2</v>
      </c>
      <c r="G116">
        <v>4.2437208874735503E-2</v>
      </c>
      <c r="H116">
        <v>-4.0830795991608201E-2</v>
      </c>
      <c r="I116" s="2">
        <v>-6.4731592840164401E-15</v>
      </c>
      <c r="J116" s="2">
        <v>3.7267351830341602E-14</v>
      </c>
      <c r="K116" s="2">
        <v>-2.1782974344367099E-15</v>
      </c>
      <c r="L116">
        <v>-4.4450094078063197E-2</v>
      </c>
      <c r="M116">
        <v>0</v>
      </c>
      <c r="N116">
        <v>0</v>
      </c>
      <c r="O116" s="2">
        <v>9.4185483633808994E-14</v>
      </c>
      <c r="P116">
        <v>0</v>
      </c>
      <c r="Q116">
        <v>-6.7621281659520097E-2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 s="2">
        <v>1.4477774086796199E-15</v>
      </c>
      <c r="Z116" s="2">
        <v>-6.6942532961465295E-16</v>
      </c>
      <c r="AA116" s="2">
        <v>1.50928912065821E-15</v>
      </c>
      <c r="AB116" s="2">
        <v>8.5021873927033598E-16</v>
      </c>
      <c r="AC116" s="2">
        <v>2.61414710710836E-15</v>
      </c>
      <c r="AD116" s="2">
        <v>3.2207520668857098E-15</v>
      </c>
      <c r="AE116">
        <v>8.37061903983434E-3</v>
      </c>
      <c r="AF116">
        <v>-0.34883553625573099</v>
      </c>
    </row>
    <row r="117" spans="1:32" x14ac:dyDescent="0.25">
      <c r="A117" s="1">
        <v>49674</v>
      </c>
      <c r="B117">
        <v>-0.12127099669986199</v>
      </c>
      <c r="C117" s="2">
        <v>-9.4530617791828706E-16</v>
      </c>
      <c r="D117">
        <v>-9.8110430746438798E-2</v>
      </c>
      <c r="E117" s="2">
        <v>6.0429409744102204E-11</v>
      </c>
      <c r="F117">
        <v>-2.4676814177282801E-2</v>
      </c>
      <c r="G117">
        <v>4.1726947812037597E-2</v>
      </c>
      <c r="H117">
        <v>-3.8603873262537301E-2</v>
      </c>
      <c r="I117" s="2">
        <v>-6.2714708853943697E-15</v>
      </c>
      <c r="J117" s="2">
        <v>3.7130624170344803E-14</v>
      </c>
      <c r="K117" s="2">
        <v>-2.14508543783766E-15</v>
      </c>
      <c r="L117">
        <v>-4.3499408490322002E-2</v>
      </c>
      <c r="M117">
        <v>0</v>
      </c>
      <c r="N117">
        <v>0</v>
      </c>
      <c r="O117" s="2">
        <v>9.3791537961829202E-14</v>
      </c>
      <c r="P117">
        <v>0</v>
      </c>
      <c r="Q117">
        <v>-6.6882908547433798E-2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 s="2">
        <v>1.43078603608998E-15</v>
      </c>
      <c r="Z117" s="2">
        <v>-6.6004305390954201E-16</v>
      </c>
      <c r="AA117" s="2">
        <v>1.49388342034362E-15</v>
      </c>
      <c r="AB117" s="2">
        <v>8.4243678259313699E-16</v>
      </c>
      <c r="AC117" s="2">
        <v>2.58699091416712E-15</v>
      </c>
      <c r="AD117" s="2">
        <v>3.1845831664884902E-15</v>
      </c>
      <c r="AE117">
        <v>8.2750768858976809E-3</v>
      </c>
      <c r="AF117">
        <v>-0.34304240716538098</v>
      </c>
    </row>
    <row r="118" spans="1:32" x14ac:dyDescent="0.25">
      <c r="A118" s="1">
        <v>49765</v>
      </c>
      <c r="B118">
        <v>-0.119846456970545</v>
      </c>
      <c r="C118" s="2">
        <v>-9.4038436562442907E-16</v>
      </c>
      <c r="D118">
        <v>-9.71293264389744E-2</v>
      </c>
      <c r="E118" s="2">
        <v>4.20940430335709E-11</v>
      </c>
      <c r="F118">
        <v>-2.4430046035510002E-2</v>
      </c>
      <c r="G118">
        <v>4.1027849525301197E-2</v>
      </c>
      <c r="H118">
        <v>-3.6488788018448903E-2</v>
      </c>
      <c r="I118" s="2">
        <v>-6.0755338937097001E-15</v>
      </c>
      <c r="J118" s="2">
        <v>3.6990181524236998E-14</v>
      </c>
      <c r="K118" s="2">
        <v>-2.1125409808537301E-15</v>
      </c>
      <c r="L118">
        <v>-4.2566281842576201E-2</v>
      </c>
      <c r="M118">
        <v>0</v>
      </c>
      <c r="N118">
        <v>0</v>
      </c>
      <c r="O118" s="2">
        <v>9.3394867535507201E-14</v>
      </c>
      <c r="P118">
        <v>0</v>
      </c>
      <c r="Q118">
        <v>-6.6153217799023195E-2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s="2">
        <v>1.4140573608492301E-15</v>
      </c>
      <c r="Z118" s="2">
        <v>-6.5091731928923595E-16</v>
      </c>
      <c r="AA118" s="2">
        <v>1.4786259649962901E-15</v>
      </c>
      <c r="AB118" s="2">
        <v>8.3466620556929104E-16</v>
      </c>
      <c r="AC118" s="2">
        <v>2.56015481630961E-15</v>
      </c>
      <c r="AD118" s="2">
        <v>3.1490139918170499E-15</v>
      </c>
      <c r="AE118">
        <v>8.1806709341782809E-3</v>
      </c>
      <c r="AF118">
        <v>-0.33740559660337399</v>
      </c>
    </row>
    <row r="119" spans="1:32" x14ac:dyDescent="0.25">
      <c r="A119" s="1">
        <v>49856</v>
      </c>
      <c r="B119">
        <v>-0.118439801520034</v>
      </c>
      <c r="C119" s="2">
        <v>-9.3536970463282499E-16</v>
      </c>
      <c r="D119">
        <v>-9.6158033174584601E-2</v>
      </c>
      <c r="E119" s="2">
        <v>2.9321797051510901E-11</v>
      </c>
      <c r="F119">
        <v>-2.4185745575154901E-2</v>
      </c>
      <c r="G119">
        <v>4.0339605675193298E-2</v>
      </c>
      <c r="H119">
        <v>-3.4480169824676103E-2</v>
      </c>
      <c r="I119" s="2">
        <v>-5.8851857562814703E-15</v>
      </c>
      <c r="J119" s="2">
        <v>3.6846167343562497E-14</v>
      </c>
      <c r="K119" s="2">
        <v>-2.0806465330435301E-15</v>
      </c>
      <c r="L119">
        <v>-4.1650849785767698E-2</v>
      </c>
      <c r="M119">
        <v>0</v>
      </c>
      <c r="N119">
        <v>0</v>
      </c>
      <c r="O119" s="2">
        <v>9.2995600848775501E-14</v>
      </c>
      <c r="P119">
        <v>0</v>
      </c>
      <c r="Q119">
        <v>-6.5432112020088404E-2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 s="2">
        <v>1.39758292526214E-15</v>
      </c>
      <c r="Z119" s="2">
        <v>-6.4203757314523302E-16</v>
      </c>
      <c r="AA119" s="2">
        <v>1.4635156501323E-15</v>
      </c>
      <c r="AB119" s="2">
        <v>8.2691088328709504E-16</v>
      </c>
      <c r="AC119" s="2">
        <v>2.5336322055955798E-15</v>
      </c>
      <c r="AD119" s="2">
        <v>3.1140251161072001E-15</v>
      </c>
      <c r="AE119">
        <v>8.0873867348270692E-3</v>
      </c>
      <c r="AF119">
        <v>-0.33191971946083298</v>
      </c>
    </row>
    <row r="120" spans="1:32" x14ac:dyDescent="0.25">
      <c r="A120" s="1">
        <v>49948</v>
      </c>
      <c r="B120">
        <v>-0.117050782364165</v>
      </c>
      <c r="C120" s="2">
        <v>-9.3028344068936205E-16</v>
      </c>
      <c r="D120">
        <v>-9.51964528428388E-2</v>
      </c>
      <c r="E120" s="2">
        <v>2.04247701664657E-11</v>
      </c>
      <c r="F120">
        <v>-2.39438881194033E-2</v>
      </c>
      <c r="G120">
        <v>3.9661937694470899E-2</v>
      </c>
      <c r="H120">
        <v>-3.2572870806779501E-2</v>
      </c>
      <c r="I120" s="2">
        <v>-5.7002641621655203E-15</v>
      </c>
      <c r="J120" s="2">
        <v>3.6698722320960398E-14</v>
      </c>
      <c r="K120" s="2">
        <v>-2.0493848346867801E-15</v>
      </c>
      <c r="L120">
        <v>-4.0753180356803198E-2</v>
      </c>
      <c r="M120">
        <v>0</v>
      </c>
      <c r="N120">
        <v>0</v>
      </c>
      <c r="O120" s="2">
        <v>9.2593862819292406E-14</v>
      </c>
      <c r="P120">
        <v>0</v>
      </c>
      <c r="Q120">
        <v>-6.4719492745795998E-2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s="2">
        <v>1.38135479931461E-15</v>
      </c>
      <c r="Z120" s="2">
        <v>-6.3339328006198802E-16</v>
      </c>
      <c r="AA120" s="2">
        <v>1.4485514745698E-15</v>
      </c>
      <c r="AB120" s="2">
        <v>8.1917463785363797E-16</v>
      </c>
      <c r="AC120" s="2">
        <v>2.5074167719615699E-15</v>
      </c>
      <c r="AD120" s="2">
        <v>3.07959755657894E-15</v>
      </c>
      <c r="AE120">
        <v>7.9952100360300097E-3</v>
      </c>
      <c r="AF120">
        <v>-0.32657951948473002</v>
      </c>
    </row>
    <row r="121" spans="1:32" x14ac:dyDescent="0.25">
      <c r="A121" s="1">
        <v>50040</v>
      </c>
      <c r="B121">
        <v>-0.115679155204955</v>
      </c>
      <c r="C121" s="2">
        <v>-9.2513804157183103E-16</v>
      </c>
      <c r="D121">
        <v>-9.4244488314410402E-2</v>
      </c>
      <c r="E121" s="2">
        <v>1.4227185526874901E-11</v>
      </c>
      <c r="F121">
        <v>-2.3704449238209298E-2</v>
      </c>
      <c r="G121">
        <v>3.8994593026785103E-2</v>
      </c>
      <c r="H121">
        <v>-3.0761961366875801E-2</v>
      </c>
      <c r="I121" s="2">
        <v>-5.5206079132999101E-15</v>
      </c>
      <c r="J121" s="2">
        <v>3.6547984278318303E-14</v>
      </c>
      <c r="K121" s="2">
        <v>-2.0187389403639898E-15</v>
      </c>
      <c r="L121">
        <v>-3.9873283083704698E-2</v>
      </c>
      <c r="M121">
        <v>0</v>
      </c>
      <c r="N121">
        <v>0</v>
      </c>
      <c r="O121" s="2">
        <v>9.2189774876061299E-14</v>
      </c>
      <c r="P121">
        <v>0</v>
      </c>
      <c r="Q121">
        <v>-6.4015260753178496E-2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s="2">
        <v>1.36536554745892E-15</v>
      </c>
      <c r="Z121" s="2">
        <v>-6.2497401815116104E-16</v>
      </c>
      <c r="AA121" s="2">
        <v>1.43373251229076E-15</v>
      </c>
      <c r="AB121" s="2">
        <v>8.1146119590321E-16</v>
      </c>
      <c r="AC121" s="2">
        <v>2.48150248953626E-15</v>
      </c>
      <c r="AD121" s="2">
        <v>3.04571285423684E-15</v>
      </c>
      <c r="AE121">
        <v>7.9041267811508706E-3</v>
      </c>
      <c r="AF121">
        <v>-0.32137987813904101</v>
      </c>
    </row>
    <row r="122" spans="1:32" x14ac:dyDescent="0.25">
      <c r="A122" s="1">
        <v>50130</v>
      </c>
      <c r="B122">
        <v>-0.11432467940074199</v>
      </c>
      <c r="C122" s="2">
        <v>-9.1994137200130803E-16</v>
      </c>
      <c r="D122">
        <v>-9.3302043431266302E-2</v>
      </c>
      <c r="E122" s="2">
        <v>9.9100077218092994E-12</v>
      </c>
      <c r="F122">
        <v>-2.3467404745827199E-2</v>
      </c>
      <c r="G122">
        <v>3.8337341822406799E-2</v>
      </c>
      <c r="H122">
        <v>-2.9042725228243201E-2</v>
      </c>
      <c r="I122" s="2">
        <v>-5.34605766840793E-15</v>
      </c>
      <c r="J122" s="2">
        <v>3.6394088079458998E-14</v>
      </c>
      <c r="K122" s="2">
        <v>-1.9886922560810901E-15</v>
      </c>
      <c r="L122">
        <v>-3.9011117006146998E-2</v>
      </c>
      <c r="M122">
        <v>0</v>
      </c>
      <c r="N122">
        <v>0</v>
      </c>
      <c r="O122" s="2">
        <v>9.1783455050644306E-14</v>
      </c>
      <c r="P122">
        <v>0</v>
      </c>
      <c r="Q122">
        <v>-6.3319316336883896E-2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 s="2">
        <v>1.34960819614795E-15</v>
      </c>
      <c r="Z122" s="2">
        <v>-6.1676955809930803E-16</v>
      </c>
      <c r="AA122" s="2">
        <v>1.4190578892310099E-15</v>
      </c>
      <c r="AB122" s="2">
        <v>8.0377415503363396E-16</v>
      </c>
      <c r="AC122" s="2">
        <v>2.4558836028307502E-15</v>
      </c>
      <c r="AD122" s="2">
        <v>3.01235313595339E-15</v>
      </c>
      <c r="AE122">
        <v>7.8141231059154492E-3</v>
      </c>
      <c r="AF122">
        <v>-0.31631582121074803</v>
      </c>
    </row>
    <row r="123" spans="1:32" x14ac:dyDescent="0.25">
      <c r="A123" s="1">
        <v>50221</v>
      </c>
      <c r="B123">
        <v>-0.11298711793203001</v>
      </c>
      <c r="C123" s="2">
        <v>-9.1469886175580209E-16</v>
      </c>
      <c r="D123">
        <v>-9.2369022996953598E-2</v>
      </c>
      <c r="E123" s="2">
        <v>6.9027041671651404E-12</v>
      </c>
      <c r="F123">
        <v>-2.3232730698368901E-2</v>
      </c>
      <c r="G123">
        <v>3.7689974036893698E-2</v>
      </c>
      <c r="H123">
        <v>-2.74106539486592E-2</v>
      </c>
      <c r="I123" s="2">
        <v>-5.1764565700870204E-15</v>
      </c>
      <c r="J123" s="2">
        <v>3.6237165564963498E-14</v>
      </c>
      <c r="K123" s="2">
        <v>-1.9592285701607599E-15</v>
      </c>
      <c r="L123">
        <v>-3.81665977366357E-2</v>
      </c>
      <c r="M123">
        <v>0</v>
      </c>
      <c r="N123">
        <v>0</v>
      </c>
      <c r="O123" s="2">
        <v>9.1375018070715699E-14</v>
      </c>
      <c r="P123">
        <v>0</v>
      </c>
      <c r="Q123">
        <v>-6.2631559551788299E-2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 s="2">
        <v>1.3340762023805001E-15</v>
      </c>
      <c r="Z123" s="2">
        <v>-6.0876992691358905E-16</v>
      </c>
      <c r="AA123" s="2">
        <v>1.4045267643284001E-15</v>
      </c>
      <c r="AB123" s="2">
        <v>7.9611695796285197E-16</v>
      </c>
      <c r="AC123" s="2">
        <v>2.4305546129513101E-15</v>
      </c>
      <c r="AD123" s="2">
        <v>2.97950116098352E-15</v>
      </c>
      <c r="AE123">
        <v>7.7251853356354802E-3</v>
      </c>
      <c r="AF123">
        <v>-0.31138252348487599</v>
      </c>
    </row>
    <row r="124" spans="1:32" x14ac:dyDescent="0.25">
      <c r="A124" s="1">
        <v>50313</v>
      </c>
      <c r="B124">
        <v>-0.111666237363812</v>
      </c>
      <c r="C124" s="2">
        <v>-9.094146321260451E-16</v>
      </c>
      <c r="D124">
        <v>-9.1445332766984105E-2</v>
      </c>
      <c r="E124" s="2">
        <v>4.8078470766712597E-12</v>
      </c>
      <c r="F124">
        <v>-2.3000403391385201E-2</v>
      </c>
      <c r="G124">
        <v>3.7052296885013603E-2</v>
      </c>
      <c r="H124">
        <v>-2.5861441023597002E-2</v>
      </c>
      <c r="I124" s="2">
        <v>-5.01165076545352E-15</v>
      </c>
      <c r="J124" s="2">
        <v>3.6077345506819101E-14</v>
      </c>
      <c r="K124" s="2">
        <v>-1.9303320782198202E-15</v>
      </c>
      <c r="L124">
        <v>-3.7339603673402902E-2</v>
      </c>
      <c r="M124">
        <v>0</v>
      </c>
      <c r="N124">
        <v>0</v>
      </c>
      <c r="O124" s="2">
        <v>9.0964575454883894E-14</v>
      </c>
      <c r="P124">
        <v>0</v>
      </c>
      <c r="Q124">
        <v>-6.19518904258149E-2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 s="2">
        <v>1.3187634234552E-15</v>
      </c>
      <c r="Z124" s="2">
        <v>-6.0096545821207704E-16</v>
      </c>
      <c r="AA124" s="2">
        <v>1.3901383142305201E-15</v>
      </c>
      <c r="AB124" s="2">
        <v>7.8849287331575899E-16</v>
      </c>
      <c r="AC124" s="2">
        <v>2.4055102639579501E-15</v>
      </c>
      <c r="AD124" s="2">
        <v>2.9471403539045498E-15</v>
      </c>
      <c r="AE124">
        <v>7.6372999824724699E-3</v>
      </c>
      <c r="AF124">
        <v>-0.30657531177257402</v>
      </c>
    </row>
    <row r="125" spans="1:32" x14ac:dyDescent="0.25">
      <c r="A125" s="1">
        <v>50405</v>
      </c>
      <c r="B125">
        <v>-0.110361807804993</v>
      </c>
      <c r="C125" s="2">
        <v>-9.0409208170412995E-16</v>
      </c>
      <c r="D125">
        <v>-9.0530879439314302E-2</v>
      </c>
      <c r="E125" s="2">
        <v>3.3485918840871201E-12</v>
      </c>
      <c r="F125">
        <v>-2.27703993574714E-2</v>
      </c>
      <c r="G125">
        <v>3.6424132607804499E-2</v>
      </c>
      <c r="H125">
        <v>-2.43909756833906E-2</v>
      </c>
      <c r="I125" s="2">
        <v>-4.8514898304935598E-15</v>
      </c>
      <c r="J125" s="2">
        <v>3.5914753580690999E-14</v>
      </c>
      <c r="K125" s="2">
        <v>-1.9019874026219098E-15</v>
      </c>
      <c r="L125">
        <v>-3.65299814635167E-2</v>
      </c>
      <c r="M125">
        <v>0</v>
      </c>
      <c r="N125">
        <v>0</v>
      </c>
      <c r="O125" s="2">
        <v>9.0552235607875903E-14</v>
      </c>
      <c r="P125">
        <v>0</v>
      </c>
      <c r="Q125">
        <v>-6.1280209146036303E-2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 s="2">
        <v>1.30366408807545E-15</v>
      </c>
      <c r="Z125" s="2">
        <v>-5.9334683076304903E-16</v>
      </c>
      <c r="AA125" s="2">
        <v>1.3758917211303399E-15</v>
      </c>
      <c r="AB125" s="2">
        <v>7.8090498206347102E-16</v>
      </c>
      <c r="AC125" s="2">
        <v>2.3807455294704001E-15</v>
      </c>
      <c r="AD125" s="2">
        <v>2.9152548258177901E-15</v>
      </c>
      <c r="AE125">
        <v>7.55045374274053E-3</v>
      </c>
      <c r="AF125">
        <v>-0.30188966654070098</v>
      </c>
    </row>
    <row r="126" spans="1:32" x14ac:dyDescent="0.25">
      <c r="A126" s="1">
        <v>50495</v>
      </c>
      <c r="B126">
        <v>-0.10907360286548</v>
      </c>
      <c r="C126" s="2">
        <v>-8.9873419155634994E-16</v>
      </c>
      <c r="D126">
        <v>-8.9625570644921104E-2</v>
      </c>
      <c r="E126" s="2">
        <v>2.33209119219032E-12</v>
      </c>
      <c r="F126">
        <v>-2.2542695363896699E-2</v>
      </c>
      <c r="G126">
        <v>3.58053165155751E-2</v>
      </c>
      <c r="H126">
        <v>-2.2995336473532999E-2</v>
      </c>
      <c r="I126" s="2">
        <v>-4.6958271079254301E-15</v>
      </c>
      <c r="J126" s="2">
        <v>3.57495123537417E-14</v>
      </c>
      <c r="K126" s="2">
        <v>-1.8741796068390001E-15</v>
      </c>
      <c r="L126">
        <v>-3.57375508034651E-2</v>
      </c>
      <c r="M126">
        <v>0</v>
      </c>
      <c r="N126">
        <v>0</v>
      </c>
      <c r="O126" s="2">
        <v>9.0138103915324802E-14</v>
      </c>
      <c r="P126">
        <v>0</v>
      </c>
      <c r="Q126">
        <v>-6.0616416220875199E-2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s="2">
        <v>1.28877276890217E-15</v>
      </c>
      <c r="Z126" s="2">
        <v>-5.85905096834887E-16</v>
      </c>
      <c r="AA126" s="2">
        <v>1.3617861632602399E-15</v>
      </c>
      <c r="AB126" s="2">
        <v>7.73356168742834E-16</v>
      </c>
      <c r="AC126" s="2">
        <v>2.3562555996042799E-15</v>
      </c>
      <c r="AD126" s="2">
        <v>2.88382938549057E-15</v>
      </c>
      <c r="AE126">
        <v>7.4646334942480401E-3</v>
      </c>
      <c r="AF126">
        <v>-0.297321222359888</v>
      </c>
    </row>
    <row r="127" spans="1:32" x14ac:dyDescent="0.25">
      <c r="A127" s="1">
        <v>50586</v>
      </c>
      <c r="B127">
        <v>-0.107801399611386</v>
      </c>
      <c r="C127" s="2">
        <v>-8.9334368476085303E-16</v>
      </c>
      <c r="D127">
        <v>-8.8729314938471901E-2</v>
      </c>
      <c r="E127" s="2">
        <v>1.6240092640616199E-12</v>
      </c>
      <c r="F127">
        <v>-2.2317268410257701E-2</v>
      </c>
      <c r="G127">
        <v>3.5195695274004998E-2</v>
      </c>
      <c r="H127">
        <v>-2.16707846941545E-2</v>
      </c>
      <c r="I127" s="2">
        <v>-4.5445199679392397E-15</v>
      </c>
      <c r="J127" s="2">
        <v>3.55817412860628E-14</v>
      </c>
      <c r="K127" s="2">
        <v>-1.8468942051811201E-15</v>
      </c>
      <c r="L127">
        <v>-3.49621086545071E-2</v>
      </c>
      <c r="M127">
        <v>0</v>
      </c>
      <c r="N127">
        <v>0</v>
      </c>
      <c r="O127" s="2">
        <v>8.9722282837533397E-14</v>
      </c>
      <c r="P127">
        <v>0</v>
      </c>
      <c r="Q127">
        <v>-5.9960412620966998E-2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 s="2">
        <v>1.2740843566128099E-15</v>
      </c>
      <c r="Z127" s="2">
        <v>-5.78631701777616E-16</v>
      </c>
      <c r="AA127" s="2">
        <v>1.34782080763122E-15</v>
      </c>
      <c r="AB127" s="2">
        <v>7.6584911668261504E-16</v>
      </c>
      <c r="AC127" s="2">
        <v>2.33203586830331E-15</v>
      </c>
      <c r="AD127" s="2">
        <v>2.8528495419622401E-15</v>
      </c>
      <c r="AE127">
        <v>7.3798262936777001E-3</v>
      </c>
      <c r="AF127">
        <v>-0.292865767360311</v>
      </c>
    </row>
    <row r="128" spans="1:32" x14ac:dyDescent="0.25">
      <c r="A128" s="1">
        <v>50678</v>
      </c>
      <c r="B128">
        <v>-0.106544978518769</v>
      </c>
      <c r="C128" s="2">
        <v>-8.8792311036773705E-16</v>
      </c>
      <c r="D128">
        <v>-8.7842021789087205E-2</v>
      </c>
      <c r="E128" s="2">
        <v>1.13076905066595E-12</v>
      </c>
      <c r="F128">
        <v>-2.2094095726155099E-2</v>
      </c>
      <c r="G128">
        <v>3.4595125404349197E-2</v>
      </c>
      <c r="H128">
        <v>-2.0413757763247099E-2</v>
      </c>
      <c r="I128" s="2">
        <v>-4.3974300006702503E-15</v>
      </c>
      <c r="J128" s="2">
        <v>3.5411556743920599E-14</v>
      </c>
      <c r="K128" s="2">
        <v>-1.8201171683630499E-15</v>
      </c>
      <c r="L128">
        <v>-3.4203432941225499E-2</v>
      </c>
      <c r="M128">
        <v>0</v>
      </c>
      <c r="N128">
        <v>0</v>
      </c>
      <c r="O128" s="2">
        <v>8.9304872001699095E-14</v>
      </c>
      <c r="P128">
        <v>0</v>
      </c>
      <c r="Q128">
        <v>-5.9312099901011002E-2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 s="2">
        <v>1.25959403549397E-15</v>
      </c>
      <c r="Z128" s="2">
        <v>-5.7151849612090502E-16</v>
      </c>
      <c r="AA128" s="2">
        <v>1.3339948046560501E-15</v>
      </c>
      <c r="AB128" s="2">
        <v>7.5838630655398899E-16</v>
      </c>
      <c r="AC128" s="2">
        <v>2.3080819211189699E-15</v>
      </c>
      <c r="AD128" s="2">
        <v>2.82230149998775E-15</v>
      </c>
      <c r="AE128">
        <v>7.2960193740038903E-3</v>
      </c>
      <c r="AF128">
        <v>-0.28851924185988498</v>
      </c>
    </row>
    <row r="129" spans="1:32" x14ac:dyDescent="0.25">
      <c r="A129" s="1">
        <v>50770</v>
      </c>
      <c r="B129">
        <v>-0.10530412342621499</v>
      </c>
      <c r="C129" s="2">
        <v>-8.8247488813882097E-16</v>
      </c>
      <c r="D129">
        <v>-8.6963601571196397E-2</v>
      </c>
      <c r="E129" s="2">
        <v>7.8718563253523097E-13</v>
      </c>
      <c r="F129">
        <v>-2.18731547688936E-2</v>
      </c>
      <c r="G129">
        <v>3.4003471972156397E-2</v>
      </c>
      <c r="H129">
        <v>-1.9220862558156301E-2</v>
      </c>
      <c r="I129" s="2">
        <v>-4.25442314870605E-15</v>
      </c>
      <c r="J129" s="2">
        <v>3.5239072023169602E-14</v>
      </c>
      <c r="K129" s="2">
        <v>-1.79383492537399E-15</v>
      </c>
      <c r="L129">
        <v>-3.3461285793845802E-2</v>
      </c>
      <c r="M129">
        <v>0</v>
      </c>
      <c r="N129">
        <v>0</v>
      </c>
      <c r="O129" s="2">
        <v>8.8885968292191903E-14</v>
      </c>
      <c r="P129">
        <v>0</v>
      </c>
      <c r="Q129">
        <v>-5.8671380304710703E-2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s="2">
        <v>1.24529726056939E-15</v>
      </c>
      <c r="Z129" s="2">
        <v>-5.6455774134303102E-16</v>
      </c>
      <c r="AA129" s="2">
        <v>1.32030728434133E-15</v>
      </c>
      <c r="AB129" s="2">
        <v>7.5097001764674504E-16</v>
      </c>
      <c r="AC129" s="2">
        <v>2.2843895234763598E-15</v>
      </c>
      <c r="AD129" s="2">
        <v>2.79217214954929E-15</v>
      </c>
      <c r="AE129">
        <v>7.21320014194773E-3</v>
      </c>
      <c r="AF129">
        <v>-0.28427773630800102</v>
      </c>
    </row>
    <row r="130" spans="1:32" x14ac:dyDescent="0.25">
      <c r="A130" s="1">
        <v>50860</v>
      </c>
      <c r="B130">
        <v>-0.104078621486591</v>
      </c>
      <c r="C130" s="2">
        <v>-8.7700133293172297E-16</v>
      </c>
      <c r="D130">
        <v>-8.6093965555484403E-2</v>
      </c>
      <c r="E130" s="2">
        <v>5.4785178827817799E-13</v>
      </c>
      <c r="F130">
        <v>-2.1654423221204599E-2</v>
      </c>
      <c r="G130">
        <v>3.3420607441914399E-2</v>
      </c>
      <c r="H130">
        <v>-1.8088868781107201E-2</v>
      </c>
      <c r="I130" s="2">
        <v>-4.1153697873437701E-15</v>
      </c>
      <c r="J130" s="2">
        <v>3.5064397381325802E-14</v>
      </c>
      <c r="K130" s="2">
        <v>-1.7680343621041E-15</v>
      </c>
      <c r="L130">
        <v>-3.2735416387910797E-2</v>
      </c>
      <c r="M130">
        <v>0</v>
      </c>
      <c r="N130">
        <v>0</v>
      </c>
      <c r="O130" s="2">
        <v>8.8465665938560495E-14</v>
      </c>
      <c r="P130">
        <v>0</v>
      </c>
      <c r="Q130">
        <v>-5.8038156854699603E-2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 s="2">
        <v>1.2311897362446399E-15</v>
      </c>
      <c r="Z130" s="2">
        <v>-5.5774211034197897E-16</v>
      </c>
      <c r="AA130" s="2">
        <v>1.3067573537755599E-15</v>
      </c>
      <c r="AB130" s="2">
        <v>7.4360233134900901E-16</v>
      </c>
      <c r="AC130" s="2">
        <v>2.2609546094535601E-15</v>
      </c>
      <c r="AD130" s="2">
        <v>2.7624490505305602E-15</v>
      </c>
      <c r="AE130">
        <v>7.1313561754687803E-3</v>
      </c>
      <c r="AF130">
        <v>-0.280137488668942</v>
      </c>
    </row>
    <row r="131" spans="1:32" x14ac:dyDescent="0.25">
      <c r="A131" s="1">
        <v>50951</v>
      </c>
      <c r="B131">
        <v>-0.10286826311818401</v>
      </c>
      <c r="C131" s="2">
        <v>-8.7150466851359605E-16</v>
      </c>
      <c r="D131">
        <v>-8.5233025899929593E-2</v>
      </c>
      <c r="E131" s="2">
        <v>3.8113726033999102E-13</v>
      </c>
      <c r="F131">
        <v>-2.14378789889926E-2</v>
      </c>
      <c r="G131">
        <v>3.2846410677693401E-2</v>
      </c>
      <c r="H131">
        <v>-1.7014702386892198E-2</v>
      </c>
      <c r="I131" s="2">
        <v>-3.9801447597155801E-15</v>
      </c>
      <c r="J131" s="2">
        <v>3.4887640076935899E-14</v>
      </c>
      <c r="K131" s="2">
        <v>-1.74270281716225E-15</v>
      </c>
      <c r="L131">
        <v>-3.2025563428701498E-2</v>
      </c>
      <c r="M131">
        <v>0</v>
      </c>
      <c r="N131">
        <v>0</v>
      </c>
      <c r="O131" s="2">
        <v>8.8044056601022305E-14</v>
      </c>
      <c r="P131">
        <v>0</v>
      </c>
      <c r="Q131">
        <v>-5.7412333429156297E-2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s="2">
        <v>1.21726739643399E-15</v>
      </c>
      <c r="Z131" s="2">
        <v>-5.5106468352433497E-16</v>
      </c>
      <c r="AA131" s="2">
        <v>1.2933440956777199E-15</v>
      </c>
      <c r="AB131" s="2">
        <v>7.3628513637753797E-16</v>
      </c>
      <c r="AC131" s="2">
        <v>2.2377732710928799E-15</v>
      </c>
      <c r="AD131" s="2">
        <v>2.7331204135217402E-15</v>
      </c>
      <c r="AE131">
        <v>7.0504752212929202E-3</v>
      </c>
      <c r="AF131">
        <v>-0.27609488135236399</v>
      </c>
    </row>
    <row r="132" spans="1:32" x14ac:dyDescent="0.25">
      <c r="A132" s="1">
        <v>51043</v>
      </c>
      <c r="B132">
        <v>-0.101672841955463</v>
      </c>
      <c r="C132" s="2">
        <v>-8.65987035877891E-16</v>
      </c>
      <c r="D132">
        <v>-8.4380695640930301E-2</v>
      </c>
      <c r="E132" s="2">
        <v>2.6500869837508402E-13</v>
      </c>
      <c r="F132">
        <v>-2.1223500199102699E-2</v>
      </c>
      <c r="G132">
        <v>3.2280766072201802E-2</v>
      </c>
      <c r="H132">
        <v>-1.59954391042227E-2</v>
      </c>
      <c r="I132" s="2">
        <v>-3.8486273733032699E-15</v>
      </c>
      <c r="J132" s="2">
        <v>3.4708904415011499E-14</v>
      </c>
      <c r="K132" s="2">
        <v>-1.71782807529481E-15</v>
      </c>
      <c r="L132">
        <v>-3.13314573223233E-2</v>
      </c>
      <c r="M132">
        <v>0</v>
      </c>
      <c r="N132">
        <v>0</v>
      </c>
      <c r="O132" s="2">
        <v>8.7621229453257094E-14</v>
      </c>
      <c r="P132">
        <v>0</v>
      </c>
      <c r="Q132">
        <v>-5.6793814826635799E-2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s="2">
        <v>1.2035263861221699E-15</v>
      </c>
      <c r="Z132" s="2">
        <v>-5.4451894132017501E-16</v>
      </c>
      <c r="AA132" s="2">
        <v>1.28006656780411E-15</v>
      </c>
      <c r="AB132" s="2">
        <v>7.2902013536807701E-16</v>
      </c>
      <c r="AC132" s="2">
        <v>2.2148417482538702E-15</v>
      </c>
      <c r="AD132" s="2">
        <v>2.7041750776048702E-15</v>
      </c>
      <c r="AE132">
        <v>6.9705451924763004E-3</v>
      </c>
      <c r="AF132">
        <v>-0.27214643778361097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16FEC-724D-485C-B445-F61F6215DA64}">
  <sheetPr codeName="Sheet3"/>
  <dimension ref="A1:AF132"/>
  <sheetViews>
    <sheetView workbookViewId="0">
      <selection activeCell="AF2" sqref="AF2"/>
    </sheetView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>
        <v>39172</v>
      </c>
      <c r="B2">
        <v>-0.109642570984678</v>
      </c>
      <c r="C2" s="2">
        <v>1.31835240826801E-6</v>
      </c>
      <c r="D2">
        <v>-0.148214160007583</v>
      </c>
      <c r="E2">
        <v>1.0462129668571999E-3</v>
      </c>
      <c r="F2">
        <v>0.569656584592799</v>
      </c>
      <c r="G2">
        <v>-3.6284691828937198E-2</v>
      </c>
      <c r="H2">
        <v>0.125742039175439</v>
      </c>
      <c r="I2" s="2">
        <v>1.59677075175137E-16</v>
      </c>
      <c r="J2" s="2">
        <v>8.1607197089642496E-16</v>
      </c>
      <c r="K2" s="2">
        <v>1.5293854302058899E-14</v>
      </c>
      <c r="L2">
        <v>-2.13496350362328E-2</v>
      </c>
      <c r="M2">
        <v>0</v>
      </c>
      <c r="N2">
        <v>0</v>
      </c>
      <c r="O2" s="2">
        <v>1.62209354813505E-13</v>
      </c>
      <c r="P2">
        <v>0</v>
      </c>
      <c r="Q2">
        <v>5.4067527768675099E-4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3.9310616877994801E-2</v>
      </c>
      <c r="AF2">
        <v>0.42080638938593401</v>
      </c>
    </row>
    <row r="3" spans="1:32" x14ac:dyDescent="0.25">
      <c r="A3" s="1">
        <v>39263</v>
      </c>
      <c r="B3">
        <v>-9.9909021486445301E-2</v>
      </c>
      <c r="C3" s="2">
        <v>1.0057203458261E-6</v>
      </c>
      <c r="D3">
        <v>-0.168383896994897</v>
      </c>
      <c r="E3">
        <v>1.1284478669397299E-3</v>
      </c>
      <c r="F3">
        <v>0.62161331063996905</v>
      </c>
      <c r="G3">
        <v>-2.9279328474702399E-2</v>
      </c>
      <c r="H3">
        <v>0.10873622197823</v>
      </c>
      <c r="I3" s="2">
        <v>3.2526511321520299E-16</v>
      </c>
      <c r="J3" s="2">
        <v>2.03762593604551E-15</v>
      </c>
      <c r="K3" s="2">
        <v>1.41898846817854E-14</v>
      </c>
      <c r="L3">
        <v>-1.5232289817510399E-2</v>
      </c>
      <c r="M3">
        <v>0</v>
      </c>
      <c r="N3">
        <v>0</v>
      </c>
      <c r="O3" s="2">
        <v>1.6284200061788901E-13</v>
      </c>
      <c r="P3">
        <v>0</v>
      </c>
      <c r="Q3">
        <v>-0.13725932739803101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3.8839027345864897E-2</v>
      </c>
      <c r="AF3">
        <v>0.32025414937994501</v>
      </c>
    </row>
    <row r="4" spans="1:32" x14ac:dyDescent="0.25">
      <c r="A4" s="1">
        <v>39355</v>
      </c>
      <c r="B4">
        <v>-0.104317633899115</v>
      </c>
      <c r="C4" s="2">
        <v>7.6105571887152098E-7</v>
      </c>
      <c r="D4">
        <v>-0.34011079521938797</v>
      </c>
      <c r="E4">
        <v>1.3714981499166701E-3</v>
      </c>
      <c r="F4">
        <v>0.62967543571541096</v>
      </c>
      <c r="G4">
        <v>-4.6592364977166199E-2</v>
      </c>
      <c r="H4">
        <v>0.12742199870041299</v>
      </c>
      <c r="I4" s="2">
        <v>2.7283796874428301E-17</v>
      </c>
      <c r="J4" s="2">
        <v>3.0870595527050701E-15</v>
      </c>
      <c r="K4" s="2">
        <v>1.47526813271734E-14</v>
      </c>
      <c r="L4">
        <v>-4.90476297404411E-2</v>
      </c>
      <c r="M4">
        <v>0</v>
      </c>
      <c r="N4">
        <v>0</v>
      </c>
      <c r="O4" s="2">
        <v>1.6344936669803601E-13</v>
      </c>
      <c r="P4">
        <v>0</v>
      </c>
      <c r="Q4">
        <v>-0.17288532555727701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3.8373418319463899E-2</v>
      </c>
      <c r="AF4">
        <v>8.3889362547718602E-2</v>
      </c>
    </row>
    <row r="5" spans="1:32" x14ac:dyDescent="0.25">
      <c r="A5" s="1">
        <v>39447</v>
      </c>
      <c r="B5">
        <v>-0.1013847065386</v>
      </c>
      <c r="C5" s="2">
        <v>9.4684194513042496E-7</v>
      </c>
      <c r="D5">
        <v>-0.47769656628067297</v>
      </c>
      <c r="E5">
        <v>1.34066003309416E-3</v>
      </c>
      <c r="F5">
        <v>0.60529049738748897</v>
      </c>
      <c r="G5">
        <v>-5.9394209063446002E-2</v>
      </c>
      <c r="H5">
        <v>0.13003688581852901</v>
      </c>
      <c r="I5" s="2">
        <v>-4.85633160008448E-16</v>
      </c>
      <c r="J5" s="2">
        <v>3.6935969686551898E-15</v>
      </c>
      <c r="K5" s="2">
        <v>1.6378821093645599E-14</v>
      </c>
      <c r="L5">
        <v>-8.3215288109534796E-2</v>
      </c>
      <c r="M5">
        <v>0</v>
      </c>
      <c r="N5">
        <v>0</v>
      </c>
      <c r="O5" s="2">
        <v>1.6300798611329901E-13</v>
      </c>
      <c r="P5">
        <v>0</v>
      </c>
      <c r="Q5">
        <v>-0.14685454887304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3.7913711341276003E-2</v>
      </c>
      <c r="AF5">
        <v>-9.39626174427763E-2</v>
      </c>
    </row>
    <row r="6" spans="1:32" x14ac:dyDescent="0.25">
      <c r="A6" s="1">
        <v>39538</v>
      </c>
      <c r="B6">
        <v>-0.103049329531719</v>
      </c>
      <c r="C6" s="2">
        <v>-6.6414235476574397E-7</v>
      </c>
      <c r="D6">
        <v>-0.63865204958293398</v>
      </c>
      <c r="E6" s="2">
        <v>-2.8163007049623802E-5</v>
      </c>
      <c r="F6">
        <v>0.55204193692570502</v>
      </c>
      <c r="G6">
        <v>-5.3258005674199499E-2</v>
      </c>
      <c r="H6">
        <v>0.14126849523082499</v>
      </c>
      <c r="I6" s="2">
        <v>-2.0721971415792199E-16</v>
      </c>
      <c r="J6" s="2">
        <v>4.3463615585744404E-15</v>
      </c>
      <c r="K6" s="2">
        <v>1.76692659292845E-14</v>
      </c>
      <c r="L6">
        <v>-9.6792949055077696E-2</v>
      </c>
      <c r="M6">
        <v>0</v>
      </c>
      <c r="N6">
        <v>0</v>
      </c>
      <c r="O6" s="2">
        <v>1.6268725266366601E-13</v>
      </c>
      <c r="P6">
        <v>0</v>
      </c>
      <c r="Q6">
        <v>-0.267016217389271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3.74598289432648E-2</v>
      </c>
      <c r="AF6">
        <v>-0.42802711728262399</v>
      </c>
    </row>
    <row r="7" spans="1:32" x14ac:dyDescent="0.25">
      <c r="A7" s="1">
        <v>39629</v>
      </c>
      <c r="B7">
        <v>-0.106017796184065</v>
      </c>
      <c r="C7" s="2">
        <v>-7.8296476525792105E-7</v>
      </c>
      <c r="D7">
        <v>-0.60278755564363296</v>
      </c>
      <c r="E7">
        <v>-5.0766243048151402E-4</v>
      </c>
      <c r="F7">
        <v>0.58419363609602604</v>
      </c>
      <c r="G7">
        <v>-5.4294103509035498E-2</v>
      </c>
      <c r="H7">
        <v>0.136464452613173</v>
      </c>
      <c r="I7" s="2">
        <v>-9.2521046029858905E-17</v>
      </c>
      <c r="J7" s="2">
        <v>5.4400187615202799E-15</v>
      </c>
      <c r="K7" s="2">
        <v>1.8989974135276299E-14</v>
      </c>
      <c r="L7">
        <v>-9.8785401468539202E-2</v>
      </c>
      <c r="M7">
        <v>0</v>
      </c>
      <c r="N7">
        <v>0</v>
      </c>
      <c r="O7" s="2">
        <v>1.62508248007748E-13</v>
      </c>
      <c r="P7">
        <v>0</v>
      </c>
      <c r="Q7">
        <v>-0.30813708134270801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3.7011694637038003E-2</v>
      </c>
      <c r="AF7">
        <v>-0.41286060019680199</v>
      </c>
    </row>
    <row r="8" spans="1:32" x14ac:dyDescent="0.25">
      <c r="A8" s="1">
        <v>39721</v>
      </c>
      <c r="B8">
        <v>-9.1533515778913499E-2</v>
      </c>
      <c r="C8" s="2">
        <v>-2.6460822309624701E-6</v>
      </c>
      <c r="D8">
        <v>-0.71165293626382897</v>
      </c>
      <c r="E8">
        <v>-1.65915071388475E-3</v>
      </c>
      <c r="F8">
        <v>0.55541247576834196</v>
      </c>
      <c r="G8">
        <v>-4.63453694472927E-2</v>
      </c>
      <c r="H8">
        <v>0.13545497041636201</v>
      </c>
      <c r="I8" s="2">
        <v>-6.5851548942011498E-16</v>
      </c>
      <c r="J8" s="2">
        <v>6.26240636120099E-15</v>
      </c>
      <c r="K8" s="2">
        <v>1.69791443401532E-14</v>
      </c>
      <c r="L8">
        <v>-9.8191330381143499E-2</v>
      </c>
      <c r="M8">
        <v>0</v>
      </c>
      <c r="N8">
        <v>0</v>
      </c>
      <c r="O8" s="2">
        <v>1.60603577420617E-13</v>
      </c>
      <c r="P8">
        <v>0</v>
      </c>
      <c r="Q8">
        <v>-0.35694890181397498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3.6569232904026097E-2</v>
      </c>
      <c r="AF8">
        <v>-0.57889717139235397</v>
      </c>
    </row>
    <row r="9" spans="1:32" x14ac:dyDescent="0.25">
      <c r="A9" s="1">
        <v>39813</v>
      </c>
      <c r="B9">
        <v>-5.8749939486136403E-2</v>
      </c>
      <c r="C9" s="2">
        <v>-6.4085858969304001E-6</v>
      </c>
      <c r="D9">
        <v>-1.30890625082533</v>
      </c>
      <c r="E9">
        <v>-3.3089283373277699E-3</v>
      </c>
      <c r="F9">
        <v>0.25500720842241698</v>
      </c>
      <c r="G9">
        <v>1.4564654301224399E-2</v>
      </c>
      <c r="H9">
        <v>0.19430507788712401</v>
      </c>
      <c r="I9" s="2">
        <v>1.47427448316772E-15</v>
      </c>
      <c r="J9" s="2">
        <v>6.8130937543006399E-15</v>
      </c>
      <c r="K9" s="2">
        <v>1.49375769433296E-14</v>
      </c>
      <c r="L9">
        <v>-0.178428934157597</v>
      </c>
      <c r="M9">
        <v>0</v>
      </c>
      <c r="N9">
        <v>0</v>
      </c>
      <c r="O9" s="2">
        <v>1.6236319974071599E-13</v>
      </c>
      <c r="P9">
        <v>0</v>
      </c>
      <c r="Q9">
        <v>-0.56308927312415402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s="2">
        <v>-1.7027900117999E-15</v>
      </c>
      <c r="Z9" s="2">
        <v>-1.33300527974063E-15</v>
      </c>
      <c r="AA9" s="2">
        <v>-3.1643201200505198E-16</v>
      </c>
      <c r="AB9" s="2">
        <v>-7.7129930304406406E-17</v>
      </c>
      <c r="AC9" s="2">
        <v>-3.9984865998071899E-17</v>
      </c>
      <c r="AD9" s="2">
        <v>-1.2217523266525701E-16</v>
      </c>
      <c r="AE9">
        <v>3.6132369185673703E-2</v>
      </c>
      <c r="AF9">
        <v>-1.6124804247198199</v>
      </c>
    </row>
    <row r="10" spans="1:32" x14ac:dyDescent="0.25">
      <c r="A10" s="1">
        <v>39903</v>
      </c>
      <c r="B10">
        <v>-4.4404479087747598E-2</v>
      </c>
      <c r="C10" s="2">
        <v>-5.0208245722924297E-6</v>
      </c>
      <c r="D10">
        <v>-1.08702106653492</v>
      </c>
      <c r="E10">
        <v>-3.3015488110567899E-3</v>
      </c>
      <c r="F10">
        <v>0.30592322641657599</v>
      </c>
      <c r="G10">
        <v>-6.9212176031664699E-2</v>
      </c>
      <c r="H10">
        <v>0.18182100853404401</v>
      </c>
      <c r="I10" s="2">
        <v>1.7100268523646501E-15</v>
      </c>
      <c r="J10" s="2">
        <v>9.1212084733489796E-15</v>
      </c>
      <c r="K10" s="2">
        <v>1.1762849376308401E-14</v>
      </c>
      <c r="L10">
        <v>-0.22692096818632199</v>
      </c>
      <c r="M10">
        <v>0</v>
      </c>
      <c r="N10">
        <v>0</v>
      </c>
      <c r="O10" s="2">
        <v>1.6445770756232699E-13</v>
      </c>
      <c r="P10">
        <v>0</v>
      </c>
      <c r="Q10">
        <v>-0.57228000692099401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s="2">
        <v>-2.49492498725031E-15</v>
      </c>
      <c r="Z10" s="2">
        <v>-2.2493729010351701E-15</v>
      </c>
      <c r="AA10" s="2">
        <v>-1.1378770629781501E-15</v>
      </c>
      <c r="AB10" s="2">
        <v>-1.8458777029584201E-16</v>
      </c>
      <c r="AC10" s="2">
        <v>-5.0566709894926796E-16</v>
      </c>
      <c r="AD10" s="2">
        <v>-1.13772696148066E-15</v>
      </c>
      <c r="AE10">
        <v>3.57010298736481E-2</v>
      </c>
      <c r="AF10">
        <v>-1.4797000015728301</v>
      </c>
    </row>
    <row r="11" spans="1:32" x14ac:dyDescent="0.25">
      <c r="A11" s="1">
        <v>39994</v>
      </c>
      <c r="B11">
        <v>-3.2746487523510601E-2</v>
      </c>
      <c r="C11" s="2">
        <v>-3.41758251723667E-6</v>
      </c>
      <c r="D11">
        <v>-0.87744293397454398</v>
      </c>
      <c r="E11">
        <v>-2.98957026246167E-3</v>
      </c>
      <c r="F11">
        <v>0.31711286175471798</v>
      </c>
      <c r="G11">
        <v>-9.4979033856138401E-2</v>
      </c>
      <c r="H11">
        <v>0.140724484847985</v>
      </c>
      <c r="I11" s="2">
        <v>1.4888668021721201E-15</v>
      </c>
      <c r="J11" s="2">
        <v>8.9739094765047104E-15</v>
      </c>
      <c r="K11" s="2">
        <v>1.03705488393933E-14</v>
      </c>
      <c r="L11">
        <v>-0.156311659569873</v>
      </c>
      <c r="M11">
        <v>0</v>
      </c>
      <c r="N11">
        <v>0</v>
      </c>
      <c r="O11" s="2">
        <v>1.5978674070975199E-13</v>
      </c>
      <c r="P11">
        <v>0</v>
      </c>
      <c r="Q11">
        <v>-0.47586870557690703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s="2">
        <v>-2.4500922591904298E-15</v>
      </c>
      <c r="Z11" s="2">
        <v>-2.2434419185547801E-15</v>
      </c>
      <c r="AA11" s="2">
        <v>-1.85393761164906E-15</v>
      </c>
      <c r="AB11" s="2">
        <v>-1.0156947956699201E-15</v>
      </c>
      <c r="AC11" s="2">
        <v>-4.2881414288512101E-16</v>
      </c>
      <c r="AD11" s="2">
        <v>-2.7177983673494301E-15</v>
      </c>
      <c r="AE11">
        <v>3.5275142300066599E-2</v>
      </c>
      <c r="AF11">
        <v>-1.1472293194430101</v>
      </c>
    </row>
    <row r="12" spans="1:32" x14ac:dyDescent="0.25">
      <c r="A12" s="1">
        <v>40086</v>
      </c>
      <c r="B12">
        <v>-4.8607331550676501E-2</v>
      </c>
      <c r="C12" s="2">
        <v>8.1056761198756297E-7</v>
      </c>
      <c r="D12">
        <v>-0.669090162629842</v>
      </c>
      <c r="E12">
        <v>-2.3873219283855498E-3</v>
      </c>
      <c r="F12">
        <v>0.27218141481214497</v>
      </c>
      <c r="G12">
        <v>-0.18043119759794099</v>
      </c>
      <c r="H12">
        <v>0.112717255435988</v>
      </c>
      <c r="I12" s="2">
        <v>1.37727971674344E-15</v>
      </c>
      <c r="J12" s="2">
        <v>9.4022112441513797E-15</v>
      </c>
      <c r="K12" s="2">
        <v>1.0455075449560999E-14</v>
      </c>
      <c r="L12">
        <v>-6.0493272239202499E-2</v>
      </c>
      <c r="M12">
        <v>0</v>
      </c>
      <c r="N12">
        <v>0</v>
      </c>
      <c r="O12" s="2">
        <v>1.5046582521935801E-13</v>
      </c>
      <c r="P12">
        <v>0</v>
      </c>
      <c r="Q12">
        <v>-0.52837709448268699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s="2">
        <v>-1.4140976094684901E-15</v>
      </c>
      <c r="Z12" s="2">
        <v>-1.35143116631763E-15</v>
      </c>
      <c r="AA12" s="2">
        <v>-1.0686252453487499E-15</v>
      </c>
      <c r="AB12" s="2">
        <v>-7.0453129364330301E-16</v>
      </c>
      <c r="AC12" s="2">
        <v>-1.7447249339781201E-16</v>
      </c>
      <c r="AD12" s="2">
        <v>-4.0140876104300398E-15</v>
      </c>
      <c r="AE12">
        <v>3.4854634727743597E-2</v>
      </c>
      <c r="AF12">
        <v>-1.06963226488508</v>
      </c>
    </row>
    <row r="13" spans="1:32" x14ac:dyDescent="0.25">
      <c r="A13" s="1">
        <v>40178</v>
      </c>
      <c r="B13">
        <v>-3.5743572771656303E-2</v>
      </c>
      <c r="C13" s="2">
        <v>-6.0908915052398204E-7</v>
      </c>
      <c r="D13">
        <v>-0.582583384738809</v>
      </c>
      <c r="E13">
        <v>-2.5283552467078099E-3</v>
      </c>
      <c r="F13">
        <v>0.23336096202872</v>
      </c>
      <c r="G13">
        <v>-0.17210914792447801</v>
      </c>
      <c r="H13">
        <v>5.4723502080638697E-2</v>
      </c>
      <c r="I13" s="2">
        <v>1.0617199636885299E-16</v>
      </c>
      <c r="J13" s="2">
        <v>1.00107336703351E-14</v>
      </c>
      <c r="K13" s="2">
        <v>7.6983611759162798E-15</v>
      </c>
      <c r="L13">
        <v>1.45607185845321E-3</v>
      </c>
      <c r="M13">
        <v>0</v>
      </c>
      <c r="N13">
        <v>0</v>
      </c>
      <c r="O13" s="2">
        <v>1.4298569779293601E-13</v>
      </c>
      <c r="P13">
        <v>0</v>
      </c>
      <c r="Q13">
        <v>-0.43893632289364298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s="2">
        <v>-1.60458839506504E-15</v>
      </c>
      <c r="Z13" s="2">
        <v>-1.33633414737614E-15</v>
      </c>
      <c r="AA13" s="2">
        <v>-1.6324863209813799E-15</v>
      </c>
      <c r="AB13" s="2">
        <v>-7.5018980838223897E-16</v>
      </c>
      <c r="AC13" s="2">
        <v>-3.2689612041348598E-16</v>
      </c>
      <c r="AD13" s="2">
        <v>-5.5141253211103497E-15</v>
      </c>
      <c r="AE13">
        <v>3.44394363404621E-2</v>
      </c>
      <c r="AF13">
        <v>-0.90792142035601997</v>
      </c>
    </row>
    <row r="14" spans="1:32" x14ac:dyDescent="0.25">
      <c r="A14" s="1">
        <v>40268</v>
      </c>
      <c r="B14">
        <v>-3.72218890288896E-2</v>
      </c>
      <c r="C14" s="2">
        <v>4.6048657969601703E-7</v>
      </c>
      <c r="D14">
        <v>-0.48693313634025498</v>
      </c>
      <c r="E14">
        <v>-2.26024069655296E-3</v>
      </c>
      <c r="F14">
        <v>0.176192176663311</v>
      </c>
      <c r="G14">
        <v>-0.23337056719607899</v>
      </c>
      <c r="H14">
        <v>4.19811331868154E-2</v>
      </c>
      <c r="I14" s="2">
        <v>2.12609269630321E-16</v>
      </c>
      <c r="J14" s="2">
        <v>1.15107081613886E-14</v>
      </c>
      <c r="K14" s="2">
        <v>6.8438242944635297E-15</v>
      </c>
      <c r="L14">
        <v>-2.1285431545393099E-2</v>
      </c>
      <c r="M14">
        <v>0</v>
      </c>
      <c r="N14">
        <v>0</v>
      </c>
      <c r="O14" s="2">
        <v>1.41676312643782E-13</v>
      </c>
      <c r="P14">
        <v>0</v>
      </c>
      <c r="Q14">
        <v>-0.63710210931881905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s="2">
        <v>-1.2978269160376E-15</v>
      </c>
      <c r="Z14" s="2">
        <v>-6.8521823454686197E-16</v>
      </c>
      <c r="AA14" s="2">
        <v>-8.7729056624419901E-16</v>
      </c>
      <c r="AB14" s="2">
        <v>-2.4600698547363399E-16</v>
      </c>
      <c r="AC14" s="2">
        <v>2.8878976274489102E-16</v>
      </c>
      <c r="AD14" s="2">
        <v>-6.9583761538293904E-15</v>
      </c>
      <c r="AE14">
        <v>3.4029477233269399E-2</v>
      </c>
      <c r="AF14">
        <v>-1.16597012655586</v>
      </c>
    </row>
    <row r="15" spans="1:32" x14ac:dyDescent="0.25">
      <c r="A15" s="1">
        <v>40359</v>
      </c>
      <c r="B15">
        <v>-3.7042019625588299E-2</v>
      </c>
      <c r="C15" s="2">
        <v>2.9330268866404899E-6</v>
      </c>
      <c r="D15">
        <v>-0.641081224958856</v>
      </c>
      <c r="E15">
        <v>-1.4665842316170801E-3</v>
      </c>
      <c r="F15">
        <v>-7.2225822131815304E-2</v>
      </c>
      <c r="G15">
        <v>-0.21623910509768601</v>
      </c>
      <c r="H15">
        <v>3.5754696713705202E-2</v>
      </c>
      <c r="I15" s="2">
        <v>3.6522837713371701E-16</v>
      </c>
      <c r="J15" s="2">
        <v>1.2179941334849601E-14</v>
      </c>
      <c r="K15" s="2">
        <v>7.3722534217171096E-15</v>
      </c>
      <c r="L15">
        <v>2.50080757636644E-2</v>
      </c>
      <c r="M15">
        <v>0</v>
      </c>
      <c r="N15">
        <v>0</v>
      </c>
      <c r="O15" s="2">
        <v>1.34711416629175E-13</v>
      </c>
      <c r="P15">
        <v>0</v>
      </c>
      <c r="Q15">
        <v>-0.85004633960725695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s="2">
        <v>-2.0695558268462301E-16</v>
      </c>
      <c r="Z15" s="2">
        <v>3.1050141314606999E-16</v>
      </c>
      <c r="AA15" s="2">
        <v>5.8074021322701402E-16</v>
      </c>
      <c r="AB15" s="2">
        <v>1.41587961992066E-15</v>
      </c>
      <c r="AC15" s="2">
        <v>2.4866285881591302E-15</v>
      </c>
      <c r="AD15" s="2">
        <v>-6.8093062730968597E-15</v>
      </c>
      <c r="AE15">
        <v>3.3624688402800598E-2</v>
      </c>
      <c r="AF15">
        <v>-1.7237107017455999</v>
      </c>
    </row>
    <row r="16" spans="1:32" x14ac:dyDescent="0.25">
      <c r="A16" s="1">
        <v>40451</v>
      </c>
      <c r="B16">
        <v>-2.8052147656763199E-2</v>
      </c>
      <c r="C16" s="2">
        <v>1.3267857132118001E-6</v>
      </c>
      <c r="D16">
        <v>-0.70285985699790898</v>
      </c>
      <c r="E16">
        <v>-9.8517871271623192E-4</v>
      </c>
      <c r="F16">
        <v>-0.10671298600375</v>
      </c>
      <c r="G16">
        <v>-0.24265863043629801</v>
      </c>
      <c r="H16">
        <v>5.5783278976437702E-3</v>
      </c>
      <c r="I16" s="2">
        <v>7.2494971922886197E-16</v>
      </c>
      <c r="J16" s="2">
        <v>1.29686048194038E-14</v>
      </c>
      <c r="K16" s="2">
        <v>6.0762948371091702E-15</v>
      </c>
      <c r="L16">
        <v>-3.1723065042568298E-2</v>
      </c>
      <c r="M16">
        <v>0</v>
      </c>
      <c r="N16">
        <v>0</v>
      </c>
      <c r="O16" s="2">
        <v>1.3349039193800199E-13</v>
      </c>
      <c r="P16">
        <v>0</v>
      </c>
      <c r="Q16">
        <v>-0.775577550649448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s="2">
        <v>-5.3519279520501205E-16</v>
      </c>
      <c r="Z16" s="2">
        <v>1.00717530851362E-16</v>
      </c>
      <c r="AA16" s="2">
        <v>5.7230531224114898E-16</v>
      </c>
      <c r="AB16" s="2">
        <v>1.1315372955857E-15</v>
      </c>
      <c r="AC16" s="2">
        <v>2.9407599579384999E-15</v>
      </c>
      <c r="AD16" s="2">
        <v>-6.2489936360084E-15</v>
      </c>
      <c r="AE16">
        <v>3.3225001737632202E-2</v>
      </c>
      <c r="AF16">
        <v>-1.84976475907831</v>
      </c>
    </row>
    <row r="17" spans="1:32" x14ac:dyDescent="0.25">
      <c r="A17" s="1">
        <v>40543</v>
      </c>
      <c r="B17">
        <v>-5.0095123906059698E-2</v>
      </c>
      <c r="C17" s="2">
        <v>3.2931956347991202E-7</v>
      </c>
      <c r="D17">
        <v>-0.67914592114767303</v>
      </c>
      <c r="E17">
        <v>-6.4294106444160099E-4</v>
      </c>
      <c r="F17">
        <v>-8.8136008649056699E-2</v>
      </c>
      <c r="G17">
        <v>-0.21056057110590801</v>
      </c>
      <c r="H17">
        <v>-1.23008599654864E-2</v>
      </c>
      <c r="I17" s="2">
        <v>-1.84710255055701E-16</v>
      </c>
      <c r="J17" s="2">
        <v>1.39276729157031E-14</v>
      </c>
      <c r="K17" s="2">
        <v>5.0394852554373502E-15</v>
      </c>
      <c r="L17">
        <v>1.2258090170780099E-2</v>
      </c>
      <c r="M17">
        <v>0</v>
      </c>
      <c r="N17">
        <v>0</v>
      </c>
      <c r="O17" s="2">
        <v>1.3003514722084901E-13</v>
      </c>
      <c r="P17">
        <v>0</v>
      </c>
      <c r="Q17">
        <v>-0.74576861413902495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s="2">
        <v>-4.5226583977821897E-16</v>
      </c>
      <c r="Z17" s="2">
        <v>1.0620173268303E-16</v>
      </c>
      <c r="AA17" s="2">
        <v>4.9296817233660998E-16</v>
      </c>
      <c r="AB17" s="2">
        <v>9.6663634210394896E-16</v>
      </c>
      <c r="AC17" s="2">
        <v>2.1894070452689798E-15</v>
      </c>
      <c r="AD17" s="2">
        <v>-6.4948809531019401E-15</v>
      </c>
      <c r="AE17">
        <v>3.2830350008666499E-2</v>
      </c>
      <c r="AF17">
        <v>-1.74156127047849</v>
      </c>
    </row>
    <row r="18" spans="1:32" x14ac:dyDescent="0.25">
      <c r="A18" s="1">
        <v>40633</v>
      </c>
      <c r="B18">
        <v>-6.7578349256317796E-2</v>
      </c>
      <c r="C18" s="2">
        <v>2.2440031611203999E-7</v>
      </c>
      <c r="D18">
        <v>-0.514024557639153</v>
      </c>
      <c r="E18">
        <v>-1.0896428304206401E-3</v>
      </c>
      <c r="F18">
        <v>-8.2442745997352004E-2</v>
      </c>
      <c r="G18">
        <v>-0.244489101902994</v>
      </c>
      <c r="H18">
        <v>-3.3451568767214201E-4</v>
      </c>
      <c r="I18" s="2">
        <v>-4.7930436272100197E-16</v>
      </c>
      <c r="J18" s="2">
        <v>1.4101879301875901E-14</v>
      </c>
      <c r="K18" s="2">
        <v>5.01019259335463E-15</v>
      </c>
      <c r="L18">
        <v>-1.7017268939295099E-2</v>
      </c>
      <c r="M18">
        <v>0</v>
      </c>
      <c r="N18">
        <v>0</v>
      </c>
      <c r="O18" s="2">
        <v>1.27410799170857E-13</v>
      </c>
      <c r="P18">
        <v>0</v>
      </c>
      <c r="Q18">
        <v>-0.63766962866586396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s="2">
        <v>-5.9952202622477505E-16</v>
      </c>
      <c r="Z18" s="2">
        <v>-1.3330892561020899E-16</v>
      </c>
      <c r="AA18" s="2">
        <v>-9.4031375570918699E-17</v>
      </c>
      <c r="AB18" s="2">
        <v>3.2227341945151298E-16</v>
      </c>
      <c r="AC18" s="2">
        <v>2.0385282133316601E-15</v>
      </c>
      <c r="AD18" s="2">
        <v>-7.5707905132721706E-15</v>
      </c>
      <c r="AE18">
        <v>3.2440666859550001E-2</v>
      </c>
      <c r="AF18">
        <v>-1.5322049196590599</v>
      </c>
    </row>
    <row r="19" spans="1:32" x14ac:dyDescent="0.25">
      <c r="A19" s="1">
        <v>40724</v>
      </c>
      <c r="B19">
        <v>-7.3035409408861995E-2</v>
      </c>
      <c r="C19" s="2">
        <v>1.1956395789563199E-6</v>
      </c>
      <c r="D19">
        <v>-0.66468421485966001</v>
      </c>
      <c r="E19">
        <v>-6.6419624117897797E-4</v>
      </c>
      <c r="F19">
        <v>-0.17645840723239301</v>
      </c>
      <c r="G19">
        <v>-0.226983490090201</v>
      </c>
      <c r="H19">
        <v>-1.8253599085724399E-2</v>
      </c>
      <c r="I19" s="2">
        <v>-1.5478776969013299E-15</v>
      </c>
      <c r="J19" s="2">
        <v>1.5535457373941902E-14</v>
      </c>
      <c r="K19" s="2">
        <v>4.4408854119489301E-15</v>
      </c>
      <c r="L19">
        <v>3.3983863761972301E-2</v>
      </c>
      <c r="M19">
        <v>0</v>
      </c>
      <c r="N19">
        <v>0</v>
      </c>
      <c r="O19" s="2">
        <v>1.2425971694502999E-13</v>
      </c>
      <c r="P19">
        <v>0</v>
      </c>
      <c r="Q19">
        <v>-0.92121296598069702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s="2">
        <v>1.06928484931767E-16</v>
      </c>
      <c r="Z19" s="2">
        <v>5.98747276820704E-16</v>
      </c>
      <c r="AA19" s="2">
        <v>1.0119444384161401E-15</v>
      </c>
      <c r="AB19" s="2">
        <v>1.0771606753649E-15</v>
      </c>
      <c r="AC19" s="2">
        <v>3.3598676893290702E-15</v>
      </c>
      <c r="AD19" s="2">
        <v>-7.8840341735010796E-15</v>
      </c>
      <c r="AE19">
        <v>3.2055886797128001E-2</v>
      </c>
      <c r="AF19">
        <v>-2.0152513366998899</v>
      </c>
    </row>
    <row r="20" spans="1:32" x14ac:dyDescent="0.25">
      <c r="A20" s="1">
        <v>40816</v>
      </c>
      <c r="B20">
        <v>-9.5751108720101397E-2</v>
      </c>
      <c r="C20" s="2">
        <v>1.5418027389282299E-6</v>
      </c>
      <c r="D20">
        <v>-0.85202968980695104</v>
      </c>
      <c r="E20">
        <v>-2.3372744815170401E-4</v>
      </c>
      <c r="F20">
        <v>-0.33872087425750402</v>
      </c>
      <c r="G20">
        <v>-0.189103049087262</v>
      </c>
      <c r="H20">
        <v>-1.7258677533318698E-2</v>
      </c>
      <c r="I20" s="2">
        <v>-1.7227109541132801E-15</v>
      </c>
      <c r="J20" s="2">
        <v>1.6404377429944499E-14</v>
      </c>
      <c r="K20" s="2">
        <v>3.8369173373170199E-15</v>
      </c>
      <c r="L20">
        <v>6.4363519209107795E-2</v>
      </c>
      <c r="M20">
        <v>0</v>
      </c>
      <c r="N20">
        <v>0</v>
      </c>
      <c r="O20" s="2">
        <v>1.2020675460887E-13</v>
      </c>
      <c r="P20">
        <v>0</v>
      </c>
      <c r="Q20">
        <v>-1.1005492208627501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s="2">
        <v>5.4045025352525598E-16</v>
      </c>
      <c r="Z20" s="2">
        <v>1.22509483477525E-15</v>
      </c>
      <c r="AA20" s="2">
        <v>1.67506521423673E-15</v>
      </c>
      <c r="AB20" s="2">
        <v>1.8871976166526498E-15</v>
      </c>
      <c r="AC20" s="2">
        <v>4.1764559366258896E-15</v>
      </c>
      <c r="AD20" s="2">
        <v>-6.80151447451398E-15</v>
      </c>
      <c r="AE20">
        <v>3.1675945181936602E-2</v>
      </c>
      <c r="AF20">
        <v>-2.4976053415221098</v>
      </c>
    </row>
    <row r="21" spans="1:32" x14ac:dyDescent="0.25">
      <c r="A21" s="1">
        <v>40908</v>
      </c>
      <c r="B21">
        <v>-9.20718471565668E-2</v>
      </c>
      <c r="C21" s="2">
        <v>4.6710559055304702E-7</v>
      </c>
      <c r="D21">
        <v>-0.85490326107550996</v>
      </c>
      <c r="E21">
        <v>3.9829722848851E-4</v>
      </c>
      <c r="F21">
        <v>-0.31430025179327398</v>
      </c>
      <c r="G21">
        <v>-0.16923914409315699</v>
      </c>
      <c r="H21">
        <v>-3.04238743382838E-2</v>
      </c>
      <c r="I21" s="2">
        <v>-1.55252550051769E-15</v>
      </c>
      <c r="J21" s="2">
        <v>1.82263128174522E-14</v>
      </c>
      <c r="K21" s="2">
        <v>3.37825014553335E-15</v>
      </c>
      <c r="L21">
        <v>2.6543925493661899E-2</v>
      </c>
      <c r="M21">
        <v>0</v>
      </c>
      <c r="N21">
        <v>0</v>
      </c>
      <c r="O21" s="2">
        <v>1.2427688668898601E-13</v>
      </c>
      <c r="P21">
        <v>0</v>
      </c>
      <c r="Q21">
        <v>-1.23807092898342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s="2">
        <v>4.3953542398294E-16</v>
      </c>
      <c r="Z21" s="2">
        <v>9.7827619798768691E-16</v>
      </c>
      <c r="AA21" s="2">
        <v>1.40859810206364E-15</v>
      </c>
      <c r="AB21" s="2">
        <v>2.09753344224979E-15</v>
      </c>
      <c r="AC21" s="2">
        <v>3.3415373313210801E-15</v>
      </c>
      <c r="AD21" s="2">
        <v>-6.0182045716134097E-15</v>
      </c>
      <c r="AE21">
        <v>3.1300778218734497E-2</v>
      </c>
      <c r="AF21">
        <v>-2.6407658393935902</v>
      </c>
    </row>
    <row r="22" spans="1:32" x14ac:dyDescent="0.25">
      <c r="A22" s="1">
        <v>40999</v>
      </c>
      <c r="B22">
        <v>-9.0023119344295799E-2</v>
      </c>
      <c r="C22" s="2">
        <v>1.45270263068355E-6</v>
      </c>
      <c r="D22">
        <v>-0.83310093071111602</v>
      </c>
      <c r="E22">
        <v>4.3546830223972202E-4</v>
      </c>
      <c r="F22">
        <v>-0.36467618118244099</v>
      </c>
      <c r="G22">
        <v>-0.156154114837429</v>
      </c>
      <c r="H22">
        <v>-6.1292418367190703E-2</v>
      </c>
      <c r="I22" s="2">
        <v>-2.6947847517404199E-15</v>
      </c>
      <c r="J22" s="2">
        <v>1.84051031382171E-14</v>
      </c>
      <c r="K22" s="2">
        <v>4.10205038646397E-15</v>
      </c>
      <c r="L22">
        <v>3.5386532559158697E-2</v>
      </c>
      <c r="M22">
        <v>0</v>
      </c>
      <c r="N22">
        <v>0</v>
      </c>
      <c r="O22" s="2">
        <v>1.1883189896370001E-13</v>
      </c>
      <c r="P22">
        <v>0</v>
      </c>
      <c r="Q22">
        <v>-1.0101126398909801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s="2">
        <v>7.91339988979727E-16</v>
      </c>
      <c r="Z22" s="2">
        <v>1.17911100244806E-15</v>
      </c>
      <c r="AA22" s="2">
        <v>1.0822520750507699E-15</v>
      </c>
      <c r="AB22" s="2">
        <v>2.6187504503399301E-15</v>
      </c>
      <c r="AC22" s="2">
        <v>2.6470865217219599E-15</v>
      </c>
      <c r="AD22" s="2">
        <v>-5.3785275882966402E-15</v>
      </c>
      <c r="AE22">
        <v>3.0930322947076601E-2</v>
      </c>
      <c r="AF22">
        <v>-2.4486056278222001</v>
      </c>
    </row>
    <row r="23" spans="1:32" x14ac:dyDescent="0.25">
      <c r="A23" s="1">
        <v>41090</v>
      </c>
      <c r="B23">
        <v>-9.5444139373981898E-2</v>
      </c>
      <c r="C23" s="2">
        <v>2.5439374866263798E-8</v>
      </c>
      <c r="D23">
        <v>-0.913952808824681</v>
      </c>
      <c r="E23">
        <v>3.6621206478477199E-4</v>
      </c>
      <c r="F23">
        <v>-0.37280459805633798</v>
      </c>
      <c r="G23">
        <v>-0.14958213120960301</v>
      </c>
      <c r="H23">
        <v>-6.5542820960464404E-2</v>
      </c>
      <c r="I23" s="2">
        <v>-2.4393392950010599E-15</v>
      </c>
      <c r="J23" s="2">
        <v>1.91856359881275E-14</v>
      </c>
      <c r="K23" s="2">
        <v>2.7314999957319599E-15</v>
      </c>
      <c r="L23">
        <v>3.3231476830868502E-2</v>
      </c>
      <c r="M23">
        <v>0</v>
      </c>
      <c r="N23">
        <v>0</v>
      </c>
      <c r="O23" s="2">
        <v>1.1892316005544001E-13</v>
      </c>
      <c r="P23">
        <v>0</v>
      </c>
      <c r="Q23">
        <v>-1.1498117081543899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s="2">
        <v>3.6542192520265001E-16</v>
      </c>
      <c r="Z23" s="2">
        <v>1.3519718402877901E-15</v>
      </c>
      <c r="AA23" s="2">
        <v>9.2460855295161292E-16</v>
      </c>
      <c r="AB23" s="2">
        <v>3.0376900803915301E-15</v>
      </c>
      <c r="AC23" s="2">
        <v>2.5297052141497301E-15</v>
      </c>
      <c r="AD23" s="2">
        <v>-5.4778713992622397E-15</v>
      </c>
      <c r="AE23">
        <v>3.05645172319308E-2</v>
      </c>
      <c r="AF23">
        <v>-2.6829759750123601</v>
      </c>
    </row>
    <row r="24" spans="1:32" x14ac:dyDescent="0.25">
      <c r="A24" s="1">
        <v>41182</v>
      </c>
      <c r="B24">
        <v>-0.102344500501565</v>
      </c>
      <c r="C24" s="2">
        <v>1.8257757781363E-7</v>
      </c>
      <c r="D24">
        <v>-0.82971284021490399</v>
      </c>
      <c r="E24">
        <v>-3.6013062890024997E-4</v>
      </c>
      <c r="F24">
        <v>-0.41271410447528201</v>
      </c>
      <c r="G24">
        <v>-0.15529307105502699</v>
      </c>
      <c r="H24">
        <v>-4.2118410187997501E-2</v>
      </c>
      <c r="I24" s="2">
        <v>-2.42243569131831E-15</v>
      </c>
      <c r="J24" s="2">
        <v>2.0339173779709199E-14</v>
      </c>
      <c r="K24" s="2">
        <v>2.5359319476023301E-15</v>
      </c>
      <c r="L24">
        <v>2.1236907149848199E-2</v>
      </c>
      <c r="M24">
        <v>0</v>
      </c>
      <c r="N24">
        <v>0</v>
      </c>
      <c r="O24" s="2">
        <v>1.1602347325981099E-13</v>
      </c>
      <c r="P24">
        <v>0</v>
      </c>
      <c r="Q24">
        <v>-1.0983586199336299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s="2">
        <v>2.6016219357566901E-16</v>
      </c>
      <c r="Z24" s="2">
        <v>1.2621516098801501E-15</v>
      </c>
      <c r="AA24" s="2">
        <v>9.9544111833293797E-16</v>
      </c>
      <c r="AB24" s="2">
        <v>3.2049551095269099E-15</v>
      </c>
      <c r="AC24" s="2">
        <v>3.29137417994157E-15</v>
      </c>
      <c r="AD24" s="2">
        <v>-4.7783098311494596E-15</v>
      </c>
      <c r="AE24">
        <v>3.02032997543401E-2</v>
      </c>
      <c r="AF24">
        <v>-2.5894612875153999</v>
      </c>
    </row>
    <row r="25" spans="1:32" x14ac:dyDescent="0.25">
      <c r="A25" s="1">
        <v>41274</v>
      </c>
      <c r="B25">
        <v>-9.6852908512583102E-2</v>
      </c>
      <c r="C25" s="2">
        <v>1.4973444392189999E-6</v>
      </c>
      <c r="D25">
        <v>-0.83782604092500801</v>
      </c>
      <c r="E25">
        <v>-1.51448102780115E-4</v>
      </c>
      <c r="F25">
        <v>-0.42212162565821199</v>
      </c>
      <c r="G25">
        <v>-0.164019229547749</v>
      </c>
      <c r="H25">
        <v>-5.6933654735759003E-2</v>
      </c>
      <c r="I25" s="2">
        <v>-2.4204847459160302E-15</v>
      </c>
      <c r="J25" s="2">
        <v>2.0194876989137801E-14</v>
      </c>
      <c r="K25" s="2">
        <v>3.2975737677081802E-15</v>
      </c>
      <c r="L25">
        <v>4.4719583798388203E-2</v>
      </c>
      <c r="M25">
        <v>0</v>
      </c>
      <c r="N25">
        <v>0</v>
      </c>
      <c r="O25" s="2">
        <v>1.10892359374725E-13</v>
      </c>
      <c r="P25">
        <v>0</v>
      </c>
      <c r="Q25">
        <v>-0.961751604011437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s="2">
        <v>7.6316860520246301E-16</v>
      </c>
      <c r="Z25" s="2">
        <v>1.5428851185241499E-15</v>
      </c>
      <c r="AA25" s="2">
        <v>1.2105136962954099E-15</v>
      </c>
      <c r="AB25" s="2">
        <v>3.36859045871311E-15</v>
      </c>
      <c r="AC25" s="2">
        <v>3.4093049034519101E-15</v>
      </c>
      <c r="AD25" s="2">
        <v>-4.6260413653397698E-15</v>
      </c>
      <c r="AE25">
        <v>2.9846610002132401E-2</v>
      </c>
      <c r="AF25">
        <v>-2.4650888203484298</v>
      </c>
    </row>
    <row r="26" spans="1:32" x14ac:dyDescent="0.25">
      <c r="A26" s="1">
        <v>41364</v>
      </c>
      <c r="B26">
        <v>-0.109422767917875</v>
      </c>
      <c r="C26" s="2">
        <v>1.1418131053947599E-6</v>
      </c>
      <c r="D26">
        <v>-0.83707425634819499</v>
      </c>
      <c r="E26">
        <v>1.13855380918383E-4</v>
      </c>
      <c r="F26">
        <v>-0.367201992741712</v>
      </c>
      <c r="G26">
        <v>-0.14747124793259</v>
      </c>
      <c r="H26">
        <v>-8.0326961895585899E-2</v>
      </c>
      <c r="I26" s="2">
        <v>-2.80567447506717E-15</v>
      </c>
      <c r="J26" s="2">
        <v>2.1813806685260001E-14</v>
      </c>
      <c r="K26" s="2">
        <v>1.98649905240233E-15</v>
      </c>
      <c r="L26">
        <v>5.9447475750748199E-2</v>
      </c>
      <c r="M26">
        <v>0</v>
      </c>
      <c r="N26">
        <v>0</v>
      </c>
      <c r="O26" s="2">
        <v>1.11358077564282E-13</v>
      </c>
      <c r="P26">
        <v>0</v>
      </c>
      <c r="Q26">
        <v>-1.0729187951952599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s="2">
        <v>9.9271549783533699E-16</v>
      </c>
      <c r="Z26" s="2">
        <v>1.4186841009914499E-15</v>
      </c>
      <c r="AA26" s="2">
        <v>1.10206038060703E-15</v>
      </c>
      <c r="AB26" s="2">
        <v>3.2423235241759298E-15</v>
      </c>
      <c r="AC26" s="2">
        <v>3.3124216970438999E-15</v>
      </c>
      <c r="AD26" s="2">
        <v>-3.9448680127593101E-15</v>
      </c>
      <c r="AE26">
        <v>2.9494388260677601E-2</v>
      </c>
      <c r="AF26">
        <v>-2.5253591608256301</v>
      </c>
    </row>
    <row r="27" spans="1:32" x14ac:dyDescent="0.25">
      <c r="A27" s="1">
        <v>41455</v>
      </c>
      <c r="B27">
        <v>-0.10394111484421199</v>
      </c>
      <c r="C27" s="2">
        <v>-2.2524768574668101E-7</v>
      </c>
      <c r="D27">
        <v>-0.81900822744164403</v>
      </c>
      <c r="E27">
        <v>-1.03493438967439E-4</v>
      </c>
      <c r="F27">
        <v>-0.29505619033152802</v>
      </c>
      <c r="G27">
        <v>-0.122775754088575</v>
      </c>
      <c r="H27">
        <v>-9.1426795583058093E-2</v>
      </c>
      <c r="I27" s="2">
        <v>-2.5116275132141899E-15</v>
      </c>
      <c r="J27" s="2">
        <v>2.2626898243753498E-14</v>
      </c>
      <c r="K27" s="2">
        <v>8.7448176981781695E-16</v>
      </c>
      <c r="L27">
        <v>6.7106901072293904E-2</v>
      </c>
      <c r="M27">
        <v>0</v>
      </c>
      <c r="N27">
        <v>0</v>
      </c>
      <c r="O27" s="2">
        <v>1.11352329439873E-13</v>
      </c>
      <c r="P27">
        <v>0</v>
      </c>
      <c r="Q27">
        <v>-1.0366598377568199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s="2">
        <v>8.1292622129308302E-16</v>
      </c>
      <c r="Z27" s="2">
        <v>8.84108561239118E-16</v>
      </c>
      <c r="AA27" s="2">
        <v>1.05252238896791E-15</v>
      </c>
      <c r="AB27" s="2">
        <v>3.1257526161115499E-15</v>
      </c>
      <c r="AC27" s="2">
        <v>2.6794427782094399E-15</v>
      </c>
      <c r="AD27" s="2">
        <v>-3.9670331119514197E-15</v>
      </c>
      <c r="AE27">
        <v>2.9146575603696601E-2</v>
      </c>
      <c r="AF27">
        <v>-2.3727181620563602</v>
      </c>
    </row>
    <row r="28" spans="1:32" x14ac:dyDescent="0.25">
      <c r="A28" s="1">
        <v>41547</v>
      </c>
      <c r="B28">
        <v>-0.10840291331575901</v>
      </c>
      <c r="C28" s="2">
        <v>7.6523902819087804E-7</v>
      </c>
      <c r="D28">
        <v>-0.78124626102332295</v>
      </c>
      <c r="E28">
        <v>-5.3934595483139797E-4</v>
      </c>
      <c r="F28">
        <v>-0.32559408511904903</v>
      </c>
      <c r="G28">
        <v>-0.109492503568972</v>
      </c>
      <c r="H28">
        <v>-0.11441214135156499</v>
      </c>
      <c r="I28" s="2">
        <v>-3.3240772627831098E-15</v>
      </c>
      <c r="J28" s="2">
        <v>2.38948317900377E-14</v>
      </c>
      <c r="K28" s="2">
        <v>6.1195108564206204E-17</v>
      </c>
      <c r="L28">
        <v>8.8355350643258099E-2</v>
      </c>
      <c r="M28">
        <v>0</v>
      </c>
      <c r="N28">
        <v>0</v>
      </c>
      <c r="O28" s="2">
        <v>1.08407755894938E-13</v>
      </c>
      <c r="P28">
        <v>0</v>
      </c>
      <c r="Q28">
        <v>-1.05570080635269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s="2">
        <v>1.3398006928436399E-15</v>
      </c>
      <c r="Z28" s="2">
        <v>1.1303860413578999E-15</v>
      </c>
      <c r="AA28" s="2">
        <v>1.7275312297851E-15</v>
      </c>
      <c r="AB28" s="2">
        <v>3.35733194758037E-15</v>
      </c>
      <c r="AC28" s="2">
        <v>3.4794851764238199E-15</v>
      </c>
      <c r="AD28" s="2">
        <v>-3.8848706246218298E-15</v>
      </c>
      <c r="AE28">
        <v>2.8803113884121202E-2</v>
      </c>
      <c r="AF28">
        <v>-2.3782288269196501</v>
      </c>
    </row>
    <row r="29" spans="1:32" x14ac:dyDescent="0.25">
      <c r="A29" s="1">
        <v>41639</v>
      </c>
      <c r="B29">
        <v>-0.119399279864216</v>
      </c>
      <c r="C29" s="2">
        <v>5.5012612466830501E-7</v>
      </c>
      <c r="D29">
        <v>-0.76818946855092396</v>
      </c>
      <c r="E29">
        <v>-5.7254089988786699E-4</v>
      </c>
      <c r="F29">
        <v>-0.27621038657949798</v>
      </c>
      <c r="G29">
        <v>-0.108267073641026</v>
      </c>
      <c r="H29">
        <v>-0.14818332540700099</v>
      </c>
      <c r="I29" s="2">
        <v>-3.8894769389061E-15</v>
      </c>
      <c r="J29" s="2">
        <v>2.4773303948585599E-14</v>
      </c>
      <c r="K29" s="2">
        <v>-8.3379232129283797E-16</v>
      </c>
      <c r="L29">
        <v>8.5346753178250107E-2</v>
      </c>
      <c r="M29">
        <v>0</v>
      </c>
      <c r="N29">
        <v>0</v>
      </c>
      <c r="O29" s="2">
        <v>1.08589948629172E-13</v>
      </c>
      <c r="P29">
        <v>0</v>
      </c>
      <c r="Q29">
        <v>-1.06838377404326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s="2">
        <v>1.62482694633831E-15</v>
      </c>
      <c r="Z29" s="2">
        <v>1.4022182633843301E-15</v>
      </c>
      <c r="AA29" s="2">
        <v>2.2922969618404901E-15</v>
      </c>
      <c r="AB29" s="2">
        <v>2.9455669699921899E-15</v>
      </c>
      <c r="AC29" s="2">
        <v>3.6591557193585102E-15</v>
      </c>
      <c r="AD29" s="2">
        <v>-3.7241991690732701E-15</v>
      </c>
      <c r="AE29">
        <v>2.8463945725007399E-2</v>
      </c>
      <c r="AF29">
        <v>-2.37539459995629</v>
      </c>
    </row>
    <row r="30" spans="1:32" x14ac:dyDescent="0.25">
      <c r="A30" s="1">
        <v>41729</v>
      </c>
      <c r="B30">
        <v>-0.13301848664513699</v>
      </c>
      <c r="C30" s="2">
        <v>3.5672431936338002E-7</v>
      </c>
      <c r="D30">
        <v>-0.73373874975046705</v>
      </c>
      <c r="E30">
        <v>-8.7175426289782501E-4</v>
      </c>
      <c r="F30">
        <v>-0.27984881967175101</v>
      </c>
      <c r="G30">
        <v>-9.9845858866285206E-2</v>
      </c>
      <c r="H30">
        <v>-0.13788935923196599</v>
      </c>
      <c r="I30" s="2">
        <v>-3.4460586863284801E-15</v>
      </c>
      <c r="J30" s="2">
        <v>2.4974406136078899E-14</v>
      </c>
      <c r="K30" s="2">
        <v>-1.1380142488294E-15</v>
      </c>
      <c r="L30">
        <v>9.2384600528205602E-2</v>
      </c>
      <c r="M30">
        <v>0</v>
      </c>
      <c r="N30">
        <v>0</v>
      </c>
      <c r="O30" s="2">
        <v>1.0580453880271E-13</v>
      </c>
      <c r="P30">
        <v>0</v>
      </c>
      <c r="Q30">
        <v>-0.98646304190218803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s="2">
        <v>1.50021675172862E-15</v>
      </c>
      <c r="Z30" s="2">
        <v>1.57581834932285E-15</v>
      </c>
      <c r="AA30" s="2">
        <v>2.8258617014481299E-15</v>
      </c>
      <c r="AB30" s="2">
        <v>3.0115552092849501E-15</v>
      </c>
      <c r="AC30" s="2">
        <v>3.2109273142123299E-15</v>
      </c>
      <c r="AD30" s="2">
        <v>-4.2864778614298496E-15</v>
      </c>
      <c r="AE30">
        <v>2.81290145105044E-2</v>
      </c>
      <c r="AF30">
        <v>-2.2511620985675198</v>
      </c>
    </row>
    <row r="31" spans="1:32" x14ac:dyDescent="0.25">
      <c r="A31" s="1">
        <v>41820</v>
      </c>
      <c r="B31">
        <v>-0.126582433376802</v>
      </c>
      <c r="C31" s="2">
        <v>8.8633829239389105E-7</v>
      </c>
      <c r="D31">
        <v>-0.74851786657752595</v>
      </c>
      <c r="E31">
        <v>-2.4393200228461901E-4</v>
      </c>
      <c r="F31">
        <v>-0.25267481158084298</v>
      </c>
      <c r="G31">
        <v>-7.9193573138507403E-2</v>
      </c>
      <c r="H31">
        <v>-0.159131594310954</v>
      </c>
      <c r="I31" s="2">
        <v>-4.2996583941505597E-15</v>
      </c>
      <c r="J31" s="2">
        <v>2.6252762962800399E-14</v>
      </c>
      <c r="K31" s="2">
        <v>-7.6426849235632296E-16</v>
      </c>
      <c r="L31">
        <v>9.8248612733445095E-2</v>
      </c>
      <c r="M31">
        <v>0</v>
      </c>
      <c r="N31">
        <v>0</v>
      </c>
      <c r="O31" s="2">
        <v>1.05729988406087E-13</v>
      </c>
      <c r="P31">
        <v>0</v>
      </c>
      <c r="Q31">
        <v>-0.98639176740876899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s="2">
        <v>1.8791977891054399E-15</v>
      </c>
      <c r="Z31" s="2">
        <v>1.70674762226709E-15</v>
      </c>
      <c r="AA31" s="2">
        <v>2.8080684375417002E-15</v>
      </c>
      <c r="AB31" s="2">
        <v>3.3842415723559899E-15</v>
      </c>
      <c r="AC31" s="2">
        <v>2.8189704900109901E-15</v>
      </c>
      <c r="AD31" s="2">
        <v>-4.5776675093844098E-15</v>
      </c>
      <c r="AE31">
        <v>2.7798264376879E-2</v>
      </c>
      <c r="AF31">
        <v>-2.2266882149469298</v>
      </c>
    </row>
    <row r="32" spans="1:32" x14ac:dyDescent="0.25">
      <c r="A32" s="1">
        <v>41912</v>
      </c>
      <c r="B32">
        <v>-0.13111629509396699</v>
      </c>
      <c r="C32" s="2">
        <v>5.8431568999568004E-7</v>
      </c>
      <c r="D32">
        <v>-0.79586970448711603</v>
      </c>
      <c r="E32" s="2">
        <v>-6.0657645202823699E-6</v>
      </c>
      <c r="F32">
        <v>-0.23028220464204299</v>
      </c>
      <c r="G32">
        <v>-6.1250304413100698E-2</v>
      </c>
      <c r="H32">
        <v>-0.18551934925739799</v>
      </c>
      <c r="I32" s="2">
        <v>-4.5206331153650198E-15</v>
      </c>
      <c r="J32" s="2">
        <v>2.71867797460977E-14</v>
      </c>
      <c r="K32" s="2">
        <v>-1.4637079832470499E-15</v>
      </c>
      <c r="L32">
        <v>8.7453535244747804E-2</v>
      </c>
      <c r="M32">
        <v>0</v>
      </c>
      <c r="N32">
        <v>0</v>
      </c>
      <c r="O32" s="2">
        <v>1.05941039117995E-13</v>
      </c>
      <c r="P32">
        <v>0</v>
      </c>
      <c r="Q32">
        <v>-0.95483281104742701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s="2">
        <v>1.9627813026796699E-15</v>
      </c>
      <c r="Z32" s="2">
        <v>2.0680490231028001E-15</v>
      </c>
      <c r="AA32" s="2">
        <v>2.6979090403661299E-15</v>
      </c>
      <c r="AB32" s="2">
        <v>3.25066232846936E-15</v>
      </c>
      <c r="AC32" s="2">
        <v>2.70700159970741E-15</v>
      </c>
      <c r="AD32" s="2">
        <v>-4.7372933634257897E-15</v>
      </c>
      <c r="AE32">
        <v>2.7471640203598099E-2</v>
      </c>
      <c r="AF32">
        <v>-2.2439509749413999</v>
      </c>
    </row>
    <row r="33" spans="1:32" x14ac:dyDescent="0.25">
      <c r="A33" s="1">
        <v>42004</v>
      </c>
      <c r="B33">
        <v>-0.13572714841815001</v>
      </c>
      <c r="C33" s="2">
        <v>9.17194730955574E-7</v>
      </c>
      <c r="D33">
        <v>-0.88968846083151998</v>
      </c>
      <c r="E33">
        <v>3.7883626164363001E-4</v>
      </c>
      <c r="F33">
        <v>-0.26037251155706898</v>
      </c>
      <c r="G33">
        <v>-4.7354014046184098E-2</v>
      </c>
      <c r="H33">
        <v>-0.18212789221933601</v>
      </c>
      <c r="I33" s="2">
        <v>-3.9987113252847003E-15</v>
      </c>
      <c r="J33" s="2">
        <v>2.7683748041301301E-14</v>
      </c>
      <c r="K33" s="2">
        <v>-9.7006843203135991E-16</v>
      </c>
      <c r="L33">
        <v>4.7745414131505098E-2</v>
      </c>
      <c r="M33">
        <v>0</v>
      </c>
      <c r="N33">
        <v>0</v>
      </c>
      <c r="O33" s="2">
        <v>1.06677217168943E-13</v>
      </c>
      <c r="P33">
        <v>0</v>
      </c>
      <c r="Q33">
        <v>-0.89494238813509397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s="2">
        <v>2.02721410422856E-15</v>
      </c>
      <c r="Z33" s="2">
        <v>2.0734482334984401E-15</v>
      </c>
      <c r="AA33" s="2">
        <v>2.8485312613204699E-15</v>
      </c>
      <c r="AB33" s="2">
        <v>3.4103214904063899E-15</v>
      </c>
      <c r="AC33" s="2">
        <v>2.76183937482372E-15</v>
      </c>
      <c r="AD33" s="2">
        <v>-4.2946625860481703E-15</v>
      </c>
      <c r="AE33">
        <v>2.7149087604469799E-2</v>
      </c>
      <c r="AF33">
        <v>-2.3349381600148602</v>
      </c>
    </row>
    <row r="34" spans="1:32" x14ac:dyDescent="0.25">
      <c r="A34" s="1">
        <v>42094</v>
      </c>
      <c r="B34">
        <v>-0.13203250947525899</v>
      </c>
      <c r="C34" s="2">
        <v>2.6171694395991398E-7</v>
      </c>
      <c r="D34">
        <v>-0.95518669502273401</v>
      </c>
      <c r="E34" s="2">
        <v>5.5615733691114802E-5</v>
      </c>
      <c r="F34">
        <v>-0.27787426522157899</v>
      </c>
      <c r="G34">
        <v>-2.9129567610526898E-2</v>
      </c>
      <c r="H34">
        <v>-0.20179651941976201</v>
      </c>
      <c r="I34" s="2">
        <v>-3.3594205201617898E-15</v>
      </c>
      <c r="J34" s="2">
        <v>2.7906786369988199E-14</v>
      </c>
      <c r="K34" s="2">
        <v>-2.2432341934687701E-15</v>
      </c>
      <c r="L34">
        <v>4.2299951245765799E-2</v>
      </c>
      <c r="M34">
        <v>0</v>
      </c>
      <c r="N34">
        <v>0</v>
      </c>
      <c r="O34" s="2">
        <v>1.0472255635108E-13</v>
      </c>
      <c r="P34">
        <v>0</v>
      </c>
      <c r="Q34">
        <v>-0.79152349071347505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s="2">
        <v>1.9415105298806798E-15</v>
      </c>
      <c r="Z34" s="2">
        <v>2.1007184863433901E-15</v>
      </c>
      <c r="AA34" s="2">
        <v>2.8803107319567501E-15</v>
      </c>
      <c r="AB34" s="2">
        <v>3.3316241994578998E-15</v>
      </c>
      <c r="AC34" s="2">
        <v>2.9420607960720499E-15</v>
      </c>
      <c r="AD34" s="2">
        <v>-4.1920382557676797E-15</v>
      </c>
      <c r="AE34">
        <v>2.6830552918844799E-2</v>
      </c>
      <c r="AF34">
        <v>-2.3183566658479502</v>
      </c>
    </row>
    <row r="35" spans="1:32" x14ac:dyDescent="0.25">
      <c r="A35" s="1">
        <v>42185</v>
      </c>
      <c r="B35">
        <v>-0.135462578687085</v>
      </c>
      <c r="C35" s="2">
        <v>-9.9148589052199704E-8</v>
      </c>
      <c r="D35">
        <v>-0.97446710691266003</v>
      </c>
      <c r="E35" s="2">
        <v>-6.6829617240317905E-5</v>
      </c>
      <c r="F35">
        <v>-0.24795711228051601</v>
      </c>
      <c r="G35">
        <v>-1.9405333777917401E-2</v>
      </c>
      <c r="H35">
        <v>-0.21553375772366701</v>
      </c>
      <c r="I35" s="2">
        <v>-4.6708530842622202E-15</v>
      </c>
      <c r="J35" s="2">
        <v>2.82815235758608E-14</v>
      </c>
      <c r="K35" s="2">
        <v>-2.1809759770841201E-15</v>
      </c>
      <c r="L35">
        <v>3.08577500761869E-2</v>
      </c>
      <c r="M35">
        <v>0</v>
      </c>
      <c r="N35">
        <v>0</v>
      </c>
      <c r="O35" s="2">
        <v>1.04287978656748E-13</v>
      </c>
      <c r="P35">
        <v>0</v>
      </c>
      <c r="Q35">
        <v>-0.69459975923077499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s="2">
        <v>1.87699986707259E-15</v>
      </c>
      <c r="Z35" s="2">
        <v>2.0536297938280602E-15</v>
      </c>
      <c r="AA35" s="2">
        <v>2.76002237563438E-15</v>
      </c>
      <c r="AB35" s="2">
        <v>3.4477245032667498E-15</v>
      </c>
      <c r="AC35" s="2">
        <v>2.9542775012901E-15</v>
      </c>
      <c r="AD35" s="2">
        <v>-4.02611858460335E-15</v>
      </c>
      <c r="AE35">
        <v>2.65159832028793E-2</v>
      </c>
      <c r="AF35">
        <v>-2.2301188440992501</v>
      </c>
    </row>
    <row r="36" spans="1:32" x14ac:dyDescent="0.25">
      <c r="A36" s="1">
        <v>42277</v>
      </c>
      <c r="B36">
        <v>-0.143468661614568</v>
      </c>
      <c r="C36" s="2">
        <v>-7.5340377829116496E-8</v>
      </c>
      <c r="D36">
        <v>-1.11831853916346</v>
      </c>
      <c r="E36">
        <v>1.8609318177691299E-4</v>
      </c>
      <c r="F36">
        <v>-0.28016682371586299</v>
      </c>
      <c r="G36">
        <v>2.2034760639264902E-3</v>
      </c>
      <c r="H36">
        <v>-0.21079818778380599</v>
      </c>
      <c r="I36" s="2">
        <v>-4.3898587437424998E-15</v>
      </c>
      <c r="J36" s="2">
        <v>2.8776452622915002E-14</v>
      </c>
      <c r="K36" s="2">
        <v>-1.51219747352287E-15</v>
      </c>
      <c r="L36">
        <v>1.2593621845729101E-2</v>
      </c>
      <c r="M36">
        <v>0</v>
      </c>
      <c r="N36">
        <v>0</v>
      </c>
      <c r="O36" s="2">
        <v>1.05026746683788E-13</v>
      </c>
      <c r="P36">
        <v>0</v>
      </c>
      <c r="Q36">
        <v>-0.70652559084838495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s="2">
        <v>2.02399299850579E-15</v>
      </c>
      <c r="Z36" s="2">
        <v>2.1155571159440801E-15</v>
      </c>
      <c r="AA36" s="2">
        <v>3.0077460628103098E-15</v>
      </c>
      <c r="AB36" s="2">
        <v>3.5756303806543396E-15</v>
      </c>
      <c r="AC36" s="2">
        <v>3.13203392679361E-15</v>
      </c>
      <c r="AD36" s="2">
        <v>-3.8431633716375602E-15</v>
      </c>
      <c r="AE36">
        <v>2.62053262208597E-2</v>
      </c>
      <c r="AF36">
        <v>-2.4180893611540299</v>
      </c>
    </row>
    <row r="37" spans="1:32" x14ac:dyDescent="0.25">
      <c r="A37" s="1">
        <v>42369</v>
      </c>
      <c r="B37">
        <v>-0.14161307334103501</v>
      </c>
      <c r="C37" s="2">
        <v>-3.2741674264784298E-7</v>
      </c>
      <c r="D37">
        <v>-1.1051422447472901</v>
      </c>
      <c r="E37">
        <v>-3.4871555534662598E-4</v>
      </c>
      <c r="F37">
        <v>-0.28599150156049202</v>
      </c>
      <c r="G37">
        <v>1.0917157527722701E-2</v>
      </c>
      <c r="H37">
        <v>-0.19594262316299499</v>
      </c>
      <c r="I37" s="2">
        <v>-4.0070122452032603E-15</v>
      </c>
      <c r="J37" s="2">
        <v>2.9575641634862099E-14</v>
      </c>
      <c r="K37" s="2">
        <v>-1.7370245504803799E-15</v>
      </c>
      <c r="L37">
        <v>-1.00363674765398E-2</v>
      </c>
      <c r="M37">
        <v>0</v>
      </c>
      <c r="N37">
        <v>0</v>
      </c>
      <c r="O37" s="2">
        <v>1.05818214277451E-13</v>
      </c>
      <c r="P37">
        <v>0</v>
      </c>
      <c r="Q37">
        <v>-0.69928026910187402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s="2">
        <v>1.9066272555945298E-15</v>
      </c>
      <c r="Z37" s="2">
        <v>2.1936011167078201E-15</v>
      </c>
      <c r="AA37" s="2">
        <v>3.0054858648120699E-15</v>
      </c>
      <c r="AB37" s="2">
        <v>3.6322690273402201E-15</v>
      </c>
      <c r="AC37" s="2">
        <v>3.1559196967470601E-15</v>
      </c>
      <c r="AD37" s="2">
        <v>-3.77109747496449E-15</v>
      </c>
      <c r="AE37">
        <v>2.58985304365911E-2</v>
      </c>
      <c r="AF37">
        <v>-2.40153943439786</v>
      </c>
    </row>
    <row r="38" spans="1:32" x14ac:dyDescent="0.25">
      <c r="A38" s="1">
        <v>42460</v>
      </c>
      <c r="B38">
        <v>-0.14045252840383499</v>
      </c>
      <c r="C38" s="2">
        <v>1.70273765327342E-8</v>
      </c>
      <c r="D38">
        <v>-1.26166606576042</v>
      </c>
      <c r="E38">
        <v>5.1673071049736599E-4</v>
      </c>
      <c r="F38">
        <v>-0.28451576274032098</v>
      </c>
      <c r="G38">
        <v>1.33571734909399E-2</v>
      </c>
      <c r="H38">
        <v>-0.20126516437620401</v>
      </c>
      <c r="I38" s="2">
        <v>-4.2821996871417204E-15</v>
      </c>
      <c r="J38" s="2">
        <v>3.0246833949319201E-14</v>
      </c>
      <c r="K38" s="2">
        <v>-1.1625757881951799E-15</v>
      </c>
      <c r="L38">
        <v>-2.30317662617456E-2</v>
      </c>
      <c r="M38">
        <v>0</v>
      </c>
      <c r="N38">
        <v>0</v>
      </c>
      <c r="O38" s="2">
        <v>1.06717025697313E-13</v>
      </c>
      <c r="P38">
        <v>0</v>
      </c>
      <c r="Q38">
        <v>-0.66782872046518504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s="2">
        <v>2.16956637688748E-15</v>
      </c>
      <c r="Z38" s="2">
        <v>2.3612965234613301E-15</v>
      </c>
      <c r="AA38" s="2">
        <v>3.1918296713553901E-15</v>
      </c>
      <c r="AB38" s="2">
        <v>3.7544784305175201E-15</v>
      </c>
      <c r="AC38" s="2">
        <v>3.23101639125169E-15</v>
      </c>
      <c r="AD38" s="2">
        <v>-3.6610329729628603E-15</v>
      </c>
      <c r="AE38">
        <v>2.5595545004850499E-2</v>
      </c>
      <c r="AF38">
        <v>-2.53929054177391</v>
      </c>
    </row>
    <row r="39" spans="1:32" x14ac:dyDescent="0.25">
      <c r="A39" s="1">
        <v>42551</v>
      </c>
      <c r="B39">
        <v>-0.15336789922664301</v>
      </c>
      <c r="C39" s="2">
        <v>-2.30039283171335E-7</v>
      </c>
      <c r="D39">
        <v>-1.1260525043205101</v>
      </c>
      <c r="E39" s="2">
        <v>-8.7378544680256399E-5</v>
      </c>
      <c r="F39">
        <v>-0.237486735948821</v>
      </c>
      <c r="G39">
        <v>5.8382366824125103E-3</v>
      </c>
      <c r="H39">
        <v>-0.18432797026087999</v>
      </c>
      <c r="I39" s="2">
        <v>-5.78667946569845E-15</v>
      </c>
      <c r="J39" s="2">
        <v>3.1049541686395098E-14</v>
      </c>
      <c r="K39" s="2">
        <v>-1.47836152941669E-15</v>
      </c>
      <c r="L39">
        <v>1.53379559586961E-2</v>
      </c>
      <c r="M39">
        <v>0</v>
      </c>
      <c r="N39">
        <v>0</v>
      </c>
      <c r="O39" s="2">
        <v>1.04844492449956E-13</v>
      </c>
      <c r="P39">
        <v>0</v>
      </c>
      <c r="Q39">
        <v>-0.67151715775138798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s="2">
        <v>2.01952722500102E-15</v>
      </c>
      <c r="Z39" s="2">
        <v>2.25020138745756E-15</v>
      </c>
      <c r="AA39" s="2">
        <v>3.0412708590862002E-15</v>
      </c>
      <c r="AB39" s="2">
        <v>3.5532257999379998E-15</v>
      </c>
      <c r="AC39" s="2">
        <v>2.98493586381012E-15</v>
      </c>
      <c r="AD39" s="2">
        <v>-3.7333227235155902E-15</v>
      </c>
      <c r="AE39">
        <v>2.5296319762904799E-2</v>
      </c>
      <c r="AF39">
        <v>-2.32636736368806</v>
      </c>
    </row>
    <row r="40" spans="1:32" x14ac:dyDescent="0.25">
      <c r="A40" s="1">
        <v>42643</v>
      </c>
      <c r="B40">
        <v>-0.15464978148369199</v>
      </c>
      <c r="C40" s="2">
        <v>-2.3299020561737301E-8</v>
      </c>
      <c r="D40">
        <v>-1.0848662091347001</v>
      </c>
      <c r="E40">
        <v>2.8350978685320199E-4</v>
      </c>
      <c r="F40">
        <v>-0.182710973603633</v>
      </c>
      <c r="G40">
        <v>7.5979457073407303E-3</v>
      </c>
      <c r="H40">
        <v>-0.19537557928674301</v>
      </c>
      <c r="I40" s="2">
        <v>-5.5456392605134302E-15</v>
      </c>
      <c r="J40" s="2">
        <v>3.1843494292679799E-14</v>
      </c>
      <c r="K40" s="2">
        <v>-1.3572831807806E-15</v>
      </c>
      <c r="L40">
        <v>2.5166711763714201E-2</v>
      </c>
      <c r="M40">
        <v>0</v>
      </c>
      <c r="N40">
        <v>0</v>
      </c>
      <c r="O40" s="2">
        <v>1.05196097533798E-13</v>
      </c>
      <c r="P40">
        <v>0</v>
      </c>
      <c r="Q40">
        <v>-0.640760214371346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s="2">
        <v>2.05959657344708E-15</v>
      </c>
      <c r="Z40" s="2">
        <v>2.2465186066911702E-15</v>
      </c>
      <c r="AA40" s="2">
        <v>2.9951254539676902E-15</v>
      </c>
      <c r="AB40" s="2">
        <v>3.4616531667497199E-15</v>
      </c>
      <c r="AC40" s="2">
        <v>2.9790151596888998E-15</v>
      </c>
      <c r="AD40" s="2">
        <v>-3.5686816506445798E-15</v>
      </c>
      <c r="AE40">
        <v>2.5000805222095301E-2</v>
      </c>
      <c r="AF40">
        <v>-2.20031380869899</v>
      </c>
    </row>
    <row r="41" spans="1:32" x14ac:dyDescent="0.25">
      <c r="A41" s="1">
        <v>42735</v>
      </c>
      <c r="B41">
        <v>-0.15689805339809401</v>
      </c>
      <c r="C41" s="2">
        <v>-6.0758439755713598E-7</v>
      </c>
      <c r="D41">
        <v>-0.93561390365941999</v>
      </c>
      <c r="E41">
        <v>-1.76981904098821E-4</v>
      </c>
      <c r="F41">
        <v>-0.110131278913535</v>
      </c>
      <c r="G41">
        <v>1.4781673530039599E-2</v>
      </c>
      <c r="H41">
        <v>-0.201192479412239</v>
      </c>
      <c r="I41" s="2">
        <v>-5.6632666695796303E-15</v>
      </c>
      <c r="J41" s="2">
        <v>3.2355209601863698E-14</v>
      </c>
      <c r="K41" s="2">
        <v>-1.89939883850551E-15</v>
      </c>
      <c r="L41">
        <v>4.1358337025832297E-2</v>
      </c>
      <c r="M41">
        <v>0</v>
      </c>
      <c r="N41">
        <v>0</v>
      </c>
      <c r="O41" s="2">
        <v>1.0519447709741499E-13</v>
      </c>
      <c r="P41">
        <v>0</v>
      </c>
      <c r="Q41">
        <v>-0.60051124234992304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s="2">
        <v>1.9009126136931102E-15</v>
      </c>
      <c r="Z41" s="2">
        <v>2.0687044466566701E-15</v>
      </c>
      <c r="AA41" s="2">
        <v>2.8060316705131099E-15</v>
      </c>
      <c r="AB41" s="2">
        <v>3.3507227223537401E-15</v>
      </c>
      <c r="AC41" s="2">
        <v>2.9596889390740599E-15</v>
      </c>
      <c r="AD41" s="2">
        <v>-3.7381891992930996E-15</v>
      </c>
      <c r="AE41">
        <v>2.4708952559489301E-2</v>
      </c>
      <c r="AF41">
        <v>-1.9236755841062001</v>
      </c>
    </row>
    <row r="42" spans="1:32" x14ac:dyDescent="0.25">
      <c r="A42" s="1">
        <v>42825</v>
      </c>
      <c r="B42">
        <v>-0.16354199418888599</v>
      </c>
      <c r="C42" s="2">
        <v>-4.0013018331316502E-8</v>
      </c>
      <c r="D42">
        <v>-0.83347003920568496</v>
      </c>
      <c r="E42" s="2">
        <v>6.8539948310830702E-5</v>
      </c>
      <c r="F42">
        <v>-7.5253141149913605E-2</v>
      </c>
      <c r="G42">
        <v>5.8257957251992704E-3</v>
      </c>
      <c r="H42">
        <v>-0.20361113849594401</v>
      </c>
      <c r="I42" s="2">
        <v>-6.0140103804861497E-15</v>
      </c>
      <c r="J42" s="2">
        <v>3.2819388673300503E-14</v>
      </c>
      <c r="K42" s="2">
        <v>-1.58943080166267E-15</v>
      </c>
      <c r="L42">
        <v>3.9634700291696003E-2</v>
      </c>
      <c r="M42">
        <v>0</v>
      </c>
      <c r="N42">
        <v>0</v>
      </c>
      <c r="O42" s="2">
        <v>1.05286979617418E-13</v>
      </c>
      <c r="P42">
        <v>0</v>
      </c>
      <c r="Q42">
        <v>-0.56358815945823204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s="2">
        <v>1.9102441950948701E-15</v>
      </c>
      <c r="Z42" s="2">
        <v>2.04244264925011E-15</v>
      </c>
      <c r="AA42" s="2">
        <v>2.8369743957475199E-15</v>
      </c>
      <c r="AB42" s="2">
        <v>3.4424397081404699E-15</v>
      </c>
      <c r="AC42" s="2">
        <v>2.8504537384876299E-15</v>
      </c>
      <c r="AD42" s="2">
        <v>-3.8113117812260497E-15</v>
      </c>
      <c r="AE42">
        <v>2.44207136096001E-2</v>
      </c>
      <c r="AF42">
        <v>-1.76951476293673</v>
      </c>
    </row>
    <row r="43" spans="1:32" x14ac:dyDescent="0.25">
      <c r="A43" s="1">
        <v>42916</v>
      </c>
      <c r="B43">
        <v>-0.159473739843845</v>
      </c>
      <c r="C43" s="2">
        <v>-1.9826535906901099E-7</v>
      </c>
      <c r="D43">
        <v>-0.799405440160595</v>
      </c>
      <c r="E43" s="2">
        <v>3.0668715898634799E-5</v>
      </c>
      <c r="F43">
        <v>-7.2048293733365604E-2</v>
      </c>
      <c r="G43">
        <v>1.62738423940611E-2</v>
      </c>
      <c r="H43">
        <v>-0.19188746094044501</v>
      </c>
      <c r="I43" s="2">
        <v>-5.5008382563289797E-15</v>
      </c>
      <c r="J43" s="2">
        <v>3.3389323312432797E-14</v>
      </c>
      <c r="K43" s="2">
        <v>-1.40366382523242E-15</v>
      </c>
      <c r="L43">
        <v>4.5016452074562702E-2</v>
      </c>
      <c r="M43">
        <v>0</v>
      </c>
      <c r="N43">
        <v>0</v>
      </c>
      <c r="O43" s="2">
        <v>1.05091919408471E-13</v>
      </c>
      <c r="P43">
        <v>0</v>
      </c>
      <c r="Q43">
        <v>-0.55865081236227199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s="2">
        <v>1.9041306319104199E-15</v>
      </c>
      <c r="Z43" s="2">
        <v>2.0905555258921301E-15</v>
      </c>
      <c r="AA43" s="2">
        <v>2.9304605824857498E-15</v>
      </c>
      <c r="AB43" s="2">
        <v>3.3420587475241998E-15</v>
      </c>
      <c r="AC43" s="2">
        <v>2.6994253390895399E-15</v>
      </c>
      <c r="AD43" s="2">
        <v>-3.9130379715724599E-15</v>
      </c>
      <c r="AE43">
        <v>2.4136040856174001E-2</v>
      </c>
      <c r="AF43">
        <v>-1.6960089412650401</v>
      </c>
    </row>
    <row r="44" spans="1:32" x14ac:dyDescent="0.25">
      <c r="A44" s="1">
        <v>43008</v>
      </c>
      <c r="B44">
        <v>-0.15987142404902299</v>
      </c>
      <c r="C44" s="2">
        <v>-3.4533119474037601E-7</v>
      </c>
      <c r="D44">
        <v>-0.71691343329693302</v>
      </c>
      <c r="E44">
        <v>-2.28400175875143E-4</v>
      </c>
      <c r="F44">
        <v>-6.79235089053392E-2</v>
      </c>
      <c r="G44">
        <v>1.3346738465684699E-2</v>
      </c>
      <c r="H44">
        <v>-0.20016214964376799</v>
      </c>
      <c r="I44" s="2">
        <v>-5.6226871113313097E-15</v>
      </c>
      <c r="J44" s="2">
        <v>3.3678438512391E-14</v>
      </c>
      <c r="K44" s="2">
        <v>-1.65029275510812E-15</v>
      </c>
      <c r="L44">
        <v>3.7625746302061003E-2</v>
      </c>
      <c r="M44">
        <v>0</v>
      </c>
      <c r="N44">
        <v>0</v>
      </c>
      <c r="O44" s="2">
        <v>1.03810090655555E-13</v>
      </c>
      <c r="P44">
        <v>0</v>
      </c>
      <c r="Q44">
        <v>-0.45145210589533902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s="2">
        <v>1.8733779261106799E-15</v>
      </c>
      <c r="Z44" s="2">
        <v>2.1165776116733201E-15</v>
      </c>
      <c r="AA44" s="2">
        <v>2.8010252077904201E-15</v>
      </c>
      <c r="AB44" s="2">
        <v>3.1773701494615E-15</v>
      </c>
      <c r="AC44" s="2">
        <v>2.5292651562900399E-15</v>
      </c>
      <c r="AD44" s="2">
        <v>-4.15426000709918E-15</v>
      </c>
      <c r="AE44">
        <v>2.3854887424048499E-2</v>
      </c>
      <c r="AF44">
        <v>-1.5217239951055299</v>
      </c>
    </row>
    <row r="45" spans="1:32" x14ac:dyDescent="0.25">
      <c r="A45" s="1">
        <v>43100</v>
      </c>
      <c r="B45">
        <v>-0.16537498736138201</v>
      </c>
      <c r="C45" s="2">
        <v>4.6609936149868698E-7</v>
      </c>
      <c r="D45">
        <v>-0.62307738850658401</v>
      </c>
      <c r="E45">
        <v>1.39120638656393E-4</v>
      </c>
      <c r="F45">
        <v>-7.4262602989893206E-2</v>
      </c>
      <c r="G45">
        <v>2.8690624880258898E-2</v>
      </c>
      <c r="H45">
        <v>-0.22294244546859601</v>
      </c>
      <c r="I45" s="2">
        <v>-6.1973730484367201E-15</v>
      </c>
      <c r="J45" s="2">
        <v>3.3883765164323703E-14</v>
      </c>
      <c r="K45" s="2">
        <v>-1.1206311751690701E-15</v>
      </c>
      <c r="L45">
        <v>4.53474799559372E-2</v>
      </c>
      <c r="M45">
        <v>0</v>
      </c>
      <c r="N45">
        <v>0</v>
      </c>
      <c r="O45" s="2">
        <v>1.02284347551397E-13</v>
      </c>
      <c r="P45">
        <v>0</v>
      </c>
      <c r="Q45">
        <v>-0.35370988634574002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s="2">
        <v>2.0083799884548701E-15</v>
      </c>
      <c r="Z45" s="2">
        <v>2.1009468676855398E-15</v>
      </c>
      <c r="AA45" s="2">
        <v>2.7354340435851701E-15</v>
      </c>
      <c r="AB45" s="2">
        <v>3.07382525063214E-15</v>
      </c>
      <c r="AC45" s="2">
        <v>2.26889519646431E-15</v>
      </c>
      <c r="AD45" s="2">
        <v>-4.3125046337566398E-15</v>
      </c>
      <c r="AE45">
        <v>2.3577207071079E-2</v>
      </c>
      <c r="AF45">
        <v>-1.3416124120267601</v>
      </c>
    </row>
    <row r="46" spans="1:32" x14ac:dyDescent="0.25">
      <c r="A46" s="1">
        <v>43190</v>
      </c>
      <c r="B46">
        <v>-0.16592118444978299</v>
      </c>
      <c r="C46" s="2">
        <v>6.3346874960689496E-7</v>
      </c>
      <c r="D46">
        <v>-0.53345655404102699</v>
      </c>
      <c r="E46">
        <v>1.7562592682924801E-4</v>
      </c>
      <c r="F46">
        <v>-5.82371413582271E-2</v>
      </c>
      <c r="G46">
        <v>3.54904964043007E-2</v>
      </c>
      <c r="H46">
        <v>-0.215790912255757</v>
      </c>
      <c r="I46" s="2">
        <v>-7.0656142033977897E-15</v>
      </c>
      <c r="J46" s="2">
        <v>3.4407872526664903E-14</v>
      </c>
      <c r="K46" s="2">
        <v>-7.9253776499973501E-16</v>
      </c>
      <c r="L46">
        <v>4.5211298512737003E-2</v>
      </c>
      <c r="M46">
        <v>0</v>
      </c>
      <c r="N46">
        <v>0</v>
      </c>
      <c r="O46" s="2">
        <v>1.02039931490741E-13</v>
      </c>
      <c r="P46">
        <v>0</v>
      </c>
      <c r="Q46">
        <v>-0.33537055003757699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s="2">
        <v>1.9296221726807801E-15</v>
      </c>
      <c r="Z46" s="2">
        <v>1.9910760464917099E-15</v>
      </c>
      <c r="AA46" s="2">
        <v>2.60994874149825E-15</v>
      </c>
      <c r="AB46" s="2">
        <v>2.8183336082347E-15</v>
      </c>
      <c r="AC46" s="2">
        <v>2.0488738305099199E-15</v>
      </c>
      <c r="AD46" s="2">
        <v>-4.0867848912192899E-15</v>
      </c>
      <c r="AE46">
        <v>2.3302954180136601E-2</v>
      </c>
      <c r="AF46">
        <v>-1.2045953336494799</v>
      </c>
    </row>
    <row r="47" spans="1:32" x14ac:dyDescent="0.25">
      <c r="A47" s="1">
        <v>43281</v>
      </c>
      <c r="B47">
        <v>-0.16117136937927101</v>
      </c>
      <c r="C47" s="2">
        <v>-3.1514390647298997E-8</v>
      </c>
      <c r="D47">
        <v>-0.58242565515641698</v>
      </c>
      <c r="E47" s="2">
        <v>9.63769415593443E-5</v>
      </c>
      <c r="F47">
        <v>-5.9989078636587603E-2</v>
      </c>
      <c r="G47">
        <v>4.4287392684931301E-2</v>
      </c>
      <c r="H47">
        <v>-0.21029086581783499</v>
      </c>
      <c r="I47" s="2">
        <v>-7.4807649659418893E-15</v>
      </c>
      <c r="J47" s="2">
        <v>3.5126327866474301E-14</v>
      </c>
      <c r="K47" s="2">
        <v>-8.29163224271615E-16</v>
      </c>
      <c r="L47">
        <v>2.97583098762467E-2</v>
      </c>
      <c r="M47">
        <v>0</v>
      </c>
      <c r="N47">
        <v>0</v>
      </c>
      <c r="O47" s="2">
        <v>1.03390914630261E-13</v>
      </c>
      <c r="P47">
        <v>0</v>
      </c>
      <c r="Q47">
        <v>-0.38108312250794801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s="2">
        <v>1.8687884005045101E-15</v>
      </c>
      <c r="Z47" s="2">
        <v>1.9201538075686502E-15</v>
      </c>
      <c r="AA47" s="2">
        <v>2.4331067183241699E-15</v>
      </c>
      <c r="AB47" s="2">
        <v>2.6696621296717401E-15</v>
      </c>
      <c r="AC47" s="2">
        <v>2.2306025861742099E-15</v>
      </c>
      <c r="AD47" s="2">
        <v>-3.4523460103364398E-15</v>
      </c>
      <c r="AE47">
        <v>2.3032083751176501E-2</v>
      </c>
      <c r="AF47">
        <v>-1.2977859597583901</v>
      </c>
    </row>
    <row r="48" spans="1:32" x14ac:dyDescent="0.25">
      <c r="A48" s="1">
        <v>43373</v>
      </c>
      <c r="B48">
        <v>-0.15256368441663201</v>
      </c>
      <c r="C48" s="2">
        <v>-2.2837675841467899E-8</v>
      </c>
      <c r="D48">
        <v>-0.55331132512710102</v>
      </c>
      <c r="E48" s="2">
        <v>7.7805971738395104E-5</v>
      </c>
      <c r="F48">
        <v>-5.7055452894189798E-2</v>
      </c>
      <c r="G48">
        <v>4.5222700903013599E-2</v>
      </c>
      <c r="H48">
        <v>-0.21549060308752099</v>
      </c>
      <c r="I48" s="2">
        <v>-6.9251525831541898E-15</v>
      </c>
      <c r="J48" s="2">
        <v>3.56389216630471E-14</v>
      </c>
      <c r="K48" s="2">
        <v>-1.13086061484517E-15</v>
      </c>
      <c r="L48">
        <v>1.6386168645803299E-2</v>
      </c>
      <c r="M48">
        <v>0</v>
      </c>
      <c r="N48">
        <v>0</v>
      </c>
      <c r="O48" s="2">
        <v>1.03249630239679E-13</v>
      </c>
      <c r="P48">
        <v>0</v>
      </c>
      <c r="Q48">
        <v>-0.31875201376386603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s="2">
        <v>1.7606240709729499E-15</v>
      </c>
      <c r="Z48" s="2">
        <v>1.7182918162894001E-15</v>
      </c>
      <c r="AA48" s="2">
        <v>2.2674811821528599E-15</v>
      </c>
      <c r="AB48" s="2">
        <v>2.7833743194222901E-15</v>
      </c>
      <c r="AC48" s="2">
        <v>2.68701956388653E-15</v>
      </c>
      <c r="AD48" s="2">
        <v>-3.7264742090885099E-15</v>
      </c>
      <c r="AE48">
        <v>2.2764551393378199E-2</v>
      </c>
      <c r="AF48">
        <v>-1.2127218752129101</v>
      </c>
    </row>
    <row r="49" spans="1:32" x14ac:dyDescent="0.25">
      <c r="A49" s="1">
        <v>43465</v>
      </c>
      <c r="B49">
        <v>-0.14766305385210901</v>
      </c>
      <c r="C49" s="2">
        <v>2.24539603934465E-7</v>
      </c>
      <c r="D49">
        <v>-0.60030604353996997</v>
      </c>
      <c r="E49">
        <v>3.1134292142119698E-4</v>
      </c>
      <c r="F49">
        <v>-8.8257523007217897E-2</v>
      </c>
      <c r="G49">
        <v>4.9578013493057099E-2</v>
      </c>
      <c r="H49">
        <v>-0.192684429298526</v>
      </c>
      <c r="I49" s="2">
        <v>-7.3492937651169802E-15</v>
      </c>
      <c r="J49" s="2">
        <v>3.6350725469776899E-14</v>
      </c>
      <c r="K49" s="2">
        <v>-8.7018049120613399E-16</v>
      </c>
      <c r="L49">
        <v>1.1985532240560599E-3</v>
      </c>
      <c r="M49">
        <v>0</v>
      </c>
      <c r="N49">
        <v>0</v>
      </c>
      <c r="O49" s="2">
        <v>1.03907179593438E-13</v>
      </c>
      <c r="P49">
        <v>0</v>
      </c>
      <c r="Q49">
        <v>-0.32903229464900402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s="2">
        <v>1.69953318187694E-15</v>
      </c>
      <c r="Z49" s="2">
        <v>1.67741556538477E-15</v>
      </c>
      <c r="AA49" s="2">
        <v>2.45752505045761E-15</v>
      </c>
      <c r="AB49" s="2">
        <v>3.2452085446930002E-15</v>
      </c>
      <c r="AC49" s="2">
        <v>2.44759341274621E-15</v>
      </c>
      <c r="AD49" s="2">
        <v>-7.5341443796546294E-15</v>
      </c>
      <c r="AE49">
        <v>2.2500313317357301E-2</v>
      </c>
      <c r="AF49">
        <v>-1.28435489685119</v>
      </c>
    </row>
    <row r="50" spans="1:32" x14ac:dyDescent="0.25">
      <c r="A50" s="1">
        <v>43555</v>
      </c>
      <c r="B50">
        <v>-0.13260000060487501</v>
      </c>
      <c r="C50" s="2">
        <v>2.5237379916590701E-7</v>
      </c>
      <c r="D50">
        <v>-0.64052170850155898</v>
      </c>
      <c r="E50">
        <v>2.0755149827663501E-4</v>
      </c>
      <c r="F50">
        <v>-0.140890406147166</v>
      </c>
      <c r="G50">
        <v>6.2434005294390797E-2</v>
      </c>
      <c r="H50">
        <v>-0.206384254229727</v>
      </c>
      <c r="I50" s="2">
        <v>-6.9410113536526801E-15</v>
      </c>
      <c r="J50" s="2">
        <v>3.6034276717027401E-14</v>
      </c>
      <c r="K50" s="2">
        <v>-1.23733775520384E-15</v>
      </c>
      <c r="L50">
        <v>7.36856764497677E-4</v>
      </c>
      <c r="M50">
        <v>0</v>
      </c>
      <c r="N50">
        <v>0</v>
      </c>
      <c r="O50" s="2">
        <v>1.02328027738893E-13</v>
      </c>
      <c r="P50">
        <v>0</v>
      </c>
      <c r="Q50">
        <v>-0.25724590366849198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s="2">
        <v>1.60753850114902E-15</v>
      </c>
      <c r="Z50" s="2">
        <v>1.8026890851620098E-15</v>
      </c>
      <c r="AA50" s="2">
        <v>2.8053033551064901E-15</v>
      </c>
      <c r="AB50" s="2">
        <v>2.9706255158110799E-15</v>
      </c>
      <c r="AC50" s="2">
        <v>-1.0235697482175501E-15</v>
      </c>
      <c r="AD50" s="2">
        <v>-5.7370669486134899E-15</v>
      </c>
      <c r="AE50">
        <v>2.2239326327449901E-2</v>
      </c>
      <c r="AF50">
        <v>-1.29202428089327</v>
      </c>
    </row>
    <row r="51" spans="1:32" x14ac:dyDescent="0.25">
      <c r="A51" s="1">
        <v>43646</v>
      </c>
      <c r="B51">
        <v>-0.14838786809621399</v>
      </c>
      <c r="C51" s="2">
        <v>1.0062882741648401E-6</v>
      </c>
      <c r="D51">
        <v>-0.65288367479015397</v>
      </c>
      <c r="E51">
        <v>9.6885551457638597E-4</v>
      </c>
      <c r="F51">
        <v>-0.12878857577901701</v>
      </c>
      <c r="G51">
        <v>6.5761734663579305E-2</v>
      </c>
      <c r="H51">
        <v>-0.222905194813007</v>
      </c>
      <c r="I51" s="2">
        <v>-7.4477995812276294E-15</v>
      </c>
      <c r="J51" s="2">
        <v>3.6695185836354598E-14</v>
      </c>
      <c r="K51" s="2">
        <v>-1.18421631422181E-15</v>
      </c>
      <c r="L51">
        <v>1.69158367644613E-2</v>
      </c>
      <c r="M51">
        <v>0</v>
      </c>
      <c r="N51">
        <v>0</v>
      </c>
      <c r="O51" s="2">
        <v>1.02416967527428E-13</v>
      </c>
      <c r="P51">
        <v>0</v>
      </c>
      <c r="Q51">
        <v>-0.29860698582581502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s="2">
        <v>1.7662620968115199E-15</v>
      </c>
      <c r="Z51" s="2">
        <v>2.1674514716323901E-15</v>
      </c>
      <c r="AA51" s="2">
        <v>2.5929201577036601E-15</v>
      </c>
      <c r="AB51" s="2">
        <v>-4.85186838554725E-18</v>
      </c>
      <c r="AC51" s="2">
        <v>4.7922835633938504E-16</v>
      </c>
      <c r="AD51" s="2">
        <v>-4.9564831046646504E-15</v>
      </c>
      <c r="AE51">
        <v>2.1981547814068799E-2</v>
      </c>
      <c r="AF51">
        <v>-1.3459433182591101</v>
      </c>
    </row>
    <row r="52" spans="1:32" x14ac:dyDescent="0.25">
      <c r="A52" s="1">
        <v>43738</v>
      </c>
      <c r="B52">
        <v>-0.14757217352336499</v>
      </c>
      <c r="C52" s="2">
        <v>1.76423845473193E-6</v>
      </c>
      <c r="D52">
        <v>-0.64641800456364795</v>
      </c>
      <c r="E52">
        <v>1.39790002428566E-3</v>
      </c>
      <c r="F52">
        <v>-0.110464993978971</v>
      </c>
      <c r="G52">
        <v>4.5947951790900603E-2</v>
      </c>
      <c r="H52">
        <v>-0.22762682454593899</v>
      </c>
      <c r="I52" s="2">
        <v>-7.4358462248463901E-15</v>
      </c>
      <c r="J52" s="2">
        <v>3.7475377184388103E-14</v>
      </c>
      <c r="K52" s="2">
        <v>-8.47078535195094E-16</v>
      </c>
      <c r="L52">
        <v>6.8608818831926801E-4</v>
      </c>
      <c r="M52">
        <v>0</v>
      </c>
      <c r="N52">
        <v>0</v>
      </c>
      <c r="O52" s="2">
        <v>1.03391966135423E-13</v>
      </c>
      <c r="P52">
        <v>0</v>
      </c>
      <c r="Q52">
        <v>-0.320370883801332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s="2">
        <v>1.9887568111498001E-15</v>
      </c>
      <c r="Z52" s="2">
        <v>1.9043501238582499E-15</v>
      </c>
      <c r="AA52" s="2">
        <v>-2.9559071005318903E-17</v>
      </c>
      <c r="AB52" s="2">
        <v>1.2696431520894201E-15</v>
      </c>
      <c r="AC52" s="2">
        <v>1.1320402178480899E-15</v>
      </c>
      <c r="AD52" s="2">
        <v>-4.2742666768829997E-15</v>
      </c>
      <c r="AE52">
        <v>2.1726935746134001E-2</v>
      </c>
      <c r="AF52">
        <v>-1.3826922404250199</v>
      </c>
    </row>
    <row r="53" spans="1:32" x14ac:dyDescent="0.25">
      <c r="A53" s="1">
        <v>43830</v>
      </c>
      <c r="B53">
        <v>-0.138056288444276</v>
      </c>
      <c r="C53" s="2">
        <v>2.67886931035677E-6</v>
      </c>
      <c r="D53">
        <v>-0.57759659323389501</v>
      </c>
      <c r="E53">
        <v>1.18509333307371E-3</v>
      </c>
      <c r="F53">
        <v>-9.9913527960844406E-2</v>
      </c>
      <c r="G53">
        <v>2.3808914207846501E-2</v>
      </c>
      <c r="H53">
        <v>-0.22551024776072001</v>
      </c>
      <c r="I53" s="2">
        <v>-7.3417346696405005E-15</v>
      </c>
      <c r="J53" s="2">
        <v>3.7449862448382398E-14</v>
      </c>
      <c r="K53" s="2">
        <v>-6.4950190045723301E-16</v>
      </c>
      <c r="L53">
        <v>-2.2415909727342E-2</v>
      </c>
      <c r="M53">
        <v>0</v>
      </c>
      <c r="N53">
        <v>0</v>
      </c>
      <c r="O53" s="2">
        <v>1.02358291129159E-13</v>
      </c>
      <c r="P53">
        <v>0</v>
      </c>
      <c r="Q53">
        <v>-0.206846838226979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s="2">
        <v>1.5908199981840799E-15</v>
      </c>
      <c r="Z53" s="2">
        <v>-6.4327519514411902E-16</v>
      </c>
      <c r="AA53" s="2">
        <v>9.6030954242890105E-16</v>
      </c>
      <c r="AB53" s="2">
        <v>1.7298019268800299E-15</v>
      </c>
      <c r="AC53" s="2">
        <v>1.5987179528412901E-15</v>
      </c>
      <c r="AD53" s="2">
        <v>-3.4461836077313E-15</v>
      </c>
      <c r="AE53">
        <v>2.1475448663574901E-2</v>
      </c>
      <c r="AF53">
        <v>-1.2238672702801101</v>
      </c>
    </row>
    <row r="54" spans="1:32" x14ac:dyDescent="0.25">
      <c r="A54" s="1">
        <v>43921</v>
      </c>
      <c r="B54">
        <v>-0.116347632812952</v>
      </c>
      <c r="C54" s="2">
        <v>9.13692677801808E-7</v>
      </c>
      <c r="D54">
        <v>-0.80738357328437604</v>
      </c>
      <c r="E54">
        <v>-8.1896412117379402E-4</v>
      </c>
      <c r="F54">
        <v>-0.23966107430106601</v>
      </c>
      <c r="G54">
        <v>6.4842324379851005E-2</v>
      </c>
      <c r="H54">
        <v>-0.19694325651233899</v>
      </c>
      <c r="I54" s="2">
        <v>-7.5966767534186699E-15</v>
      </c>
      <c r="J54" s="2">
        <v>3.6871760628471798E-14</v>
      </c>
      <c r="K54" s="2">
        <v>-2.1106044013510399E-15</v>
      </c>
      <c r="L54">
        <v>3.1587319886708903E-2</v>
      </c>
      <c r="M54">
        <v>0</v>
      </c>
      <c r="N54">
        <v>0</v>
      </c>
      <c r="O54" s="2">
        <v>9.6184629669265105E-14</v>
      </c>
      <c r="P54">
        <v>0</v>
      </c>
      <c r="Q54">
        <v>-0.26244708248466098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s="2">
        <v>-6.1209099725900997E-16</v>
      </c>
      <c r="Z54" s="2">
        <v>2.5467300849675401E-16</v>
      </c>
      <c r="AA54" s="2">
        <v>1.29505597733619E-15</v>
      </c>
      <c r="AB54" s="2">
        <v>1.9853709751890501E-15</v>
      </c>
      <c r="AC54" s="2">
        <v>2.0323157421487899E-15</v>
      </c>
      <c r="AD54" s="2">
        <v>-3.3344908012917102E-15</v>
      </c>
      <c r="AE54">
        <v>2.1227045669907001E-2</v>
      </c>
      <c r="AF54">
        <v>-1.50594397988729</v>
      </c>
    </row>
    <row r="55" spans="1:32" x14ac:dyDescent="0.25">
      <c r="A55" s="1">
        <v>44012</v>
      </c>
      <c r="B55">
        <v>-0.188807759434415</v>
      </c>
      <c r="C55" s="2">
        <v>-1.7051818658525501E-5</v>
      </c>
      <c r="D55">
        <v>-0.84278199951014598</v>
      </c>
      <c r="E55">
        <v>-1.46974411178185E-2</v>
      </c>
      <c r="F55">
        <v>-0.45286601364725598</v>
      </c>
      <c r="G55">
        <v>0.167897954793295</v>
      </c>
      <c r="H55">
        <v>-0.249163306745848</v>
      </c>
      <c r="I55" s="2">
        <v>-4.1442787389336799E-15</v>
      </c>
      <c r="J55" s="2">
        <v>3.3923161984436798E-14</v>
      </c>
      <c r="K55" s="2">
        <v>-1.8221183499055199E-14</v>
      </c>
      <c r="L55">
        <v>0.25350473542616803</v>
      </c>
      <c r="M55">
        <v>0</v>
      </c>
      <c r="N55">
        <v>0</v>
      </c>
      <c r="O55" s="2">
        <v>7.56052118833424E-14</v>
      </c>
      <c r="P55">
        <v>0</v>
      </c>
      <c r="Q55">
        <v>-0.48057378004901402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s="2">
        <v>-1.3845821108711599E-15</v>
      </c>
      <c r="Z55" s="2">
        <v>-8.6537958832322797E-16</v>
      </c>
      <c r="AA55" s="2">
        <v>2.3210632245731199E-16</v>
      </c>
      <c r="AB55" s="2">
        <v>1.0890183080051999E-15</v>
      </c>
      <c r="AC55" s="2">
        <v>7.6981458961294702E-16</v>
      </c>
      <c r="AD55" s="2">
        <v>-4.5520723703828399E-15</v>
      </c>
      <c r="AE55">
        <v>2.0981686424881501E-2</v>
      </c>
      <c r="AF55">
        <v>-1.78652297567872</v>
      </c>
    </row>
    <row r="56" spans="1:32" x14ac:dyDescent="0.25">
      <c r="A56" s="1">
        <v>44104</v>
      </c>
      <c r="B56">
        <v>-0.1887509048828</v>
      </c>
      <c r="C56" s="2">
        <v>5.0144795509576103E-6</v>
      </c>
      <c r="D56">
        <v>-0.75682898602517601</v>
      </c>
      <c r="E56">
        <v>1.43614988777965E-3</v>
      </c>
      <c r="F56">
        <v>-0.29135089984194201</v>
      </c>
      <c r="G56">
        <v>2.51273673705074E-2</v>
      </c>
      <c r="H56">
        <v>-0.29940792327543903</v>
      </c>
      <c r="I56" s="2">
        <v>-7.4587832018789202E-15</v>
      </c>
      <c r="J56" s="2">
        <v>3.4107089301937798E-14</v>
      </c>
      <c r="K56" s="2">
        <v>-2.18895013319231E-15</v>
      </c>
      <c r="L56">
        <v>-5.3288989662115899E-2</v>
      </c>
      <c r="M56">
        <v>0</v>
      </c>
      <c r="N56">
        <v>0</v>
      </c>
      <c r="O56" s="2">
        <v>9.0580682836211701E-14</v>
      </c>
      <c r="P56">
        <v>0</v>
      </c>
      <c r="Q56">
        <v>0.22375213561142099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s="2">
        <v>1.4208560406066199E-15</v>
      </c>
      <c r="Z56" s="2">
        <v>1.65503897544024E-15</v>
      </c>
      <c r="AA56" s="2">
        <v>2.6056832213658199E-15</v>
      </c>
      <c r="AB56" s="2">
        <v>3.1444634236509599E-15</v>
      </c>
      <c r="AC56" s="2">
        <v>2.9676687952875601E-15</v>
      </c>
      <c r="AD56" s="2">
        <v>-2.44726875437273E-15</v>
      </c>
      <c r="AE56">
        <v>2.0739331137209299E-2</v>
      </c>
      <c r="AF56">
        <v>-1.31856770520087</v>
      </c>
    </row>
    <row r="57" spans="1:32" x14ac:dyDescent="0.25">
      <c r="A57" s="1">
        <v>44196</v>
      </c>
      <c r="B57">
        <v>-0.15708369755484999</v>
      </c>
      <c r="C57" s="2">
        <v>-1.0232663069690499E-6</v>
      </c>
      <c r="D57">
        <v>-0.58812360371273398</v>
      </c>
      <c r="E57">
        <v>-2.98636983961752E-3</v>
      </c>
      <c r="F57">
        <v>-0.31519797092249202</v>
      </c>
      <c r="G57">
        <v>5.9851203629095497E-2</v>
      </c>
      <c r="H57">
        <v>-0.27796386920570898</v>
      </c>
      <c r="I57" s="2">
        <v>-7.1175760562764407E-15</v>
      </c>
      <c r="J57" s="2">
        <v>3.2994004617289002E-14</v>
      </c>
      <c r="K57" s="2">
        <v>-3.8471346456128004E-15</v>
      </c>
      <c r="L57">
        <v>5.1643880780099398E-2</v>
      </c>
      <c r="M57">
        <v>0</v>
      </c>
      <c r="N57">
        <v>0</v>
      </c>
      <c r="O57" s="2">
        <v>8.1739347407130102E-14</v>
      </c>
      <c r="P57">
        <v>0</v>
      </c>
      <c r="Q57">
        <v>0.119765850781543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s="2">
        <v>1.04767165689386E-15</v>
      </c>
      <c r="Z57" s="2">
        <v>1.4728534861427901E-15</v>
      </c>
      <c r="AA57" s="2">
        <v>2.2363331725679998E-15</v>
      </c>
      <c r="AB57" s="2">
        <v>2.8523545482356399E-15</v>
      </c>
      <c r="AC57" s="2">
        <v>2.4402620009385299E-15</v>
      </c>
      <c r="AD57" s="2">
        <v>-3.2937219782717598E-15</v>
      </c>
      <c r="AE57">
        <v>2.0499940557357699E-2</v>
      </c>
      <c r="AF57">
        <v>-1.0895956587535001</v>
      </c>
    </row>
    <row r="58" spans="1:32" x14ac:dyDescent="0.25">
      <c r="A58" s="1">
        <v>44286</v>
      </c>
      <c r="B58">
        <v>-0.18505487763304099</v>
      </c>
      <c r="C58" s="2">
        <v>-1.3228365181765401E-6</v>
      </c>
      <c r="D58">
        <v>-0.44102492765544599</v>
      </c>
      <c r="E58">
        <v>-2.7721918325587101E-3</v>
      </c>
      <c r="F58">
        <v>-0.198794060269505</v>
      </c>
      <c r="G58">
        <v>1.4426917582716E-2</v>
      </c>
      <c r="H58">
        <v>-0.28577372455219702</v>
      </c>
      <c r="I58" s="2">
        <v>-9.4936058819667896E-15</v>
      </c>
      <c r="J58" s="2">
        <v>3.3030453859352203E-14</v>
      </c>
      <c r="K58" s="2">
        <v>-2.7200326183543999E-15</v>
      </c>
      <c r="L58">
        <v>9.3404697011372495E-3</v>
      </c>
      <c r="M58">
        <v>0</v>
      </c>
      <c r="N58">
        <v>0</v>
      </c>
      <c r="O58" s="2">
        <v>8.2010455411204004E-14</v>
      </c>
      <c r="P58">
        <v>0</v>
      </c>
      <c r="Q58">
        <v>0.186579759795786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s="2">
        <v>1.3725437183893501E-15</v>
      </c>
      <c r="Z58" s="2">
        <v>1.60788952840129E-15</v>
      </c>
      <c r="AA58" s="2">
        <v>2.4453284955288899E-15</v>
      </c>
      <c r="AB58" s="2">
        <v>2.9091498511442301E-15</v>
      </c>
      <c r="AC58" s="2">
        <v>2.2531443906891601E-15</v>
      </c>
      <c r="AD58" s="2">
        <v>-4.0027418058975302E-15</v>
      </c>
      <c r="AE58">
        <v>2.02634759704222E-2</v>
      </c>
      <c r="AF58">
        <v>-0.88281048172909105</v>
      </c>
    </row>
    <row r="59" spans="1:32" x14ac:dyDescent="0.25">
      <c r="A59" s="1">
        <v>44377</v>
      </c>
      <c r="B59">
        <v>-0.22408015833911701</v>
      </c>
      <c r="C59" s="2">
        <v>4.2427068301696302E-7</v>
      </c>
      <c r="D59">
        <v>-0.36774988901621802</v>
      </c>
      <c r="E59">
        <v>-1.7612180591060401E-3</v>
      </c>
      <c r="F59">
        <v>-0.172473204886961</v>
      </c>
      <c r="G59">
        <v>-3.10062316300929E-2</v>
      </c>
      <c r="H59">
        <v>-0.29702787076480403</v>
      </c>
      <c r="I59" s="2">
        <v>-1.26666016728339E-14</v>
      </c>
      <c r="J59" s="2">
        <v>3.2705509051114401E-14</v>
      </c>
      <c r="K59" s="2">
        <v>1.31346069715089E-16</v>
      </c>
      <c r="L59">
        <v>-5.2516203047899501E-2</v>
      </c>
      <c r="M59">
        <v>0</v>
      </c>
      <c r="N59">
        <v>0</v>
      </c>
      <c r="O59" s="2">
        <v>8.2047795828475304E-14</v>
      </c>
      <c r="P59">
        <v>0</v>
      </c>
      <c r="Q59">
        <v>0.26940003290162201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s="2">
        <v>1.7809897184717499E-15</v>
      </c>
      <c r="Z59" s="2">
        <v>2.0729532339596602E-15</v>
      </c>
      <c r="AA59" s="2">
        <v>2.72337317264148E-15</v>
      </c>
      <c r="AB59" s="2">
        <v>2.9486183899487998E-15</v>
      </c>
      <c r="AC59" s="2">
        <v>1.7711731705977999E-15</v>
      </c>
      <c r="AD59" s="2">
        <v>-4.6114768166891803E-15</v>
      </c>
      <c r="AE59">
        <v>2.00298991890718E-2</v>
      </c>
      <c r="AF59">
        <v>-0.85718441938270995</v>
      </c>
    </row>
    <row r="60" spans="1:32" x14ac:dyDescent="0.25">
      <c r="A60" s="1">
        <v>44469</v>
      </c>
      <c r="B60">
        <v>-0.20784448511407499</v>
      </c>
      <c r="C60" s="2">
        <v>-1.7828569908850901E-6</v>
      </c>
      <c r="D60">
        <v>-0.328188955527633</v>
      </c>
      <c r="E60">
        <v>-3.30904499070123E-3</v>
      </c>
      <c r="F60">
        <v>-0.15845050007960601</v>
      </c>
      <c r="G60">
        <v>-1.8503428333999199E-2</v>
      </c>
      <c r="H60">
        <v>-0.28353726010396701</v>
      </c>
      <c r="I60" s="2">
        <v>-1.3782322429515799E-14</v>
      </c>
      <c r="J60" s="2">
        <v>3.2659308425850001E-14</v>
      </c>
      <c r="K60" s="2">
        <v>5.6329390332239096E-16</v>
      </c>
      <c r="L60">
        <v>-3.0971912074249999E-2</v>
      </c>
      <c r="M60">
        <v>0</v>
      </c>
      <c r="N60">
        <v>0</v>
      </c>
      <c r="O60" s="2">
        <v>8.0439326043907106E-14</v>
      </c>
      <c r="P60">
        <v>0</v>
      </c>
      <c r="Q60">
        <v>0.10261880585692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s="2">
        <v>1.93621882855367E-15</v>
      </c>
      <c r="Z60" s="2">
        <v>2.1031537198164399E-15</v>
      </c>
      <c r="AA60" s="2">
        <v>2.5278611266069099E-15</v>
      </c>
      <c r="AB60" s="2">
        <v>2.2618767300488599E-15</v>
      </c>
      <c r="AC60" s="2">
        <v>8.58851943625124E-16</v>
      </c>
      <c r="AD60" s="2">
        <v>-4.6393833241158797E-15</v>
      </c>
      <c r="AE60">
        <v>1.9799172546567802E-2</v>
      </c>
      <c r="AF60">
        <v>-0.90838939067762703</v>
      </c>
    </row>
    <row r="61" spans="1:32" x14ac:dyDescent="0.25">
      <c r="A61" s="1">
        <v>44561</v>
      </c>
      <c r="B61">
        <v>-0.18820900808824001</v>
      </c>
      <c r="C61" s="2">
        <v>-5.6060577826410199E-7</v>
      </c>
      <c r="D61">
        <v>-0.32230786375593401</v>
      </c>
      <c r="E61">
        <v>-2.2806540552483098E-3</v>
      </c>
      <c r="F61">
        <v>-0.128997778233231</v>
      </c>
      <c r="G61">
        <v>-1.02885032977331E-2</v>
      </c>
      <c r="H61">
        <v>-0.28102047654357898</v>
      </c>
      <c r="I61" s="2">
        <v>-1.5463874614033701E-14</v>
      </c>
      <c r="J61" s="2">
        <v>3.2702379386037903E-14</v>
      </c>
      <c r="K61" s="2">
        <v>3.24998730513285E-15</v>
      </c>
      <c r="L61">
        <v>-4.0936926875696299E-2</v>
      </c>
      <c r="M61">
        <v>0</v>
      </c>
      <c r="N61">
        <v>0</v>
      </c>
      <c r="O61" s="2">
        <v>8.1160902370337195E-14</v>
      </c>
      <c r="P61">
        <v>0</v>
      </c>
      <c r="Q61">
        <v>3.04210980466471E-2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s="2">
        <v>2.3576305548477502E-15</v>
      </c>
      <c r="Z61" s="2">
        <v>2.2929874466398401E-15</v>
      </c>
      <c r="AA61" s="2">
        <v>2.2465759796682101E-15</v>
      </c>
      <c r="AB61" s="2">
        <v>1.7624739543919901E-15</v>
      </c>
      <c r="AC61" s="2">
        <v>1.05946924233357E-15</v>
      </c>
      <c r="AD61" s="2">
        <v>-4.9449712970539297E-15</v>
      </c>
      <c r="AE61">
        <v>1.9571258889857501E-2</v>
      </c>
      <c r="AF61">
        <v>-0.92404941451882605</v>
      </c>
    </row>
    <row r="62" spans="1:32" x14ac:dyDescent="0.25">
      <c r="A62" s="1">
        <v>44651</v>
      </c>
      <c r="B62">
        <v>-0.18474768780157799</v>
      </c>
      <c r="C62" s="2">
        <v>-1.3067184394970099E-6</v>
      </c>
      <c r="D62">
        <v>-0.44468349714676603</v>
      </c>
      <c r="E62">
        <v>-1.6743862701410601E-3</v>
      </c>
      <c r="F62">
        <v>-0.106062979311827</v>
      </c>
      <c r="G62">
        <v>5.9081096090253998E-2</v>
      </c>
      <c r="H62">
        <v>-0.23435601195261099</v>
      </c>
      <c r="I62" s="2">
        <v>-1.77663042808694E-14</v>
      </c>
      <c r="J62" s="2">
        <v>3.3503761988925403E-14</v>
      </c>
      <c r="K62" s="2">
        <v>5.04989654637418E-15</v>
      </c>
      <c r="L62">
        <v>5.9449333341651095E-4</v>
      </c>
      <c r="M62">
        <v>0</v>
      </c>
      <c r="N62">
        <v>0</v>
      </c>
      <c r="O62" s="2">
        <v>8.1237795237310403E-14</v>
      </c>
      <c r="P62">
        <v>0</v>
      </c>
      <c r="Q62">
        <v>-0.102152941597991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s="2">
        <v>2.5495464336927199E-15</v>
      </c>
      <c r="Z62" s="2">
        <v>2.0664888594043501E-15</v>
      </c>
      <c r="AA62" s="2">
        <v>1.8109304501018699E-15</v>
      </c>
      <c r="AB62" s="2">
        <v>1.8776308442565198E-15</v>
      </c>
      <c r="AC62" s="2">
        <v>6.2729598326403505E-16</v>
      </c>
      <c r="AD62" s="2">
        <v>-4.9682856625461102E-15</v>
      </c>
      <c r="AE62">
        <v>1.9346121572740699E-2</v>
      </c>
      <c r="AF62">
        <v>-0.99465709980283501</v>
      </c>
    </row>
    <row r="63" spans="1:32" x14ac:dyDescent="0.25">
      <c r="A63" s="1">
        <v>44742</v>
      </c>
      <c r="B63">
        <v>-0.18734085381287399</v>
      </c>
      <c r="C63" s="2">
        <v>-1.10942886958506E-6</v>
      </c>
      <c r="D63">
        <v>-0.354699286549159</v>
      </c>
      <c r="E63">
        <v>-1.28443693164586E-3</v>
      </c>
      <c r="F63">
        <v>-2.15380563349492E-2</v>
      </c>
      <c r="G63">
        <v>5.6105678672233601E-2</v>
      </c>
      <c r="H63">
        <v>-0.20916617334085499</v>
      </c>
      <c r="I63" s="2">
        <v>-1.9287036943963101E-14</v>
      </c>
      <c r="J63" s="2">
        <v>3.49582870703656E-14</v>
      </c>
      <c r="K63" s="2">
        <v>5.8415950542785404E-15</v>
      </c>
      <c r="L63">
        <v>-4.02712830797885E-2</v>
      </c>
      <c r="M63">
        <v>0</v>
      </c>
      <c r="N63">
        <v>0</v>
      </c>
      <c r="O63" s="2">
        <v>8.8031901178363101E-14</v>
      </c>
      <c r="P63">
        <v>0</v>
      </c>
      <c r="Q63">
        <v>-0.37687836599499303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s="2">
        <v>2.3309624502769401E-15</v>
      </c>
      <c r="Z63" s="2">
        <v>1.6764589770734199E-15</v>
      </c>
      <c r="AA63" s="2">
        <v>1.9604023831571598E-15</v>
      </c>
      <c r="AB63" s="2">
        <v>1.6129975881551399E-15</v>
      </c>
      <c r="AC63" s="2">
        <v>7.5015853946078499E-16</v>
      </c>
      <c r="AD63" s="2">
        <v>-5.0196442657195497E-15</v>
      </c>
      <c r="AE63">
        <v>1.9123724449110601E-2</v>
      </c>
      <c r="AF63">
        <v>-1.1159501623516701</v>
      </c>
    </row>
    <row r="64" spans="1:32" x14ac:dyDescent="0.25">
      <c r="A64" s="1">
        <v>44834</v>
      </c>
      <c r="B64">
        <v>-0.17740768056745301</v>
      </c>
      <c r="C64" s="2">
        <v>-4.4659245725731299E-7</v>
      </c>
      <c r="D64">
        <v>-0.29078517023282502</v>
      </c>
      <c r="E64">
        <v>-4.7537987583527199E-4</v>
      </c>
      <c r="F64">
        <v>3.1809890031082103E-2</v>
      </c>
      <c r="G64">
        <v>6.7438618909786696E-2</v>
      </c>
      <c r="H64">
        <v>-0.22562183845716499</v>
      </c>
      <c r="I64" s="2">
        <v>-1.9406948278638401E-14</v>
      </c>
      <c r="J64" s="2">
        <v>3.5378923454132501E-14</v>
      </c>
      <c r="K64" s="2">
        <v>5.3249481562088799E-15</v>
      </c>
      <c r="L64">
        <v>-5.9291936462933001E-2</v>
      </c>
      <c r="M64">
        <v>0</v>
      </c>
      <c r="N64">
        <v>0</v>
      </c>
      <c r="O64" s="2">
        <v>9.0824445143334499E-14</v>
      </c>
      <c r="P64">
        <v>0</v>
      </c>
      <c r="Q64">
        <v>-0.388096111250816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s="2">
        <v>2.03565195370111E-15</v>
      </c>
      <c r="Z64" s="2">
        <v>1.8505367410615099E-15</v>
      </c>
      <c r="AA64" s="2">
        <v>1.74160364422381E-15</v>
      </c>
      <c r="AB64" s="2">
        <v>1.6970927792105601E-15</v>
      </c>
      <c r="AC64" s="2">
        <v>6.1142084172141601E-16</v>
      </c>
      <c r="AD64" s="2">
        <v>-4.8646990523910497E-15</v>
      </c>
      <c r="AE64">
        <v>1.8904031866268201E-2</v>
      </c>
      <c r="AF64">
        <v>-1.02352602263223</v>
      </c>
    </row>
    <row r="65" spans="1:32" x14ac:dyDescent="0.25">
      <c r="A65" s="1">
        <v>44926</v>
      </c>
      <c r="B65">
        <v>-0.17675400803103999</v>
      </c>
      <c r="C65" s="2">
        <v>-4.0502337533253499E-7</v>
      </c>
      <c r="D65">
        <v>-0.239712831613621</v>
      </c>
      <c r="E65" s="2">
        <v>-4.9888012617260698E-5</v>
      </c>
      <c r="F65">
        <v>8.1928485706721302E-2</v>
      </c>
      <c r="G65">
        <v>6.5019990552672297E-2</v>
      </c>
      <c r="H65">
        <v>-0.23001639541629801</v>
      </c>
      <c r="I65" s="2">
        <v>-1.9956907499628499E-14</v>
      </c>
      <c r="J65" s="2">
        <v>3.6362423762780402E-14</v>
      </c>
      <c r="K65" s="2">
        <v>4.2999609177823199E-15</v>
      </c>
      <c r="L65">
        <v>-7.0888901920352895E-2</v>
      </c>
      <c r="M65">
        <v>0</v>
      </c>
      <c r="N65">
        <v>0</v>
      </c>
      <c r="O65" s="2">
        <v>9.4878926803081795E-14</v>
      </c>
      <c r="P65">
        <v>0</v>
      </c>
      <c r="Q65">
        <v>-0.54296064519732601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s="2">
        <v>2.1864944828349599E-15</v>
      </c>
      <c r="Z65" s="2">
        <v>1.65565466957456E-15</v>
      </c>
      <c r="AA65" s="2">
        <v>1.8126053248916E-15</v>
      </c>
      <c r="AB65" s="2">
        <v>1.56554501012946E-15</v>
      </c>
      <c r="AC65" s="2">
        <v>6.8873715186432804E-16</v>
      </c>
      <c r="AD65" s="2">
        <v>-4.8085359432214498E-15</v>
      </c>
      <c r="AE65">
        <v>1.8687008658310401E-2</v>
      </c>
      <c r="AF65">
        <v>-1.0947475902968</v>
      </c>
    </row>
    <row r="66" spans="1:32" x14ac:dyDescent="0.25">
      <c r="A66" s="1">
        <v>45016</v>
      </c>
      <c r="B66">
        <v>-0.177040938277545</v>
      </c>
      <c r="C66" s="2">
        <v>1.99781114689504E-6</v>
      </c>
      <c r="D66">
        <v>-0.23369528378792501</v>
      </c>
      <c r="E66">
        <v>1.7482867304463899E-3</v>
      </c>
      <c r="F66">
        <v>5.73611591907437E-2</v>
      </c>
      <c r="G66">
        <v>8.8978726382146697E-2</v>
      </c>
      <c r="H66">
        <v>-0.199369818580305</v>
      </c>
      <c r="I66" s="2">
        <v>-2.0938922165240001E-14</v>
      </c>
      <c r="J66" s="2">
        <v>3.7107971888452801E-14</v>
      </c>
      <c r="K66" s="2">
        <v>5.7304864359478397E-15</v>
      </c>
      <c r="L66">
        <v>-5.58608854739088E-2</v>
      </c>
      <c r="M66">
        <v>0</v>
      </c>
      <c r="N66">
        <v>0</v>
      </c>
      <c r="O66" s="2">
        <v>9.1387443297863896E-14</v>
      </c>
      <c r="P66">
        <v>0</v>
      </c>
      <c r="Q66">
        <v>-0.244324259365408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s="2">
        <v>2.1555526128304199E-15</v>
      </c>
      <c r="Z66" s="2">
        <v>1.8357957678224102E-15</v>
      </c>
      <c r="AA66" s="2">
        <v>1.7674112671629E-15</v>
      </c>
      <c r="AB66" s="2">
        <v>1.65410254095064E-15</v>
      </c>
      <c r="AC66" s="2">
        <v>6.7595078032497404E-16</v>
      </c>
      <c r="AD66" s="2">
        <v>-4.83223739492589E-15</v>
      </c>
      <c r="AE66">
        <v>1.8472620139591299E-2</v>
      </c>
      <c r="AF66">
        <v>-0.74372839523089995</v>
      </c>
    </row>
    <row r="67" spans="1:32" x14ac:dyDescent="0.25">
      <c r="A67" s="1">
        <v>45107</v>
      </c>
      <c r="B67">
        <v>-0.18233857007183599</v>
      </c>
      <c r="C67" s="2">
        <v>8.3483738446014601E-7</v>
      </c>
      <c r="D67">
        <v>-0.23976798170268901</v>
      </c>
      <c r="E67">
        <v>1.53310241479987E-3</v>
      </c>
      <c r="F67">
        <v>8.8011814524564802E-2</v>
      </c>
      <c r="G67">
        <v>0.11842545535039301</v>
      </c>
      <c r="H67">
        <v>-0.221827258096297</v>
      </c>
      <c r="I67" s="2">
        <v>-2.0618078677053999E-14</v>
      </c>
      <c r="J67" s="2">
        <v>3.7330298315462498E-14</v>
      </c>
      <c r="K67" s="2">
        <v>4.2976940969428901E-15</v>
      </c>
      <c r="L67">
        <v>-1.8608695544827102E-2</v>
      </c>
      <c r="M67">
        <v>0</v>
      </c>
      <c r="N67">
        <v>0</v>
      </c>
      <c r="O67" s="2">
        <v>9.1511816798585005E-14</v>
      </c>
      <c r="P67">
        <v>0</v>
      </c>
      <c r="Q67">
        <v>-0.291497508967684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s="2">
        <v>2.0356045286812902E-15</v>
      </c>
      <c r="Z67" s="2">
        <v>1.5590933793204601E-15</v>
      </c>
      <c r="AA67" s="2">
        <v>1.64054757582377E-15</v>
      </c>
      <c r="AB67" s="2">
        <v>1.4463708252880499E-15</v>
      </c>
      <c r="AC67" s="2">
        <v>4.2052002150205499E-16</v>
      </c>
      <c r="AD67" s="2">
        <v>-4.65589371401936E-15</v>
      </c>
      <c r="AE67">
        <v>1.8260832098256401E-2</v>
      </c>
      <c r="AF67">
        <v>-0.72780797515781803</v>
      </c>
    </row>
    <row r="68" spans="1:32" x14ac:dyDescent="0.25">
      <c r="A68" s="1">
        <v>45199</v>
      </c>
      <c r="B68">
        <v>-0.172360532608586</v>
      </c>
      <c r="C68" s="2">
        <v>8.51891616588655E-7</v>
      </c>
      <c r="D68">
        <v>-7.8925087691319104E-2</v>
      </c>
      <c r="E68">
        <v>1.3212000552445099E-3</v>
      </c>
      <c r="F68">
        <v>0.16372063599859801</v>
      </c>
      <c r="G68">
        <v>9.8634675809994896E-2</v>
      </c>
      <c r="H68">
        <v>-0.227096391491593</v>
      </c>
      <c r="I68" s="2">
        <v>-2.0359749191948301E-14</v>
      </c>
      <c r="J68" s="2">
        <v>3.7621452029428802E-14</v>
      </c>
      <c r="K68" s="2">
        <v>3.25900264313402E-15</v>
      </c>
      <c r="L68">
        <v>-3.6851656189099198E-2</v>
      </c>
      <c r="M68">
        <v>0</v>
      </c>
      <c r="N68">
        <v>0</v>
      </c>
      <c r="O68" s="2">
        <v>9.28995117389593E-14</v>
      </c>
      <c r="P68">
        <v>0</v>
      </c>
      <c r="Q68">
        <v>-0.235602717525452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s="2">
        <v>1.64354068988449E-15</v>
      </c>
      <c r="Z68" s="2">
        <v>1.32260512199991E-15</v>
      </c>
      <c r="AA68" s="2">
        <v>1.3868968008096501E-15</v>
      </c>
      <c r="AB68" s="2">
        <v>1.20738477104124E-15</v>
      </c>
      <c r="AC68" s="2">
        <v>5.8672830884492795E-16</v>
      </c>
      <c r="AD68" s="2">
        <v>-4.4203456922346703E-15</v>
      </c>
      <c r="AE68">
        <v>1.8051610789850299E-2</v>
      </c>
      <c r="AF68">
        <v>-0.46910741096062802</v>
      </c>
    </row>
    <row r="69" spans="1:32" x14ac:dyDescent="0.25">
      <c r="A69" s="1">
        <v>45291</v>
      </c>
      <c r="B69">
        <v>-0.17208106933485401</v>
      </c>
      <c r="C69" s="2">
        <v>1.5691050951200501E-6</v>
      </c>
      <c r="D69">
        <v>-6.0174836418634699E-2</v>
      </c>
      <c r="E69">
        <v>1.63830876897723E-3</v>
      </c>
      <c r="F69">
        <v>0.169700966676336</v>
      </c>
      <c r="G69">
        <v>8.9236886160705603E-2</v>
      </c>
      <c r="H69">
        <v>-0.25410547883012702</v>
      </c>
      <c r="I69" s="2">
        <v>-1.9683591734285701E-14</v>
      </c>
      <c r="J69" s="2">
        <v>3.7823370126825498E-14</v>
      </c>
      <c r="K69" s="2">
        <v>2.7266588186923098E-15</v>
      </c>
      <c r="L69">
        <v>-3.00972573224784E-2</v>
      </c>
      <c r="M69">
        <v>0</v>
      </c>
      <c r="N69">
        <v>0</v>
      </c>
      <c r="O69" s="2">
        <v>9.28867695984041E-14</v>
      </c>
      <c r="P69">
        <v>0</v>
      </c>
      <c r="Q69">
        <v>-0.258110811056532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s="2">
        <v>1.6169476141581701E-15</v>
      </c>
      <c r="Z69" s="2">
        <v>1.2448022683501801E-15</v>
      </c>
      <c r="AA69" s="2">
        <v>1.28409158680457E-15</v>
      </c>
      <c r="AB69" s="2">
        <v>1.40493459266759E-15</v>
      </c>
      <c r="AC69" s="2">
        <v>7.6291539623016096E-16</v>
      </c>
      <c r="AD69" s="2">
        <v>-4.2289576985572101E-15</v>
      </c>
      <c r="AE69">
        <v>1.7844922930996598E-2</v>
      </c>
      <c r="AF69">
        <v>-0.49614679932039901</v>
      </c>
    </row>
    <row r="70" spans="1:32" x14ac:dyDescent="0.25">
      <c r="A70" s="1">
        <v>45382</v>
      </c>
      <c r="B70">
        <v>-0.181088953930228</v>
      </c>
      <c r="C70" s="2">
        <v>5.6381192661164701E-7</v>
      </c>
      <c r="D70">
        <v>-9.5617211649238296E-2</v>
      </c>
      <c r="E70">
        <v>1.19205846431536E-3</v>
      </c>
      <c r="F70">
        <v>0.18574363425716101</v>
      </c>
      <c r="G70">
        <v>9.8418993181338094E-2</v>
      </c>
      <c r="H70">
        <v>-0.273213467795133</v>
      </c>
      <c r="I70" s="2">
        <v>-2.10370572545461E-14</v>
      </c>
      <c r="J70" s="2">
        <v>3.7314068987357703E-14</v>
      </c>
      <c r="K70" s="2">
        <v>1.5130652667292001E-15</v>
      </c>
      <c r="L70">
        <v>2.3243777766878801E-3</v>
      </c>
      <c r="M70">
        <v>0</v>
      </c>
      <c r="N70">
        <v>0</v>
      </c>
      <c r="O70" s="2">
        <v>8.8448832276605203E-14</v>
      </c>
      <c r="P70">
        <v>0</v>
      </c>
      <c r="Q70">
        <v>-7.1776680473449303E-2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s="2">
        <v>1.3010815178128399E-15</v>
      </c>
      <c r="Z70" s="2">
        <v>9.2790021601074195E-16</v>
      </c>
      <c r="AA70" s="2">
        <v>1.25417751079879E-15</v>
      </c>
      <c r="AB70" s="2">
        <v>1.35579970963607E-15</v>
      </c>
      <c r="AC70" s="2">
        <v>6.8964181388056099E-16</v>
      </c>
      <c r="AD70" s="2">
        <v>-4.2890524516072498E-15</v>
      </c>
      <c r="AE70">
        <v>1.7640735693150601E-2</v>
      </c>
      <c r="AF70">
        <v>-0.316375950663359</v>
      </c>
    </row>
    <row r="71" spans="1:32" x14ac:dyDescent="0.25">
      <c r="A71" s="1">
        <v>45473</v>
      </c>
      <c r="B71">
        <v>-0.182778547553097</v>
      </c>
      <c r="C71" s="2">
        <v>3.0229268974446398E-7</v>
      </c>
      <c r="D71">
        <v>-8.9208454621515498E-2</v>
      </c>
      <c r="E71">
        <v>1.14777654022835E-3</v>
      </c>
      <c r="F71">
        <v>0.23955762053650601</v>
      </c>
      <c r="G71">
        <v>8.0995985451899705E-2</v>
      </c>
      <c r="H71">
        <v>-0.284113521251597</v>
      </c>
      <c r="I71" s="2">
        <v>-2.10204509264263E-14</v>
      </c>
      <c r="J71" s="2">
        <v>3.7779934543019299E-14</v>
      </c>
      <c r="K71" s="2">
        <v>7.0497996922379299E-16</v>
      </c>
      <c r="L71">
        <v>-1.0561390143963499E-2</v>
      </c>
      <c r="M71">
        <v>0</v>
      </c>
      <c r="N71">
        <v>0</v>
      </c>
      <c r="O71" s="2">
        <v>9.01644843766332E-14</v>
      </c>
      <c r="P71">
        <v>0</v>
      </c>
      <c r="Q71">
        <v>-0.15415649399995801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s="2">
        <v>1.0933386329897E-15</v>
      </c>
      <c r="Z71" s="2">
        <v>9.8085912304496394E-16</v>
      </c>
      <c r="AA71" s="2">
        <v>1.29924376906454E-15</v>
      </c>
      <c r="AB71" s="2">
        <v>1.39928142362046E-15</v>
      </c>
      <c r="AC71" s="2">
        <v>7.3951339549999803E-16</v>
      </c>
      <c r="AD71" s="2">
        <v>-4.1883066336672702E-15</v>
      </c>
      <c r="AE71">
        <v>1.7439016696423899E-2</v>
      </c>
      <c r="AF71">
        <v>-0.38167770605227402</v>
      </c>
    </row>
    <row r="72" spans="1:32" x14ac:dyDescent="0.25">
      <c r="A72" s="1">
        <v>45565</v>
      </c>
      <c r="B72">
        <v>-0.190482518476807</v>
      </c>
      <c r="C72" s="2">
        <v>3.7648300845668999E-7</v>
      </c>
      <c r="D72">
        <v>-0.12739306921563001</v>
      </c>
      <c r="E72">
        <v>1.1194098247353399E-3</v>
      </c>
      <c r="F72">
        <v>0.23389904860156999</v>
      </c>
      <c r="G72">
        <v>7.6913290200694095E-2</v>
      </c>
      <c r="H72">
        <v>-0.28871264165004901</v>
      </c>
      <c r="I72" s="2">
        <v>-2.07090053851993E-14</v>
      </c>
      <c r="J72" s="2">
        <v>3.8342352608521802E-14</v>
      </c>
      <c r="K72" s="2">
        <v>2.9685318202946301E-16</v>
      </c>
      <c r="L72">
        <v>-1.15636722102508E-2</v>
      </c>
      <c r="M72">
        <v>0</v>
      </c>
      <c r="N72">
        <v>0</v>
      </c>
      <c r="O72" s="2">
        <v>9.0342133349117901E-14</v>
      </c>
      <c r="P72">
        <v>0</v>
      </c>
      <c r="Q72">
        <v>-0.22225273897593001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s="2">
        <v>1.2009789182633799E-15</v>
      </c>
      <c r="Z72" s="2">
        <v>1.0803647599252899E-15</v>
      </c>
      <c r="AA72" s="2">
        <v>1.3727711694558501E-15</v>
      </c>
      <c r="AB72" s="2">
        <v>1.45309631527846E-15</v>
      </c>
      <c r="AC72" s="2">
        <v>7.7994261829863798E-16</v>
      </c>
      <c r="AD72" s="2">
        <v>-4.1178829105491301E-15</v>
      </c>
      <c r="AE72">
        <v>1.7239734003480799E-2</v>
      </c>
      <c r="AF72">
        <v>-0.51123278141506701</v>
      </c>
    </row>
    <row r="73" spans="1:32" x14ac:dyDescent="0.25">
      <c r="A73" s="1">
        <v>45657</v>
      </c>
      <c r="B73">
        <v>-0.188271776955065</v>
      </c>
      <c r="C73" s="2">
        <v>1.9543318484778599E-7</v>
      </c>
      <c r="D73">
        <v>-0.12611913852347301</v>
      </c>
      <c r="E73">
        <v>7.7977065163767204E-4</v>
      </c>
      <c r="F73">
        <v>0.231560058115555</v>
      </c>
      <c r="G73">
        <v>7.2143896690612705E-2</v>
      </c>
      <c r="H73">
        <v>-0.281185032778143</v>
      </c>
      <c r="I73" s="2">
        <v>-2.0382090734982999E-14</v>
      </c>
      <c r="J73" s="2">
        <v>3.85611325467654E-14</v>
      </c>
      <c r="K73" s="2">
        <v>3.1785217043769901E-16</v>
      </c>
      <c r="L73">
        <v>-1.8501180198439899E-2</v>
      </c>
      <c r="M73">
        <v>0</v>
      </c>
      <c r="N73">
        <v>0</v>
      </c>
      <c r="O73" s="2">
        <v>9.0017055790196905E-14</v>
      </c>
      <c r="P73">
        <v>0</v>
      </c>
      <c r="Q73">
        <v>-0.22077240196501599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s="2">
        <v>1.18510432625995E-15</v>
      </c>
      <c r="Z73" s="2">
        <v>1.0665611554345901E-15</v>
      </c>
      <c r="AA73" s="2">
        <v>1.35487111656712E-15</v>
      </c>
      <c r="AB73" s="2">
        <v>1.4349222227091701E-15</v>
      </c>
      <c r="AC73" s="2">
        <v>7.6929751563771097E-16</v>
      </c>
      <c r="AD73" s="2">
        <v>-4.0765622630958196E-15</v>
      </c>
      <c r="AE73">
        <v>1.7042856113506401E-2</v>
      </c>
      <c r="AF73">
        <v>-0.51332275341553002</v>
      </c>
    </row>
    <row r="74" spans="1:32" x14ac:dyDescent="0.25">
      <c r="A74" s="1">
        <v>45747</v>
      </c>
      <c r="B74">
        <v>-0.18606830553127299</v>
      </c>
      <c r="C74" s="2">
        <v>1.0144981018203599E-7</v>
      </c>
      <c r="D74">
        <v>-0.124857947138238</v>
      </c>
      <c r="E74">
        <v>5.4318110822365096E-4</v>
      </c>
      <c r="F74">
        <v>0.22924445753439901</v>
      </c>
      <c r="G74">
        <v>6.7810246037181998E-2</v>
      </c>
      <c r="H74">
        <v>-0.27329453908860701</v>
      </c>
      <c r="I74" s="2">
        <v>-2.00470628460713E-14</v>
      </c>
      <c r="J74" s="2">
        <v>3.8766286532145897E-14</v>
      </c>
      <c r="K74" s="2">
        <v>3.3136065269226099E-16</v>
      </c>
      <c r="L74">
        <v>-2.4577112459343499E-2</v>
      </c>
      <c r="M74">
        <v>0</v>
      </c>
      <c r="N74">
        <v>0</v>
      </c>
      <c r="O74" s="2">
        <v>8.9689516269134406E-14</v>
      </c>
      <c r="P74">
        <v>0</v>
      </c>
      <c r="Q74">
        <v>-0.219242555152042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s="2">
        <v>1.16883395523641E-15</v>
      </c>
      <c r="Z74" s="2">
        <v>1.05271021139408E-15</v>
      </c>
      <c r="AA74" s="2">
        <v>1.33729490795398E-15</v>
      </c>
      <c r="AB74" s="2">
        <v>1.4172558123490499E-15</v>
      </c>
      <c r="AC74" s="2">
        <v>7.5919477872711499E-16</v>
      </c>
      <c r="AD74" s="2">
        <v>-4.0352891481958596E-15</v>
      </c>
      <c r="AE74">
        <v>1.6848351956246298E-2</v>
      </c>
      <c r="AF74">
        <v>-0.51359412128353199</v>
      </c>
    </row>
    <row r="75" spans="1:32" x14ac:dyDescent="0.25">
      <c r="A75" s="1">
        <v>45838</v>
      </c>
      <c r="B75">
        <v>-0.18387605659731199</v>
      </c>
      <c r="C75" s="2">
        <v>5.26628269231982E-8</v>
      </c>
      <c r="D75">
        <v>-0.123609367666856</v>
      </c>
      <c r="E75">
        <v>3.78374994893614E-4</v>
      </c>
      <c r="F75">
        <v>0.22695201295905501</v>
      </c>
      <c r="G75">
        <v>6.3874612105733794E-2</v>
      </c>
      <c r="H75">
        <v>-0.26511666243474602</v>
      </c>
      <c r="I75" s="2">
        <v>-1.9704851719550401E-14</v>
      </c>
      <c r="J75" s="2">
        <v>3.8958522701190198E-14</v>
      </c>
      <c r="K75" s="2">
        <v>3.3815182842431202E-16</v>
      </c>
      <c r="L75">
        <v>-2.9864665311759599E-2</v>
      </c>
      <c r="M75">
        <v>0</v>
      </c>
      <c r="N75">
        <v>0</v>
      </c>
      <c r="O75" s="2">
        <v>8.9359484529118697E-14</v>
      </c>
      <c r="P75">
        <v>0</v>
      </c>
      <c r="Q75">
        <v>-0.21766758131722799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s="2">
        <v>1.15227093188506E-15</v>
      </c>
      <c r="Z75" s="2">
        <v>1.03887614766091E-15</v>
      </c>
      <c r="AA75" s="2">
        <v>1.32007786916416E-15</v>
      </c>
      <c r="AB75" s="2">
        <v>1.40010750766566E-15</v>
      </c>
      <c r="AC75" s="2">
        <v>7.4963432599844599E-16</v>
      </c>
      <c r="AD75" s="2">
        <v>-3.9940494786770798E-15</v>
      </c>
      <c r="AE75">
        <v>1.6656190886115599E-2</v>
      </c>
      <c r="AF75">
        <v>-0.51227308971916596</v>
      </c>
    </row>
    <row r="76" spans="1:32" x14ac:dyDescent="0.25">
      <c r="A76" s="1">
        <v>45930</v>
      </c>
      <c r="B76">
        <v>-0.18169815698215599</v>
      </c>
      <c r="C76" s="2">
        <v>2.73373931014891E-8</v>
      </c>
      <c r="D76">
        <v>-0.12237327399018801</v>
      </c>
      <c r="E76">
        <v>2.6357256280377798E-4</v>
      </c>
      <c r="F76">
        <v>0.22468249282946501</v>
      </c>
      <c r="G76">
        <v>6.0301121502680702E-2</v>
      </c>
      <c r="H76">
        <v>-0.25672310190910003</v>
      </c>
      <c r="I76" s="2">
        <v>-1.9356215305871399E-14</v>
      </c>
      <c r="J76" s="2">
        <v>3.9138474741721602E-14</v>
      </c>
      <c r="K76" s="2">
        <v>3.3911094297522502E-16</v>
      </c>
      <c r="L76">
        <v>-3.4434965510903699E-2</v>
      </c>
      <c r="M76">
        <v>0</v>
      </c>
      <c r="N76">
        <v>0</v>
      </c>
      <c r="O76" s="2">
        <v>8.9026929179510604E-14</v>
      </c>
      <c r="P76">
        <v>0</v>
      </c>
      <c r="Q76">
        <v>-0.216052079587465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s="2">
        <v>1.1355234272086799E-15</v>
      </c>
      <c r="Z76" s="2">
        <v>1.02511992150675E-15</v>
      </c>
      <c r="AA76" s="2">
        <v>1.3032464545439E-15</v>
      </c>
      <c r="AB76" s="2">
        <v>1.3834762109378701E-15</v>
      </c>
      <c r="AC76" s="2">
        <v>7.4060091107269195E-16</v>
      </c>
      <c r="AD76" s="2">
        <v>-3.9528489488202401E-15</v>
      </c>
      <c r="AE76">
        <v>1.6466342676380499E-2</v>
      </c>
      <c r="AF76">
        <v>-0.50956802107097698</v>
      </c>
    </row>
    <row r="77" spans="1:32" x14ac:dyDescent="0.25">
      <c r="A77" s="1">
        <v>46022</v>
      </c>
      <c r="B77">
        <v>-0.179537068661971</v>
      </c>
      <c r="C77" s="2">
        <v>1.4190902882506999E-8</v>
      </c>
      <c r="D77">
        <v>-0.121149541250286</v>
      </c>
      <c r="E77">
        <v>1.83602237993384E-4</v>
      </c>
      <c r="F77">
        <v>0.22243566790117</v>
      </c>
      <c r="G77">
        <v>5.7056056080913901E-2</v>
      </c>
      <c r="H77">
        <v>-0.24818054619253299</v>
      </c>
      <c r="I77" s="2">
        <v>-1.9001806671187999E-14</v>
      </c>
      <c r="J77" s="2">
        <v>3.9306700753950301E-14</v>
      </c>
      <c r="K77" s="2">
        <v>3.3516317320631098E-16</v>
      </c>
      <c r="L77">
        <v>-3.8355976352469297E-2</v>
      </c>
      <c r="M77">
        <v>0</v>
      </c>
      <c r="N77">
        <v>0</v>
      </c>
      <c r="O77" s="2">
        <v>8.8691820275022394E-14</v>
      </c>
      <c r="P77">
        <v>0</v>
      </c>
      <c r="Q77">
        <v>-0.214400688729079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s="2">
        <v>1.11869760554847E-15</v>
      </c>
      <c r="Z77" s="2">
        <v>1.0114967552880799E-15</v>
      </c>
      <c r="AA77" s="2">
        <v>1.28681870560054E-15</v>
      </c>
      <c r="AB77" s="2">
        <v>1.3673517506163401E-15</v>
      </c>
      <c r="AC77" s="2">
        <v>7.3206827718744197E-16</v>
      </c>
      <c r="AD77" s="2">
        <v>-3.9117074434512801E-15</v>
      </c>
      <c r="AE77">
        <v>1.62787775134078E-2</v>
      </c>
      <c r="AF77">
        <v>-0.50566970326183902</v>
      </c>
    </row>
    <row r="78" spans="1:32" x14ac:dyDescent="0.25">
      <c r="A78" s="1">
        <v>46112</v>
      </c>
      <c r="B78">
        <v>-0.177394717901042</v>
      </c>
      <c r="C78" s="2">
        <v>7.3665299506002699E-9</v>
      </c>
      <c r="D78">
        <v>-0.119938045837783</v>
      </c>
      <c r="E78">
        <v>1.2789564072133601E-4</v>
      </c>
      <c r="F78">
        <v>0.22021131122215901</v>
      </c>
      <c r="G78">
        <v>5.4108014961668498E-2</v>
      </c>
      <c r="H78">
        <v>-0.23954997581325399</v>
      </c>
      <c r="I78" s="2">
        <v>-1.8642224131390401E-14</v>
      </c>
      <c r="J78" s="2">
        <v>3.9463685872139401E-14</v>
      </c>
      <c r="K78" s="2">
        <v>3.2722184038073202E-16</v>
      </c>
      <c r="L78">
        <v>-4.1691802303566401E-2</v>
      </c>
      <c r="M78">
        <v>0</v>
      </c>
      <c r="N78">
        <v>0</v>
      </c>
      <c r="O78" s="2">
        <v>8.8354131475184494E-14</v>
      </c>
      <c r="P78">
        <v>0</v>
      </c>
      <c r="Q78">
        <v>-0.212717961724774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s="2">
        <v>1.1018928352165799E-15</v>
      </c>
      <c r="Z78" s="2">
        <v>9.9805469459701599E-16</v>
      </c>
      <c r="AA78" s="2">
        <v>1.2708049871214E-15</v>
      </c>
      <c r="AB78" s="2">
        <v>1.3517170500599999E-15</v>
      </c>
      <c r="AC78" s="2">
        <v>7.2400261909407396E-16</v>
      </c>
      <c r="AD78" s="2">
        <v>-3.8706544554032498E-15</v>
      </c>
      <c r="AE78">
        <v>1.60934659909855E-2</v>
      </c>
      <c r="AF78">
        <v>-0.50075180839824296</v>
      </c>
    </row>
    <row r="79" spans="1:32" x14ac:dyDescent="0.25">
      <c r="A79" s="1">
        <v>46203</v>
      </c>
      <c r="B79">
        <v>-0.175272599087168</v>
      </c>
      <c r="C79" s="2">
        <v>3.8239824622504301E-9</v>
      </c>
      <c r="D79">
        <v>-0.118738665379405</v>
      </c>
      <c r="E79" s="2">
        <v>8.9090934263184207E-5</v>
      </c>
      <c r="F79">
        <v>0.21800919810993699</v>
      </c>
      <c r="G79">
        <v>5.1427973736921401E-2</v>
      </c>
      <c r="H79">
        <v>-0.230886339327044</v>
      </c>
      <c r="I79" s="2">
        <v>-1.8278046854190999E-14</v>
      </c>
      <c r="J79" s="2">
        <v>3.9609847415630102E-14</v>
      </c>
      <c r="K79" s="2">
        <v>3.1615275642432398E-16</v>
      </c>
      <c r="L79">
        <v>-4.4502290896939599E-2</v>
      </c>
      <c r="M79">
        <v>0</v>
      </c>
      <c r="N79">
        <v>0</v>
      </c>
      <c r="O79" s="2">
        <v>8.8013841784464102E-14</v>
      </c>
      <c r="P79">
        <v>0</v>
      </c>
      <c r="Q79">
        <v>-0.21100827945629699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s="2">
        <v>1.0851986560612901E-15</v>
      </c>
      <c r="Z79" s="2">
        <v>9.8483393572769495E-16</v>
      </c>
      <c r="AA79" s="2">
        <v>1.25520887982694E-15</v>
      </c>
      <c r="AB79" s="2">
        <v>1.33655000449288E-15</v>
      </c>
      <c r="AC79" s="2">
        <v>7.1636540776913004E-16</v>
      </c>
      <c r="AD79" s="2">
        <v>-3.8297254059877904E-15</v>
      </c>
      <c r="AE79">
        <v>1.59103791047123E-2</v>
      </c>
      <c r="AF79">
        <v>-0.49497152843692399</v>
      </c>
    </row>
    <row r="80" spans="1:32" x14ac:dyDescent="0.25">
      <c r="A80" s="1">
        <v>46295</v>
      </c>
      <c r="B80">
        <v>-0.17317185827442899</v>
      </c>
      <c r="C80" s="2">
        <v>1.98503801583314E-9</v>
      </c>
      <c r="D80">
        <v>-0.117551278725611</v>
      </c>
      <c r="E80" s="2">
        <v>6.2059930449583195E-5</v>
      </c>
      <c r="F80">
        <v>0.21582910612883799</v>
      </c>
      <c r="G80">
        <v>4.8989269825689297E-2</v>
      </c>
      <c r="H80">
        <v>-0.22223849884829899</v>
      </c>
      <c r="I80" s="2">
        <v>-1.7909858421809801E-14</v>
      </c>
      <c r="J80" s="2">
        <v>3.9745541602418801E-14</v>
      </c>
      <c r="K80" s="2">
        <v>3.0275116625099498E-16</v>
      </c>
      <c r="L80">
        <v>-4.6842853497486799E-2</v>
      </c>
      <c r="M80">
        <v>0</v>
      </c>
      <c r="N80">
        <v>0</v>
      </c>
      <c r="O80" s="2">
        <v>8.7670936891174097E-14</v>
      </c>
      <c r="P80">
        <v>0</v>
      </c>
      <c r="Q80">
        <v>-0.20927579398569701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s="2">
        <v>1.0686930856612899E-15</v>
      </c>
      <c r="Z80" s="2">
        <v>9.718667120619311E-16</v>
      </c>
      <c r="AA80" s="2">
        <v>1.24002814151136E-15</v>
      </c>
      <c r="AB80" s="2">
        <v>1.32182507224203E-15</v>
      </c>
      <c r="AC80" s="2">
        <v>7.0911564722150702E-16</v>
      </c>
      <c r="AD80" s="2">
        <v>-3.7889587528407404E-15</v>
      </c>
      <c r="AE80">
        <v>1.57294882464553E-2</v>
      </c>
      <c r="AF80">
        <v>-0.48847035721494098</v>
      </c>
    </row>
    <row r="81" spans="1:32" x14ac:dyDescent="0.25">
      <c r="A81" s="1">
        <v>46387</v>
      </c>
      <c r="B81">
        <v>-0.17109336044613699</v>
      </c>
      <c r="C81" s="2">
        <v>1.0304377779336499E-9</v>
      </c>
      <c r="D81">
        <v>-0.116375765938355</v>
      </c>
      <c r="E81" s="2">
        <v>4.3230380277389403E-5</v>
      </c>
      <c r="F81">
        <v>0.21367081506755001</v>
      </c>
      <c r="G81">
        <v>4.6767536147877597E-2</v>
      </c>
      <c r="H81">
        <v>-0.213649364969726</v>
      </c>
      <c r="I81" s="2">
        <v>-1.7538260708327699E-14</v>
      </c>
      <c r="J81" s="2">
        <v>3.9871071083634902E-14</v>
      </c>
      <c r="K81" s="2">
        <v>2.8772834754172201E-16</v>
      </c>
      <c r="L81">
        <v>-4.8764444522830602E-2</v>
      </c>
      <c r="M81">
        <v>0</v>
      </c>
      <c r="N81">
        <v>0</v>
      </c>
      <c r="O81" s="2">
        <v>8.7325410135201001E-14</v>
      </c>
      <c r="P81">
        <v>0</v>
      </c>
      <c r="Q81">
        <v>-0.207524394035347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s="2">
        <v>1.05244192241295E-15</v>
      </c>
      <c r="Z81" s="2">
        <v>9.5917757223047007E-16</v>
      </c>
      <c r="AA81" s="2">
        <v>1.2252556741989499E-15</v>
      </c>
      <c r="AB81" s="2">
        <v>1.30751459785806E-15</v>
      </c>
      <c r="AC81" s="2">
        <v>7.0221163721316596E-16</v>
      </c>
      <c r="AD81" s="2">
        <v>-3.7483937699071498E-15</v>
      </c>
      <c r="AE81">
        <v>1.55507651988762E-2</v>
      </c>
      <c r="AF81">
        <v>-0.48137498208726398</v>
      </c>
    </row>
    <row r="82" spans="1:32" x14ac:dyDescent="0.25">
      <c r="A82" s="1">
        <v>46477</v>
      </c>
      <c r="B82">
        <v>-0.16903774371102101</v>
      </c>
      <c r="C82" s="2">
        <v>5.3490262727714002E-10</v>
      </c>
      <c r="D82">
        <v>-0.115212008278971</v>
      </c>
      <c r="E82" s="2">
        <v>3.0113887744143399E-5</v>
      </c>
      <c r="F82">
        <v>0.21153410691687399</v>
      </c>
      <c r="G82">
        <v>4.4740599956267703E-2</v>
      </c>
      <c r="H82">
        <v>-0.20515616033603201</v>
      </c>
      <c r="I82" s="2">
        <v>-1.7163880208714602E-14</v>
      </c>
      <c r="J82" s="2">
        <v>3.9986692744888502E-14</v>
      </c>
      <c r="K82" s="2">
        <v>2.7170546045551502E-16</v>
      </c>
      <c r="L82">
        <v>-5.0313652794288899E-2</v>
      </c>
      <c r="M82">
        <v>0</v>
      </c>
      <c r="N82">
        <v>0</v>
      </c>
      <c r="O82" s="2">
        <v>8.6977263141858805E-14</v>
      </c>
      <c r="P82">
        <v>0</v>
      </c>
      <c r="Q82">
        <v>-0.20575768692704099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s="2">
        <v>1.0364987702000699E-15</v>
      </c>
      <c r="Z82" s="2">
        <v>9.4678391922376803E-16</v>
      </c>
      <c r="AA82" s="2">
        <v>1.21088045445598E-15</v>
      </c>
      <c r="AB82" s="2">
        <v>1.2935898910928299E-15</v>
      </c>
      <c r="AC82" s="2">
        <v>6.9561231451553099E-16</v>
      </c>
      <c r="AD82" s="2">
        <v>-3.7080688909028597E-15</v>
      </c>
      <c r="AE82">
        <v>1.53741821300262E-2</v>
      </c>
      <c r="AF82">
        <v>-0.473798248621428</v>
      </c>
    </row>
    <row r="83" spans="1:32" x14ac:dyDescent="0.25">
      <c r="A83" s="1">
        <v>46568</v>
      </c>
      <c r="B83">
        <v>-0.16700546300614799</v>
      </c>
      <c r="C83" s="2">
        <v>2.7766920604026199E-10</v>
      </c>
      <c r="D83">
        <v>-0.114059888196181</v>
      </c>
      <c r="E83" s="2">
        <v>2.0977058940403799E-5</v>
      </c>
      <c r="F83">
        <v>0.209418765847706</v>
      </c>
      <c r="G83">
        <v>4.2888359517721998E-2</v>
      </c>
      <c r="H83">
        <v>-0.19679076611808399</v>
      </c>
      <c r="I83" s="2">
        <v>-1.6787368698790901E-14</v>
      </c>
      <c r="J83" s="2">
        <v>4.0092625373857702E-14</v>
      </c>
      <c r="K83" s="2">
        <v>2.55212701006157E-16</v>
      </c>
      <c r="L83">
        <v>-5.1532869722819397E-2</v>
      </c>
      <c r="M83">
        <v>0</v>
      </c>
      <c r="N83">
        <v>0</v>
      </c>
      <c r="O83" s="2">
        <v>8.6626506162918599E-14</v>
      </c>
      <c r="P83">
        <v>0</v>
      </c>
      <c r="Q83">
        <v>-0.20397899254611901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s="2">
        <v>1.02090556596404E-15</v>
      </c>
      <c r="Z83" s="2">
        <v>9.34696709722133E-16</v>
      </c>
      <c r="AA83" s="2">
        <v>1.1968883989102899E-15</v>
      </c>
      <c r="AB83" s="2">
        <v>1.2800220886293801E-15</v>
      </c>
      <c r="AC83" s="2">
        <v>6.8927824079886795E-16</v>
      </c>
      <c r="AD83" s="2">
        <v>-3.6680205174359803E-15</v>
      </c>
      <c r="AE83">
        <v>1.51997115880069E-2</v>
      </c>
      <c r="AF83">
        <v>-0.46584016529919597</v>
      </c>
    </row>
    <row r="84" spans="1:32" x14ac:dyDescent="0.25">
      <c r="A84" s="1">
        <v>46660</v>
      </c>
      <c r="B84">
        <v>-0.16499682536840399</v>
      </c>
      <c r="C84" s="2">
        <v>1.44138753739851E-10</v>
      </c>
      <c r="D84">
        <v>-0.11291928931422</v>
      </c>
      <c r="E84" s="2">
        <v>1.46124275134206E-5</v>
      </c>
      <c r="F84">
        <v>0.207324578189229</v>
      </c>
      <c r="G84">
        <v>4.1192648110350498E-2</v>
      </c>
      <c r="H84">
        <v>-0.18858011726854901</v>
      </c>
      <c r="I84" s="2">
        <v>-1.6409399833753001E-14</v>
      </c>
      <c r="J84" s="2">
        <v>4.0189056916667501E-14</v>
      </c>
      <c r="K84" s="2">
        <v>2.38692205677313E-16</v>
      </c>
      <c r="L84">
        <v>-5.2460507640991298E-2</v>
      </c>
      <c r="M84">
        <v>0</v>
      </c>
      <c r="N84">
        <v>0</v>
      </c>
      <c r="O84" s="2">
        <v>8.6273158166959704E-14</v>
      </c>
      <c r="P84">
        <v>0</v>
      </c>
      <c r="Q84">
        <v>-0.202191345921541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s="2">
        <v>1.00569343905493E-15</v>
      </c>
      <c r="Z84" s="2">
        <v>9.2292123754826408E-16</v>
      </c>
      <c r="AA84" s="2">
        <v>1.18326314824009E-15</v>
      </c>
      <c r="AB84" s="2">
        <v>1.2667828261119501E-15</v>
      </c>
      <c r="AC84" s="2">
        <v>6.8317229896524296E-16</v>
      </c>
      <c r="AD84" s="2">
        <v>-3.6282822042425999E-15</v>
      </c>
      <c r="AE84">
        <v>1.50273264956991E-2</v>
      </c>
      <c r="AF84">
        <v>-0.45758892014666303</v>
      </c>
    </row>
    <row r="85" spans="1:32" x14ac:dyDescent="0.25">
      <c r="A85" s="1">
        <v>46752</v>
      </c>
      <c r="B85">
        <v>-0.163012018427104</v>
      </c>
      <c r="C85" s="2">
        <v>7.4822793513988303E-11</v>
      </c>
      <c r="D85">
        <v>-0.111790096421077</v>
      </c>
      <c r="E85" s="2">
        <v>1.01788834390482E-5</v>
      </c>
      <c r="F85">
        <v>0.20525133240733601</v>
      </c>
      <c r="G85">
        <v>3.9637092307294702E-2</v>
      </c>
      <c r="H85">
        <v>-0.180546621441387</v>
      </c>
      <c r="I85" s="2">
        <v>-1.60306630256774E-14</v>
      </c>
      <c r="J85" s="2">
        <v>4.0276151142777903E-14</v>
      </c>
      <c r="K85" s="2">
        <v>2.2250348630020698E-16</v>
      </c>
      <c r="L85">
        <v>-5.3131248288289398E-2</v>
      </c>
      <c r="M85">
        <v>0</v>
      </c>
      <c r="N85">
        <v>0</v>
      </c>
      <c r="O85" s="2">
        <v>8.5917246720369394E-14</v>
      </c>
      <c r="P85">
        <v>0</v>
      </c>
      <c r="Q85">
        <v>-0.20039750581580101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s="2">
        <v>9.9088377066569798E-16</v>
      </c>
      <c r="Z85" s="2">
        <v>9.1145794506444007E-16</v>
      </c>
      <c r="AA85" s="2">
        <v>1.1699867611896201E-15</v>
      </c>
      <c r="AB85" s="2">
        <v>1.2538447472271301E-15</v>
      </c>
      <c r="AC85" s="2">
        <v>6.7726015269914503E-16</v>
      </c>
      <c r="AD85" s="2">
        <v>-3.5888841455329301E-15</v>
      </c>
      <c r="AE85">
        <v>1.48570001455575E-2</v>
      </c>
      <c r="AF85">
        <v>-0.449121886575096</v>
      </c>
    </row>
    <row r="86" spans="1:32" x14ac:dyDescent="0.25">
      <c r="A86" s="1">
        <v>46843</v>
      </c>
      <c r="B86">
        <v>-0.16105113344268601</v>
      </c>
      <c r="C86" s="2">
        <v>3.8840721904848498E-11</v>
      </c>
      <c r="D86">
        <v>-0.110672195456867</v>
      </c>
      <c r="E86" s="2">
        <v>7.0905171628659501E-6</v>
      </c>
      <c r="F86">
        <v>0.20319881908326301</v>
      </c>
      <c r="G86">
        <v>3.82069695939352E-2</v>
      </c>
      <c r="H86">
        <v>-0.172708583390494</v>
      </c>
      <c r="I86" s="2">
        <v>-1.5651855689455699E-14</v>
      </c>
      <c r="J86" s="2">
        <v>4.0354053613266699E-14</v>
      </c>
      <c r="K86" s="2">
        <v>2.0693044960511601E-16</v>
      </c>
      <c r="L86">
        <v>-5.3576306648779798E-2</v>
      </c>
      <c r="M86">
        <v>0</v>
      </c>
      <c r="N86">
        <v>0</v>
      </c>
      <c r="O86" s="2">
        <v>8.5558807698172797E-14</v>
      </c>
      <c r="P86">
        <v>0</v>
      </c>
      <c r="Q86">
        <v>-0.19859996734605001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s="2">
        <v>9.7648935392247392E-16</v>
      </c>
      <c r="Z86" s="2">
        <v>9.0030322224680096E-16</v>
      </c>
      <c r="AA86" s="2">
        <v>1.15704031618497E-15</v>
      </c>
      <c r="AB86" s="2">
        <v>1.2411818749085701E-15</v>
      </c>
      <c r="AC86" s="2">
        <v>6.7151051686376805E-16</v>
      </c>
      <c r="AD86" s="2">
        <v>-3.5498528975575199E-15</v>
      </c>
      <c r="AE86">
        <v>1.46887061944717E-2</v>
      </c>
      <c r="AF86">
        <v>-0.44050660085708998</v>
      </c>
    </row>
    <row r="87" spans="1:32" x14ac:dyDescent="0.25">
      <c r="A87" s="1">
        <v>46934</v>
      </c>
      <c r="B87">
        <v>-0.15911418395433499</v>
      </c>
      <c r="C87" s="2">
        <v>2.0162347518897299E-11</v>
      </c>
      <c r="D87">
        <v>-0.10956547350229801</v>
      </c>
      <c r="E87" s="2">
        <v>4.9391894449324997E-6</v>
      </c>
      <c r="F87">
        <v>0.20116683089243101</v>
      </c>
      <c r="G87">
        <v>3.6889068890249198E-2</v>
      </c>
      <c r="H87">
        <v>-0.16508062197446099</v>
      </c>
      <c r="I87" s="2">
        <v>-1.5273674718945901E-14</v>
      </c>
      <c r="J87" s="2">
        <v>4.04228969043041E-14</v>
      </c>
      <c r="K87" s="2">
        <v>1.9218928195075799E-16</v>
      </c>
      <c r="L87">
        <v>-5.3823699348815597E-2</v>
      </c>
      <c r="M87">
        <v>0</v>
      </c>
      <c r="N87">
        <v>0</v>
      </c>
      <c r="O87" s="2">
        <v>8.5197884860849595E-14</v>
      </c>
      <c r="P87">
        <v>0</v>
      </c>
      <c r="Q87">
        <v>-0.196800977146769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s="2">
        <v>9.6251558130462005E-16</v>
      </c>
      <c r="Z87" s="2">
        <v>8.8945016571332891E-16</v>
      </c>
      <c r="AA87" s="2">
        <v>1.1444044223654199E-15</v>
      </c>
      <c r="AB87" s="2">
        <v>1.22876986756788E-15</v>
      </c>
      <c r="AC87" s="2">
        <v>6.6589527950630698E-16</v>
      </c>
      <c r="AD87" s="2">
        <v>-3.5112112827931201E-15</v>
      </c>
      <c r="AE87">
        <v>1.45224186586918E-2</v>
      </c>
      <c r="AF87">
        <v>-0.43180169827558701</v>
      </c>
    </row>
    <row r="88" spans="1:32" x14ac:dyDescent="0.25">
      <c r="A88" s="1">
        <v>47026</v>
      </c>
      <c r="B88">
        <v>-0.157201120889429</v>
      </c>
      <c r="C88" s="2">
        <v>1.0466361596461201E-11</v>
      </c>
      <c r="D88">
        <v>-0.108469818767275</v>
      </c>
      <c r="E88" s="2">
        <v>3.4405942214146398E-6</v>
      </c>
      <c r="F88">
        <v>0.19915516258350599</v>
      </c>
      <c r="G88">
        <v>3.5671556426101203E-2</v>
      </c>
      <c r="H88">
        <v>-0.157674070938053</v>
      </c>
      <c r="I88" s="2">
        <v>-1.4896807854330799E-14</v>
      </c>
      <c r="J88" s="2">
        <v>4.0482805079579703E-14</v>
      </c>
      <c r="K88" s="2">
        <v>1.7843666322893699E-16</v>
      </c>
      <c r="L88">
        <v>-5.38985099025917E-2</v>
      </c>
      <c r="M88">
        <v>0</v>
      </c>
      <c r="N88">
        <v>0</v>
      </c>
      <c r="O88" s="2">
        <v>8.4834529329769205E-14</v>
      </c>
      <c r="P88">
        <v>0</v>
      </c>
      <c r="Q88">
        <v>-0.195002549964192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s="2">
        <v>9.4896160692097595E-16</v>
      </c>
      <c r="Z88" s="2">
        <v>8.7888927973270296E-16</v>
      </c>
      <c r="AA88" s="2">
        <v>1.1320596447191101E-15</v>
      </c>
      <c r="AB88" s="2">
        <v>1.2165861808583501E-15</v>
      </c>
      <c r="AC88" s="2">
        <v>6.6038950987641198E-16</v>
      </c>
      <c r="AD88" s="2">
        <v>-3.4729784304156399E-15</v>
      </c>
      <c r="AE88">
        <v>1.43581119088198E-2</v>
      </c>
      <c r="AF88">
        <v>-0.42305779893831202</v>
      </c>
    </row>
    <row r="89" spans="1:32" x14ac:dyDescent="0.25">
      <c r="A89" s="1">
        <v>47118</v>
      </c>
      <c r="B89">
        <v>-0.155311844819636</v>
      </c>
      <c r="C89" s="2">
        <v>5.4331538632389602E-12</v>
      </c>
      <c r="D89">
        <v>-0.10738512057960201</v>
      </c>
      <c r="E89" s="2">
        <v>2.3966864870243298E-6</v>
      </c>
      <c r="F89">
        <v>0.19716361095767099</v>
      </c>
      <c r="G89">
        <v>3.4543848567344299E-2</v>
      </c>
      <c r="H89">
        <v>-0.15049735769570699</v>
      </c>
      <c r="I89" s="2">
        <v>-1.4521925428832E-14</v>
      </c>
      <c r="J89" s="2">
        <v>4.0533897435369201E-14</v>
      </c>
      <c r="K89" s="2">
        <v>1.6577792114318299E-16</v>
      </c>
      <c r="L89">
        <v>-5.3823145446281202E-2</v>
      </c>
      <c r="M89">
        <v>0</v>
      </c>
      <c r="N89">
        <v>0</v>
      </c>
      <c r="O89" s="2">
        <v>8.4468798990099998E-14</v>
      </c>
      <c r="P89">
        <v>0</v>
      </c>
      <c r="Q89">
        <v>-0.193206485866566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s="2">
        <v>9.358214476162229E-16</v>
      </c>
      <c r="Z89" s="2">
        <v>8.6860910869866497E-16</v>
      </c>
      <c r="AA89" s="2">
        <v>1.11998684984212E-15</v>
      </c>
      <c r="AB89" s="2">
        <v>1.20461015303627E-15</v>
      </c>
      <c r="AC89" s="2">
        <v>6.54971381121599E-16</v>
      </c>
      <c r="AD89" s="2">
        <v>-3.4351699159036001E-15</v>
      </c>
      <c r="AE89">
        <v>1.41957606648644E-2</v>
      </c>
      <c r="AF89">
        <v>-0.41431833752587899</v>
      </c>
    </row>
    <row r="90" spans="1:32" x14ac:dyDescent="0.25">
      <c r="A90" s="1">
        <v>47208</v>
      </c>
      <c r="B90">
        <v>-0.15344621591381499</v>
      </c>
      <c r="C90" s="2">
        <v>2.82040481826964E-12</v>
      </c>
      <c r="D90">
        <v>-0.106311269373806</v>
      </c>
      <c r="E90" s="2">
        <v>1.6695099013631401E-6</v>
      </c>
      <c r="F90">
        <v>0.195191974848095</v>
      </c>
      <c r="G90">
        <v>3.3496492553913203E-2</v>
      </c>
      <c r="H90">
        <v>-0.14355635662805599</v>
      </c>
      <c r="I90" s="2">
        <v>-1.41496728374712E-14</v>
      </c>
      <c r="J90" s="2">
        <v>4.0576291562292002E-14</v>
      </c>
      <c r="K90" s="2">
        <v>1.54274853724362E-16</v>
      </c>
      <c r="L90">
        <v>-5.36175813862989E-2</v>
      </c>
      <c r="M90">
        <v>0</v>
      </c>
      <c r="N90">
        <v>0</v>
      </c>
      <c r="O90" s="2">
        <v>8.4100757846239604E-14</v>
      </c>
      <c r="P90">
        <v>0</v>
      </c>
      <c r="Q90">
        <v>-0.19141438748075401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s="2">
        <v>9.2308499967103503E-16</v>
      </c>
      <c r="Z90" s="2">
        <v>8.58596796149591E-16</v>
      </c>
      <c r="AA90" s="2">
        <v>1.1081674798842401E-15</v>
      </c>
      <c r="AB90" s="2">
        <v>1.19282302961007E-15</v>
      </c>
      <c r="AC90" s="2">
        <v>6.4962203124303901E-16</v>
      </c>
      <c r="AD90" s="2">
        <v>-3.3977979697090098E-15</v>
      </c>
      <c r="AE90">
        <v>1.40353399913602E-2</v>
      </c>
      <c r="AF90">
        <v>-0.40562033387652702</v>
      </c>
    </row>
    <row r="91" spans="1:32" x14ac:dyDescent="0.25">
      <c r="A91" s="1">
        <v>47299</v>
      </c>
      <c r="B91">
        <v>-0.15160406202995799</v>
      </c>
      <c r="C91" s="2">
        <v>1.4641213194205199E-12</v>
      </c>
      <c r="D91">
        <v>-0.105248156680068</v>
      </c>
      <c r="E91" s="2">
        <v>1.1629653387376699E-6</v>
      </c>
      <c r="F91">
        <v>0.19324005509961401</v>
      </c>
      <c r="G91">
        <v>3.2521055639711E-2</v>
      </c>
      <c r="H91">
        <v>-0.13685471509238301</v>
      </c>
      <c r="I91" s="2">
        <v>-1.3780663950808101E-14</v>
      </c>
      <c r="J91" s="2">
        <v>4.0610105780706201E-14</v>
      </c>
      <c r="K91" s="2">
        <v>1.4395303920039801E-16</v>
      </c>
      <c r="L91">
        <v>-5.3299591729489101E-2</v>
      </c>
      <c r="M91">
        <v>0</v>
      </c>
      <c r="N91">
        <v>0</v>
      </c>
      <c r="O91" s="2">
        <v>8.3730475351106499E-14</v>
      </c>
      <c r="P91">
        <v>0</v>
      </c>
      <c r="Q91">
        <v>-0.18962767683920101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s="2">
        <v>9.1073895764688597E-16</v>
      </c>
      <c r="Z91" s="2">
        <v>8.4883856951200903E-16</v>
      </c>
      <c r="AA91" s="2">
        <v>1.0965837627085E-15</v>
      </c>
      <c r="AB91" s="2">
        <v>1.1812079407341499E-15</v>
      </c>
      <c r="AC91" s="2">
        <v>6.44325381469752E-16</v>
      </c>
      <c r="AD91" s="2">
        <v>-3.3608717310017498E-15</v>
      </c>
      <c r="AE91">
        <v>1.38768252925499E-2</v>
      </c>
      <c r="AF91">
        <v>-0.39699510337230798</v>
      </c>
    </row>
    <row r="92" spans="1:32" x14ac:dyDescent="0.25">
      <c r="A92" s="1">
        <v>47391</v>
      </c>
      <c r="B92">
        <v>-0.14978518530190801</v>
      </c>
      <c r="C92" s="2">
        <v>7.6007188671629099E-13</v>
      </c>
      <c r="D92">
        <v>-0.10419567511326699</v>
      </c>
      <c r="E92" s="2">
        <v>8.1011102661057497E-7</v>
      </c>
      <c r="F92">
        <v>0.19130765454861801</v>
      </c>
      <c r="G92">
        <v>3.1610022780351098E-2</v>
      </c>
      <c r="H92">
        <v>-0.13039415157821099</v>
      </c>
      <c r="I92" s="2">
        <v>-1.34154756002078E-14</v>
      </c>
      <c r="J92" s="2">
        <v>4.0635461013855598E-14</v>
      </c>
      <c r="K92" s="2">
        <v>1.3480852266701599E-16</v>
      </c>
      <c r="L92">
        <v>-5.2884963861656302E-2</v>
      </c>
      <c r="M92">
        <v>0</v>
      </c>
      <c r="N92">
        <v>0</v>
      </c>
      <c r="O92" s="2">
        <v>8.3358025727132104E-14</v>
      </c>
      <c r="P92">
        <v>0</v>
      </c>
      <c r="Q92">
        <v>-0.18784761155335999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 s="2">
        <v>8.9876762927359799E-16</v>
      </c>
      <c r="Z92" s="2">
        <v>8.3932015265735603E-16</v>
      </c>
      <c r="AA92" s="2">
        <v>1.0852188663343299E-15</v>
      </c>
      <c r="AB92" s="2">
        <v>1.1697498427524901E-15</v>
      </c>
      <c r="AC92" s="2">
        <v>6.3906792740576803E-16</v>
      </c>
      <c r="AD92" s="2">
        <v>-3.32439752762287E-15</v>
      </c>
      <c r="AE92">
        <v>1.3720192307629E-2</v>
      </c>
      <c r="AF92">
        <v>-0.38846890765990499</v>
      </c>
    </row>
    <row r="93" spans="1:32" x14ac:dyDescent="0.25">
      <c r="A93" s="1">
        <v>47483</v>
      </c>
      <c r="B93">
        <v>-0.147989367507187</v>
      </c>
      <c r="C93" s="2">
        <v>3.9459859036296898E-13</v>
      </c>
      <c r="D93">
        <v>-0.10315371836213499</v>
      </c>
      <c r="E93" s="2">
        <v>5.6431593813214301E-7</v>
      </c>
      <c r="F93">
        <v>0.189394578003132</v>
      </c>
      <c r="G93">
        <v>3.0756702769155701E-2</v>
      </c>
      <c r="H93">
        <v>-0.12417472631668799</v>
      </c>
      <c r="I93" s="2">
        <v>-1.30546431855351E-14</v>
      </c>
      <c r="J93" s="2">
        <v>4.06524821657379E-14</v>
      </c>
      <c r="K93" s="2">
        <v>1.2681382227941101E-16</v>
      </c>
      <c r="L93">
        <v>-5.2387697273710197E-2</v>
      </c>
      <c r="M93">
        <v>0</v>
      </c>
      <c r="N93">
        <v>0</v>
      </c>
      <c r="O93" s="2">
        <v>8.2983487293560803E-14</v>
      </c>
      <c r="P93">
        <v>0</v>
      </c>
      <c r="Q93">
        <v>-0.18607530012949899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s="2">
        <v>8.8715364566374102E-16</v>
      </c>
      <c r="Z93" s="2">
        <v>8.3002711033941502E-16</v>
      </c>
      <c r="AA93" s="2">
        <v>1.0740570054833401E-15</v>
      </c>
      <c r="AB93" s="2">
        <v>1.1584354334459101E-15</v>
      </c>
      <c r="AC93" s="2">
        <v>6.33838515074405E-16</v>
      </c>
      <c r="AD93" s="2">
        <v>-3.28837916766901E-15</v>
      </c>
      <c r="AE93">
        <v>1.35654171060531E-2</v>
      </c>
      <c r="AF93">
        <v>-0.38006354739443299</v>
      </c>
    </row>
    <row r="94" spans="1:32" x14ac:dyDescent="0.25">
      <c r="A94" s="1">
        <v>47573</v>
      </c>
      <c r="B94">
        <v>-0.14621637444662799</v>
      </c>
      <c r="C94" s="2">
        <v>2.04880890341794E-13</v>
      </c>
      <c r="D94">
        <v>-0.102122181178513</v>
      </c>
      <c r="E94" s="2">
        <v>3.9309732624272198E-7</v>
      </c>
      <c r="F94">
        <v>0.18750063222310001</v>
      </c>
      <c r="G94">
        <v>2.9955142551082298E-2</v>
      </c>
      <c r="H94">
        <v>-0.11819508526063199</v>
      </c>
      <c r="I94" s="2">
        <v>-1.2698657398495799E-14</v>
      </c>
      <c r="J94" s="2">
        <v>4.0661299070376698E-14</v>
      </c>
      <c r="K94" s="2">
        <v>1.1992323719348301E-16</v>
      </c>
      <c r="L94">
        <v>-5.1820186262932097E-2</v>
      </c>
      <c r="M94">
        <v>0</v>
      </c>
      <c r="N94">
        <v>0</v>
      </c>
      <c r="O94" s="2">
        <v>8.2606941811735703E-14</v>
      </c>
      <c r="P94">
        <v>0</v>
      </c>
      <c r="Q94">
        <v>-0.18431171631746099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s="2">
        <v>8.7587856996486897E-16</v>
      </c>
      <c r="Z94" s="2">
        <v>8.2094512983639503E-16</v>
      </c>
      <c r="AA94" s="2">
        <v>1.06308350759693E-15</v>
      </c>
      <c r="AB94" s="2">
        <v>1.14725304889298E-15</v>
      </c>
      <c r="AC94" s="2">
        <v>6.2862811126974801E-16</v>
      </c>
      <c r="AD94" s="2">
        <v>-3.2528182316740001E-15</v>
      </c>
      <c r="AE94">
        <v>1.34124760829058E-2</v>
      </c>
      <c r="AF94">
        <v>-0.37179689951143402</v>
      </c>
    </row>
    <row r="95" spans="1:32" x14ac:dyDescent="0.25">
      <c r="A95" s="1">
        <v>47664</v>
      </c>
      <c r="B95">
        <v>-0.14446595952178501</v>
      </c>
      <c r="C95" s="2">
        <v>1.06398278109792E-13</v>
      </c>
      <c r="D95">
        <v>-0.101100959366728</v>
      </c>
      <c r="E95" s="2">
        <v>2.7382800625811601E-7</v>
      </c>
      <c r="F95">
        <v>0.18562562590086901</v>
      </c>
      <c r="G95">
        <v>2.9200049330347901E-2</v>
      </c>
      <c r="H95">
        <v>-0.11245267875639101</v>
      </c>
      <c r="I95" s="2">
        <v>-1.2347962012448299E-14</v>
      </c>
      <c r="J95" s="2">
        <v>4.0662047076656301E-14</v>
      </c>
      <c r="K95" s="2">
        <v>1.1407746800361399E-16</v>
      </c>
      <c r="L95">
        <v>-5.11933870084091E-2</v>
      </c>
      <c r="M95">
        <v>0</v>
      </c>
      <c r="N95">
        <v>0</v>
      </c>
      <c r="O95" s="2">
        <v>8.2228473857442198E-14</v>
      </c>
      <c r="P95">
        <v>0</v>
      </c>
      <c r="Q95">
        <v>-0.18255771243820301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s="2">
        <v>8.6492341016296204E-16</v>
      </c>
      <c r="Z95" s="2">
        <v>8.1206024582840096E-16</v>
      </c>
      <c r="AA95" s="2">
        <v>1.05228484512299E-15</v>
      </c>
      <c r="AB95" s="2">
        <v>1.13619254841154E-15</v>
      </c>
      <c r="AC95" s="2">
        <v>6.2342957536876499E-16</v>
      </c>
      <c r="AD95" s="2">
        <v>-3.21771435725318E-15</v>
      </c>
      <c r="AE95">
        <v>1.32613459543289E-2</v>
      </c>
      <c r="AF95">
        <v>-0.36368340207774402</v>
      </c>
    </row>
    <row r="96" spans="1:32" x14ac:dyDescent="0.25">
      <c r="A96" s="1">
        <v>47756</v>
      </c>
      <c r="B96">
        <v>-0.14273786666020799</v>
      </c>
      <c r="C96" s="2">
        <v>5.5275969119472497E-14</v>
      </c>
      <c r="D96">
        <v>-0.100089949773061</v>
      </c>
      <c r="E96" s="2">
        <v>1.90746088157385E-7</v>
      </c>
      <c r="F96">
        <v>0.183769369641861</v>
      </c>
      <c r="G96">
        <v>2.8486720016372199E-2</v>
      </c>
      <c r="H96">
        <v>-0.10694395647976999</v>
      </c>
      <c r="I96" s="2">
        <v>-1.2002952659849501E-14</v>
      </c>
      <c r="J96" s="2">
        <v>4.0654867328860798E-14</v>
      </c>
      <c r="K96" s="2">
        <v>1.0920758026448E-16</v>
      </c>
      <c r="L96">
        <v>-5.0516969672035297E-2</v>
      </c>
      <c r="M96">
        <v>0</v>
      </c>
      <c r="N96">
        <v>0</v>
      </c>
      <c r="O96" s="2">
        <v>8.1848170227099702E-14</v>
      </c>
      <c r="P96">
        <v>0</v>
      </c>
      <c r="Q96">
        <v>-0.180814031676096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s="2">
        <v>8.5426904340398505E-16</v>
      </c>
      <c r="Z96" s="2">
        <v>8.0335901483715602E-16</v>
      </c>
      <c r="AA96" s="2">
        <v>1.0416486402276301E-15</v>
      </c>
      <c r="AB96" s="2">
        <v>1.1252451927971899E-15</v>
      </c>
      <c r="AC96" s="2">
        <v>6.18237437900385E-16</v>
      </c>
      <c r="AD96" s="2">
        <v>-3.1830655104214102E-15</v>
      </c>
      <c r="AE96">
        <v>1.31120037530117E-2</v>
      </c>
      <c r="AF96">
        <v>-0.35573449010366998</v>
      </c>
    </row>
    <row r="97" spans="1:32" x14ac:dyDescent="0.25">
      <c r="A97" s="1">
        <v>47848</v>
      </c>
      <c r="B97">
        <v>-0.14103183270985301</v>
      </c>
      <c r="C97" s="2">
        <v>2.87384662622996E-14</v>
      </c>
      <c r="D97">
        <v>-9.9089050275330701E-2</v>
      </c>
      <c r="E97" s="2">
        <v>1.3287198342788199E-7</v>
      </c>
      <c r="F97">
        <v>0.18193167594544199</v>
      </c>
      <c r="G97">
        <v>2.7810977513310398E-2</v>
      </c>
      <c r="H97">
        <v>-0.10166454034572001</v>
      </c>
      <c r="I97" s="2">
        <v>-1.16639764992643E-14</v>
      </c>
      <c r="J97" s="2">
        <v>4.0639906798100898E-14</v>
      </c>
      <c r="K97" s="2">
        <v>1.0523835475847001E-16</v>
      </c>
      <c r="L97">
        <v>-4.9799456338838997E-2</v>
      </c>
      <c r="M97">
        <v>0</v>
      </c>
      <c r="N97">
        <v>0</v>
      </c>
      <c r="O97" s="2">
        <v>8.1466119382614897E-14</v>
      </c>
      <c r="P97">
        <v>0</v>
      </c>
      <c r="Q97">
        <v>-0.17908131935061899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s="2">
        <v>8.4389656013027396E-16</v>
      </c>
      <c r="Z97" s="2">
        <v>7.9482864555142303E-16</v>
      </c>
      <c r="AA97" s="2">
        <v>1.0311636474216201E-15</v>
      </c>
      <c r="AB97" s="2">
        <v>1.11440352000076E-15</v>
      </c>
      <c r="AC97" s="2">
        <v>6.1304768965567799E-16</v>
      </c>
      <c r="AD97" s="2">
        <v>-3.1488682396720001E-15</v>
      </c>
      <c r="AE97">
        <v>1.2964426823741E-2</v>
      </c>
      <c r="AF97">
        <v>-0.34795898586574298</v>
      </c>
    </row>
    <row r="98" spans="1:32" x14ac:dyDescent="0.25">
      <c r="A98" s="1">
        <v>47938</v>
      </c>
      <c r="B98">
        <v>-0.13934758940064601</v>
      </c>
      <c r="C98" s="2">
        <v>1.4962960245214298E-14</v>
      </c>
      <c r="D98">
        <v>-9.8098159772577395E-2</v>
      </c>
      <c r="E98" s="2">
        <v>9.2557411073685694E-8</v>
      </c>
      <c r="F98">
        <v>0.180112359185988</v>
      </c>
      <c r="G98">
        <v>2.7169113342440699E-2</v>
      </c>
      <c r="H98">
        <v>-9.6609377155581599E-2</v>
      </c>
      <c r="I98" s="2">
        <v>-1.13313326629829E-14</v>
      </c>
      <c r="J98" s="2">
        <v>4.0617318114360798E-14</v>
      </c>
      <c r="K98" s="2">
        <v>1.0209107604273E-16</v>
      </c>
      <c r="L98">
        <v>-4.90483457055493E-2</v>
      </c>
      <c r="M98">
        <v>0</v>
      </c>
      <c r="N98">
        <v>0</v>
      </c>
      <c r="O98" s="2">
        <v>8.1082410938038404E-14</v>
      </c>
      <c r="P98">
        <v>0</v>
      </c>
      <c r="Q98">
        <v>-0.177360133201937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 s="2">
        <v>8.3378753671649303E-16</v>
      </c>
      <c r="Z98" s="2">
        <v>7.8645709114655597E-16</v>
      </c>
      <c r="AA98" s="2">
        <v>1.02081971892673E-15</v>
      </c>
      <c r="AB98" s="2">
        <v>1.1036612214739399E-15</v>
      </c>
      <c r="AC98" s="2">
        <v>6.0785758390569296E-16</v>
      </c>
      <c r="AD98" s="2">
        <v>-3.1151179103844502E-15</v>
      </c>
      <c r="AE98">
        <v>1.28185928190104E-2</v>
      </c>
      <c r="AF98">
        <v>-0.34036344733131202</v>
      </c>
    </row>
    <row r="99" spans="1:32" x14ac:dyDescent="0.25">
      <c r="A99" s="1">
        <v>48029</v>
      </c>
      <c r="B99">
        <v>-0.13768486495259399</v>
      </c>
      <c r="C99" s="2">
        <v>7.8122066768677195E-15</v>
      </c>
      <c r="D99">
        <v>-9.7117178174851701E-2</v>
      </c>
      <c r="E99" s="2">
        <v>6.4474648464286095E-8</v>
      </c>
      <c r="F99">
        <v>0.17831123559412801</v>
      </c>
      <c r="G99">
        <v>2.65578360874895E-2</v>
      </c>
      <c r="H99">
        <v>-9.1772872740053094E-2</v>
      </c>
      <c r="I99" s="2">
        <v>-1.10052733719435E-14</v>
      </c>
      <c r="J99" s="2">
        <v>4.0587259243254703E-14</v>
      </c>
      <c r="K99" s="2">
        <v>9.9685814750950795E-17</v>
      </c>
      <c r="L99">
        <v>-4.8270225471805997E-2</v>
      </c>
      <c r="M99">
        <v>0</v>
      </c>
      <c r="N99">
        <v>0</v>
      </c>
      <c r="O99" s="2">
        <v>8.0697135189756898E-14</v>
      </c>
      <c r="P99">
        <v>0</v>
      </c>
      <c r="Q99">
        <v>-0.17565095273801001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s="2">
        <v>8.2392424528199096E-16</v>
      </c>
      <c r="Z99" s="2">
        <v>7.7823310934904298E-16</v>
      </c>
      <c r="AA99" s="2">
        <v>1.01060775696786E-15</v>
      </c>
      <c r="AB99" s="2">
        <v>1.0930130216437199E-15</v>
      </c>
      <c r="AC99" s="2">
        <v>6.0266545332535797E-16</v>
      </c>
      <c r="AD99" s="2">
        <v>-3.08180891828083E-15</v>
      </c>
      <c r="AE99">
        <v>1.2674479694687E-2</v>
      </c>
      <c r="AF99">
        <v>-0.33295247822624002</v>
      </c>
    </row>
    <row r="100" spans="1:32" x14ac:dyDescent="0.25">
      <c r="A100" s="1">
        <v>48121</v>
      </c>
      <c r="B100">
        <v>-0.13604338539479199</v>
      </c>
      <c r="C100" s="2">
        <v>4.1003506014632001E-15</v>
      </c>
      <c r="D100">
        <v>-9.6146006393103195E-2</v>
      </c>
      <c r="E100" s="2">
        <v>4.4912452714811101E-8</v>
      </c>
      <c r="F100">
        <v>0.17652812323818701</v>
      </c>
      <c r="G100">
        <v>2.5974225165629E-2</v>
      </c>
      <c r="H100">
        <v>-8.7149009308439704E-2</v>
      </c>
      <c r="I100" s="2">
        <v>-1.06860056053075E-14</v>
      </c>
      <c r="J100" s="2">
        <v>4.05498930460102E-14</v>
      </c>
      <c r="K100" s="2">
        <v>9.7943260155938202E-17</v>
      </c>
      <c r="L100">
        <v>-4.7470873397892903E-2</v>
      </c>
      <c r="M100">
        <v>0</v>
      </c>
      <c r="N100">
        <v>0</v>
      </c>
      <c r="O100" s="2">
        <v>8.0310382690802296E-14</v>
      </c>
      <c r="P100">
        <v>0</v>
      </c>
      <c r="Q100">
        <v>-0.173954187699006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 s="2">
        <v>8.1428980906804495E-16</v>
      </c>
      <c r="Z100" s="2">
        <v>7.7014629554974196E-16</v>
      </c>
      <c r="AA100" s="2">
        <v>1.00051965657485E-15</v>
      </c>
      <c r="AB100" s="2">
        <v>1.08245456233528E-15</v>
      </c>
      <c r="AC100" s="2">
        <v>5.9747054246278196E-16</v>
      </c>
      <c r="AD100" s="2">
        <v>-3.0489348815310898E-15</v>
      </c>
      <c r="AE100">
        <v>1.2532065705738E-2</v>
      </c>
      <c r="AF100">
        <v>-0.32572900317110998</v>
      </c>
    </row>
    <row r="101" spans="1:32" x14ac:dyDescent="0.25">
      <c r="A101" s="1">
        <v>48213</v>
      </c>
      <c r="B101">
        <v>-0.13442287564753599</v>
      </c>
      <c r="C101" s="2">
        <v>2.1736098096315099E-15</v>
      </c>
      <c r="D101">
        <v>-9.5184546329172101E-2</v>
      </c>
      <c r="E101" s="2">
        <v>3.1285605955317503E-8</v>
      </c>
      <c r="F101">
        <v>0.174762842005805</v>
      </c>
      <c r="G101">
        <v>2.5415689447581401E-2</v>
      </c>
      <c r="H101">
        <v>-8.2731447638868597E-2</v>
      </c>
      <c r="I101" s="2">
        <v>-1.0373693216352599E-14</v>
      </c>
      <c r="J101" s="2">
        <v>4.0505386755836802E-14</v>
      </c>
      <c r="K101" s="2">
        <v>9.6786158433446603E-17</v>
      </c>
      <c r="L101">
        <v>-4.6655347976699499E-2</v>
      </c>
      <c r="M101">
        <v>0</v>
      </c>
      <c r="N101">
        <v>0</v>
      </c>
      <c r="O101" s="2">
        <v>7.9922243868918898E-14</v>
      </c>
      <c r="P101">
        <v>0</v>
      </c>
      <c r="Q101">
        <v>-0.17227018569924199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 s="2">
        <v>8.0486831129027501E-16</v>
      </c>
      <c r="Z101" s="2">
        <v>7.6218709377330196E-16</v>
      </c>
      <c r="AA101" s="2">
        <v>9.9054824192278891E-16</v>
      </c>
      <c r="AB101" s="2">
        <v>1.0719822934343901E-15</v>
      </c>
      <c r="AC101" s="2">
        <v>5.92272856008191E-16</v>
      </c>
      <c r="AD101" s="2">
        <v>-3.0164888117650602E-15</v>
      </c>
      <c r="AE101">
        <v>1.2391329402013601E-2</v>
      </c>
      <c r="AF101">
        <v>-0.31869451115039699</v>
      </c>
    </row>
    <row r="102" spans="1:32" x14ac:dyDescent="0.25">
      <c r="A102" s="1">
        <v>48304</v>
      </c>
      <c r="B102">
        <v>-0.13282306041000599</v>
      </c>
      <c r="C102" s="2">
        <v>1.1735043298443899E-15</v>
      </c>
      <c r="D102">
        <v>-9.4232700865880398E-2</v>
      </c>
      <c r="E102" s="2">
        <v>2.17932690485161E-8</v>
      </c>
      <c r="F102">
        <v>0.17301521358574701</v>
      </c>
      <c r="G102">
        <v>2.4879930276127799E-2</v>
      </c>
      <c r="H102">
        <v>-7.8513615650250806E-2</v>
      </c>
      <c r="I102" s="2">
        <v>-1.0068459393265399E-14</v>
      </c>
      <c r="J102" s="2">
        <v>4.0453911398816201E-14</v>
      </c>
      <c r="K102" s="2">
        <v>9.6140409546278005E-17</v>
      </c>
      <c r="L102">
        <v>-4.5828069633787799E-2</v>
      </c>
      <c r="M102">
        <v>0</v>
      </c>
      <c r="N102">
        <v>0</v>
      </c>
      <c r="O102" s="2">
        <v>7.9532808687295394E-14</v>
      </c>
      <c r="P102">
        <v>0</v>
      </c>
      <c r="Q102">
        <v>-0.17059923910854999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 s="2">
        <v>7.9564486477847796E-16</v>
      </c>
      <c r="Z102" s="2">
        <v>7.5434678979615598E-16</v>
      </c>
      <c r="AA102" s="2">
        <v>9.806871987353391E-16</v>
      </c>
      <c r="AB102" s="2">
        <v>1.06159337064829E-15</v>
      </c>
      <c r="AC102" s="2">
        <v>5.87073022674926E-16</v>
      </c>
      <c r="AD102" s="2">
        <v>-2.9844632647274902E-15</v>
      </c>
      <c r="AE102">
        <v>1.2252249624087099E-2</v>
      </c>
      <c r="AF102">
        <v>-0.31184927038912802</v>
      </c>
    </row>
    <row r="103" spans="1:32" x14ac:dyDescent="0.25">
      <c r="A103" s="1">
        <v>48395</v>
      </c>
      <c r="B103">
        <v>-0.131243664888061</v>
      </c>
      <c r="C103" s="2">
        <v>6.5439719428056897E-16</v>
      </c>
      <c r="D103">
        <v>-9.3290373857221595E-2</v>
      </c>
      <c r="E103" s="2">
        <v>1.51809939124527E-8</v>
      </c>
      <c r="F103">
        <v>0.17128506144989</v>
      </c>
      <c r="G103">
        <v>2.43649084612266E-2</v>
      </c>
      <c r="H103">
        <v>-7.4488784792458296E-2</v>
      </c>
      <c r="I103" s="2">
        <v>-9.7703893720330096E-15</v>
      </c>
      <c r="J103" s="2">
        <v>4.0395641182834998E-14</v>
      </c>
      <c r="K103" s="2">
        <v>9.5935872189662295E-17</v>
      </c>
      <c r="L103">
        <v>-4.49928933239538E-2</v>
      </c>
      <c r="M103">
        <v>0</v>
      </c>
      <c r="N103">
        <v>0</v>
      </c>
      <c r="O103" s="2">
        <v>7.9142166346300704E-14</v>
      </c>
      <c r="P103">
        <v>0</v>
      </c>
      <c r="Q103">
        <v>-0.16894159123467301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s="2">
        <v>7.8660564905166304E-16</v>
      </c>
      <c r="Z103" s="2">
        <v>7.4661749019331603E-16</v>
      </c>
      <c r="AA103" s="2">
        <v>9.7093100482490897E-16</v>
      </c>
      <c r="AB103" s="2">
        <v>1.0512855608761801E-15</v>
      </c>
      <c r="AC103" s="2">
        <v>5.8187217418036704E-16</v>
      </c>
      <c r="AD103" s="2">
        <v>-2.9528504716450398E-15</v>
      </c>
      <c r="AE103">
        <v>1.2114805499151299E-2</v>
      </c>
      <c r="AF103">
        <v>-0.30519251750499199</v>
      </c>
    </row>
    <row r="104" spans="1:32" x14ac:dyDescent="0.25">
      <c r="A104" s="1">
        <v>48487</v>
      </c>
      <c r="B104">
        <v>-0.12968441539032899</v>
      </c>
      <c r="C104" s="2">
        <v>3.8495899332437698E-16</v>
      </c>
      <c r="D104">
        <v>-9.2357470118649407E-2</v>
      </c>
      <c r="E104" s="2">
        <v>1.05749434798789E-8</v>
      </c>
      <c r="F104">
        <v>0.16957221083539101</v>
      </c>
      <c r="G104">
        <v>2.3868814860302401E-2</v>
      </c>
      <c r="H104">
        <v>-7.0650135582119605E-2</v>
      </c>
      <c r="I104" s="2">
        <v>-9.4795333182435E-15</v>
      </c>
      <c r="J104" s="2">
        <v>4.0330752873900099E-14</v>
      </c>
      <c r="K104" s="2">
        <v>9.6106922187523404E-17</v>
      </c>
      <c r="L104">
        <v>-4.4153173340055703E-2</v>
      </c>
      <c r="M104">
        <v>0</v>
      </c>
      <c r="N104">
        <v>0</v>
      </c>
      <c r="O104" s="2">
        <v>7.8750405024138906E-14</v>
      </c>
      <c r="P104">
        <v>0</v>
      </c>
      <c r="Q104">
        <v>-0.16729744186668999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s="2">
        <v>7.7773792078501903E-16</v>
      </c>
      <c r="Z104" s="2">
        <v>7.3899209060058596E-16</v>
      </c>
      <c r="AA104" s="2">
        <v>9.6127486044399404E-16</v>
      </c>
      <c r="AB104" s="2">
        <v>1.0410571554231299E-15</v>
      </c>
      <c r="AC104" s="2">
        <v>5.76671838584696E-16</v>
      </c>
      <c r="AD104" s="2">
        <v>-2.9216424525936798E-15</v>
      </c>
      <c r="AE104">
        <v>1.1978976436971E-2</v>
      </c>
      <c r="AF104">
        <v>-0.29872262359012303</v>
      </c>
    </row>
    <row r="105" spans="1:32" x14ac:dyDescent="0.25">
      <c r="A105" s="1">
        <v>48579</v>
      </c>
      <c r="B105">
        <v>-0.128145039815593</v>
      </c>
      <c r="C105" s="2">
        <v>2.4510768725065401E-16</v>
      </c>
      <c r="D105">
        <v>-9.1433895417462899E-2</v>
      </c>
      <c r="E105" s="2">
        <v>7.3664108373092096E-9</v>
      </c>
      <c r="F105">
        <v>0.167876488727037</v>
      </c>
      <c r="G105">
        <v>2.3390044182924501E-2</v>
      </c>
      <c r="H105">
        <v>-6.6990813501686397E-2</v>
      </c>
      <c r="I105" s="2">
        <v>-9.1959093046583507E-15</v>
      </c>
      <c r="J105" s="2">
        <v>4.0259425175451601E-14</v>
      </c>
      <c r="K105" s="2">
        <v>9.6592805394069705E-17</v>
      </c>
      <c r="L105">
        <v>-4.3311821093483402E-2</v>
      </c>
      <c r="M105">
        <v>0</v>
      </c>
      <c r="N105">
        <v>0</v>
      </c>
      <c r="O105" s="2">
        <v>7.8357611654047405E-14</v>
      </c>
      <c r="P105">
        <v>0</v>
      </c>
      <c r="Q105">
        <v>-0.16566695223681899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s="2">
        <v>7.6903000293718996E-16</v>
      </c>
      <c r="Z105" s="2">
        <v>7.3146423601405396E-16</v>
      </c>
      <c r="AA105" s="2">
        <v>9.5171461977402408E-16</v>
      </c>
      <c r="AB105" s="2">
        <v>1.03090689107515E-15</v>
      </c>
      <c r="AC105" s="2">
        <v>5.7147384709150898E-16</v>
      </c>
      <c r="AD105" s="2">
        <v>-2.8908311132833198E-15</v>
      </c>
      <c r="AE105">
        <v>1.18447421258897E-2</v>
      </c>
      <c r="AF105">
        <v>-0.29243723966266899</v>
      </c>
    </row>
    <row r="106" spans="1:32" x14ac:dyDescent="0.25">
      <c r="A106" s="1">
        <v>48669</v>
      </c>
      <c r="B106">
        <v>-0.12662526805029301</v>
      </c>
      <c r="C106" s="2">
        <v>1.7250984109388901E-16</v>
      </c>
      <c r="D106">
        <v>-9.05195564632882E-2</v>
      </c>
      <c r="E106" s="2">
        <v>5.13137631287195E-9</v>
      </c>
      <c r="F106">
        <v>0.166197723839767</v>
      </c>
      <c r="G106">
        <v>2.2927171689248699E-2</v>
      </c>
      <c r="H106">
        <v>-6.3503976371867693E-2</v>
      </c>
      <c r="I106" s="2">
        <v>-8.9195063214772607E-15</v>
      </c>
      <c r="J106" s="2">
        <v>4.0181838123007702E-14</v>
      </c>
      <c r="K106" s="2">
        <v>9.7337821750677006E-17</v>
      </c>
      <c r="L106">
        <v>-4.24713565679233E-2</v>
      </c>
      <c r="M106">
        <v>0</v>
      </c>
      <c r="N106">
        <v>0</v>
      </c>
      <c r="O106" s="2">
        <v>7.7963871735468004E-14</v>
      </c>
      <c r="P106">
        <v>0</v>
      </c>
      <c r="Q106">
        <v>-0.164050249454821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 s="2">
        <v>7.6047125714106403E-16</v>
      </c>
      <c r="Z106" s="2">
        <v>7.2402827551934497E-16</v>
      </c>
      <c r="AA106" s="2">
        <v>9.4224672457660107E-16</v>
      </c>
      <c r="AB106" s="2">
        <v>1.02083387888641E-15</v>
      </c>
      <c r="AC106" s="2">
        <v>5.6628025332032497E-16</v>
      </c>
      <c r="AD106" s="2">
        <v>-2.8604083267365E-15</v>
      </c>
      <c r="AE106">
        <v>1.17120825288923E-2</v>
      </c>
      <c r="AF106">
        <v>-0.286333423718798</v>
      </c>
    </row>
    <row r="107" spans="1:32" x14ac:dyDescent="0.25">
      <c r="A107" s="1">
        <v>48760</v>
      </c>
      <c r="B107">
        <v>-0.125124832291582</v>
      </c>
      <c r="C107" s="2">
        <v>1.3480930687532101E-16</v>
      </c>
      <c r="D107">
        <v>-8.9614360898655293E-2</v>
      </c>
      <c r="E107" s="2">
        <v>3.5744716790183798E-9</v>
      </c>
      <c r="F107">
        <v>0.16453574660136899</v>
      </c>
      <c r="G107">
        <v>2.2478932480668599E-2</v>
      </c>
      <c r="H107">
        <v>-6.0182834204139002E-2</v>
      </c>
      <c r="I107" s="2">
        <v>-8.6502872659742899E-15</v>
      </c>
      <c r="J107" s="2">
        <v>4.00981725036246E-14</v>
      </c>
      <c r="K107" s="2">
        <v>9.8291372828742205E-17</v>
      </c>
      <c r="L107">
        <v>-4.1633954090776699E-2</v>
      </c>
      <c r="M107">
        <v>0</v>
      </c>
      <c r="N107">
        <v>0</v>
      </c>
      <c r="O107" s="2">
        <v>7.7569269176520202E-14</v>
      </c>
      <c r="P107">
        <v>0</v>
      </c>
      <c r="Q107">
        <v>-0.16244743046568699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 s="2">
        <v>7.5205204333346496E-16</v>
      </c>
      <c r="Z107" s="2">
        <v>7.1667921345272801E-16</v>
      </c>
      <c r="AA107" s="2">
        <v>9.3286814077483304E-16</v>
      </c>
      <c r="AB107" s="2">
        <v>1.01083754040638E-15</v>
      </c>
      <c r="AC107" s="2">
        <v>5.6109326401399804E-16</v>
      </c>
      <c r="AD107" s="2">
        <v>-2.8303660013451299E-15</v>
      </c>
      <c r="AE107">
        <v>1.15809778797199E-2</v>
      </c>
      <c r="AF107">
        <v>-0.28040775141449797</v>
      </c>
    </row>
    <row r="108" spans="1:32" x14ac:dyDescent="0.25">
      <c r="A108" s="1">
        <v>48852</v>
      </c>
      <c r="B108">
        <v>-0.123643467308588</v>
      </c>
      <c r="C108" s="2">
        <v>1.15211081947507E-16</v>
      </c>
      <c r="D108">
        <v>-8.8718217289668805E-2</v>
      </c>
      <c r="E108" s="2">
        <v>2.4899461283396401E-9</v>
      </c>
      <c r="F108">
        <v>0.162890389135355</v>
      </c>
      <c r="G108">
        <v>2.2044203108753199E-2</v>
      </c>
      <c r="H108">
        <v>-5.70206824421099E-2</v>
      </c>
      <c r="I108" s="2">
        <v>-8.3881918674075396E-15</v>
      </c>
      <c r="J108" s="2">
        <v>4.0008609307207203E-14</v>
      </c>
      <c r="K108" s="2">
        <v>9.94079010626776E-17</v>
      </c>
      <c r="L108">
        <v>-4.0801483010960697E-2</v>
      </c>
      <c r="M108">
        <v>0</v>
      </c>
      <c r="N108">
        <v>0</v>
      </c>
      <c r="O108" s="2">
        <v>7.7173886165069405E-14</v>
      </c>
      <c r="P108">
        <v>0</v>
      </c>
      <c r="Q108">
        <v>-0.16085856557758199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 s="2">
        <v>7.4376367001735899E-16</v>
      </c>
      <c r="Z108" s="2">
        <v>7.0941265864593804E-16</v>
      </c>
      <c r="AA108" s="2">
        <v>9.2357629851489597E-16</v>
      </c>
      <c r="AB108" s="2">
        <v>1.0009175509849399E-15</v>
      </c>
      <c r="AC108" s="2">
        <v>5.5591518013297902E-16</v>
      </c>
      <c r="AD108" s="2">
        <v>-2.80069613675775E-15</v>
      </c>
      <c r="AE108">
        <v>1.14514086790401E-2</v>
      </c>
      <c r="AF108">
        <v>-0.27465641221570303</v>
      </c>
    </row>
    <row r="109" spans="1:32" x14ac:dyDescent="0.25">
      <c r="A109" s="1">
        <v>48944</v>
      </c>
      <c r="B109">
        <v>-0.122180910652333</v>
      </c>
      <c r="C109" s="2">
        <v>1.0499786917242201E-16</v>
      </c>
      <c r="D109">
        <v>-8.7831035116772094E-2</v>
      </c>
      <c r="E109" s="2">
        <v>1.7344755291227699E-9</v>
      </c>
      <c r="F109">
        <v>0.161261485244002</v>
      </c>
      <c r="G109">
        <v>2.16219852545067E-2</v>
      </c>
      <c r="H109">
        <v>-5.4010929408838199E-2</v>
      </c>
      <c r="I109" s="2">
        <v>-8.1331395116467096E-15</v>
      </c>
      <c r="J109" s="2">
        <v>3.99133292146283E-14</v>
      </c>
      <c r="K109" s="2">
        <v>1.00646745014215E-16</v>
      </c>
      <c r="L109">
        <v>-3.9975543818676497E-2</v>
      </c>
      <c r="M109">
        <v>0</v>
      </c>
      <c r="N109">
        <v>0</v>
      </c>
      <c r="O109" s="2">
        <v>7.6777803065709198E-14</v>
      </c>
      <c r="P109">
        <v>0</v>
      </c>
      <c r="Q109">
        <v>-0.159283701603357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s="2">
        <v>7.3559833801948104E-16</v>
      </c>
      <c r="Z109" s="2">
        <v>7.0222477309636901E-16</v>
      </c>
      <c r="AA109" s="2">
        <v>9.1436903607633709E-16</v>
      </c>
      <c r="AB109" s="2">
        <v>9.9107378973279492E-16</v>
      </c>
      <c r="AC109" s="2">
        <v>5.5074834730429103E-16</v>
      </c>
      <c r="AD109" s="2">
        <v>-2.7713908689901299E-15</v>
      </c>
      <c r="AE109">
        <v>1.1323355690668E-2</v>
      </c>
      <c r="AF109">
        <v>-0.269075292676213</v>
      </c>
    </row>
    <row r="110" spans="1:32" x14ac:dyDescent="0.25">
      <c r="A110" s="1">
        <v>49034</v>
      </c>
      <c r="B110">
        <v>-0.12073690282286501</v>
      </c>
      <c r="C110" s="2">
        <v>9.9645417811327803E-17</v>
      </c>
      <c r="D110">
        <v>-8.6952724765604394E-2</v>
      </c>
      <c r="E110" s="2">
        <v>1.2082216013154301E-9</v>
      </c>
      <c r="F110">
        <v>0.159648870391562</v>
      </c>
      <c r="G110">
        <v>2.1211391254148601E-2</v>
      </c>
      <c r="H110">
        <v>-5.1147118692114697E-2</v>
      </c>
      <c r="I110" s="2">
        <v>-7.8850319377285996E-15</v>
      </c>
      <c r="J110" s="2">
        <v>3.9812512125875302E-14</v>
      </c>
      <c r="K110" s="2">
        <v>1.0197193145245E-16</v>
      </c>
      <c r="L110">
        <v>-3.91575001926023E-2</v>
      </c>
      <c r="M110">
        <v>0</v>
      </c>
      <c r="N110">
        <v>0</v>
      </c>
      <c r="O110" s="2">
        <v>7.6381098340042295E-14</v>
      </c>
      <c r="P110">
        <v>0</v>
      </c>
      <c r="Q110">
        <v>-0.157722864655264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 s="2">
        <v>7.2754908012851E-16</v>
      </c>
      <c r="Z110" s="2">
        <v>6.9511222113255001E-16</v>
      </c>
      <c r="AA110" s="2">
        <v>9.0524454784982398E-16</v>
      </c>
      <c r="AB110" s="2">
        <v>9.8130629567652893E-16</v>
      </c>
      <c r="AC110" s="2">
        <v>5.4559511462887301E-16</v>
      </c>
      <c r="AD110" s="2">
        <v>-2.7424425060740002E-15</v>
      </c>
      <c r="AE110">
        <v>1.11967999378408E-2</v>
      </c>
      <c r="AF110">
        <v>-0.26366004833656598</v>
      </c>
    </row>
    <row r="111" spans="1:32" x14ac:dyDescent="0.25">
      <c r="A111" s="1">
        <v>49125</v>
      </c>
      <c r="B111">
        <v>-0.11931118740075</v>
      </c>
      <c r="C111" s="2">
        <v>9.6805999009723795E-17</v>
      </c>
      <c r="D111">
        <v>-8.6083197517948296E-2</v>
      </c>
      <c r="E111" s="2">
        <v>8.4163791163699601E-10</v>
      </c>
      <c r="F111">
        <v>0.15805238168764599</v>
      </c>
      <c r="G111">
        <v>2.0811631269938902E-2</v>
      </c>
      <c r="H111">
        <v>-4.8422947121419598E-2</v>
      </c>
      <c r="I111" s="2">
        <v>-7.6437557854959499E-15</v>
      </c>
      <c r="J111" s="2">
        <v>3.9706336730007198E-14</v>
      </c>
      <c r="K111" s="2">
        <v>1.033519218048E-16</v>
      </c>
      <c r="L111">
        <v>-3.8348507413136501E-2</v>
      </c>
      <c r="M111">
        <v>0</v>
      </c>
      <c r="N111">
        <v>0</v>
      </c>
      <c r="O111" s="2">
        <v>7.5983848487747595E-14</v>
      </c>
      <c r="P111">
        <v>0</v>
      </c>
      <c r="Q111">
        <v>-0.156176062629026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 s="2">
        <v>7.1960969857398899E-16</v>
      </c>
      <c r="Z111" s="2">
        <v>6.8807211990946004E-16</v>
      </c>
      <c r="AA111" s="2">
        <v>8.9620133647920098E-16</v>
      </c>
      <c r="AB111" s="2">
        <v>9.7161522962790503E-16</v>
      </c>
      <c r="AC111" s="2">
        <v>5.4045780090054804E-16</v>
      </c>
      <c r="AD111" s="2">
        <v>-2.7138435554675599E-15</v>
      </c>
      <c r="AE111">
        <v>1.10717226995437E-2</v>
      </c>
      <c r="AF111">
        <v>-0.25840616558340201</v>
      </c>
    </row>
    <row r="112" spans="1:32" x14ac:dyDescent="0.25">
      <c r="A112" s="1">
        <v>49217</v>
      </c>
      <c r="B112">
        <v>-0.117903511148768</v>
      </c>
      <c r="C112" s="2">
        <v>9.5261633490735596E-17</v>
      </c>
      <c r="D112">
        <v>-8.5222365542768796E-2</v>
      </c>
      <c r="E112" s="2">
        <v>5.8627905037635495E-10</v>
      </c>
      <c r="F112">
        <v>0.15647185787077</v>
      </c>
      <c r="G112">
        <v>2.04220019250832E-2</v>
      </c>
      <c r="H112">
        <v>-4.5832278918599201E-2</v>
      </c>
      <c r="I112" s="2">
        <v>-7.4091849795880806E-15</v>
      </c>
      <c r="J112" s="2">
        <v>3.9594980117535098E-14</v>
      </c>
      <c r="K112" s="2">
        <v>1.04759327637982E-16</v>
      </c>
      <c r="L112">
        <v>-3.7549537536943997E-2</v>
      </c>
      <c r="M112">
        <v>0</v>
      </c>
      <c r="N112">
        <v>0</v>
      </c>
      <c r="O112" s="2">
        <v>7.5586128006044895E-14</v>
      </c>
      <c r="P112">
        <v>0</v>
      </c>
      <c r="Q112">
        <v>-0.15464328741008901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 s="2">
        <v>7.1177470193232304E-16</v>
      </c>
      <c r="Z112" s="2">
        <v>6.8110199186645299E-16</v>
      </c>
      <c r="AA112" s="2">
        <v>8.8723816916725302E-16</v>
      </c>
      <c r="AB112" s="2">
        <v>9.6200084128148709E-16</v>
      </c>
      <c r="AC112" s="2">
        <v>5.3533866734882504E-16</v>
      </c>
      <c r="AD112" s="2">
        <v>-2.6855867443545999E-15</v>
      </c>
      <c r="AE112">
        <v>1.0948105506885899E-2</v>
      </c>
      <c r="AF112">
        <v>-0.25330901466804001</v>
      </c>
    </row>
    <row r="113" spans="1:32" x14ac:dyDescent="0.25">
      <c r="A113" s="1">
        <v>49309</v>
      </c>
      <c r="B113">
        <v>-0.11651362408871201</v>
      </c>
      <c r="C113" s="2">
        <v>9.43807190896838E-17</v>
      </c>
      <c r="D113">
        <v>-8.4370141887341196E-2</v>
      </c>
      <c r="E113" s="2">
        <v>4.0839838796071898E-10</v>
      </c>
      <c r="F113">
        <v>0.15490713929206201</v>
      </c>
      <c r="G113">
        <v>2.0041876240481499E-2</v>
      </c>
      <c r="H113">
        <v>-4.3369156539103698E-2</v>
      </c>
      <c r="I113" s="2">
        <v>-7.1811829403512805E-15</v>
      </c>
      <c r="J113" s="2">
        <v>3.94786174349067E-14</v>
      </c>
      <c r="K113" s="2">
        <v>1.06170607259159E-16</v>
      </c>
      <c r="L113">
        <v>-3.6761401688126097E-2</v>
      </c>
      <c r="M113">
        <v>0</v>
      </c>
      <c r="N113">
        <v>0</v>
      </c>
      <c r="O113" s="2">
        <v>7.5188009365314194E-14</v>
      </c>
      <c r="P113">
        <v>0</v>
      </c>
      <c r="Q113">
        <v>-0.15312451683175399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 s="2">
        <v>7.0403924272065804E-16</v>
      </c>
      <c r="Z113" s="2">
        <v>6.7419971960951498E-16</v>
      </c>
      <c r="AA113" s="2">
        <v>8.7835403806814298E-16</v>
      </c>
      <c r="AB113" s="2">
        <v>9.5246344106044094E-16</v>
      </c>
      <c r="AC113" s="2">
        <v>5.3023989608214798E-16</v>
      </c>
      <c r="AD113" s="2">
        <v>-2.6576650338586099E-15</v>
      </c>
      <c r="AE113">
        <v>1.0825930139528501E-2</v>
      </c>
      <c r="AF113">
        <v>-0.24836389495445699</v>
      </c>
    </row>
    <row r="114" spans="1:32" x14ac:dyDescent="0.25">
      <c r="A114" s="1">
        <v>49399</v>
      </c>
      <c r="B114">
        <v>-0.11514127955735499</v>
      </c>
      <c r="C114" s="2">
        <v>9.3835973548256895E-17</v>
      </c>
      <c r="D114">
        <v>-8.3526440468467703E-2</v>
      </c>
      <c r="E114" s="2">
        <v>2.8448833070290202E-10</v>
      </c>
      <c r="F114">
        <v>0.153358067899142</v>
      </c>
      <c r="G114">
        <v>1.9670694728134801E-2</v>
      </c>
      <c r="H114">
        <v>-4.1027808661553998E-2</v>
      </c>
      <c r="I114" s="2">
        <v>-6.9596046167583998E-15</v>
      </c>
      <c r="J114" s="2">
        <v>3.9357421580043598E-14</v>
      </c>
      <c r="K114" s="2">
        <v>1.07565753271855E-16</v>
      </c>
      <c r="L114">
        <v>-3.5984769784772601E-2</v>
      </c>
      <c r="M114">
        <v>0</v>
      </c>
      <c r="N114">
        <v>0</v>
      </c>
      <c r="O114" s="2">
        <v>7.4789562998779903E-14</v>
      </c>
      <c r="P114">
        <v>0</v>
      </c>
      <c r="Q114">
        <v>-0.151619716412004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s="2">
        <v>6.96399056658868E-16</v>
      </c>
      <c r="Z114" s="2">
        <v>6.6736350353621803E-16</v>
      </c>
      <c r="AA114" s="2">
        <v>8.6954812463094399E-16</v>
      </c>
      <c r="AB114" s="2">
        <v>9.4300337624431105E-16</v>
      </c>
      <c r="AC114" s="2">
        <v>5.2516357347541496E-16</v>
      </c>
      <c r="AD114" s="2">
        <v>-2.63007162809895E-15</v>
      </c>
      <c r="AE114">
        <v>1.0705178622161301E-2</v>
      </c>
      <c r="AF114">
        <v>-0.24356607335011701</v>
      </c>
    </row>
    <row r="115" spans="1:32" x14ac:dyDescent="0.25">
      <c r="A115" s="1">
        <v>49490</v>
      </c>
      <c r="B115">
        <v>-0.11378623424494499</v>
      </c>
      <c r="C115" s="2">
        <v>9.3458025919710501E-17</v>
      </c>
      <c r="D115">
        <v>-8.2691176063783095E-2</v>
      </c>
      <c r="E115" s="2">
        <v>1.9817370372051001E-10</v>
      </c>
      <c r="F115">
        <v>0.15182448722014999</v>
      </c>
      <c r="G115">
        <v>1.9307957511471401E-2</v>
      </c>
      <c r="H115">
        <v>-3.8802655730115203E-2</v>
      </c>
      <c r="I115" s="2">
        <v>-6.74429834022106E-15</v>
      </c>
      <c r="J115" s="2">
        <v>3.9231562937326197E-14</v>
      </c>
      <c r="K115" s="2">
        <v>1.0892797895983099E-16</v>
      </c>
      <c r="L115">
        <v>-3.5220187986365697E-2</v>
      </c>
      <c r="M115">
        <v>0</v>
      </c>
      <c r="N115">
        <v>0</v>
      </c>
      <c r="O115" s="2">
        <v>7.4390857304328201E-14</v>
      </c>
      <c r="P115">
        <v>0</v>
      </c>
      <c r="Q115">
        <v>-0.150128840893135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 s="2">
        <v>6.8885040434042696E-16</v>
      </c>
      <c r="Z115" s="2">
        <v>6.6059182240292398E-16</v>
      </c>
      <c r="AA115" s="2">
        <v>8.60819767715361E-16</v>
      </c>
      <c r="AB115" s="2">
        <v>9.3362101093261797E-16</v>
      </c>
      <c r="AC115" s="2">
        <v>5.2011167781317796E-16</v>
      </c>
      <c r="AD115" s="2">
        <v>-2.6027999789193099E-15</v>
      </c>
      <c r="AE115">
        <v>1.0585833221028599E-2</v>
      </c>
      <c r="AF115">
        <v>-0.23891081676740999</v>
      </c>
    </row>
    <row r="116" spans="1:32" x14ac:dyDescent="0.25">
      <c r="A116" s="1">
        <v>49582</v>
      </c>
      <c r="B116">
        <v>-0.112448248219088</v>
      </c>
      <c r="C116" s="2">
        <v>9.3159422762304102E-17</v>
      </c>
      <c r="D116">
        <v>-8.1864264303145196E-2</v>
      </c>
      <c r="E116" s="2">
        <v>1.38047709874377E-10</v>
      </c>
      <c r="F116">
        <v>0.15030624234794901</v>
      </c>
      <c r="G116">
        <v>1.89532173568134E-2</v>
      </c>
      <c r="H116">
        <v>-3.6688313406225997E-2</v>
      </c>
      <c r="I116" s="2">
        <v>-6.5351075013017998E-15</v>
      </c>
      <c r="J116" s="2">
        <v>3.9101209150012998E-14</v>
      </c>
      <c r="K116" s="2">
        <v>1.1024340968248E-16</v>
      </c>
      <c r="L116">
        <v>-3.44680941172536E-2</v>
      </c>
      <c r="M116">
        <v>0</v>
      </c>
      <c r="N116">
        <v>0</v>
      </c>
      <c r="O116" s="2">
        <v>7.3991958656690198E-14</v>
      </c>
      <c r="P116">
        <v>0</v>
      </c>
      <c r="Q116">
        <v>-0.14865183560588399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 s="2">
        <v>6.8139001585065397E-16</v>
      </c>
      <c r="Z116" s="2">
        <v>6.5388339693677705E-16</v>
      </c>
      <c r="AA116" s="2">
        <v>8.5216843527008801E-16</v>
      </c>
      <c r="AB116" s="2">
        <v>9.2431670942252502E-16</v>
      </c>
      <c r="AC116" s="2">
        <v>5.1508607056646797E-16</v>
      </c>
      <c r="AD116" s="2">
        <v>-2.5758437870263602E-15</v>
      </c>
      <c r="AE116">
        <v>1.04678764405047E-2</v>
      </c>
      <c r="AF116">
        <v>-0.23439341936817401</v>
      </c>
    </row>
    <row r="117" spans="1:32" x14ac:dyDescent="0.25">
      <c r="A117" s="1">
        <v>49674</v>
      </c>
      <c r="B117">
        <v>-0.111127084936361</v>
      </c>
      <c r="C117" s="2">
        <v>9.2895186124268299E-17</v>
      </c>
      <c r="D117">
        <v>-8.1045621660113795E-2</v>
      </c>
      <c r="E117" s="2">
        <v>9.6164478546149897E-11</v>
      </c>
      <c r="F117">
        <v>0.14880317992446901</v>
      </c>
      <c r="G117">
        <v>1.8606073512786502E-2</v>
      </c>
      <c r="H117">
        <v>-3.46795942432849E-2</v>
      </c>
      <c r="I117" s="2">
        <v>-6.3318720538524998E-15</v>
      </c>
      <c r="J117" s="2">
        <v>3.8966524927796001E-14</v>
      </c>
      <c r="K117" s="2">
        <v>1.1150078402343299E-16</v>
      </c>
      <c r="L117">
        <v>-3.3728831294080698E-2</v>
      </c>
      <c r="M117">
        <v>0</v>
      </c>
      <c r="N117">
        <v>0</v>
      </c>
      <c r="O117" s="2">
        <v>7.3592931428382194E-14</v>
      </c>
      <c r="P117">
        <v>0</v>
      </c>
      <c r="Q117">
        <v>-0.147188637677443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 s="2">
        <v>6.7401503870187895E-16</v>
      </c>
      <c r="Z117" s="2">
        <v>6.4723715651688896E-16</v>
      </c>
      <c r="AA117" s="2">
        <v>8.43593699344087E-16</v>
      </c>
      <c r="AB117" s="2">
        <v>9.150908226058599E-16</v>
      </c>
      <c r="AC117" s="2">
        <v>5.1008849074527599E-16</v>
      </c>
      <c r="AD117" s="2">
        <v>-2.5491970001891801E-15</v>
      </c>
      <c r="AE117">
        <v>1.0351291019716401E-2</v>
      </c>
      <c r="AF117">
        <v>-0.23000922525803699</v>
      </c>
    </row>
    <row r="118" spans="1:32" x14ac:dyDescent="0.25">
      <c r="A118" s="1">
        <v>49765</v>
      </c>
      <c r="B118">
        <v>-0.109822511243649</v>
      </c>
      <c r="C118" s="2">
        <v>9.2642344996989605E-17</v>
      </c>
      <c r="D118">
        <v>-8.0235165443512599E-2</v>
      </c>
      <c r="E118" s="2">
        <v>6.6988988896067196E-11</v>
      </c>
      <c r="F118">
        <v>0.147315148125225</v>
      </c>
      <c r="G118">
        <v>1.8266166265783399E-2</v>
      </c>
      <c r="H118">
        <v>-3.2771507859488999E-2</v>
      </c>
      <c r="I118" s="2">
        <v>-6.1344298530818798E-15</v>
      </c>
      <c r="J118" s="2">
        <v>3.8827671887016798E-14</v>
      </c>
      <c r="K118" s="2">
        <v>1.12691168215291E-16</v>
      </c>
      <c r="L118">
        <v>-3.3002659960380099E-2</v>
      </c>
      <c r="M118">
        <v>0</v>
      </c>
      <c r="N118">
        <v>0</v>
      </c>
      <c r="O118" s="2">
        <v>7.3193838017948395E-14</v>
      </c>
      <c r="P118">
        <v>0</v>
      </c>
      <c r="Q118">
        <v>-0.145739177100767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s="2">
        <v>6.6672298931547302E-16</v>
      </c>
      <c r="Z118" s="2">
        <v>6.4065220888742604E-16</v>
      </c>
      <c r="AA118" s="2">
        <v>8.3509521418957802E-16</v>
      </c>
      <c r="AB118" s="2">
        <v>9.0594367701948393E-16</v>
      </c>
      <c r="AC118" s="2">
        <v>5.0512055182969602E-16</v>
      </c>
      <c r="AD118" s="2">
        <v>-2.5228538090697E-15</v>
      </c>
      <c r="AE118">
        <v>1.02360599292137E-2</v>
      </c>
      <c r="AF118">
        <v>-0.225753647220479</v>
      </c>
    </row>
    <row r="119" spans="1:32" x14ac:dyDescent="0.25">
      <c r="A119" s="1">
        <v>49856</v>
      </c>
      <c r="B119">
        <v>-0.108534297370893</v>
      </c>
      <c r="C119" s="2">
        <v>9.2389315328182502E-17</v>
      </c>
      <c r="D119">
        <v>-7.9432813789077503E-2</v>
      </c>
      <c r="E119" s="2">
        <v>4.6665596002882701E-11</v>
      </c>
      <c r="F119">
        <v>0.14584199664397199</v>
      </c>
      <c r="G119">
        <v>1.7933172129738301E-2</v>
      </c>
      <c r="H119">
        <v>-3.0959259849788201E-2</v>
      </c>
      <c r="I119" s="2">
        <v>-5.94261783555544E-15</v>
      </c>
      <c r="J119" s="2">
        <v>3.8684808420969801E-14</v>
      </c>
      <c r="K119" s="2">
        <v>1.1380768634365701E-16</v>
      </c>
      <c r="L119">
        <v>-3.2289768509346201E-2</v>
      </c>
      <c r="M119">
        <v>0</v>
      </c>
      <c r="N119">
        <v>0</v>
      </c>
      <c r="O119" s="2">
        <v>7.2794738884203597E-14</v>
      </c>
      <c r="P119">
        <v>0</v>
      </c>
      <c r="Q119">
        <v>-0.14430337768068799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 s="2">
        <v>6.5951170816696398E-16</v>
      </c>
      <c r="Z119" s="2">
        <v>6.3412781281755597E-16</v>
      </c>
      <c r="AA119" s="2">
        <v>8.2667269721088E-16</v>
      </c>
      <c r="AB119" s="2">
        <v>8.9687556621232706E-16</v>
      </c>
      <c r="AC119" s="2">
        <v>5.0018374083987801E-16</v>
      </c>
      <c r="AD119" s="2">
        <v>-2.49680864117944E-15</v>
      </c>
      <c r="AE119">
        <v>1.0122166367687299E-2</v>
      </c>
      <c r="AF119">
        <v>-0.22162218201162101</v>
      </c>
    </row>
    <row r="120" spans="1:32" x14ac:dyDescent="0.25">
      <c r="A120" s="1">
        <v>49948</v>
      </c>
      <c r="B120">
        <v>-0.10726221691662501</v>
      </c>
      <c r="C120" s="2">
        <v>9.2130391876211206E-17</v>
      </c>
      <c r="D120">
        <v>-7.8638485651186807E-2</v>
      </c>
      <c r="E120" s="2">
        <v>3.25084928592057E-11</v>
      </c>
      <c r="F120">
        <v>0.14438357667753299</v>
      </c>
      <c r="G120">
        <v>1.7606799597553902E-2</v>
      </c>
      <c r="H120">
        <v>-2.9238249647451E-2</v>
      </c>
      <c r="I120" s="2">
        <v>-5.7562730502163398E-15</v>
      </c>
      <c r="J120" s="2">
        <v>3.8538089597693001E-14</v>
      </c>
      <c r="K120" s="2">
        <v>1.1484526798954701E-16</v>
      </c>
      <c r="L120">
        <v>-3.1590282655867899E-2</v>
      </c>
      <c r="M120">
        <v>0</v>
      </c>
      <c r="N120">
        <v>0</v>
      </c>
      <c r="O120" s="2">
        <v>7.2395692585313403E-14</v>
      </c>
      <c r="P120">
        <v>0</v>
      </c>
      <c r="Q120">
        <v>-0.14288115787070099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s="2">
        <v>6.5237931861908497E-16</v>
      </c>
      <c r="Z120" s="2">
        <v>6.27663353587471E-16</v>
      </c>
      <c r="AA120" s="2">
        <v>8.1832591251419E-16</v>
      </c>
      <c r="AB120" s="2">
        <v>8.8788674412157795E-16</v>
      </c>
      <c r="AC120" s="2">
        <v>4.9527941915803805E-16</v>
      </c>
      <c r="AD120" s="2">
        <v>-2.47105615339041E-15</v>
      </c>
      <c r="AE120">
        <v>1.00095937587323E-2</v>
      </c>
      <c r="AF120">
        <v>-0.21761042267539499</v>
      </c>
    </row>
    <row r="121" spans="1:32" x14ac:dyDescent="0.25">
      <c r="A121" s="1">
        <v>50040</v>
      </c>
      <c r="B121">
        <v>-0.10600604682751399</v>
      </c>
      <c r="C121" s="2">
        <v>9.1862893106855496E-17</v>
      </c>
      <c r="D121">
        <v>-7.7852100794674903E-2</v>
      </c>
      <c r="E121" s="2">
        <v>2.2646770855056099E-11</v>
      </c>
      <c r="F121">
        <v>0.14293974091075701</v>
      </c>
      <c r="G121">
        <v>1.7286785389650498E-2</v>
      </c>
      <c r="H121">
        <v>-2.7604067518697199E-2</v>
      </c>
      <c r="I121" s="2">
        <v>-5.5752335502452299E-15</v>
      </c>
      <c r="J121" s="2">
        <v>3.8387667082669699E-14</v>
      </c>
      <c r="K121" s="2">
        <v>1.1580041427897601E-16</v>
      </c>
      <c r="L121">
        <v>-3.0904273701050301E-2</v>
      </c>
      <c r="M121">
        <v>0</v>
      </c>
      <c r="N121">
        <v>0</v>
      </c>
      <c r="O121" s="2">
        <v>7.1996755821682902E-14</v>
      </c>
      <c r="P121">
        <v>0</v>
      </c>
      <c r="Q121">
        <v>-0.14147243151276701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s="2">
        <v>6.45324189395632E-16</v>
      </c>
      <c r="Z121" s="2">
        <v>6.2125832115382796E-16</v>
      </c>
      <c r="AA121" s="2">
        <v>8.1005465681853597E-16</v>
      </c>
      <c r="AB121" s="2">
        <v>8.7897742017914204E-16</v>
      </c>
      <c r="AC121" s="2">
        <v>4.9040882476460601E-16</v>
      </c>
      <c r="AD121" s="2">
        <v>-2.4455912233665299E-15</v>
      </c>
      <c r="AE121">
        <v>9.8983257476577095E-3</v>
      </c>
      <c r="AF121">
        <v>-0.21371406828388301</v>
      </c>
    </row>
    <row r="122" spans="1:32" x14ac:dyDescent="0.25">
      <c r="A122" s="1">
        <v>50130</v>
      </c>
      <c r="B122">
        <v>-0.104765567372908</v>
      </c>
      <c r="C122" s="2">
        <v>9.1585682807320402E-17</v>
      </c>
      <c r="D122">
        <v>-7.70735797867282E-2</v>
      </c>
      <c r="E122" s="2">
        <v>1.5777172155156101E-11</v>
      </c>
      <c r="F122">
        <v>0.14151034350165001</v>
      </c>
      <c r="G122">
        <v>1.6972891142357002E-2</v>
      </c>
      <c r="H122">
        <v>-2.6052490849891599E-2</v>
      </c>
      <c r="I122" s="2">
        <v>-5.3993391560047998E-15</v>
      </c>
      <c r="J122" s="2">
        <v>3.8233689083938401E-14</v>
      </c>
      <c r="K122" s="2">
        <v>1.1667098275164599E-16</v>
      </c>
      <c r="L122">
        <v>-3.0231765816470701E-2</v>
      </c>
      <c r="M122">
        <v>0</v>
      </c>
      <c r="N122">
        <v>0</v>
      </c>
      <c r="O122" s="2">
        <v>7.1597983481750699E-14</v>
      </c>
      <c r="P122">
        <v>0</v>
      </c>
      <c r="Q122">
        <v>-0.14007710849114399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 s="2">
        <v>6.3834490059337796E-16</v>
      </c>
      <c r="Z122" s="2">
        <v>6.1491229083049802E-16</v>
      </c>
      <c r="AA122" s="2">
        <v>8.0185874749658897E-16</v>
      </c>
      <c r="AB122" s="2">
        <v>8.7014775589696301E-16</v>
      </c>
      <c r="AC122" s="2">
        <v>4.85573075595161E-16</v>
      </c>
      <c r="AD122" s="2">
        <v>-2.4204089402269502E-15</v>
      </c>
      <c r="AE122">
        <v>9.7883461983414299E-3</v>
      </c>
      <c r="AF122">
        <v>-0.20992893145890901</v>
      </c>
    </row>
    <row r="123" spans="1:32" x14ac:dyDescent="0.25">
      <c r="A123" s="1">
        <v>50221</v>
      </c>
      <c r="B123">
        <v>-0.103540562115222</v>
      </c>
      <c r="C123" s="2">
        <v>9.1298405916151504E-17</v>
      </c>
      <c r="D123">
        <v>-7.6302843988860905E-2</v>
      </c>
      <c r="E123" s="2">
        <v>1.09918592650071E-11</v>
      </c>
      <c r="F123">
        <v>0.14009524006663299</v>
      </c>
      <c r="G123">
        <v>1.66649004853343E-2</v>
      </c>
      <c r="H123">
        <v>-2.4579479865596901E-2</v>
      </c>
      <c r="I123" s="2">
        <v>-5.2284320994913102E-15</v>
      </c>
      <c r="J123" s="2">
        <v>3.8076300317200797E-14</v>
      </c>
      <c r="K123" s="2">
        <v>1.1745599101867001E-16</v>
      </c>
      <c r="L123">
        <v>-2.9572742461140701E-2</v>
      </c>
      <c r="M123">
        <v>0</v>
      </c>
      <c r="N123">
        <v>0</v>
      </c>
      <c r="O123" s="2">
        <v>7.1199428689897299E-14</v>
      </c>
      <c r="P123">
        <v>0</v>
      </c>
      <c r="Q123">
        <v>-0.13869509531001301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 s="2">
        <v>6.3144021308775198E-16</v>
      </c>
      <c r="Z123" s="2">
        <v>6.08624906309801E-16</v>
      </c>
      <c r="AA123" s="2">
        <v>7.9373801252482902E-16</v>
      </c>
      <c r="AB123" s="2">
        <v>8.6139786270596098E-16</v>
      </c>
      <c r="AC123" s="2">
        <v>4.8077317376516096E-16</v>
      </c>
      <c r="AD123" s="2">
        <v>-2.3955045947035701E-15</v>
      </c>
      <c r="AE123">
        <v>9.6796391901297508E-3</v>
      </c>
      <c r="AF123">
        <v>-0.20625094398763699</v>
      </c>
    </row>
    <row r="124" spans="1:32" x14ac:dyDescent="0.25">
      <c r="A124" s="1">
        <v>50313</v>
      </c>
      <c r="B124">
        <v>-0.102330817876919</v>
      </c>
      <c r="C124" s="2">
        <v>9.1001094703658706E-17</v>
      </c>
      <c r="D124">
        <v>-7.5539815548972294E-2</v>
      </c>
      <c r="E124" s="2">
        <v>7.6584408849556905E-12</v>
      </c>
      <c r="F124">
        <v>0.138694287665967</v>
      </c>
      <c r="G124">
        <v>1.63626164629837E-2</v>
      </c>
      <c r="H124">
        <v>-2.3181172897076201E-2</v>
      </c>
      <c r="I124" s="2">
        <v>-5.0623575606852102E-15</v>
      </c>
      <c r="J124" s="2">
        <v>3.7915641988644599E-14</v>
      </c>
      <c r="K124" s="2">
        <v>1.18155438835251E-16</v>
      </c>
      <c r="L124">
        <v>-2.8927152031410299E-2</v>
      </c>
      <c r="M124">
        <v>0</v>
      </c>
      <c r="N124">
        <v>0</v>
      </c>
      <c r="O124" s="2">
        <v>7.0801142855785297E-14</v>
      </c>
      <c r="P124">
        <v>0</v>
      </c>
      <c r="Q124">
        <v>-0.13732629560361201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 s="2">
        <v>6.2460904115798902E-16</v>
      </c>
      <c r="Z124" s="2">
        <v>6.0239586484427702E-16</v>
      </c>
      <c r="AA124" s="2">
        <v>7.8569228213501599E-16</v>
      </c>
      <c r="AB124" s="2">
        <v>8.5272780084794398E-16</v>
      </c>
      <c r="AC124" s="2">
        <v>4.7601001044580997E-16</v>
      </c>
      <c r="AD124" s="2">
        <v>-2.3708736690116302E-15</v>
      </c>
      <c r="AE124">
        <v>9.5721890147810202E-3</v>
      </c>
      <c r="AF124">
        <v>-0.20267616080649301</v>
      </c>
    </row>
    <row r="125" spans="1:32" x14ac:dyDescent="0.25">
      <c r="A125" s="1">
        <v>50405</v>
      </c>
      <c r="B125">
        <v>-0.101136124704669</v>
      </c>
      <c r="C125" s="2">
        <v>9.0693966840230599E-17</v>
      </c>
      <c r="D125">
        <v>-7.47844173934826E-2</v>
      </c>
      <c r="E125" s="2">
        <v>5.3363990168087204E-12</v>
      </c>
      <c r="F125">
        <v>0.13730734478930801</v>
      </c>
      <c r="G125">
        <v>1.6065859259922301E-2</v>
      </c>
      <c r="H125">
        <v>-2.1853881304345402E-2</v>
      </c>
      <c r="I125" s="2">
        <v>-4.9009641059968898E-15</v>
      </c>
      <c r="J125" s="2">
        <v>3.77518517933349E-14</v>
      </c>
      <c r="K125" s="2">
        <v>1.18770147953175E-16</v>
      </c>
      <c r="L125">
        <v>-2.8294912832706201E-2</v>
      </c>
      <c r="M125">
        <v>0</v>
      </c>
      <c r="N125">
        <v>0</v>
      </c>
      <c r="O125" s="2">
        <v>7.0403175724542802E-14</v>
      </c>
      <c r="P125">
        <v>0</v>
      </c>
      <c r="Q125">
        <v>-0.13597061058659801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 s="2">
        <v>6.1785042813726796E-16</v>
      </c>
      <c r="Z125" s="2">
        <v>5.9622490440828003E-16</v>
      </c>
      <c r="AA125" s="2">
        <v>7.77721381972461E-16</v>
      </c>
      <c r="AB125" s="2">
        <v>8.4413757914281002E-16</v>
      </c>
      <c r="AC125" s="2">
        <v>4.7128437120686098E-16</v>
      </c>
      <c r="AD125" s="2">
        <v>-2.3465118266143498E-15</v>
      </c>
      <c r="AE125">
        <v>9.4659801734526192E-3</v>
      </c>
      <c r="AF125">
        <v>-0.199200762593676</v>
      </c>
    </row>
    <row r="126" spans="1:32" x14ac:dyDescent="0.25">
      <c r="A126" s="1">
        <v>50495</v>
      </c>
      <c r="B126">
        <v>-9.9956275831233302E-2</v>
      </c>
      <c r="C126" s="2">
        <v>9.0377322748734798E-17</v>
      </c>
      <c r="D126">
        <v>-7.4036573219547694E-2</v>
      </c>
      <c r="E126" s="2">
        <v>3.7188728502347197E-12</v>
      </c>
      <c r="F126">
        <v>0.135934271341415</v>
      </c>
      <c r="G126">
        <v>1.5774464195164199E-2</v>
      </c>
      <c r="H126">
        <v>-2.0594084140364999E-2</v>
      </c>
      <c r="I126" s="2">
        <v>-4.7441040386769201E-15</v>
      </c>
      <c r="J126" s="2">
        <v>3.7585063927174601E-14</v>
      </c>
      <c r="K126" s="2">
        <v>1.19301618926399E-16</v>
      </c>
      <c r="L126">
        <v>-2.7675917451879299E-2</v>
      </c>
      <c r="M126">
        <v>0</v>
      </c>
      <c r="N126">
        <v>0</v>
      </c>
      <c r="O126" s="2">
        <v>7.0005575427288596E-14</v>
      </c>
      <c r="P126">
        <v>0</v>
      </c>
      <c r="Q126">
        <v>-0.13462793945149301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s="2">
        <v>6.1116352488096297E-16</v>
      </c>
      <c r="Z126" s="2">
        <v>5.9011179266147402E-16</v>
      </c>
      <c r="AA126" s="2">
        <v>7.6982512758069999E-16</v>
      </c>
      <c r="AB126" s="2">
        <v>8.3562715547451902E-16</v>
      </c>
      <c r="AC126" s="2">
        <v>4.6659694167103103E-16</v>
      </c>
      <c r="AD126" s="2">
        <v>-2.3224149020286999E-15</v>
      </c>
      <c r="AE126">
        <v>9.3609973737313508E-3</v>
      </c>
      <c r="AF126">
        <v>-0.19582105718038301</v>
      </c>
    </row>
    <row r="127" spans="1:32" x14ac:dyDescent="0.25">
      <c r="A127" s="1">
        <v>50586</v>
      </c>
      <c r="B127">
        <v>-9.8791067635506796E-2</v>
      </c>
      <c r="C127" s="2">
        <v>9.0051494204358003E-17</v>
      </c>
      <c r="D127">
        <v>-7.3296207487352202E-2</v>
      </c>
      <c r="E127" s="2">
        <v>2.5921059501822601E-12</v>
      </c>
      <c r="F127">
        <v>0.134574928628</v>
      </c>
      <c r="G127">
        <v>1.5488279953702401E-2</v>
      </c>
      <c r="H127">
        <v>-1.93984226332151E-2</v>
      </c>
      <c r="I127" s="2">
        <v>-4.5916336706334097E-15</v>
      </c>
      <c r="J127" s="2">
        <v>3.7415409110586901E-14</v>
      </c>
      <c r="K127" s="2">
        <v>1.19751903909272E-16</v>
      </c>
      <c r="L127">
        <v>-2.7070036599966998E-2</v>
      </c>
      <c r="M127">
        <v>0</v>
      </c>
      <c r="N127">
        <v>0</v>
      </c>
      <c r="O127" s="2">
        <v>6.9608388531577701E-14</v>
      </c>
      <c r="P127">
        <v>0</v>
      </c>
      <c r="Q127">
        <v>-0.133298179719297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 s="2">
        <v>6.0454757084034096E-16</v>
      </c>
      <c r="Z127" s="2">
        <v>5.8405631754162803E-16</v>
      </c>
      <c r="AA127" s="2">
        <v>7.62003320046482E-16</v>
      </c>
      <c r="AB127" s="2">
        <v>8.2719643785881098E-16</v>
      </c>
      <c r="AC127" s="2">
        <v>4.6194831335019696E-16</v>
      </c>
      <c r="AD127" s="2">
        <v>-2.2985788907908699E-15</v>
      </c>
      <c r="AE127">
        <v>9.2572255267061206E-3</v>
      </c>
      <c r="AF127">
        <v>-0.19253347996423101</v>
      </c>
    </row>
    <row r="128" spans="1:32" x14ac:dyDescent="0.25">
      <c r="A128" s="1">
        <v>50678</v>
      </c>
      <c r="B128">
        <v>-9.7640299601109995E-2</v>
      </c>
      <c r="C128" s="2">
        <v>8.9716819277726794E-17</v>
      </c>
      <c r="D128">
        <v>-7.2563245412478702E-2</v>
      </c>
      <c r="E128" s="2">
        <v>1.80719753832878E-12</v>
      </c>
      <c r="F128">
        <v>0.13322917934171999</v>
      </c>
      <c r="G128">
        <v>1.5207167027780299E-2</v>
      </c>
      <c r="H128">
        <v>-1.8263694550920501E-2</v>
      </c>
      <c r="I128" s="2">
        <v>-4.4434135245998104E-15</v>
      </c>
      <c r="J128" s="2">
        <v>3.7243014622228599E-14</v>
      </c>
      <c r="K128" s="2">
        <v>1.20123494400515E-16</v>
      </c>
      <c r="L128">
        <v>-2.64771224871698E-2</v>
      </c>
      <c r="M128">
        <v>0</v>
      </c>
      <c r="N128">
        <v>0</v>
      </c>
      <c r="O128" s="2">
        <v>6.9211660091412804E-14</v>
      </c>
      <c r="P128">
        <v>0</v>
      </c>
      <c r="Q128">
        <v>-0.131981227548676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 s="2">
        <v>5.9800187752819804E-16</v>
      </c>
      <c r="Z128" s="2">
        <v>5.78058279321523E-16</v>
      </c>
      <c r="AA128" s="2">
        <v>7.5425574265320599E-16</v>
      </c>
      <c r="AB128" s="2">
        <v>8.1884528597336398E-16</v>
      </c>
      <c r="AC128" s="2">
        <v>4.5733898955593505E-16</v>
      </c>
      <c r="AD128" s="2">
        <v>-2.27499993967489E-15</v>
      </c>
      <c r="AE128">
        <v>9.15464974408234E-3</v>
      </c>
      <c r="AF128">
        <v>-0.18933459348485901</v>
      </c>
    </row>
    <row r="129" spans="1:32" x14ac:dyDescent="0.25">
      <c r="A129" s="1">
        <v>50770</v>
      </c>
      <c r="B129">
        <v>-9.6503774273842796E-2</v>
      </c>
      <c r="C129" s="2">
        <v>8.9373630722802998E-17</v>
      </c>
      <c r="D129">
        <v>-7.1837612958353905E-2</v>
      </c>
      <c r="E129" s="2">
        <v>1.26042469396044E-12</v>
      </c>
      <c r="F129">
        <v>0.131896887548303</v>
      </c>
      <c r="G129">
        <v>1.49309963433328E-2</v>
      </c>
      <c r="H129">
        <v>-1.7186848503806099E-2</v>
      </c>
      <c r="I129" s="2">
        <v>-4.2993084750466804E-15</v>
      </c>
      <c r="J129" s="2">
        <v>3.7068004341191801E-14</v>
      </c>
      <c r="K129" s="2">
        <v>1.2041922283836099E-16</v>
      </c>
      <c r="L129">
        <v>-2.5897011784762398E-2</v>
      </c>
      <c r="M129">
        <v>0</v>
      </c>
      <c r="N129">
        <v>0</v>
      </c>
      <c r="O129" s="2">
        <v>6.8815433696533003E-14</v>
      </c>
      <c r="P129">
        <v>0</v>
      </c>
      <c r="Q129">
        <v>-0.13067697800848699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s="2">
        <v>5.9152581416622701E-16</v>
      </c>
      <c r="Z129" s="2">
        <v>5.7211748397351198E-16</v>
      </c>
      <c r="AA129" s="2">
        <v>7.46582158404778E-16</v>
      </c>
      <c r="AB129" s="2">
        <v>8.1057351304719005E-16</v>
      </c>
      <c r="AC129" s="2">
        <v>4.5276939129655598E-16</v>
      </c>
      <c r="AD129" s="2">
        <v>-2.2516743372361601E-15</v>
      </c>
      <c r="AE129">
        <v>9.0532553353380608E-3</v>
      </c>
      <c r="AF129">
        <v>-0.186221086300913</v>
      </c>
    </row>
    <row r="130" spans="1:32" x14ac:dyDescent="0.25">
      <c r="A130" s="1">
        <v>50860</v>
      </c>
      <c r="B130">
        <v>-9.5381297218289099E-2</v>
      </c>
      <c r="C130" s="2">
        <v>8.9022251140777503E-17</v>
      </c>
      <c r="D130">
        <v>-7.1119236828770402E-2</v>
      </c>
      <c r="E130" s="2">
        <v>8.79534978981477E-13</v>
      </c>
      <c r="F130">
        <v>0.13057791867282001</v>
      </c>
      <c r="G130">
        <v>1.46596480499121E-2</v>
      </c>
      <c r="H130">
        <v>-1.61649782307083E-2</v>
      </c>
      <c r="I130" s="2">
        <v>-4.1591878356499496E-15</v>
      </c>
      <c r="J130" s="2">
        <v>3.6890498796300198E-14</v>
      </c>
      <c r="K130" s="2">
        <v>1.2064217693523301E-16</v>
      </c>
      <c r="L130">
        <v>-2.5329528222354899E-2</v>
      </c>
      <c r="M130">
        <v>0</v>
      </c>
      <c r="N130">
        <v>0</v>
      </c>
      <c r="O130" s="2">
        <v>6.8419751520742698E-14</v>
      </c>
      <c r="P130">
        <v>0</v>
      </c>
      <c r="Q130">
        <v>-0.12938532531789701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 s="2">
        <v>5.8511879531023597E-16</v>
      </c>
      <c r="Z130" s="2">
        <v>5.6623373769498704E-16</v>
      </c>
      <c r="AA130" s="2">
        <v>7.3898230829522396E-16</v>
      </c>
      <c r="AB130" s="2">
        <v>8.0238088802051801E-16</v>
      </c>
      <c r="AC130" s="2">
        <v>4.48239863089781E-16</v>
      </c>
      <c r="AD130" s="2">
        <v>-2.2285985047338401E-15</v>
      </c>
      <c r="AE130">
        <v>8.9530278049207192E-3</v>
      </c>
      <c r="AF130">
        <v>-0.18318977128938199</v>
      </c>
    </row>
    <row r="131" spans="1:32" x14ac:dyDescent="0.25">
      <c r="A131" s="1">
        <v>50951</v>
      </c>
      <c r="B131">
        <v>-9.4272676973802205E-2</v>
      </c>
      <c r="C131" s="2">
        <v>8.8662991482670196E-17</v>
      </c>
      <c r="D131">
        <v>-7.0408044460482697E-2</v>
      </c>
      <c r="E131" s="2">
        <v>6.1419800579674098E-13</v>
      </c>
      <c r="F131">
        <v>0.12927213948609201</v>
      </c>
      <c r="G131">
        <v>1.4393010454916901E-2</v>
      </c>
      <c r="H131">
        <v>-1.51953169079096E-2</v>
      </c>
      <c r="I131" s="2">
        <v>-4.0229254005320702E-15</v>
      </c>
      <c r="J131" s="2">
        <v>3.6710615221248598E-14</v>
      </c>
      <c r="K131" s="2">
        <v>1.2079562564774001E-16</v>
      </c>
      <c r="L131">
        <v>-2.47744848633378E-2</v>
      </c>
      <c r="M131">
        <v>0</v>
      </c>
      <c r="N131">
        <v>0</v>
      </c>
      <c r="O131" s="2">
        <v>6.8024654369093898E-14</v>
      </c>
      <c r="P131">
        <v>0</v>
      </c>
      <c r="Q131">
        <v>-0.12810616305782399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s="2">
        <v>5.7878027025792503E-16</v>
      </c>
      <c r="Z131" s="2">
        <v>5.6040684245825905E-16</v>
      </c>
      <c r="AA131" s="2">
        <v>7.3145591021210202E-16</v>
      </c>
      <c r="AB131" s="2">
        <v>7.9426713789942001E-16</v>
      </c>
      <c r="AC131" s="2">
        <v>4.4375067863489601E-16</v>
      </c>
      <c r="AD131" s="2">
        <v>-2.20576898747015E-15</v>
      </c>
      <c r="AE131">
        <v>8.8539528494842607E-3</v>
      </c>
      <c r="AF131">
        <v>-0.180237583472145</v>
      </c>
    </row>
    <row r="132" spans="1:32" x14ac:dyDescent="0.25">
      <c r="A132" s="1">
        <v>51043</v>
      </c>
      <c r="B132">
        <v>-9.3177725010076901E-2</v>
      </c>
      <c r="C132" s="2">
        <v>8.8296151128541098E-17</v>
      </c>
      <c r="D132">
        <v>-6.9703964015877903E-2</v>
      </c>
      <c r="E132" s="2">
        <v>4.2935408678281701E-13</v>
      </c>
      <c r="F132">
        <v>0.12797941809123101</v>
      </c>
      <c r="G132">
        <v>1.41309790851712E-2</v>
      </c>
      <c r="H132">
        <v>-1.42752315131588E-2</v>
      </c>
      <c r="I132" s="2">
        <v>-3.8903994458939297E-15</v>
      </c>
      <c r="J132" s="2">
        <v>3.6528467614465401E-14</v>
      </c>
      <c r="K132" s="2">
        <v>1.2088295570388699E-16</v>
      </c>
      <c r="L132">
        <v>-2.4231686096392702E-2</v>
      </c>
      <c r="M132">
        <v>0</v>
      </c>
      <c r="N132">
        <v>0</v>
      </c>
      <c r="O132" s="2">
        <v>6.7630181723778098E-14</v>
      </c>
      <c r="P132">
        <v>0</v>
      </c>
      <c r="Q132">
        <v>-0.126839384357055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s="2">
        <v>5.7250971405417802E-16</v>
      </c>
      <c r="Z132" s="2">
        <v>5.5463659245881604E-16</v>
      </c>
      <c r="AA132" s="2">
        <v>7.2400265837369397E-16</v>
      </c>
      <c r="AB132" s="2">
        <v>7.8623195024099297E-16</v>
      </c>
      <c r="AC132" s="2">
        <v>4.3930204630080499E-16</v>
      </c>
      <c r="AD132" s="2">
        <v>-2.1831824465721001E-15</v>
      </c>
      <c r="AE132">
        <v>8.7560163551660408E-3</v>
      </c>
      <c r="AF132">
        <v>-0.177361577460459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DFA05-6A58-418B-8F31-1EB212BA2220}">
  <dimension ref="A1:CI132"/>
  <sheetViews>
    <sheetView topLeftCell="A3" zoomScale="115" zoomScaleNormal="115" workbookViewId="0">
      <selection activeCell="W13" sqref="W13"/>
    </sheetView>
  </sheetViews>
  <sheetFormatPr defaultRowHeight="15" x14ac:dyDescent="0.25"/>
  <cols>
    <col min="1" max="1" width="12.5703125" bestFit="1" customWidth="1"/>
    <col min="21" max="21" width="9.140625" style="4"/>
    <col min="25" max="25" width="10" bestFit="1" customWidth="1"/>
    <col min="36" max="40" width="9.140625" style="5"/>
    <col min="41" max="45" width="9.140625" style="6"/>
  </cols>
  <sheetData>
    <row r="1" spans="1:62" x14ac:dyDescent="0.25">
      <c r="A1" t="s">
        <v>0</v>
      </c>
      <c r="B1" t="str">
        <f>+[1]wFG_rstar_shock_decomposition!E1</f>
        <v>g</v>
      </c>
      <c r="C1" t="str">
        <f>+[1]wFG_rstar_shock_decomposition!F1</f>
        <v>b_liq</v>
      </c>
      <c r="D1" t="str">
        <f>+[1]wFG_rstar_shock_decomposition!G1</f>
        <v>b_safe</v>
      </c>
      <c r="E1" t="str">
        <f>+[1]wFG_rstar_shock_decomposition!H1</f>
        <v>FF</v>
      </c>
      <c r="F1" t="str">
        <f>+[1]wFG_rstar_shock_decomposition!I1</f>
        <v>z</v>
      </c>
      <c r="G1" t="str">
        <f>+[1]wFG_rstar_shock_decomposition!J1</f>
        <v>p-mkp</v>
      </c>
      <c r="H1" t="str">
        <f>+[1]wFG_rstar_shock_decomposition!K1</f>
        <v>w-mkp</v>
      </c>
      <c r="I1" t="str">
        <f>+[1]wFG_rstar_shock_decomposition!L1</f>
        <v>pol</v>
      </c>
      <c r="J1" t="str">
        <f>+[1]wFG_rstar_shock_decomposition!M1</f>
        <v>fg1</v>
      </c>
      <c r="K1" t="str">
        <f>+[1]wFG_rstar_shock_decomposition!N1</f>
        <v>fg2</v>
      </c>
      <c r="L1" t="str">
        <f>+[1]wFG_rstar_shock_decomposition!O1</f>
        <v>fg3</v>
      </c>
      <c r="M1" t="str">
        <f>+[1]wFG_rstar_shock_decomposition!P1</f>
        <v>fg4</v>
      </c>
      <c r="N1" t="str">
        <f>+[1]wFG_rstar_shock_decomposition!Q1</f>
        <v>fg5</v>
      </c>
      <c r="O1" t="str">
        <f>+[1]wFG_rstar_shock_decomposition!R1</f>
        <v>fg6</v>
      </c>
      <c r="P1" t="str">
        <f>+[1]wFG_rstar_shock_decomposition!S1</f>
        <v>pi-LR</v>
      </c>
      <c r="Q1" t="str">
        <f>+[1]wFG_rstar_shock_decomposition!T1</f>
        <v>mu</v>
      </c>
      <c r="R1" t="str">
        <f>+[1]wFG_rstar_shock_decomposition!U1</f>
        <v>me</v>
      </c>
      <c r="S1" t="str">
        <f>+[1]wFG_rstar_shock_decomposition!V1</f>
        <v>zp</v>
      </c>
      <c r="T1" t="str">
        <f>+[1]wFG_rstar_shock_decomposition!W1</f>
        <v>dt</v>
      </c>
      <c r="U1" s="4" t="s">
        <v>43</v>
      </c>
      <c r="X1" t="s">
        <v>32</v>
      </c>
      <c r="Y1" t="s">
        <v>33</v>
      </c>
      <c r="Z1" t="s">
        <v>35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34</v>
      </c>
      <c r="AI1" t="s">
        <v>51</v>
      </c>
      <c r="AJ1" s="5" t="s">
        <v>52</v>
      </c>
      <c r="AK1" s="5" t="s">
        <v>53</v>
      </c>
      <c r="AL1" s="5" t="s">
        <v>35</v>
      </c>
      <c r="AM1" s="5" t="s">
        <v>34</v>
      </c>
      <c r="AN1" s="5" t="s">
        <v>54</v>
      </c>
      <c r="AO1" s="6" t="s">
        <v>52</v>
      </c>
      <c r="AP1" s="6" t="s">
        <v>53</v>
      </c>
      <c r="AQ1" s="6" t="s">
        <v>35</v>
      </c>
      <c r="AR1" s="6" t="s">
        <v>34</v>
      </c>
      <c r="AS1" s="6" t="s">
        <v>54</v>
      </c>
      <c r="AT1" s="6"/>
      <c r="AU1" s="6"/>
      <c r="AV1" s="6"/>
      <c r="AW1" s="6"/>
    </row>
    <row r="2" spans="1:62" x14ac:dyDescent="0.25">
      <c r="A2" s="1">
        <v>39172</v>
      </c>
      <c r="B2">
        <f>'DSGE HVD wFG'!B2-'DSGE HVD woFG'!B2</f>
        <v>-1.1864272693190986E-3</v>
      </c>
      <c r="C2">
        <f>'DSGE HVD wFG'!C2-'DSGE HVD woFG'!C2</f>
        <v>6.9004925544199902E-3</v>
      </c>
      <c r="D2">
        <f>'DSGE HVD wFG'!D2-'DSGE HVD woFG'!D2</f>
        <v>0.24643353365153203</v>
      </c>
      <c r="E2">
        <f>'DSGE HVD wFG'!E2-'DSGE HVD woFG'!E2</f>
        <v>3.7480444855083998E-3</v>
      </c>
      <c r="F2">
        <f>'DSGE HVD wFG'!F2-'DSGE HVD woFG'!F2</f>
        <v>2.1105109999484006E-2</v>
      </c>
      <c r="G2">
        <f>'DSGE HVD wFG'!G2-'DSGE HVD woFG'!G2</f>
        <v>4.7328043494589005E-17</v>
      </c>
      <c r="H2">
        <f>'DSGE HVD wFG'!H2-'DSGE HVD woFG'!H2</f>
        <v>-1.0554555194794007E-16</v>
      </c>
      <c r="I2">
        <f>'DSGE HVD wFG'!I2-'DSGE HVD woFG'!I2</f>
        <v>9.999024396912989E-16</v>
      </c>
      <c r="J2">
        <f>'DSGE HVD wFG'!J2-'DSGE HVD woFG'!J2</f>
        <v>0</v>
      </c>
      <c r="K2">
        <f>'DSGE HVD wFG'!K2-'DSGE HVD woFG'!K2</f>
        <v>0</v>
      </c>
      <c r="L2">
        <f>'DSGE HVD wFG'!L2-'DSGE HVD woFG'!L2</f>
        <v>0</v>
      </c>
      <c r="M2">
        <f>'DSGE HVD wFG'!M2-'DSGE HVD woFG'!M2</f>
        <v>0</v>
      </c>
      <c r="N2">
        <f>'DSGE HVD wFG'!N2-'DSGE HVD woFG'!N2</f>
        <v>0</v>
      </c>
      <c r="O2">
        <f>'DSGE HVD wFG'!O2-'DSGE HVD woFG'!O2</f>
        <v>0</v>
      </c>
      <c r="P2">
        <f>'DSGE HVD wFG'!P2-'DSGE HVD woFG'!P2</f>
        <v>2.2553487116250228E-15</v>
      </c>
      <c r="Q2">
        <f>'DSGE HVD wFG'!Q2-'DSGE HVD woFG'!Q2</f>
        <v>7.6980972153328012E-3</v>
      </c>
      <c r="R2">
        <f>'DSGE HVD wFG'!R2-'DSGE HVD woFG'!R2</f>
        <v>0</v>
      </c>
      <c r="S2">
        <f>'DSGE HVD wFG'!S2-'DSGE HVD woFG'!S2</f>
        <v>9.4629650671331805E-2</v>
      </c>
      <c r="T2">
        <f>'DSGE HVD wFG'!T2-'DSGE HVD woFG'!T2</f>
        <v>-3.790748129733703E-3</v>
      </c>
      <c r="U2">
        <f>'DSGE HVD wFG'!U2-'DSGE HVD woFG'!U2</f>
        <v>0.3755377531785587</v>
      </c>
      <c r="Y2" s="1">
        <f>+A2</f>
        <v>39172</v>
      </c>
      <c r="Z2" s="7">
        <f>+B2</f>
        <v>-1.1864272693190986E-3</v>
      </c>
      <c r="AA2" s="7">
        <f>+C2</f>
        <v>6.9004925544199902E-3</v>
      </c>
      <c r="AB2" s="7">
        <f>+D2</f>
        <v>0.24643353365153203</v>
      </c>
      <c r="AC2" s="7">
        <f>+F2+S2</f>
        <v>0.11573476067081581</v>
      </c>
      <c r="AD2" s="7">
        <f>+E2</f>
        <v>3.7480444855083998E-3</v>
      </c>
      <c r="AE2" s="7">
        <f>+Q2</f>
        <v>7.6980972153328012E-3</v>
      </c>
      <c r="AF2" s="7">
        <f>+G2</f>
        <v>4.7328043494589005E-17</v>
      </c>
      <c r="AG2" s="7">
        <f>+H2</f>
        <v>-1.0554555194794007E-16</v>
      </c>
      <c r="AH2" s="7">
        <f>+SUM(T2,I2:P2)</f>
        <v>-3.7907481297304478E-3</v>
      </c>
      <c r="AI2" s="7">
        <f t="shared" ref="AI2:AI65" si="0">+SUM(Z2:AH2)</f>
        <v>0.37553775317855947</v>
      </c>
      <c r="AJ2" s="8">
        <f>SUM(AC2+AE2)</f>
        <v>0.12343285788614861</v>
      </c>
      <c r="AK2" s="8">
        <f>AB2+AA2+AD2</f>
        <v>0.25708207069146044</v>
      </c>
      <c r="AL2" s="8">
        <f>Z2</f>
        <v>-1.1864272693190986E-3</v>
      </c>
      <c r="AM2" s="8">
        <f>AH2</f>
        <v>-3.7907481297304478E-3</v>
      </c>
      <c r="AN2" s="8">
        <f>SUM(AJ2:AM2)</f>
        <v>0.37553775317855947</v>
      </c>
      <c r="AO2" s="9"/>
      <c r="AP2" s="9"/>
      <c r="AQ2" s="9"/>
      <c r="AR2" s="9"/>
      <c r="AS2" s="9"/>
    </row>
    <row r="3" spans="1:62" x14ac:dyDescent="0.25">
      <c r="A3" s="1">
        <v>39263</v>
      </c>
      <c r="B3">
        <f>'DSGE HVD wFG'!B3-'DSGE HVD woFG'!B3</f>
        <v>-9.2186697626449321E-4</v>
      </c>
      <c r="C3">
        <f>'DSGE HVD wFG'!C3-'DSGE HVD woFG'!C3</f>
        <v>1.1714961121376988E-2</v>
      </c>
      <c r="D3">
        <f>'DSGE HVD wFG'!D3-'DSGE HVD woFG'!D3</f>
        <v>0.26664785572696398</v>
      </c>
      <c r="E3">
        <f>'DSGE HVD wFG'!E3-'DSGE HVD woFG'!E3</f>
        <v>5.1548791726380022E-3</v>
      </c>
      <c r="F3">
        <f>'DSGE HVD wFG'!F3-'DSGE HVD woFG'!F3</f>
        <v>2.34642627470001E-2</v>
      </c>
      <c r="G3">
        <f>'DSGE HVD wFG'!G3-'DSGE HVD woFG'!G3</f>
        <v>4.3050326186741954E-17</v>
      </c>
      <c r="H3">
        <f>'DSGE HVD wFG'!H3-'DSGE HVD woFG'!H3</f>
        <v>-5.4333616165900108E-17</v>
      </c>
      <c r="I3">
        <f>'DSGE HVD wFG'!I3-'DSGE HVD woFG'!I3</f>
        <v>9.0143759070549995E-16</v>
      </c>
      <c r="J3">
        <f>'DSGE HVD wFG'!J3-'DSGE HVD woFG'!J3</f>
        <v>0</v>
      </c>
      <c r="K3">
        <f>'DSGE HVD wFG'!K3-'DSGE HVD woFG'!K3</f>
        <v>0</v>
      </c>
      <c r="L3">
        <f>'DSGE HVD wFG'!L3-'DSGE HVD woFG'!L3</f>
        <v>0</v>
      </c>
      <c r="M3">
        <f>'DSGE HVD wFG'!M3-'DSGE HVD woFG'!M3</f>
        <v>0</v>
      </c>
      <c r="N3">
        <f>'DSGE HVD wFG'!N3-'DSGE HVD woFG'!N3</f>
        <v>0</v>
      </c>
      <c r="O3">
        <f>'DSGE HVD wFG'!O3-'DSGE HVD woFG'!O3</f>
        <v>0</v>
      </c>
      <c r="P3">
        <f>'DSGE HVD wFG'!P3-'DSGE HVD woFG'!P3</f>
        <v>3.0360569453379997E-15</v>
      </c>
      <c r="Q3">
        <f>'DSGE HVD wFG'!Q3-'DSGE HVD woFG'!Q3</f>
        <v>8.8060448029015984E-3</v>
      </c>
      <c r="R3">
        <f>'DSGE HVD wFG'!R3-'DSGE HVD woFG'!R3</f>
        <v>0</v>
      </c>
      <c r="S3">
        <f>'DSGE HVD wFG'!S3-'DSGE HVD woFG'!S3</f>
        <v>0.10976612753964701</v>
      </c>
      <c r="T3">
        <f>'DSGE HVD wFG'!T3-'DSGE HVD woFG'!T3</f>
        <v>-3.7506317120781993E-3</v>
      </c>
      <c r="U3">
        <f>'DSGE HVD wFG'!U3-'DSGE HVD woFG'!U3</f>
        <v>0.42088163242218901</v>
      </c>
      <c r="Y3" s="1">
        <f t="shared" ref="Y3:AB34" si="1">+A3</f>
        <v>39263</v>
      </c>
      <c r="Z3" s="7">
        <f t="shared" si="1"/>
        <v>-9.2186697626449321E-4</v>
      </c>
      <c r="AA3" s="7">
        <f t="shared" si="1"/>
        <v>1.1714961121376988E-2</v>
      </c>
      <c r="AB3" s="7">
        <f t="shared" si="1"/>
        <v>0.26664785572696398</v>
      </c>
      <c r="AC3" s="7">
        <f t="shared" ref="AC3:AC66" si="2">+F3+S3</f>
        <v>0.13323039028664713</v>
      </c>
      <c r="AD3" s="7">
        <f t="shared" ref="AD3:AD66" si="3">+E3</f>
        <v>5.1548791726380022E-3</v>
      </c>
      <c r="AE3" s="7">
        <f t="shared" ref="AE3:AE66" si="4">+Q3</f>
        <v>8.8060448029015984E-3</v>
      </c>
      <c r="AF3" s="7">
        <f t="shared" ref="AF3:AG66" si="5">+G3</f>
        <v>4.3050326186741954E-17</v>
      </c>
      <c r="AG3" s="7">
        <f t="shared" si="5"/>
        <v>-5.4333616165900108E-17</v>
      </c>
      <c r="AH3" s="7">
        <f t="shared" ref="AH3:AH66" si="6">+SUM(T3,I3:P3)</f>
        <v>-3.7506317120742615E-3</v>
      </c>
      <c r="AI3" s="7">
        <f t="shared" si="0"/>
        <v>0.42088163242218896</v>
      </c>
      <c r="AJ3" s="8">
        <f t="shared" ref="AJ3:AJ66" si="7">SUM(AC3+AE3)</f>
        <v>0.14203643508954872</v>
      </c>
      <c r="AK3" s="8">
        <f t="shared" ref="AK3:AK66" si="8">AB3+AA3+AD3</f>
        <v>0.28351769602097898</v>
      </c>
      <c r="AL3" s="8">
        <f t="shared" ref="AL3:AL66" si="9">Z3</f>
        <v>-9.2186697626449321E-4</v>
      </c>
      <c r="AM3" s="8">
        <f t="shared" ref="AM3:AM66" si="10">AH3</f>
        <v>-3.7506317120742615E-3</v>
      </c>
      <c r="AN3" s="8">
        <f t="shared" ref="AN3:AN66" si="11">SUM(AJ3:AM3)</f>
        <v>0.42088163242218896</v>
      </c>
      <c r="AO3" s="9">
        <f>(AJ3-AJ2)/($AN3-$AN2)</f>
        <v>0.4102775835178194</v>
      </c>
      <c r="AP3" s="9">
        <f t="shared" ref="AP3:AS18" si="12">(AK3-AK2)/($AN3-$AN2)</f>
        <v>0.58300316978796152</v>
      </c>
      <c r="AQ3" s="9">
        <f t="shared" si="12"/>
        <v>5.8345315281284494E-3</v>
      </c>
      <c r="AR3" s="9">
        <f t="shared" si="12"/>
        <v>8.8471516608986214E-4</v>
      </c>
      <c r="AS3" s="9">
        <f t="shared" si="12"/>
        <v>1</v>
      </c>
      <c r="AT3" s="7"/>
      <c r="AU3" s="7"/>
      <c r="AV3" s="7"/>
      <c r="AW3" s="7"/>
      <c r="AX3" s="7"/>
    </row>
    <row r="4" spans="1:62" x14ac:dyDescent="0.25">
      <c r="A4" s="1">
        <v>39355</v>
      </c>
      <c r="B4">
        <f>'DSGE HVD wFG'!B4-'DSGE HVD woFG'!B4</f>
        <v>-6.2993997186189254E-4</v>
      </c>
      <c r="C4">
        <f>'DSGE HVD wFG'!C4-'DSGE HVD woFG'!C4</f>
        <v>1.8729915763933958E-2</v>
      </c>
      <c r="D4">
        <f>'DSGE HVD wFG'!D4-'DSGE HVD woFG'!D4</f>
        <v>0.28890318287525601</v>
      </c>
      <c r="E4">
        <f>'DSGE HVD wFG'!E4-'DSGE HVD woFG'!E4</f>
        <v>6.7903527984395015E-3</v>
      </c>
      <c r="F4">
        <f>'DSGE HVD wFG'!F4-'DSGE HVD woFG'!F4</f>
        <v>2.6167987741780016E-2</v>
      </c>
      <c r="G4">
        <f>'DSGE HVD wFG'!G4-'DSGE HVD woFG'!G4</f>
        <v>3.6162972196818012E-17</v>
      </c>
      <c r="H4">
        <f>'DSGE HVD wFG'!H4-'DSGE HVD woFG'!H4</f>
        <v>6.0806850109300299E-18</v>
      </c>
      <c r="I4">
        <f>'DSGE HVD wFG'!I4-'DSGE HVD woFG'!I4</f>
        <v>7.8684766501660018E-16</v>
      </c>
      <c r="J4">
        <f>'DSGE HVD wFG'!J4-'DSGE HVD woFG'!J4</f>
        <v>0</v>
      </c>
      <c r="K4">
        <f>'DSGE HVD wFG'!K4-'DSGE HVD woFG'!K4</f>
        <v>0</v>
      </c>
      <c r="L4">
        <f>'DSGE HVD wFG'!L4-'DSGE HVD woFG'!L4</f>
        <v>0</v>
      </c>
      <c r="M4">
        <f>'DSGE HVD wFG'!M4-'DSGE HVD woFG'!M4</f>
        <v>0</v>
      </c>
      <c r="N4">
        <f>'DSGE HVD wFG'!N4-'DSGE HVD woFG'!N4</f>
        <v>0</v>
      </c>
      <c r="O4">
        <f>'DSGE HVD wFG'!O4-'DSGE HVD woFG'!O4</f>
        <v>0</v>
      </c>
      <c r="P4">
        <f>'DSGE HVD wFG'!P4-'DSGE HVD woFG'!P4</f>
        <v>3.9299145763080189E-15</v>
      </c>
      <c r="Q4">
        <f>'DSGE HVD wFG'!Q4-'DSGE HVD woFG'!Q4</f>
        <v>1.0062544264371601E-2</v>
      </c>
      <c r="R4">
        <f>'DSGE HVD wFG'!R4-'DSGE HVD woFG'!R4</f>
        <v>0</v>
      </c>
      <c r="S4">
        <f>'DSGE HVD wFG'!S4-'DSGE HVD woFG'!S4</f>
        <v>0.127199177937141</v>
      </c>
      <c r="T4">
        <f>'DSGE HVD wFG'!T4-'DSGE HVD woFG'!T4</f>
        <v>-3.7109618698544997E-3</v>
      </c>
      <c r="U4">
        <f>'DSGE HVD wFG'!U4-'DSGE HVD woFG'!U4</f>
        <v>0.47351225953921028</v>
      </c>
      <c r="Y4" s="1">
        <f t="shared" si="1"/>
        <v>39355</v>
      </c>
      <c r="Z4" s="7">
        <f t="shared" si="1"/>
        <v>-6.2993997186189254E-4</v>
      </c>
      <c r="AA4" s="7">
        <f t="shared" si="1"/>
        <v>1.8729915763933958E-2</v>
      </c>
      <c r="AB4" s="7">
        <f t="shared" si="1"/>
        <v>0.28890318287525601</v>
      </c>
      <c r="AC4" s="7">
        <f t="shared" si="2"/>
        <v>0.153367165678921</v>
      </c>
      <c r="AD4" s="7">
        <f t="shared" si="3"/>
        <v>6.7903527984395015E-3</v>
      </c>
      <c r="AE4" s="7">
        <f t="shared" si="4"/>
        <v>1.0062544264371601E-2</v>
      </c>
      <c r="AF4" s="7">
        <f t="shared" si="5"/>
        <v>3.6162972196818012E-17</v>
      </c>
      <c r="AG4" s="7">
        <f t="shared" si="5"/>
        <v>6.0806850109300299E-18</v>
      </c>
      <c r="AH4" s="7">
        <f t="shared" si="6"/>
        <v>-3.7109618698497829E-3</v>
      </c>
      <c r="AI4" s="7">
        <f t="shared" si="0"/>
        <v>0.47351225953921044</v>
      </c>
      <c r="AJ4" s="8">
        <f t="shared" si="7"/>
        <v>0.16342970994329259</v>
      </c>
      <c r="AK4" s="8">
        <f t="shared" si="8"/>
        <v>0.31442345143762945</v>
      </c>
      <c r="AL4" s="8">
        <f t="shared" si="9"/>
        <v>-6.2993997186189254E-4</v>
      </c>
      <c r="AM4" s="8">
        <f t="shared" si="10"/>
        <v>-3.7109618698497829E-3</v>
      </c>
      <c r="AN4" s="8">
        <f t="shared" si="11"/>
        <v>0.47351225953921039</v>
      </c>
      <c r="AO4" s="9">
        <f t="shared" ref="AO4:AS67" si="13">(AJ4-AJ3)/($AN4-$AN3)</f>
        <v>0.40647957331340645</v>
      </c>
      <c r="AP4" s="9">
        <f t="shared" si="12"/>
        <v>0.58721997265837533</v>
      </c>
      <c r="AQ4" s="9">
        <f t="shared" si="12"/>
        <v>5.5467133947219799E-3</v>
      </c>
      <c r="AR4" s="9">
        <f t="shared" si="12"/>
        <v>7.5374063349605751E-4</v>
      </c>
      <c r="AS4" s="9">
        <f t="shared" si="12"/>
        <v>1</v>
      </c>
      <c r="AT4" s="7"/>
      <c r="AU4" s="7"/>
      <c r="AV4" s="7"/>
      <c r="AW4" s="7"/>
      <c r="AX4" s="7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x14ac:dyDescent="0.25">
      <c r="A5" s="1">
        <v>39447</v>
      </c>
      <c r="B5">
        <f>'DSGE HVD wFG'!B5-'DSGE HVD woFG'!B5</f>
        <v>-3.0916175709580496E-4</v>
      </c>
      <c r="C5">
        <f>'DSGE HVD wFG'!C5-'DSGE HVD woFG'!C5</f>
        <v>2.8882484189751978E-2</v>
      </c>
      <c r="D5">
        <f>'DSGE HVD wFG'!D5-'DSGE HVD woFG'!D5</f>
        <v>0.31337762169681804</v>
      </c>
      <c r="E5">
        <f>'DSGE HVD wFG'!E5-'DSGE HVD woFG'!E5</f>
        <v>8.6883072667308936E-3</v>
      </c>
      <c r="F5">
        <f>'DSGE HVD wFG'!F5-'DSGE HVD woFG'!F5</f>
        <v>2.9272510857979994E-2</v>
      </c>
      <c r="G5">
        <f>'DSGE HVD wFG'!G5-'DSGE HVD woFG'!G5</f>
        <v>2.4653946257294987E-17</v>
      </c>
      <c r="H5">
        <f>'DSGE HVD wFG'!H5-'DSGE HVD woFG'!H5</f>
        <v>7.6910029648432991E-17</v>
      </c>
      <c r="I5">
        <f>'DSGE HVD wFG'!I5-'DSGE HVD woFG'!I5</f>
        <v>6.5498469023270074E-16</v>
      </c>
      <c r="J5">
        <f>'DSGE HVD wFG'!J5-'DSGE HVD woFG'!J5</f>
        <v>0</v>
      </c>
      <c r="K5">
        <f>'DSGE HVD wFG'!K5-'DSGE HVD woFG'!K5</f>
        <v>0</v>
      </c>
      <c r="L5">
        <f>'DSGE HVD wFG'!L5-'DSGE HVD woFG'!L5</f>
        <v>0</v>
      </c>
      <c r="M5">
        <f>'DSGE HVD wFG'!M5-'DSGE HVD woFG'!M5</f>
        <v>0</v>
      </c>
      <c r="N5">
        <f>'DSGE HVD wFG'!N5-'DSGE HVD woFG'!N5</f>
        <v>0</v>
      </c>
      <c r="O5">
        <f>'DSGE HVD wFG'!O5-'DSGE HVD woFG'!O5</f>
        <v>0</v>
      </c>
      <c r="P5">
        <f>'DSGE HVD wFG'!P5-'DSGE HVD woFG'!P5</f>
        <v>4.9484713101839934E-15</v>
      </c>
      <c r="Q5">
        <f>'DSGE HVD wFG'!Q5-'DSGE HVD woFG'!Q5</f>
        <v>1.1503981139563704E-2</v>
      </c>
      <c r="R5">
        <f>'DSGE HVD wFG'!R5-'DSGE HVD woFG'!R5</f>
        <v>0</v>
      </c>
      <c r="S5">
        <f>'DSGE HVD wFG'!S5-'DSGE HVD woFG'!S5</f>
        <v>0.14737631274288301</v>
      </c>
      <c r="T5">
        <f>'DSGE HVD wFG'!T5-'DSGE HVD woFG'!T5</f>
        <v>-3.6717332817433994E-3</v>
      </c>
      <c r="U5">
        <f>'DSGE HVD wFG'!U5-'DSGE HVD woFG'!U5</f>
        <v>0.53512032285489397</v>
      </c>
      <c r="Y5" s="1">
        <f t="shared" si="1"/>
        <v>39447</v>
      </c>
      <c r="Z5" s="7">
        <f t="shared" si="1"/>
        <v>-3.0916175709580496E-4</v>
      </c>
      <c r="AA5" s="7">
        <f t="shared" si="1"/>
        <v>2.8882484189751978E-2</v>
      </c>
      <c r="AB5" s="7">
        <f t="shared" si="1"/>
        <v>0.31337762169681804</v>
      </c>
      <c r="AC5" s="7">
        <f t="shared" si="2"/>
        <v>0.17664882360086301</v>
      </c>
      <c r="AD5" s="7">
        <f t="shared" si="3"/>
        <v>8.6883072667308936E-3</v>
      </c>
      <c r="AE5" s="7">
        <f t="shared" si="4"/>
        <v>1.1503981139563704E-2</v>
      </c>
      <c r="AF5" s="7">
        <f t="shared" si="5"/>
        <v>2.4653946257294987E-17</v>
      </c>
      <c r="AG5" s="7">
        <f t="shared" si="5"/>
        <v>7.6910029648432991E-17</v>
      </c>
      <c r="AH5" s="7">
        <f t="shared" si="6"/>
        <v>-3.6717332817377962E-3</v>
      </c>
      <c r="AI5" s="7">
        <f t="shared" si="0"/>
        <v>0.53512032285489419</v>
      </c>
      <c r="AJ5" s="8">
        <f t="shared" si="7"/>
        <v>0.18815280474042673</v>
      </c>
      <c r="AK5" s="8">
        <f t="shared" si="8"/>
        <v>0.35094841315330094</v>
      </c>
      <c r="AL5" s="8">
        <f t="shared" si="9"/>
        <v>-3.0916175709580496E-4</v>
      </c>
      <c r="AM5" s="8">
        <f t="shared" si="10"/>
        <v>-3.6717332817377962E-3</v>
      </c>
      <c r="AN5" s="8">
        <f t="shared" si="11"/>
        <v>0.53512032285489408</v>
      </c>
      <c r="AO5" s="9">
        <f t="shared" si="13"/>
        <v>0.40129641262137072</v>
      </c>
      <c r="AP5" s="9">
        <f t="shared" si="12"/>
        <v>0.59286008600067863</v>
      </c>
      <c r="AQ5" s="9">
        <f t="shared" si="12"/>
        <v>5.2067569974144348E-3</v>
      </c>
      <c r="AR5" s="9">
        <f t="shared" si="12"/>
        <v>6.3674438053630902E-4</v>
      </c>
      <c r="AS5" s="9">
        <f t="shared" si="12"/>
        <v>1</v>
      </c>
      <c r="AT5" s="7"/>
      <c r="AU5" s="7"/>
      <c r="AV5" s="7"/>
      <c r="AW5" s="7"/>
      <c r="AX5" s="7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2" x14ac:dyDescent="0.25">
      <c r="A6" s="1">
        <v>39538</v>
      </c>
      <c r="B6">
        <f>'DSGE HVD wFG'!B6-'DSGE HVD woFG'!B6</f>
        <v>3.8674394388094058E-5</v>
      </c>
      <c r="C6">
        <f>'DSGE HVD wFG'!C6-'DSGE HVD woFG'!C6</f>
        <v>4.3514231910239953E-2</v>
      </c>
      <c r="D6">
        <f>'DSGE HVD wFG'!D6-'DSGE HVD woFG'!D6</f>
        <v>0.34023860947856599</v>
      </c>
      <c r="E6">
        <f>'DSGE HVD wFG'!E6-'DSGE HVD woFG'!E6</f>
        <v>1.0886957796264904E-2</v>
      </c>
      <c r="F6">
        <f>'DSGE HVD wFG'!F6-'DSGE HVD woFG'!F6</f>
        <v>3.2852592129786015E-2</v>
      </c>
      <c r="G6">
        <f>'DSGE HVD wFG'!G6-'DSGE HVD woFG'!G6</f>
        <v>5.0161776813319809E-18</v>
      </c>
      <c r="H6">
        <f>'DSGE HVD wFG'!H6-'DSGE HVD woFG'!H6</f>
        <v>1.5945558025331299E-16</v>
      </c>
      <c r="I6">
        <f>'DSGE HVD wFG'!I6-'DSGE HVD woFG'!I6</f>
        <v>5.0535185165229902E-16</v>
      </c>
      <c r="J6">
        <f>'DSGE HVD wFG'!J6-'DSGE HVD woFG'!J6</f>
        <v>0</v>
      </c>
      <c r="K6">
        <f>'DSGE HVD wFG'!K6-'DSGE HVD woFG'!K6</f>
        <v>0</v>
      </c>
      <c r="L6">
        <f>'DSGE HVD wFG'!L6-'DSGE HVD woFG'!L6</f>
        <v>0</v>
      </c>
      <c r="M6">
        <f>'DSGE HVD wFG'!M6-'DSGE HVD woFG'!M6</f>
        <v>0</v>
      </c>
      <c r="N6">
        <f>'DSGE HVD wFG'!N6-'DSGE HVD woFG'!N6</f>
        <v>0</v>
      </c>
      <c r="O6">
        <f>'DSGE HVD wFG'!O6-'DSGE HVD woFG'!O6</f>
        <v>0</v>
      </c>
      <c r="P6">
        <f>'DSGE HVD wFG'!P6-'DSGE HVD woFG'!P6</f>
        <v>6.1033181349849961E-15</v>
      </c>
      <c r="Q6">
        <f>'DSGE HVD wFG'!Q6-'DSGE HVD woFG'!Q6</f>
        <v>1.3182656227930509E-2</v>
      </c>
      <c r="R6">
        <f>'DSGE HVD wFG'!R6-'DSGE HVD woFG'!R6</f>
        <v>0</v>
      </c>
      <c r="S6">
        <f>'DSGE HVD wFG'!S6-'DSGE HVD woFG'!S6</f>
        <v>0.17089035401111896</v>
      </c>
      <c r="T6">
        <f>'DSGE HVD wFG'!T6-'DSGE HVD woFG'!T6</f>
        <v>-3.6329406951731008E-3</v>
      </c>
      <c r="U6">
        <f>'DSGE HVD wFG'!U6-'DSGE HVD woFG'!U6</f>
        <v>0.60797113525312807</v>
      </c>
      <c r="Y6" s="1">
        <f t="shared" si="1"/>
        <v>39538</v>
      </c>
      <c r="Z6" s="7">
        <f t="shared" si="1"/>
        <v>3.8674394388094058E-5</v>
      </c>
      <c r="AA6" s="7">
        <f t="shared" si="1"/>
        <v>4.3514231910239953E-2</v>
      </c>
      <c r="AB6" s="7">
        <f t="shared" si="1"/>
        <v>0.34023860947856599</v>
      </c>
      <c r="AC6" s="7">
        <f t="shared" si="2"/>
        <v>0.20374294614090499</v>
      </c>
      <c r="AD6" s="7">
        <f t="shared" si="3"/>
        <v>1.0886957796264904E-2</v>
      </c>
      <c r="AE6" s="7">
        <f t="shared" si="4"/>
        <v>1.3182656227930509E-2</v>
      </c>
      <c r="AF6" s="7">
        <f t="shared" si="5"/>
        <v>5.0161776813319809E-18</v>
      </c>
      <c r="AG6" s="7">
        <f t="shared" si="5"/>
        <v>1.5945558025331299E-16</v>
      </c>
      <c r="AH6" s="7">
        <f t="shared" si="6"/>
        <v>-3.6329406951664924E-3</v>
      </c>
      <c r="AI6" s="7">
        <f t="shared" si="0"/>
        <v>0.60797113525312796</v>
      </c>
      <c r="AJ6" s="8">
        <f t="shared" si="7"/>
        <v>0.21692560236883551</v>
      </c>
      <c r="AK6" s="8">
        <f t="shared" si="8"/>
        <v>0.39463979918507086</v>
      </c>
      <c r="AL6" s="8">
        <f t="shared" si="9"/>
        <v>3.8674394388094058E-5</v>
      </c>
      <c r="AM6" s="8">
        <f t="shared" si="10"/>
        <v>-3.6329406951664924E-3</v>
      </c>
      <c r="AN6" s="8">
        <f t="shared" si="11"/>
        <v>0.60797113525312796</v>
      </c>
      <c r="AO6" s="9">
        <f t="shared" si="13"/>
        <v>0.39495506887588705</v>
      </c>
      <c r="AP6" s="9">
        <f t="shared" si="12"/>
        <v>0.59973780104103724</v>
      </c>
      <c r="AQ6" s="9">
        <f t="shared" si="12"/>
        <v>4.774636548765949E-3</v>
      </c>
      <c r="AR6" s="9">
        <f t="shared" si="12"/>
        <v>5.324935343101856E-4</v>
      </c>
      <c r="AS6" s="9">
        <f t="shared" si="12"/>
        <v>1</v>
      </c>
      <c r="AT6" s="7"/>
      <c r="AU6" s="7"/>
      <c r="AV6" s="7"/>
      <c r="AW6" s="7"/>
      <c r="AX6" s="7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</row>
    <row r="7" spans="1:62" x14ac:dyDescent="0.25">
      <c r="A7" s="1">
        <v>39629</v>
      </c>
      <c r="B7">
        <f>'DSGE HVD wFG'!B7-'DSGE HVD woFG'!B7</f>
        <v>4.0161449828289564E-4</v>
      </c>
      <c r="C7">
        <f>'DSGE HVD wFG'!C7-'DSGE HVD woFG'!C7</f>
        <v>6.4557925292259011E-2</v>
      </c>
      <c r="D7">
        <f>'DSGE HVD wFG'!D7-'DSGE HVD woFG'!D7</f>
        <v>0.36962871619807403</v>
      </c>
      <c r="E7">
        <f>'DSGE HVD wFG'!E7-'DSGE HVD woFG'!E7</f>
        <v>1.3428643887156991E-2</v>
      </c>
      <c r="F7">
        <f>'DSGE HVD wFG'!F7-'DSGE HVD woFG'!F7</f>
        <v>3.7018988642184988E-2</v>
      </c>
      <c r="G7">
        <f>'DSGE HVD wFG'!G7-'DSGE HVD woFG'!G7</f>
        <v>-2.8520149509918009E-17</v>
      </c>
      <c r="H7">
        <f>'DSGE HVD wFG'!H7-'DSGE HVD woFG'!H7</f>
        <v>2.5508236488001905E-16</v>
      </c>
      <c r="I7">
        <f>'DSGE HVD wFG'!I7-'DSGE HVD woFG'!I7</f>
        <v>3.3877525802570008E-16</v>
      </c>
      <c r="J7">
        <f>'DSGE HVD wFG'!J7-'DSGE HVD woFG'!J7</f>
        <v>0</v>
      </c>
      <c r="K7">
        <f>'DSGE HVD wFG'!K7-'DSGE HVD woFG'!K7</f>
        <v>0</v>
      </c>
      <c r="L7">
        <f>'DSGE HVD wFG'!L7-'DSGE HVD woFG'!L7</f>
        <v>0</v>
      </c>
      <c r="M7">
        <f>'DSGE HVD wFG'!M7-'DSGE HVD woFG'!M7</f>
        <v>0</v>
      </c>
      <c r="N7">
        <f>'DSGE HVD wFG'!N7-'DSGE HVD woFG'!N7</f>
        <v>0</v>
      </c>
      <c r="O7">
        <f>'DSGE HVD wFG'!O7-'DSGE HVD woFG'!O7</f>
        <v>0</v>
      </c>
      <c r="P7">
        <f>'DSGE HVD wFG'!P7-'DSGE HVD woFG'!P7</f>
        <v>7.4054611221990161E-15</v>
      </c>
      <c r="Q7">
        <f>'DSGE HVD wFG'!Q7-'DSGE HVD woFG'!Q7</f>
        <v>1.5175411163540001E-2</v>
      </c>
      <c r="R7">
        <f>'DSGE HVD wFG'!R7-'DSGE HVD woFG'!R7</f>
        <v>0</v>
      </c>
      <c r="S7">
        <f>'DSGE HVD wFG'!S7-'DSGE HVD woFG'!S7</f>
        <v>0.19854196601610496</v>
      </c>
      <c r="T7">
        <f>'DSGE HVD wFG'!T7-'DSGE HVD woFG'!T7</f>
        <v>-3.5945789253720023E-3</v>
      </c>
      <c r="U7">
        <f>'DSGE HVD wFG'!U7-'DSGE HVD woFG'!U7</f>
        <v>0.69515868677223303</v>
      </c>
      <c r="Y7" s="1">
        <f t="shared" si="1"/>
        <v>39629</v>
      </c>
      <c r="Z7" s="7">
        <f t="shared" si="1"/>
        <v>4.0161449828289564E-4</v>
      </c>
      <c r="AA7" s="7">
        <f t="shared" si="1"/>
        <v>6.4557925292259011E-2</v>
      </c>
      <c r="AB7" s="7">
        <f t="shared" si="1"/>
        <v>0.36962871619807403</v>
      </c>
      <c r="AC7" s="7">
        <f t="shared" si="2"/>
        <v>0.23556095465828997</v>
      </c>
      <c r="AD7" s="7">
        <f t="shared" si="3"/>
        <v>1.3428643887156991E-2</v>
      </c>
      <c r="AE7" s="7">
        <f t="shared" si="4"/>
        <v>1.5175411163540001E-2</v>
      </c>
      <c r="AF7" s="7">
        <f t="shared" si="5"/>
        <v>-2.8520149509918009E-17</v>
      </c>
      <c r="AG7" s="7">
        <f t="shared" si="5"/>
        <v>2.5508236488001905E-16</v>
      </c>
      <c r="AH7" s="7">
        <f t="shared" si="6"/>
        <v>-3.5945789253642581E-3</v>
      </c>
      <c r="AI7" s="7">
        <f t="shared" si="0"/>
        <v>0.69515868677223891</v>
      </c>
      <c r="AJ7" s="8">
        <f t="shared" si="7"/>
        <v>0.25073636582182995</v>
      </c>
      <c r="AK7" s="8">
        <f t="shared" si="8"/>
        <v>0.44761528537749001</v>
      </c>
      <c r="AL7" s="8">
        <f t="shared" si="9"/>
        <v>4.0161449828289564E-4</v>
      </c>
      <c r="AM7" s="8">
        <f t="shared" si="10"/>
        <v>-3.5945789253642581E-3</v>
      </c>
      <c r="AN7" s="8">
        <f t="shared" si="11"/>
        <v>0.69515868677223858</v>
      </c>
      <c r="AO7" s="9">
        <f t="shared" si="13"/>
        <v>0.38779347353943605</v>
      </c>
      <c r="AP7" s="9">
        <f t="shared" si="12"/>
        <v>0.60760378367555679</v>
      </c>
      <c r="AQ7" s="9">
        <f t="shared" si="12"/>
        <v>4.1627514200263879E-3</v>
      </c>
      <c r="AR7" s="9">
        <f t="shared" si="12"/>
        <v>4.3999136498088052E-4</v>
      </c>
      <c r="AS7" s="9">
        <f t="shared" si="12"/>
        <v>1</v>
      </c>
      <c r="AT7" s="7"/>
      <c r="AU7" s="7"/>
      <c r="AV7" s="7"/>
      <c r="AW7" s="7"/>
      <c r="AX7" s="7"/>
      <c r="AZ7" s="3"/>
      <c r="BA7" s="3"/>
      <c r="BB7" s="3"/>
      <c r="BC7" s="3"/>
      <c r="BD7" s="3"/>
      <c r="BE7" s="3"/>
      <c r="BF7" s="3"/>
      <c r="BG7" s="3"/>
      <c r="BH7" s="3"/>
      <c r="BI7" s="3"/>
    </row>
    <row r="8" spans="1:62" x14ac:dyDescent="0.25">
      <c r="A8" s="1">
        <v>39721</v>
      </c>
      <c r="B8">
        <f>'DSGE HVD wFG'!B8-'DSGE HVD woFG'!B8</f>
        <v>7.450645101135106E-4</v>
      </c>
      <c r="C8">
        <f>'DSGE HVD wFG'!C8-'DSGE HVD woFG'!C8</f>
        <v>9.4824501777080017E-2</v>
      </c>
      <c r="D8">
        <f>'DSGE HVD wFG'!D8-'DSGE HVD woFG'!D8</f>
        <v>0.40165261753518111</v>
      </c>
      <c r="E8">
        <f>'DSGE HVD wFG'!E8-'DSGE HVD woFG'!E8</f>
        <v>1.6355230461791506E-2</v>
      </c>
      <c r="F8">
        <f>'DSGE HVD wFG'!F8-'DSGE HVD woFG'!F8</f>
        <v>4.1948410825401003E-2</v>
      </c>
      <c r="G8">
        <f>'DSGE HVD wFG'!G8-'DSGE HVD woFG'!G8</f>
        <v>-8.4016270350322985E-17</v>
      </c>
      <c r="H8">
        <f>'DSGE HVD wFG'!H8-'DSGE HVD woFG'!H8</f>
        <v>3.6526932487900002E-16</v>
      </c>
      <c r="I8">
        <f>'DSGE HVD wFG'!I8-'DSGE HVD woFG'!I8</f>
        <v>1.5813371318390197E-16</v>
      </c>
      <c r="J8">
        <f>'DSGE HVD wFG'!J8-'DSGE HVD woFG'!J8</f>
        <v>0</v>
      </c>
      <c r="K8">
        <f>'DSGE HVD wFG'!K8-'DSGE HVD woFG'!K8</f>
        <v>0</v>
      </c>
      <c r="L8">
        <f>'DSGE HVD wFG'!L8-'DSGE HVD woFG'!L8</f>
        <v>0</v>
      </c>
      <c r="M8">
        <f>'DSGE HVD wFG'!M8-'DSGE HVD woFG'!M8</f>
        <v>0</v>
      </c>
      <c r="N8">
        <f>'DSGE HVD wFG'!N8-'DSGE HVD woFG'!N8</f>
        <v>0</v>
      </c>
      <c r="O8">
        <f>'DSGE HVD wFG'!O8-'DSGE HVD woFG'!O8</f>
        <v>0</v>
      </c>
      <c r="P8">
        <f>'DSGE HVD wFG'!P8-'DSGE HVD woFG'!P8</f>
        <v>8.8647492839930022E-15</v>
      </c>
      <c r="Q8">
        <f>'DSGE HVD wFG'!Q8-'DSGE HVD woFG'!Q8</f>
        <v>1.7594073909884107E-2</v>
      </c>
      <c r="R8">
        <f>'DSGE HVD wFG'!R8-'DSGE HVD woFG'!R8</f>
        <v>0</v>
      </c>
      <c r="S8">
        <f>'DSGE HVD wFG'!S8-'DSGE HVD woFG'!S8</f>
        <v>0.23139304374772102</v>
      </c>
      <c r="T8">
        <f>'DSGE HVD wFG'!T8-'DSGE HVD woFG'!T8</f>
        <v>-3.5566428544349001E-3</v>
      </c>
      <c r="U8">
        <f>'DSGE HVD wFG'!U8-'DSGE HVD woFG'!U8</f>
        <v>0.80095629991274109</v>
      </c>
      <c r="Y8" s="1">
        <f t="shared" si="1"/>
        <v>39721</v>
      </c>
      <c r="Z8" s="7">
        <f t="shared" si="1"/>
        <v>7.450645101135106E-4</v>
      </c>
      <c r="AA8" s="7">
        <f t="shared" si="1"/>
        <v>9.4824501777080017E-2</v>
      </c>
      <c r="AB8" s="7">
        <f t="shared" si="1"/>
        <v>0.40165261753518111</v>
      </c>
      <c r="AC8" s="7">
        <f t="shared" si="2"/>
        <v>0.27334145457312203</v>
      </c>
      <c r="AD8" s="7">
        <f t="shared" si="3"/>
        <v>1.6355230461791506E-2</v>
      </c>
      <c r="AE8" s="7">
        <f t="shared" si="4"/>
        <v>1.7594073909884107E-2</v>
      </c>
      <c r="AF8" s="7">
        <f t="shared" si="5"/>
        <v>-8.4016270350322985E-17</v>
      </c>
      <c r="AG8" s="7">
        <f t="shared" si="5"/>
        <v>3.6526932487900002E-16</v>
      </c>
      <c r="AH8" s="7">
        <f t="shared" si="6"/>
        <v>-3.5566428544258769E-3</v>
      </c>
      <c r="AI8" s="7">
        <f t="shared" si="0"/>
        <v>0.80095629991274664</v>
      </c>
      <c r="AJ8" s="8">
        <f t="shared" si="7"/>
        <v>0.29093552848300613</v>
      </c>
      <c r="AK8" s="8">
        <f t="shared" si="8"/>
        <v>0.51283234977405268</v>
      </c>
      <c r="AL8" s="8">
        <f t="shared" si="9"/>
        <v>7.450645101135106E-4</v>
      </c>
      <c r="AM8" s="8">
        <f t="shared" si="10"/>
        <v>-3.5566428544258769E-3</v>
      </c>
      <c r="AN8" s="8">
        <f t="shared" si="11"/>
        <v>0.80095629991274631</v>
      </c>
      <c r="AO8" s="9">
        <f t="shared" si="13"/>
        <v>0.37996285046420153</v>
      </c>
      <c r="AP8" s="9">
        <f t="shared" si="12"/>
        <v>0.61643228481864865</v>
      </c>
      <c r="AQ8" s="9">
        <f t="shared" si="12"/>
        <v>3.2462926301984312E-3</v>
      </c>
      <c r="AR8" s="9">
        <f t="shared" si="12"/>
        <v>3.585720869524629E-4</v>
      </c>
      <c r="AS8" s="9">
        <f t="shared" si="12"/>
        <v>1</v>
      </c>
      <c r="AT8" s="7"/>
      <c r="AU8" s="7"/>
      <c r="AV8" s="7"/>
      <c r="AW8" s="7"/>
      <c r="AX8" s="7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2" x14ac:dyDescent="0.25">
      <c r="A9" s="1">
        <v>39813</v>
      </c>
      <c r="B9">
        <f>'DSGE HVD wFG'!B9-'DSGE HVD woFG'!B9</f>
        <v>1.0145206968830978E-3</v>
      </c>
      <c r="C9">
        <f>'DSGE HVD wFG'!C9-'DSGE HVD woFG'!C9</f>
        <v>0.12791594094409997</v>
      </c>
      <c r="D9">
        <f>'DSGE HVD wFG'!D9-'DSGE HVD woFG'!D9</f>
        <v>0.43125937016614802</v>
      </c>
      <c r="E9">
        <f>'DSGE HVD wFG'!E9-'DSGE HVD woFG'!E9</f>
        <v>1.9763204854061994E-2</v>
      </c>
      <c r="F9">
        <f>'DSGE HVD wFG'!F9-'DSGE HVD woFG'!F9</f>
        <v>4.7829544005455027E-2</v>
      </c>
      <c r="G9">
        <f>'DSGE HVD wFG'!G9-'DSGE HVD woFG'!G9</f>
        <v>-1.8972141394482004E-16</v>
      </c>
      <c r="H9">
        <f>'DSGE HVD wFG'!H9-'DSGE HVD woFG'!H9</f>
        <v>4.888382281490501E-16</v>
      </c>
      <c r="I9">
        <f>'DSGE HVD wFG'!I9-'DSGE HVD woFG'!I9</f>
        <v>-5.8268672821900116E-17</v>
      </c>
      <c r="J9">
        <f>'DSGE HVD wFG'!J9-'DSGE HVD woFG'!J9</f>
        <v>-1.1793308767326912E-15</v>
      </c>
      <c r="K9">
        <f>'DSGE HVD wFG'!K9-'DSGE HVD woFG'!K9</f>
        <v>-1.134334814224071E-15</v>
      </c>
      <c r="L9">
        <f>'DSGE HVD wFG'!L9-'DSGE HVD woFG'!L9</f>
        <v>-4.6991909271969798E-16</v>
      </c>
      <c r="M9">
        <f>'DSGE HVD wFG'!M9-'DSGE HVD woFG'!M9</f>
        <v>3.8718366604727406E-17</v>
      </c>
      <c r="N9">
        <f>'DSGE HVD wFG'!N9-'DSGE HVD woFG'!N9</f>
        <v>-5.4876504164459093E-17</v>
      </c>
      <c r="O9">
        <f>'DSGE HVD wFG'!O9-'DSGE HVD woFG'!O9</f>
        <v>-1.070866358353206E-16</v>
      </c>
      <c r="P9">
        <f>'DSGE HVD wFG'!P9-'DSGE HVD woFG'!P9</f>
        <v>1.0792632538064003E-14</v>
      </c>
      <c r="Q9">
        <f>'DSGE HVD wFG'!Q9-'DSGE HVD woFG'!Q9</f>
        <v>2.5482966136963128E-2</v>
      </c>
      <c r="R9">
        <f>'DSGE HVD wFG'!R9-'DSGE HVD woFG'!R9</f>
        <v>0</v>
      </c>
      <c r="S9">
        <f>'DSGE HVD wFG'!S9-'DSGE HVD woFG'!S9</f>
        <v>0.2673677635983801</v>
      </c>
      <c r="T9">
        <f>'DSGE HVD wFG'!T9-'DSGE HVD woFG'!T9</f>
        <v>-3.5191274304011005E-3</v>
      </c>
      <c r="U9">
        <f>'DSGE HVD wFG'!U9-'DSGE HVD woFG'!U9</f>
        <v>0.91711418297159986</v>
      </c>
      <c r="Y9" s="1">
        <f t="shared" si="1"/>
        <v>39813</v>
      </c>
      <c r="Z9" s="7">
        <f t="shared" si="1"/>
        <v>1.0145206968830978E-3</v>
      </c>
      <c r="AA9" s="7">
        <f t="shared" si="1"/>
        <v>0.12791594094409997</v>
      </c>
      <c r="AB9" s="7">
        <f t="shared" si="1"/>
        <v>0.43125937016614802</v>
      </c>
      <c r="AC9" s="7">
        <f t="shared" si="2"/>
        <v>0.31519730760383513</v>
      </c>
      <c r="AD9" s="7">
        <f t="shared" si="3"/>
        <v>1.9763204854061994E-2</v>
      </c>
      <c r="AE9" s="7">
        <f t="shared" si="4"/>
        <v>2.5482966136963128E-2</v>
      </c>
      <c r="AF9" s="7">
        <f t="shared" si="5"/>
        <v>-1.8972141394482004E-16</v>
      </c>
      <c r="AG9" s="7">
        <f t="shared" si="5"/>
        <v>4.888382281490501E-16</v>
      </c>
      <c r="AH9" s="7">
        <f t="shared" si="6"/>
        <v>-3.5191274303932735E-3</v>
      </c>
      <c r="AI9" s="7">
        <f t="shared" si="0"/>
        <v>0.9171141829715983</v>
      </c>
      <c r="AJ9" s="8">
        <f t="shared" si="7"/>
        <v>0.34068027374079823</v>
      </c>
      <c r="AK9" s="8">
        <f t="shared" si="8"/>
        <v>0.57893851596431001</v>
      </c>
      <c r="AL9" s="8">
        <f t="shared" si="9"/>
        <v>1.0145206968830978E-3</v>
      </c>
      <c r="AM9" s="8">
        <f t="shared" si="10"/>
        <v>-3.5191274303932735E-3</v>
      </c>
      <c r="AN9" s="8">
        <f t="shared" si="11"/>
        <v>0.91711418297159808</v>
      </c>
      <c r="AO9" s="9">
        <f t="shared" si="13"/>
        <v>0.42825113498830519</v>
      </c>
      <c r="AP9" s="9">
        <f t="shared" si="12"/>
        <v>0.5691061549112808</v>
      </c>
      <c r="AQ9" s="9">
        <f t="shared" si="12"/>
        <v>2.3197408533441187E-3</v>
      </c>
      <c r="AR9" s="9">
        <f t="shared" si="12"/>
        <v>3.2296924706863079E-4</v>
      </c>
      <c r="AS9" s="9">
        <f t="shared" si="12"/>
        <v>1</v>
      </c>
      <c r="AT9" s="7"/>
      <c r="AU9" s="7"/>
      <c r="AV9" s="7"/>
      <c r="AW9" s="7"/>
      <c r="AX9" s="7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pans="1:62" x14ac:dyDescent="0.25">
      <c r="A10" s="1">
        <v>39903</v>
      </c>
      <c r="B10">
        <f>'DSGE HVD wFG'!B10-'DSGE HVD woFG'!B10</f>
        <v>1.6912713240288049E-3</v>
      </c>
      <c r="C10">
        <f>'DSGE HVD wFG'!C10-'DSGE HVD woFG'!C10</f>
        <v>0.13477207192494012</v>
      </c>
      <c r="D10">
        <f>'DSGE HVD wFG'!D10-'DSGE HVD woFG'!D10</f>
        <v>0.41208043957724</v>
      </c>
      <c r="E10">
        <f>'DSGE HVD wFG'!E10-'DSGE HVD woFG'!E10</f>
        <v>2.1487743028390016E-2</v>
      </c>
      <c r="F10">
        <f>'DSGE HVD wFG'!F10-'DSGE HVD woFG'!F10</f>
        <v>5.3260979929330987E-2</v>
      </c>
      <c r="G10">
        <f>'DSGE HVD wFG'!G10-'DSGE HVD woFG'!G10</f>
        <v>-2.0170816705153988E-16</v>
      </c>
      <c r="H10">
        <f>'DSGE HVD wFG'!H10-'DSGE HVD woFG'!H10</f>
        <v>6.3286300430408983E-16</v>
      </c>
      <c r="I10">
        <f>'DSGE HVD wFG'!I10-'DSGE HVD woFG'!I10</f>
        <v>5.3524895308190005E-16</v>
      </c>
      <c r="J10">
        <f>'DSGE HVD wFG'!J10-'DSGE HVD woFG'!J10</f>
        <v>-1.4525545889021301E-15</v>
      </c>
      <c r="K10">
        <f>'DSGE HVD wFG'!K10-'DSGE HVD woFG'!K10</f>
        <v>-1.8401859262971969E-15</v>
      </c>
      <c r="L10">
        <f>'DSGE HVD wFG'!L10-'DSGE HVD woFG'!L10</f>
        <v>-8.7806014098553289E-16</v>
      </c>
      <c r="M10">
        <f>'DSGE HVD wFG'!M10-'DSGE HVD woFG'!M10</f>
        <v>1.8408302543723298E-16</v>
      </c>
      <c r="N10">
        <f>'DSGE HVD wFG'!N10-'DSGE HVD woFG'!N10</f>
        <v>-2.98974052020892E-16</v>
      </c>
      <c r="O10">
        <f>'DSGE HVD wFG'!O10-'DSGE HVD woFG'!O10</f>
        <v>-1.0404302649403518E-15</v>
      </c>
      <c r="P10">
        <f>'DSGE HVD wFG'!P10-'DSGE HVD woFG'!P10</f>
        <v>1.1825795270792994E-14</v>
      </c>
      <c r="Q10">
        <f>'DSGE HVD wFG'!Q10-'DSGE HVD woFG'!Q10</f>
        <v>1.622603370099189E-2</v>
      </c>
      <c r="R10">
        <f>'DSGE HVD wFG'!R10-'DSGE HVD woFG'!R10</f>
        <v>0</v>
      </c>
      <c r="S10">
        <f>'DSGE HVD wFG'!S10-'DSGE HVD woFG'!S10</f>
        <v>0.26647859500003701</v>
      </c>
      <c r="T10">
        <f>'DSGE HVD wFG'!T10-'DSGE HVD woFG'!T10</f>
        <v>-3.4820276663454983E-3</v>
      </c>
      <c r="U10">
        <f>'DSGE HVD wFG'!U10-'DSGE HVD woFG'!U10</f>
        <v>0.90251510681861991</v>
      </c>
      <c r="Y10" s="1">
        <f t="shared" si="1"/>
        <v>39903</v>
      </c>
      <c r="Z10" s="7">
        <f t="shared" si="1"/>
        <v>1.6912713240288049E-3</v>
      </c>
      <c r="AA10" s="7">
        <f t="shared" si="1"/>
        <v>0.13477207192494012</v>
      </c>
      <c r="AB10" s="7">
        <f t="shared" si="1"/>
        <v>0.41208043957724</v>
      </c>
      <c r="AC10" s="7">
        <f t="shared" si="2"/>
        <v>0.319739574929368</v>
      </c>
      <c r="AD10" s="7">
        <f t="shared" si="3"/>
        <v>2.1487743028390016E-2</v>
      </c>
      <c r="AE10" s="7">
        <f t="shared" si="4"/>
        <v>1.622603370099189E-2</v>
      </c>
      <c r="AF10" s="7">
        <f t="shared" si="5"/>
        <v>-2.0170816705153988E-16</v>
      </c>
      <c r="AG10" s="7">
        <f t="shared" si="5"/>
        <v>6.3286300430408983E-16</v>
      </c>
      <c r="AH10" s="7">
        <f t="shared" si="6"/>
        <v>-3.4820276663384635E-3</v>
      </c>
      <c r="AI10" s="7">
        <f t="shared" si="0"/>
        <v>0.9025151068186209</v>
      </c>
      <c r="AJ10" s="8">
        <f t="shared" si="7"/>
        <v>0.3359656086303599</v>
      </c>
      <c r="AK10" s="8">
        <f t="shared" si="8"/>
        <v>0.56834025453057002</v>
      </c>
      <c r="AL10" s="8">
        <f t="shared" si="9"/>
        <v>1.6912713240288049E-3</v>
      </c>
      <c r="AM10" s="8">
        <f t="shared" si="10"/>
        <v>-3.4820276663384635E-3</v>
      </c>
      <c r="AN10" s="8">
        <f t="shared" si="11"/>
        <v>0.90251510681862035</v>
      </c>
      <c r="AO10" s="9">
        <f t="shared" si="13"/>
        <v>0.3229427027460704</v>
      </c>
      <c r="AP10" s="9">
        <f t="shared" si="12"/>
        <v>0.72595425372709566</v>
      </c>
      <c r="AQ10" s="9">
        <f t="shared" si="12"/>
        <v>-4.6355715940811254E-2</v>
      </c>
      <c r="AR10" s="9">
        <f t="shared" si="12"/>
        <v>-2.5412405323499061E-3</v>
      </c>
      <c r="AS10" s="9">
        <f t="shared" si="12"/>
        <v>1</v>
      </c>
      <c r="AT10" s="7"/>
      <c r="AU10" s="7"/>
      <c r="AV10" s="7"/>
      <c r="AW10" s="7"/>
      <c r="AX10" s="7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</row>
    <row r="11" spans="1:62" x14ac:dyDescent="0.25">
      <c r="A11" s="1">
        <v>39994</v>
      </c>
      <c r="B11">
        <f>'DSGE HVD wFG'!B11-'DSGE HVD woFG'!B11</f>
        <v>2.3846668124513012E-3</v>
      </c>
      <c r="C11">
        <f>'DSGE HVD wFG'!C11-'DSGE HVD woFG'!C11</f>
        <v>0.11730057966025498</v>
      </c>
      <c r="D11">
        <f>'DSGE HVD wFG'!D11-'DSGE HVD woFG'!D11</f>
        <v>0.34499253614928599</v>
      </c>
      <c r="E11">
        <f>'DSGE HVD wFG'!E11-'DSGE HVD woFG'!E11</f>
        <v>2.230474438645999E-2</v>
      </c>
      <c r="F11">
        <f>'DSGE HVD wFG'!F11-'DSGE HVD woFG'!F11</f>
        <v>5.8037300867683203E-2</v>
      </c>
      <c r="G11">
        <f>'DSGE HVD wFG'!G11-'DSGE HVD woFG'!G11</f>
        <v>-1.6854844180479999E-16</v>
      </c>
      <c r="H11">
        <f>'DSGE HVD wFG'!H11-'DSGE HVD woFG'!H11</f>
        <v>7.8529000818682035E-16</v>
      </c>
      <c r="I11">
        <f>'DSGE HVD wFG'!I11-'DSGE HVD woFG'!I11</f>
        <v>1.1252812344458305E-15</v>
      </c>
      <c r="J11">
        <f>'DSGE HVD wFG'!J11-'DSGE HVD woFG'!J11</f>
        <v>-1.2933177783969401E-15</v>
      </c>
      <c r="K11">
        <f>'DSGE HVD wFG'!K11-'DSGE HVD woFG'!K11</f>
        <v>-1.4802745553398879E-15</v>
      </c>
      <c r="L11">
        <f>'DSGE HVD wFG'!L11-'DSGE HVD woFG'!L11</f>
        <v>-1.3307507544828899E-15</v>
      </c>
      <c r="M11">
        <f>'DSGE HVD wFG'!M11-'DSGE HVD woFG'!M11</f>
        <v>-3.2850520071089794E-16</v>
      </c>
      <c r="N11">
        <f>'DSGE HVD wFG'!N11-'DSGE HVD woFG'!N11</f>
        <v>1.0922571164353202E-16</v>
      </c>
      <c r="O11">
        <f>'DSGE HVD wFG'!O11-'DSGE HVD woFG'!O11</f>
        <v>-2.3541843424998729E-15</v>
      </c>
      <c r="P11">
        <f>'DSGE HVD wFG'!P11-'DSGE HVD woFG'!P11</f>
        <v>1.1754846108534007E-14</v>
      </c>
      <c r="Q11">
        <f>'DSGE HVD wFG'!Q11-'DSGE HVD woFG'!Q11</f>
        <v>-4.3017648691300037E-3</v>
      </c>
      <c r="R11">
        <f>'DSGE HVD wFG'!R11-'DSGE HVD woFG'!R11</f>
        <v>0</v>
      </c>
      <c r="S11">
        <f>'DSGE HVD wFG'!S11-'DSGE HVD woFG'!S11</f>
        <v>0.22838354806614902</v>
      </c>
      <c r="T11">
        <f>'DSGE HVD wFG'!T11-'DSGE HVD woFG'!T11</f>
        <v>-3.4453386394822025E-3</v>
      </c>
      <c r="U11">
        <f>'DSGE HVD wFG'!U11-'DSGE HVD woFG'!U11</f>
        <v>0.76565627243368994</v>
      </c>
      <c r="Y11" s="1">
        <f t="shared" si="1"/>
        <v>39994</v>
      </c>
      <c r="Z11" s="7">
        <f t="shared" si="1"/>
        <v>2.3846668124513012E-3</v>
      </c>
      <c r="AA11" s="7">
        <f t="shared" si="1"/>
        <v>0.11730057966025498</v>
      </c>
      <c r="AB11" s="7">
        <f t="shared" si="1"/>
        <v>0.34499253614928599</v>
      </c>
      <c r="AC11" s="7">
        <f t="shared" si="2"/>
        <v>0.28642084893383224</v>
      </c>
      <c r="AD11" s="7">
        <f t="shared" si="3"/>
        <v>2.230474438645999E-2</v>
      </c>
      <c r="AE11" s="7">
        <f t="shared" si="4"/>
        <v>-4.3017648691300037E-3</v>
      </c>
      <c r="AF11" s="7">
        <f t="shared" si="5"/>
        <v>-1.6854844180479999E-16</v>
      </c>
      <c r="AG11" s="7">
        <f t="shared" si="5"/>
        <v>7.8529000818682035E-16</v>
      </c>
      <c r="AH11" s="7">
        <f t="shared" si="6"/>
        <v>-3.4453386394759995E-3</v>
      </c>
      <c r="AI11" s="7">
        <f t="shared" si="0"/>
        <v>0.76565627243367906</v>
      </c>
      <c r="AJ11" s="8">
        <f t="shared" si="7"/>
        <v>0.28211908406470221</v>
      </c>
      <c r="AK11" s="8">
        <f t="shared" si="8"/>
        <v>0.48459786019600093</v>
      </c>
      <c r="AL11" s="8">
        <f t="shared" si="9"/>
        <v>2.3846668124513012E-3</v>
      </c>
      <c r="AM11" s="8">
        <f t="shared" si="10"/>
        <v>-3.4453386394759995E-3</v>
      </c>
      <c r="AN11" s="8">
        <f t="shared" si="11"/>
        <v>0.7656562724336784</v>
      </c>
      <c r="AO11" s="9">
        <f t="shared" si="13"/>
        <v>0.39344573412194878</v>
      </c>
      <c r="AP11" s="9">
        <f t="shared" si="12"/>
        <v>0.61188884671505683</v>
      </c>
      <c r="AQ11" s="9">
        <f t="shared" si="12"/>
        <v>-5.0665014906687523E-3</v>
      </c>
      <c r="AR11" s="9">
        <f t="shared" si="12"/>
        <v>-2.6807934633776723E-4</v>
      </c>
      <c r="AS11" s="9">
        <f t="shared" si="12"/>
        <v>1</v>
      </c>
      <c r="AT11" s="7"/>
      <c r="AU11" s="7"/>
      <c r="AV11" s="7"/>
      <c r="AW11" s="7"/>
      <c r="AX11" s="7"/>
      <c r="AZ11" s="3"/>
      <c r="BA11" s="3"/>
      <c r="BB11" s="3"/>
      <c r="BC11" s="3"/>
      <c r="BD11" s="3"/>
      <c r="BE11" s="3"/>
      <c r="BF11" s="3"/>
      <c r="BG11" s="3"/>
      <c r="BH11" s="3"/>
      <c r="BI11" s="3"/>
    </row>
    <row r="12" spans="1:62" x14ac:dyDescent="0.25">
      <c r="A12" s="1">
        <v>40086</v>
      </c>
      <c r="B12">
        <f>'DSGE HVD wFG'!B12-'DSGE HVD woFG'!B12</f>
        <v>3.3919901648839998E-3</v>
      </c>
      <c r="C12">
        <f>'DSGE HVD wFG'!C12-'DSGE HVD woFG'!C12</f>
        <v>2.0836234060188974E-2</v>
      </c>
      <c r="D12">
        <f>'DSGE HVD wFG'!D12-'DSGE HVD woFG'!D12</f>
        <v>0.16076017436518711</v>
      </c>
      <c r="E12">
        <f>'DSGE HVD wFG'!E12-'DSGE HVD woFG'!E12</f>
        <v>2.0600002611519799E-2</v>
      </c>
      <c r="F12">
        <f>'DSGE HVD wFG'!F12-'DSGE HVD woFG'!F12</f>
        <v>5.9679867849215099E-2</v>
      </c>
      <c r="G12">
        <f>'DSGE HVD wFG'!G12-'DSGE HVD woFG'!G12</f>
        <v>-6.8470309771003195E-19</v>
      </c>
      <c r="H12">
        <f>'DSGE HVD wFG'!H12-'DSGE HVD woFG'!H12</f>
        <v>9.3333980221033021E-16</v>
      </c>
      <c r="I12">
        <f>'DSGE HVD wFG'!I12-'DSGE HVD woFG'!I12</f>
        <v>1.5271983693978092E-15</v>
      </c>
      <c r="J12">
        <f>'DSGE HVD wFG'!J12-'DSGE HVD woFG'!J12</f>
        <v>-7.0938110095299397E-18</v>
      </c>
      <c r="K12">
        <f>'DSGE HVD wFG'!K12-'DSGE HVD woFG'!K12</f>
        <v>-3.6487144135214002E-16</v>
      </c>
      <c r="L12">
        <f>'DSGE HVD wFG'!L12-'DSGE HVD woFG'!L12</f>
        <v>-2.5168951946659803E-16</v>
      </c>
      <c r="M12">
        <f>'DSGE HVD wFG'!M12-'DSGE HVD woFG'!M12</f>
        <v>3.1045461538257299E-16</v>
      </c>
      <c r="N12">
        <f>'DSGE HVD wFG'!N12-'DSGE HVD woFG'!N12</f>
        <v>6.9267741099350998E-16</v>
      </c>
      <c r="O12">
        <f>'DSGE HVD wFG'!O12-'DSGE HVD woFG'!O12</f>
        <v>-3.646057243394659E-15</v>
      </c>
      <c r="P12">
        <f>'DSGE HVD wFG'!P12-'DSGE HVD woFG'!P12</f>
        <v>8.6610580010849771E-15</v>
      </c>
      <c r="Q12">
        <f>'DSGE HVD wFG'!Q12-'DSGE HVD woFG'!Q12</f>
        <v>-5.2404241172085003E-2</v>
      </c>
      <c r="R12">
        <f>'DSGE HVD wFG'!R12-'DSGE HVD woFG'!R12</f>
        <v>0</v>
      </c>
      <c r="S12">
        <f>'DSGE HVD wFG'!S12-'DSGE HVD woFG'!S12</f>
        <v>9.0298888216512996E-2</v>
      </c>
      <c r="T12">
        <f>'DSGE HVD wFG'!T12-'DSGE HVD woFG'!T12</f>
        <v>-3.4090554902803001E-3</v>
      </c>
      <c r="U12">
        <f>'DSGE HVD wFG'!U12-'DSGE HVD woFG'!U12</f>
        <v>0.29975386060516018</v>
      </c>
      <c r="Y12" s="1">
        <f t="shared" si="1"/>
        <v>40086</v>
      </c>
      <c r="Z12" s="7">
        <f t="shared" si="1"/>
        <v>3.3919901648839998E-3</v>
      </c>
      <c r="AA12" s="7">
        <f t="shared" si="1"/>
        <v>2.0836234060188974E-2</v>
      </c>
      <c r="AB12" s="7">
        <f t="shared" si="1"/>
        <v>0.16076017436518711</v>
      </c>
      <c r="AC12" s="7">
        <f t="shared" si="2"/>
        <v>0.14997875606572808</v>
      </c>
      <c r="AD12" s="7">
        <f t="shared" si="3"/>
        <v>2.0600002611519799E-2</v>
      </c>
      <c r="AE12" s="7">
        <f t="shared" si="4"/>
        <v>-5.2404241172085003E-2</v>
      </c>
      <c r="AF12" s="7">
        <f t="shared" si="5"/>
        <v>-6.8470309771003195E-19</v>
      </c>
      <c r="AG12" s="7">
        <f t="shared" si="5"/>
        <v>9.3333980221033021E-16</v>
      </c>
      <c r="AH12" s="7">
        <f t="shared" si="6"/>
        <v>-3.4090554902733781E-3</v>
      </c>
      <c r="AI12" s="7">
        <f t="shared" si="0"/>
        <v>0.29975386060515047</v>
      </c>
      <c r="AJ12" s="8">
        <f t="shared" si="7"/>
        <v>9.7574514893643077E-2</v>
      </c>
      <c r="AK12" s="8">
        <f t="shared" si="8"/>
        <v>0.2021964110368959</v>
      </c>
      <c r="AL12" s="8">
        <f t="shared" si="9"/>
        <v>3.3919901648839998E-3</v>
      </c>
      <c r="AM12" s="8">
        <f t="shared" si="10"/>
        <v>-3.4090554902733781E-3</v>
      </c>
      <c r="AN12" s="8">
        <f t="shared" si="11"/>
        <v>0.29975386060514964</v>
      </c>
      <c r="AO12" s="9">
        <f t="shared" si="13"/>
        <v>0.39610133900525746</v>
      </c>
      <c r="AP12" s="9">
        <f t="shared" si="12"/>
        <v>0.60613862901194937</v>
      </c>
      <c r="AQ12" s="9">
        <f t="shared" si="12"/>
        <v>-2.1620908732351337E-3</v>
      </c>
      <c r="AR12" s="9">
        <f t="shared" si="12"/>
        <v>-7.7877143971461353E-5</v>
      </c>
      <c r="AS12" s="9">
        <f t="shared" si="12"/>
        <v>1</v>
      </c>
      <c r="AT12" s="7"/>
      <c r="AU12" s="7"/>
      <c r="AV12" s="7"/>
      <c r="AW12" s="7"/>
      <c r="AX12" s="7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</row>
    <row r="13" spans="1:62" x14ac:dyDescent="0.25">
      <c r="A13" s="1">
        <v>40178</v>
      </c>
      <c r="B13">
        <f>'DSGE HVD wFG'!B13-'DSGE HVD woFG'!B13</f>
        <v>3.0605585823369995E-3</v>
      </c>
      <c r="C13">
        <f>'DSGE HVD wFG'!C13-'DSGE HVD woFG'!C13</f>
        <v>2.0674156135626065E-2</v>
      </c>
      <c r="D13">
        <f>'DSGE HVD wFG'!D13-'DSGE HVD woFG'!D13</f>
        <v>9.3349237984381592E-2</v>
      </c>
      <c r="E13">
        <f>'DSGE HVD wFG'!E13-'DSGE HVD woFG'!E13</f>
        <v>2.2051160350909024E-2</v>
      </c>
      <c r="F13">
        <f>'DSGE HVD wFG'!F13-'DSGE HVD woFG'!F13</f>
        <v>6.2434689055938589E-2</v>
      </c>
      <c r="G13">
        <f>'DSGE HVD wFG'!G13-'DSGE HVD woFG'!G13</f>
        <v>-6.7266173326403984E-17</v>
      </c>
      <c r="H13">
        <f>'DSGE HVD wFG'!H13-'DSGE HVD woFG'!H13</f>
        <v>1.0545544385194301E-15</v>
      </c>
      <c r="I13">
        <f>'DSGE HVD wFG'!I13-'DSGE HVD woFG'!I13</f>
        <v>5.8801007909656005E-16</v>
      </c>
      <c r="J13">
        <f>'DSGE HVD wFG'!J13-'DSGE HVD woFG'!J13</f>
        <v>8.509776560474999E-17</v>
      </c>
      <c r="K13">
        <f>'DSGE HVD wFG'!K13-'DSGE HVD woFG'!K13</f>
        <v>-1.9270207754530091E-17</v>
      </c>
      <c r="L13">
        <f>'DSGE HVD wFG'!L13-'DSGE HVD woFG'!L13</f>
        <v>-4.9522823476555003E-16</v>
      </c>
      <c r="M13">
        <f>'DSGE HVD wFG'!M13-'DSGE HVD woFG'!M13</f>
        <v>5.6063962230381901E-16</v>
      </c>
      <c r="N13">
        <f>'DSGE HVD wFG'!N13-'DSGE HVD woFG'!N13</f>
        <v>5.7071493628443107E-16</v>
      </c>
      <c r="O13">
        <f>'DSGE HVD wFG'!O13-'DSGE HVD woFG'!O13</f>
        <v>-4.6340399911747802E-15</v>
      </c>
      <c r="P13">
        <f>'DSGE HVD wFG'!P13-'DSGE HVD woFG'!P13</f>
        <v>8.1148742668680054E-15</v>
      </c>
      <c r="Q13">
        <f>'DSGE HVD wFG'!Q13-'DSGE HVD woFG'!Q13</f>
        <v>-5.9807128159212991E-2</v>
      </c>
      <c r="R13">
        <f>'DSGE HVD wFG'!R13-'DSGE HVD woFG'!R13</f>
        <v>0</v>
      </c>
      <c r="S13">
        <f>'DSGE HVD wFG'!S13-'DSGE HVD woFG'!S13</f>
        <v>5.8147828689220027E-2</v>
      </c>
      <c r="T13">
        <f>'DSGE HVD wFG'!T13-'DSGE HVD woFG'!T13</f>
        <v>-3.3731734215913974E-3</v>
      </c>
      <c r="U13">
        <f>'DSGE HVD wFG'!U13-'DSGE HVD woFG'!U13</f>
        <v>0.19653732921760991</v>
      </c>
      <c r="Y13" s="1">
        <f t="shared" si="1"/>
        <v>40178</v>
      </c>
      <c r="Z13" s="7">
        <f t="shared" si="1"/>
        <v>3.0605585823369995E-3</v>
      </c>
      <c r="AA13" s="7">
        <f t="shared" si="1"/>
        <v>2.0674156135626065E-2</v>
      </c>
      <c r="AB13" s="7">
        <f t="shared" si="1"/>
        <v>9.3349237984381592E-2</v>
      </c>
      <c r="AC13" s="7">
        <f t="shared" si="2"/>
        <v>0.12058251774515862</v>
      </c>
      <c r="AD13" s="7">
        <f t="shared" si="3"/>
        <v>2.2051160350909024E-2</v>
      </c>
      <c r="AE13" s="7">
        <f t="shared" si="4"/>
        <v>-5.9807128159212991E-2</v>
      </c>
      <c r="AF13" s="7">
        <f t="shared" si="5"/>
        <v>-6.7266173326403984E-17</v>
      </c>
      <c r="AG13" s="7">
        <f t="shared" si="5"/>
        <v>1.0545544385194301E-15</v>
      </c>
      <c r="AH13" s="7">
        <f t="shared" si="6"/>
        <v>-3.373173421586626E-3</v>
      </c>
      <c r="AI13" s="7">
        <f t="shared" si="0"/>
        <v>0.19653732921761369</v>
      </c>
      <c r="AJ13" s="8">
        <f t="shared" si="7"/>
        <v>6.0775389585945624E-2</v>
      </c>
      <c r="AK13" s="8">
        <f t="shared" si="8"/>
        <v>0.13607455447091668</v>
      </c>
      <c r="AL13" s="8">
        <f t="shared" si="9"/>
        <v>3.0605585823369995E-3</v>
      </c>
      <c r="AM13" s="8">
        <f t="shared" si="10"/>
        <v>-3.373173421586626E-3</v>
      </c>
      <c r="AN13" s="8">
        <f t="shared" si="11"/>
        <v>0.19653732921761266</v>
      </c>
      <c r="AO13" s="9">
        <f t="shared" si="13"/>
        <v>0.35652356083863534</v>
      </c>
      <c r="AP13" s="9">
        <f t="shared" si="12"/>
        <v>0.64061304596371271</v>
      </c>
      <c r="AQ13" s="9">
        <f t="shared" si="12"/>
        <v>3.2110319741573828E-3</v>
      </c>
      <c r="AR13" s="9">
        <f t="shared" si="12"/>
        <v>-3.4763877650595767E-4</v>
      </c>
      <c r="AS13" s="9">
        <f t="shared" si="12"/>
        <v>1</v>
      </c>
      <c r="AT13" s="7"/>
      <c r="AU13" s="7"/>
      <c r="AV13" s="7"/>
      <c r="AW13" s="7"/>
      <c r="AX13" s="7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</row>
    <row r="14" spans="1:62" x14ac:dyDescent="0.25">
      <c r="A14" s="1">
        <v>40268</v>
      </c>
      <c r="B14">
        <f>'DSGE HVD wFG'!B14-'DSGE HVD woFG'!B14</f>
        <v>3.1556837105867035E-3</v>
      </c>
      <c r="C14">
        <f>'DSGE HVD wFG'!C14-'DSGE HVD woFG'!C14</f>
        <v>-1.7786707565269011E-2</v>
      </c>
      <c r="D14">
        <f>'DSGE HVD wFG'!D14-'DSGE HVD woFG'!D14</f>
        <v>-2.8112408684081797E-2</v>
      </c>
      <c r="E14">
        <f>'DSGE HVD wFG'!E14-'DSGE HVD woFG'!E14</f>
        <v>2.20429970424738E-2</v>
      </c>
      <c r="F14">
        <f>'DSGE HVD wFG'!F14-'DSGE HVD woFG'!F14</f>
        <v>6.2874442182829601E-2</v>
      </c>
      <c r="G14">
        <f>'DSGE HVD wFG'!G14-'DSGE HVD woFG'!G14</f>
        <v>-3.6265365422242968E-17</v>
      </c>
      <c r="H14">
        <f>'DSGE HVD wFG'!H14-'DSGE HVD woFG'!H14</f>
        <v>1.1686100044485403E-15</v>
      </c>
      <c r="I14">
        <f>'DSGE HVD wFG'!I14-'DSGE HVD woFG'!I14</f>
        <v>1.2896790243308979E-16</v>
      </c>
      <c r="J14">
        <f>'DSGE HVD wFG'!J14-'DSGE HVD woFG'!J14</f>
        <v>4.8293626136814E-16</v>
      </c>
      <c r="K14">
        <f>'DSGE HVD wFG'!K14-'DSGE HVD woFG'!K14</f>
        <v>7.3388970412397996E-16</v>
      </c>
      <c r="L14">
        <f>'DSGE HVD wFG'!L14-'DSGE HVD woFG'!L14</f>
        <v>3.1804674912470095E-16</v>
      </c>
      <c r="M14">
        <f>'DSGE HVD wFG'!M14-'DSGE HVD woFG'!M14</f>
        <v>8.4896287705714292E-16</v>
      </c>
      <c r="N14">
        <f>'DSGE HVD wFG'!N14-'DSGE HVD woFG'!N14</f>
        <v>1.35867923942653E-15</v>
      </c>
      <c r="O14">
        <f>'DSGE HVD wFG'!O14-'DSGE HVD woFG'!O14</f>
        <v>-5.7675462343179409E-15</v>
      </c>
      <c r="P14">
        <f>'DSGE HVD wFG'!P14-'DSGE HVD woFG'!P14</f>
        <v>6.204843340815004E-15</v>
      </c>
      <c r="Q14">
        <f>'DSGE HVD wFG'!Q14-'DSGE HVD woFG'!Q14</f>
        <v>-8.1807234313012983E-2</v>
      </c>
      <c r="R14">
        <f>'DSGE HVD wFG'!R14-'DSGE HVD woFG'!R14</f>
        <v>0</v>
      </c>
      <c r="S14">
        <f>'DSGE HVD wFG'!S14-'DSGE HVD woFG'!S14</f>
        <v>-2.0728073621970045E-2</v>
      </c>
      <c r="T14">
        <f>'DSGE HVD wFG'!T14-'DSGE HVD woFG'!T14</f>
        <v>-3.3376876977892003E-3</v>
      </c>
      <c r="U14">
        <f>'DSGE HVD wFG'!U14-'DSGE HVD woFG'!U14</f>
        <v>-6.3698988946229829E-2</v>
      </c>
      <c r="Y14" s="1">
        <f t="shared" si="1"/>
        <v>40268</v>
      </c>
      <c r="Z14" s="7">
        <f t="shared" si="1"/>
        <v>3.1556837105867035E-3</v>
      </c>
      <c r="AA14" s="7">
        <f t="shared" si="1"/>
        <v>-1.7786707565269011E-2</v>
      </c>
      <c r="AB14" s="7">
        <f t="shared" si="1"/>
        <v>-2.8112408684081797E-2</v>
      </c>
      <c r="AC14" s="7">
        <f t="shared" si="2"/>
        <v>4.2146368560859557E-2</v>
      </c>
      <c r="AD14" s="7">
        <f t="shared" si="3"/>
        <v>2.20429970424738E-2</v>
      </c>
      <c r="AE14" s="7">
        <f t="shared" si="4"/>
        <v>-8.1807234313012983E-2</v>
      </c>
      <c r="AF14" s="7">
        <f t="shared" si="5"/>
        <v>-3.6265365422242968E-17</v>
      </c>
      <c r="AG14" s="7">
        <f t="shared" si="5"/>
        <v>1.1686100044485403E-15</v>
      </c>
      <c r="AH14" s="7">
        <f t="shared" si="6"/>
        <v>-3.3376876977848917E-3</v>
      </c>
      <c r="AI14" s="7">
        <f t="shared" si="0"/>
        <v>-6.3698988946227497E-2</v>
      </c>
      <c r="AJ14" s="8">
        <f t="shared" si="7"/>
        <v>-3.9660865752153426E-2</v>
      </c>
      <c r="AK14" s="8">
        <f t="shared" si="8"/>
        <v>-2.3856119206877007E-2</v>
      </c>
      <c r="AL14" s="8">
        <f t="shared" si="9"/>
        <v>3.1556837105867035E-3</v>
      </c>
      <c r="AM14" s="8">
        <f t="shared" si="10"/>
        <v>-3.3376876977848917E-3</v>
      </c>
      <c r="AN14" s="8">
        <f t="shared" si="11"/>
        <v>-6.3698988946228621E-2</v>
      </c>
      <c r="AO14" s="9">
        <f t="shared" si="13"/>
        <v>0.38594250044248524</v>
      </c>
      <c r="AP14" s="9">
        <f t="shared" si="12"/>
        <v>0.6145593928096672</v>
      </c>
      <c r="AQ14" s="9">
        <f t="shared" si="12"/>
        <v>-3.655336385055005E-4</v>
      </c>
      <c r="AR14" s="9">
        <f t="shared" si="12"/>
        <v>-1.3635961364698125E-4</v>
      </c>
      <c r="AS14" s="9">
        <f t="shared" si="12"/>
        <v>1</v>
      </c>
      <c r="AT14" s="7"/>
      <c r="AU14" s="7"/>
      <c r="AV14" s="7"/>
      <c r="AW14" s="7"/>
      <c r="AX14" s="7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</row>
    <row r="15" spans="1:62" x14ac:dyDescent="0.25">
      <c r="A15" s="1">
        <v>40359</v>
      </c>
      <c r="B15">
        <f>'DSGE HVD wFG'!B15-'DSGE HVD woFG'!B15</f>
        <v>3.3234448824920985E-3</v>
      </c>
      <c r="C15">
        <f>'DSGE HVD wFG'!C15-'DSGE HVD woFG'!C15</f>
        <v>-9.2071390803747044E-2</v>
      </c>
      <c r="D15">
        <f>'DSGE HVD wFG'!D15-'DSGE HVD woFG'!D15</f>
        <v>-0.1973027123995546</v>
      </c>
      <c r="E15">
        <f>'DSGE HVD wFG'!E15-'DSGE HVD woFG'!E15</f>
        <v>2.2179647005738719E-2</v>
      </c>
      <c r="F15">
        <f>'DSGE HVD wFG'!F15-'DSGE HVD woFG'!F15</f>
        <v>6.0599821657816598E-2</v>
      </c>
      <c r="G15">
        <f>'DSGE HVD wFG'!G15-'DSGE HVD woFG'!G15</f>
        <v>5.977903368359599E-17</v>
      </c>
      <c r="H15">
        <f>'DSGE HVD wFG'!H15-'DSGE HVD woFG'!H15</f>
        <v>1.2612594564005007E-15</v>
      </c>
      <c r="I15">
        <f>'DSGE HVD wFG'!I15-'DSGE HVD woFG'!I15</f>
        <v>-4.5230958813093028E-16</v>
      </c>
      <c r="J15">
        <f>'DSGE HVD wFG'!J15-'DSGE HVD woFG'!J15</f>
        <v>1.2877743950775129E-15</v>
      </c>
      <c r="K15">
        <f>'DSGE HVD wFG'!K15-'DSGE HVD woFG'!K15</f>
        <v>1.4631032337008592E-15</v>
      </c>
      <c r="L15">
        <f>'DSGE HVD wFG'!L15-'DSGE HVD woFG'!L15</f>
        <v>1.370192813441681E-15</v>
      </c>
      <c r="M15">
        <f>'DSGE HVD wFG'!M15-'DSGE HVD woFG'!M15</f>
        <v>2.5394134760380299E-15</v>
      </c>
      <c r="N15">
        <f>'DSGE HVD wFG'!N15-'DSGE HVD woFG'!N15</f>
        <v>3.8538507983444901E-15</v>
      </c>
      <c r="O15">
        <f>'DSGE HVD wFG'!O15-'DSGE HVD woFG'!O15</f>
        <v>-5.4285207635308396E-15</v>
      </c>
      <c r="P15">
        <f>'DSGE HVD wFG'!P15-'DSGE HVD woFG'!P15</f>
        <v>2.7857421760310197E-15</v>
      </c>
      <c r="Q15">
        <f>'DSGE HVD wFG'!Q15-'DSGE HVD woFG'!Q15</f>
        <v>-0.11303409123055101</v>
      </c>
      <c r="R15">
        <f>'DSGE HVD wFG'!R15-'DSGE HVD woFG'!R15</f>
        <v>0</v>
      </c>
      <c r="S15">
        <f>'DSGE HVD wFG'!S15-'DSGE HVD woFG'!S15</f>
        <v>-0.14096515279908495</v>
      </c>
      <c r="T15">
        <f>'DSGE HVD wFG'!T15-'DSGE HVD woFG'!T15</f>
        <v>-3.3025936439219014E-3</v>
      </c>
      <c r="U15">
        <f>'DSGE HVD wFG'!U15-'DSGE HVD woFG'!U15</f>
        <v>-0.46057302733079997</v>
      </c>
      <c r="Y15" s="1">
        <f t="shared" si="1"/>
        <v>40359</v>
      </c>
      <c r="Z15" s="7">
        <f t="shared" si="1"/>
        <v>3.3234448824920985E-3</v>
      </c>
      <c r="AA15" s="7">
        <f t="shared" si="1"/>
        <v>-9.2071390803747044E-2</v>
      </c>
      <c r="AB15" s="7">
        <f t="shared" si="1"/>
        <v>-0.1973027123995546</v>
      </c>
      <c r="AC15" s="7">
        <f t="shared" si="2"/>
        <v>-8.0365331141268342E-2</v>
      </c>
      <c r="AD15" s="7">
        <f t="shared" si="3"/>
        <v>2.2179647005738719E-2</v>
      </c>
      <c r="AE15" s="7">
        <f t="shared" si="4"/>
        <v>-0.11303409123055101</v>
      </c>
      <c r="AF15" s="7">
        <f t="shared" si="5"/>
        <v>5.977903368359599E-17</v>
      </c>
      <c r="AG15" s="7">
        <f t="shared" si="5"/>
        <v>1.2612594564005007E-15</v>
      </c>
      <c r="AH15" s="7">
        <f t="shared" si="6"/>
        <v>-3.3025936439144829E-3</v>
      </c>
      <c r="AI15" s="7">
        <f t="shared" si="0"/>
        <v>-0.46057302733080335</v>
      </c>
      <c r="AJ15" s="8">
        <f t="shared" si="7"/>
        <v>-0.19339942237181934</v>
      </c>
      <c r="AK15" s="8">
        <f t="shared" si="8"/>
        <v>-0.26719445619756294</v>
      </c>
      <c r="AL15" s="8">
        <f t="shared" si="9"/>
        <v>3.3234448824920985E-3</v>
      </c>
      <c r="AM15" s="8">
        <f t="shared" si="10"/>
        <v>-3.3025936439144829E-3</v>
      </c>
      <c r="AN15" s="8">
        <f t="shared" si="11"/>
        <v>-0.46057302733080469</v>
      </c>
      <c r="AO15" s="9">
        <f t="shared" si="13"/>
        <v>0.38737367968295083</v>
      </c>
      <c r="AP15" s="9">
        <f t="shared" si="12"/>
        <v>0.6131374528330521</v>
      </c>
      <c r="AQ15" s="9">
        <f t="shared" si="12"/>
        <v>-4.2270633924114815E-4</v>
      </c>
      <c r="AR15" s="9">
        <f t="shared" si="12"/>
        <v>-8.8426176761913182E-5</v>
      </c>
      <c r="AS15" s="9">
        <f t="shared" si="12"/>
        <v>1</v>
      </c>
      <c r="AT15" s="7"/>
      <c r="AU15" s="7"/>
      <c r="AV15" s="7"/>
      <c r="AW15" s="7"/>
      <c r="AX15" s="7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</row>
    <row r="16" spans="1:62" x14ac:dyDescent="0.25">
      <c r="A16" s="1">
        <v>40451</v>
      </c>
      <c r="B16">
        <f>'DSGE HVD wFG'!B16-'DSGE HVD woFG'!B16</f>
        <v>2.4937356889799984E-3</v>
      </c>
      <c r="C16">
        <f>'DSGE HVD wFG'!C16-'DSGE HVD woFG'!C16</f>
        <v>-5.5166141187743989E-2</v>
      </c>
      <c r="D16">
        <f>'DSGE HVD wFG'!D16-'DSGE HVD woFG'!D16</f>
        <v>-0.21509557169776028</v>
      </c>
      <c r="E16">
        <f>'DSGE HVD wFG'!E16-'DSGE HVD woFG'!E16</f>
        <v>2.3776439820914298E-2</v>
      </c>
      <c r="F16">
        <f>'DSGE HVD wFG'!F16-'DSGE HVD woFG'!F16</f>
        <v>5.9569715908338795E-2</v>
      </c>
      <c r="G16">
        <f>'DSGE HVD wFG'!G16-'DSGE HVD woFG'!G16</f>
        <v>-3.3371465804681038E-17</v>
      </c>
      <c r="H16">
        <f>'DSGE HVD wFG'!H16-'DSGE HVD woFG'!H16</f>
        <v>1.328044816081459E-15</v>
      </c>
      <c r="I16">
        <f>'DSGE HVD wFG'!I16-'DSGE HVD woFG'!I16</f>
        <v>-1.296358238306E-15</v>
      </c>
      <c r="J16">
        <f>'DSGE HVD wFG'!J16-'DSGE HVD woFG'!J16</f>
        <v>1.00721456282336E-15</v>
      </c>
      <c r="K16">
        <f>'DSGE HVD wFG'!K16-'DSGE HVD woFG'!K16</f>
        <v>1.1109110373400915E-15</v>
      </c>
      <c r="L16">
        <f>'DSGE HVD wFG'!L16-'DSGE HVD woFG'!L16</f>
        <v>1.524082603900079E-15</v>
      </c>
      <c r="M16">
        <f>'DSGE HVD wFG'!M16-'DSGE HVD woFG'!M16</f>
        <v>2.5345216382347799E-15</v>
      </c>
      <c r="N16">
        <f>'DSGE HVD wFG'!N16-'DSGE HVD woFG'!N16</f>
        <v>4.3973807448873202E-15</v>
      </c>
      <c r="O16">
        <f>'DSGE HVD wFG'!O16-'DSGE HVD woFG'!O16</f>
        <v>-5.2884621808336102E-15</v>
      </c>
      <c r="P16">
        <f>'DSGE HVD wFG'!P16-'DSGE HVD woFG'!P16</f>
        <v>2.8656119291620066E-15</v>
      </c>
      <c r="Q16">
        <f>'DSGE HVD wFG'!Q16-'DSGE HVD woFG'!Q16</f>
        <v>-0.10347510576354399</v>
      </c>
      <c r="R16">
        <f>'DSGE HVD wFG'!R16-'DSGE HVD woFG'!R16</f>
        <v>0</v>
      </c>
      <c r="S16">
        <f>'DSGE HVD wFG'!S16-'DSGE HVD woFG'!S16</f>
        <v>-0.127676221728376</v>
      </c>
      <c r="T16">
        <f>'DSGE HVD wFG'!T16-'DSGE HVD woFG'!T16</f>
        <v>-3.2678866448750989E-3</v>
      </c>
      <c r="U16">
        <f>'DSGE HVD wFG'!U16-'DSGE HVD woFG'!U16</f>
        <v>-0.41884103560405994</v>
      </c>
      <c r="Y16" s="1">
        <f t="shared" si="1"/>
        <v>40451</v>
      </c>
      <c r="Z16" s="7">
        <f t="shared" si="1"/>
        <v>2.4937356889799984E-3</v>
      </c>
      <c r="AA16" s="7">
        <f t="shared" si="1"/>
        <v>-5.5166141187743989E-2</v>
      </c>
      <c r="AB16" s="7">
        <f t="shared" si="1"/>
        <v>-0.21509557169776028</v>
      </c>
      <c r="AC16" s="7">
        <f t="shared" si="2"/>
        <v>-6.8106505820037216E-2</v>
      </c>
      <c r="AD16" s="7">
        <f t="shared" si="3"/>
        <v>2.3776439820914298E-2</v>
      </c>
      <c r="AE16" s="7">
        <f t="shared" si="4"/>
        <v>-0.10347510576354399</v>
      </c>
      <c r="AF16" s="7">
        <f t="shared" si="5"/>
        <v>-3.3371465804681038E-17</v>
      </c>
      <c r="AG16" s="7">
        <f t="shared" si="5"/>
        <v>1.328044816081459E-15</v>
      </c>
      <c r="AH16" s="7">
        <f t="shared" si="6"/>
        <v>-3.2678866448682437E-3</v>
      </c>
      <c r="AI16" s="7">
        <f t="shared" si="0"/>
        <v>-0.41884103560405817</v>
      </c>
      <c r="AJ16" s="8">
        <f t="shared" si="7"/>
        <v>-0.17158161158358121</v>
      </c>
      <c r="AK16" s="8">
        <f t="shared" si="8"/>
        <v>-0.24648527306458998</v>
      </c>
      <c r="AL16" s="8">
        <f t="shared" si="9"/>
        <v>2.4937356889799984E-3</v>
      </c>
      <c r="AM16" s="8">
        <f t="shared" si="10"/>
        <v>-3.2678866448682437E-3</v>
      </c>
      <c r="AN16" s="8">
        <f t="shared" si="11"/>
        <v>-0.4188410356040595</v>
      </c>
      <c r="AO16" s="9">
        <f t="shared" si="13"/>
        <v>0.52280780009489802</v>
      </c>
      <c r="AP16" s="9">
        <f t="shared" si="12"/>
        <v>0.49624238566358342</v>
      </c>
      <c r="AQ16" s="9">
        <f t="shared" si="12"/>
        <v>-1.9881849851426006E-2</v>
      </c>
      <c r="AR16" s="9">
        <f t="shared" si="12"/>
        <v>8.31664092945657E-4</v>
      </c>
      <c r="AS16" s="9">
        <f t="shared" si="12"/>
        <v>1</v>
      </c>
      <c r="AT16" s="7"/>
      <c r="AU16" s="7"/>
      <c r="AV16" s="7"/>
      <c r="AW16" s="7"/>
      <c r="AX16" s="7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</row>
    <row r="17" spans="1:87" x14ac:dyDescent="0.25">
      <c r="A17" s="1">
        <v>40543</v>
      </c>
      <c r="B17">
        <f>'DSGE HVD wFG'!B17-'DSGE HVD woFG'!B17</f>
        <v>2.016190079708699E-3</v>
      </c>
      <c r="C17">
        <f>'DSGE HVD wFG'!C17-'DSGE HVD woFG'!C17</f>
        <v>-3.5198951311341986E-2</v>
      </c>
      <c r="D17">
        <f>'DSGE HVD wFG'!D17-'DSGE HVD woFG'!D17</f>
        <v>-0.2443591922973406</v>
      </c>
      <c r="E17">
        <f>'DSGE HVD wFG'!E17-'DSGE HVD woFG'!E17</f>
        <v>2.3869763746429001E-2</v>
      </c>
      <c r="F17">
        <f>'DSGE HVD wFG'!F17-'DSGE HVD woFG'!F17</f>
        <v>5.7766451511680847E-2</v>
      </c>
      <c r="G17">
        <f>'DSGE HVD wFG'!G17-'DSGE HVD woFG'!G17</f>
        <v>-6.4400819220991804E-17</v>
      </c>
      <c r="H17">
        <f>'DSGE HVD wFG'!H17-'DSGE HVD woFG'!H17</f>
        <v>1.3912117237301703E-15</v>
      </c>
      <c r="I17">
        <f>'DSGE HVD wFG'!I17-'DSGE HVD woFG'!I17</f>
        <v>-1.6852409951136799E-15</v>
      </c>
      <c r="J17">
        <f>'DSGE HVD wFG'!J17-'DSGE HVD woFG'!J17</f>
        <v>9.8817990968123495E-16</v>
      </c>
      <c r="K17">
        <f>'DSGE HVD wFG'!K17-'DSGE HVD woFG'!K17</f>
        <v>1.3050885457465365E-15</v>
      </c>
      <c r="L17">
        <f>'DSGE HVD wFG'!L17-'DSGE HVD woFG'!L17</f>
        <v>1.7714607950809541E-15</v>
      </c>
      <c r="M17">
        <f>'DSGE HVD wFG'!M17-'DSGE HVD woFG'!M17</f>
        <v>2.5937308348884798E-15</v>
      </c>
      <c r="N17">
        <f>'DSGE HVD wFG'!N17-'DSGE HVD woFG'!N17</f>
        <v>3.5410757987599402E-15</v>
      </c>
      <c r="O17">
        <f>'DSGE HVD wFG'!O17-'DSGE HVD woFG'!O17</f>
        <v>-5.2226480043057505E-15</v>
      </c>
      <c r="P17">
        <f>'DSGE HVD wFG'!P17-'DSGE HVD woFG'!P17</f>
        <v>2.8074355432319889E-15</v>
      </c>
      <c r="Q17">
        <f>'DSGE HVD wFG'!Q17-'DSGE HVD woFG'!Q17</f>
        <v>-0.10064192841451899</v>
      </c>
      <c r="R17">
        <f>'DSGE HVD wFG'!R17-'DSGE HVD woFG'!R17</f>
        <v>0</v>
      </c>
      <c r="S17">
        <f>'DSGE HVD wFG'!S17-'DSGE HVD woFG'!S17</f>
        <v>-0.12623770128923606</v>
      </c>
      <c r="T17">
        <f>'DSGE HVD wFG'!T17-'DSGE HVD woFG'!T17</f>
        <v>-3.2335621445473001E-3</v>
      </c>
      <c r="U17">
        <f>'DSGE HVD wFG'!U17-'DSGE HVD woFG'!U17</f>
        <v>-0.42601893011915992</v>
      </c>
      <c r="Y17" s="1">
        <f t="shared" si="1"/>
        <v>40543</v>
      </c>
      <c r="Z17" s="7">
        <f t="shared" si="1"/>
        <v>2.016190079708699E-3</v>
      </c>
      <c r="AA17" s="7">
        <f t="shared" si="1"/>
        <v>-3.5198951311341986E-2</v>
      </c>
      <c r="AB17" s="7">
        <f t="shared" si="1"/>
        <v>-0.2443591922973406</v>
      </c>
      <c r="AC17" s="7">
        <f t="shared" si="2"/>
        <v>-6.8471249777555213E-2</v>
      </c>
      <c r="AD17" s="7">
        <f t="shared" si="3"/>
        <v>2.3869763746429001E-2</v>
      </c>
      <c r="AE17" s="7">
        <f t="shared" si="4"/>
        <v>-0.10064192841451899</v>
      </c>
      <c r="AF17" s="7">
        <f t="shared" si="5"/>
        <v>-6.4400819220991804E-17</v>
      </c>
      <c r="AG17" s="7">
        <f t="shared" si="5"/>
        <v>1.3912117237301703E-15</v>
      </c>
      <c r="AH17" s="7">
        <f t="shared" si="6"/>
        <v>-3.2335621445412008E-3</v>
      </c>
      <c r="AI17" s="7">
        <f t="shared" si="0"/>
        <v>-0.42601893011915892</v>
      </c>
      <c r="AJ17" s="8">
        <f t="shared" si="7"/>
        <v>-0.16911317819207422</v>
      </c>
      <c r="AK17" s="8">
        <f t="shared" si="8"/>
        <v>-0.25568837986225357</v>
      </c>
      <c r="AL17" s="8">
        <f t="shared" si="9"/>
        <v>2.016190079708699E-3</v>
      </c>
      <c r="AM17" s="8">
        <f t="shared" si="10"/>
        <v>-3.2335621445412008E-3</v>
      </c>
      <c r="AN17" s="8">
        <f t="shared" si="11"/>
        <v>-0.42601893011916026</v>
      </c>
      <c r="AO17" s="9">
        <f t="shared" si="13"/>
        <v>-0.34389379591939234</v>
      </c>
      <c r="AP17" s="9">
        <f t="shared" si="12"/>
        <v>1.2821457292667395</v>
      </c>
      <c r="AQ17" s="9">
        <f t="shared" si="12"/>
        <v>6.6530040009176145E-2</v>
      </c>
      <c r="AR17" s="9">
        <f t="shared" si="12"/>
        <v>-4.7819733565088573E-3</v>
      </c>
      <c r="AS17" s="9">
        <f t="shared" si="12"/>
        <v>1</v>
      </c>
      <c r="AT17" s="7"/>
      <c r="AU17" s="7"/>
      <c r="AV17" s="7"/>
      <c r="AW17" s="7"/>
      <c r="AX17" s="7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</row>
    <row r="18" spans="1:87" x14ac:dyDescent="0.25">
      <c r="A18" s="1">
        <v>40633</v>
      </c>
      <c r="B18">
        <f>'DSGE HVD wFG'!B18-'DSGE HVD woFG'!B18</f>
        <v>1.6038386653264014E-3</v>
      </c>
      <c r="C18">
        <f>'DSGE HVD wFG'!C18-'DSGE HVD woFG'!C18</f>
        <v>-9.8250787731550826E-3</v>
      </c>
      <c r="D18">
        <f>'DSGE HVD wFG'!D18-'DSGE HVD woFG'!D18</f>
        <v>-0.26275562158347832</v>
      </c>
      <c r="E18">
        <f>'DSGE HVD wFG'!E18-'DSGE HVD woFG'!E18</f>
        <v>2.4118078359593297E-2</v>
      </c>
      <c r="F18">
        <f>'DSGE HVD wFG'!F18-'DSGE HVD woFG'!F18</f>
        <v>5.5745810926111417E-2</v>
      </c>
      <c r="G18">
        <f>'DSGE HVD wFG'!G18-'DSGE HVD woFG'!G18</f>
        <v>-8.2548124466452002E-17</v>
      </c>
      <c r="H18">
        <f>'DSGE HVD wFG'!H18-'DSGE HVD woFG'!H18</f>
        <v>1.4481315709024599E-15</v>
      </c>
      <c r="I18">
        <f>'DSGE HVD wFG'!I18-'DSGE HVD woFG'!I18</f>
        <v>-1.6061804498546803E-15</v>
      </c>
      <c r="J18">
        <f>'DSGE HVD wFG'!J18-'DSGE HVD woFG'!J18</f>
        <v>1.0688351367697151E-15</v>
      </c>
      <c r="K18">
        <f>'DSGE HVD wFG'!K18-'DSGE HVD woFG'!K18</f>
        <v>1.4174845797277161E-15</v>
      </c>
      <c r="L18">
        <f>'DSGE HVD wFG'!L18-'DSGE HVD woFG'!L18</f>
        <v>1.3925430348485379E-15</v>
      </c>
      <c r="M18">
        <f>'DSGE HVD wFG'!M18-'DSGE HVD woFG'!M18</f>
        <v>1.8097516786986149E-15</v>
      </c>
      <c r="N18">
        <f>'DSGE HVD wFG'!N18-'DSGE HVD woFG'!N18</f>
        <v>3.5659947526085699E-15</v>
      </c>
      <c r="O18">
        <f>'DSGE HVD wFG'!O18-'DSGE HVD woFG'!O18</f>
        <v>-6.4625987271543996E-15</v>
      </c>
      <c r="P18">
        <f>'DSGE HVD wFG'!P18-'DSGE HVD woFG'!P18</f>
        <v>3.0423352013219933E-15</v>
      </c>
      <c r="Q18">
        <f>'DSGE HVD wFG'!Q18-'DSGE HVD woFG'!Q18</f>
        <v>-9.6297135913213011E-2</v>
      </c>
      <c r="R18">
        <f>'DSGE HVD wFG'!R18-'DSGE HVD woFG'!R18</f>
        <v>0</v>
      </c>
      <c r="S18">
        <f>'DSGE HVD wFG'!S18-'DSGE HVD woFG'!S18</f>
        <v>-0.11675505510305295</v>
      </c>
      <c r="T18">
        <f>'DSGE HVD wFG'!T18-'DSGE HVD woFG'!T18</f>
        <v>-3.1996156450360032E-3</v>
      </c>
      <c r="U18">
        <f>'DSGE HVD wFG'!U18-'DSGE HVD woFG'!U18</f>
        <v>-0.40736477906690016</v>
      </c>
      <c r="Y18" s="1">
        <f t="shared" si="1"/>
        <v>40633</v>
      </c>
      <c r="Z18" s="7">
        <f t="shared" si="1"/>
        <v>1.6038386653264014E-3</v>
      </c>
      <c r="AA18" s="7">
        <f t="shared" si="1"/>
        <v>-9.8250787731550826E-3</v>
      </c>
      <c r="AB18" s="7">
        <f t="shared" si="1"/>
        <v>-0.26275562158347832</v>
      </c>
      <c r="AC18" s="7">
        <f t="shared" si="2"/>
        <v>-6.1009244176941535E-2</v>
      </c>
      <c r="AD18" s="7">
        <f t="shared" si="3"/>
        <v>2.4118078359593297E-2</v>
      </c>
      <c r="AE18" s="7">
        <f t="shared" si="4"/>
        <v>-9.6297135913213011E-2</v>
      </c>
      <c r="AF18" s="7">
        <f t="shared" si="5"/>
        <v>-8.2548124466452002E-17</v>
      </c>
      <c r="AG18" s="7">
        <f t="shared" si="5"/>
        <v>1.4481315709024599E-15</v>
      </c>
      <c r="AH18" s="7">
        <f t="shared" si="6"/>
        <v>-3.1996156450317752E-3</v>
      </c>
      <c r="AI18" s="7">
        <f t="shared" si="0"/>
        <v>-0.40736477906689866</v>
      </c>
      <c r="AJ18" s="8">
        <f t="shared" si="7"/>
        <v>-0.15730638009015455</v>
      </c>
      <c r="AK18" s="8">
        <f t="shared" si="8"/>
        <v>-0.24846262199704011</v>
      </c>
      <c r="AL18" s="8">
        <f t="shared" si="9"/>
        <v>1.6038386653264014E-3</v>
      </c>
      <c r="AM18" s="8">
        <f t="shared" si="10"/>
        <v>-3.1996156450317752E-3</v>
      </c>
      <c r="AN18" s="8">
        <f t="shared" si="11"/>
        <v>-0.40736477906690005</v>
      </c>
      <c r="AO18" s="9">
        <f t="shared" si="13"/>
        <v>0.63293140860940544</v>
      </c>
      <c r="AP18" s="9">
        <f t="shared" si="12"/>
        <v>0.38735388412853861</v>
      </c>
      <c r="AQ18" s="9">
        <f t="shared" si="12"/>
        <v>-2.2105075338303085E-2</v>
      </c>
      <c r="AR18" s="9">
        <f t="shared" si="12"/>
        <v>1.8197826003618896E-3</v>
      </c>
      <c r="AS18" s="9">
        <f t="shared" si="12"/>
        <v>1</v>
      </c>
      <c r="AT18" s="7"/>
      <c r="AU18" s="7"/>
      <c r="AV18" s="7"/>
      <c r="AW18" s="7"/>
      <c r="AX18" s="7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</row>
    <row r="19" spans="1:87" x14ac:dyDescent="0.25">
      <c r="A19" s="1">
        <v>40724</v>
      </c>
      <c r="B19">
        <f>'DSGE HVD wFG'!B19-'DSGE HVD woFG'!B19</f>
        <v>1.4420022660140003E-3</v>
      </c>
      <c r="C19">
        <f>'DSGE HVD wFG'!C19-'DSGE HVD woFG'!C19</f>
        <v>-6.4845995889787011E-2</v>
      </c>
      <c r="D19">
        <f>'DSGE HVD wFG'!D19-'DSGE HVD woFG'!D19</f>
        <v>-0.37950314831230597</v>
      </c>
      <c r="E19">
        <f>'DSGE HVD wFG'!E19-'DSGE HVD woFG'!E19</f>
        <v>2.348822859449402E-2</v>
      </c>
      <c r="F19">
        <f>'DSGE HVD wFG'!F19-'DSGE HVD woFG'!F19</f>
        <v>5.1722592200180835E-2</v>
      </c>
      <c r="G19">
        <f>'DSGE HVD wFG'!G19-'DSGE HVD woFG'!G19</f>
        <v>-9.5607411695199827E-18</v>
      </c>
      <c r="H19">
        <f>'DSGE HVD wFG'!H19-'DSGE HVD woFG'!H19</f>
        <v>1.4913710870620211E-15</v>
      </c>
      <c r="I19">
        <f>'DSGE HVD wFG'!I19-'DSGE HVD woFG'!I19</f>
        <v>-2.3204443126711299E-15</v>
      </c>
      <c r="J19">
        <f>'DSGE HVD wFG'!J19-'DSGE HVD woFG'!J19</f>
        <v>1.7862684783130829E-15</v>
      </c>
      <c r="K19">
        <f>'DSGE HVD wFG'!K19-'DSGE HVD woFG'!K19</f>
        <v>2.0905222330795519E-15</v>
      </c>
      <c r="L19">
        <f>'DSGE HVD wFG'!L19-'DSGE HVD woFG'!L19</f>
        <v>2.2167088464727669E-15</v>
      </c>
      <c r="M19">
        <f>'DSGE HVD wFG'!M19-'DSGE HVD woFG'!M19</f>
        <v>2.64651185780074E-15</v>
      </c>
      <c r="N19">
        <f>'DSGE HVD wFG'!N19-'DSGE HVD woFG'!N19</f>
        <v>4.8153276357832597E-15</v>
      </c>
      <c r="O19">
        <f>'DSGE HVD wFG'!O19-'DSGE HVD woFG'!O19</f>
        <v>-6.9522592390319005E-15</v>
      </c>
      <c r="P19">
        <f>'DSGE HVD wFG'!P19-'DSGE HVD woFG'!P19</f>
        <v>8.3565940562198287E-16</v>
      </c>
      <c r="Q19">
        <f>'DSGE HVD wFG'!Q19-'DSGE HVD woFG'!Q19</f>
        <v>-0.11277258291795</v>
      </c>
      <c r="R19">
        <f>'DSGE HVD wFG'!R19-'DSGE HVD woFG'!R19</f>
        <v>0</v>
      </c>
      <c r="S19">
        <f>'DSGE HVD wFG'!S19-'DSGE HVD woFG'!S19</f>
        <v>-0.19472572150292899</v>
      </c>
      <c r="T19">
        <f>'DSGE HVD wFG'!T19-'DSGE HVD woFG'!T19</f>
        <v>-3.1660427058364977E-3</v>
      </c>
      <c r="U19">
        <f>'DSGE HVD wFG'!U19-'DSGE HVD woFG'!U19</f>
        <v>-0.6783606682681198</v>
      </c>
      <c r="Y19" s="1">
        <f t="shared" si="1"/>
        <v>40724</v>
      </c>
      <c r="Z19" s="7">
        <f t="shared" si="1"/>
        <v>1.4420022660140003E-3</v>
      </c>
      <c r="AA19" s="7">
        <f t="shared" si="1"/>
        <v>-6.4845995889787011E-2</v>
      </c>
      <c r="AB19" s="7">
        <f t="shared" si="1"/>
        <v>-0.37950314831230597</v>
      </c>
      <c r="AC19" s="7">
        <f t="shared" si="2"/>
        <v>-0.14300312930274817</v>
      </c>
      <c r="AD19" s="7">
        <f t="shared" si="3"/>
        <v>2.348822859449402E-2</v>
      </c>
      <c r="AE19" s="7">
        <f t="shared" si="4"/>
        <v>-0.11277258291795</v>
      </c>
      <c r="AF19" s="7">
        <f t="shared" si="5"/>
        <v>-9.5607411695199827E-18</v>
      </c>
      <c r="AG19" s="7">
        <f t="shared" si="5"/>
        <v>1.4913710870620211E-15</v>
      </c>
      <c r="AH19" s="7">
        <f t="shared" si="6"/>
        <v>-3.1660427058313803E-3</v>
      </c>
      <c r="AI19" s="7">
        <f t="shared" si="0"/>
        <v>-0.67836066826811303</v>
      </c>
      <c r="AJ19" s="8">
        <f t="shared" si="7"/>
        <v>-0.25577571222069817</v>
      </c>
      <c r="AK19" s="8">
        <f t="shared" si="8"/>
        <v>-0.42086091560759897</v>
      </c>
      <c r="AL19" s="8">
        <f t="shared" si="9"/>
        <v>1.4420022660140003E-3</v>
      </c>
      <c r="AM19" s="8">
        <f t="shared" si="10"/>
        <v>-3.1660427058313803E-3</v>
      </c>
      <c r="AN19" s="8">
        <f t="shared" si="11"/>
        <v>-0.67836066826811459</v>
      </c>
      <c r="AO19" s="9">
        <f t="shared" si="13"/>
        <v>0.36336098093882935</v>
      </c>
      <c r="AP19" s="9">
        <f t="shared" si="13"/>
        <v>0.63616571498083896</v>
      </c>
      <c r="AQ19" s="9">
        <f t="shared" si="13"/>
        <v>5.9719134408063861E-4</v>
      </c>
      <c r="AR19" s="9">
        <f t="shared" si="13"/>
        <v>-1.2388726374910802E-4</v>
      </c>
      <c r="AS19" s="9">
        <f t="shared" si="13"/>
        <v>1</v>
      </c>
      <c r="AT19" s="7"/>
      <c r="AU19" s="7"/>
      <c r="AV19" s="7"/>
      <c r="AW19" s="7"/>
      <c r="AX19" s="7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</row>
    <row r="20" spans="1:87" x14ac:dyDescent="0.25">
      <c r="A20" s="1">
        <v>40816</v>
      </c>
      <c r="B20">
        <f>'DSGE HVD wFG'!B20-'DSGE HVD woFG'!B20</f>
        <v>7.694520545393907E-4</v>
      </c>
      <c r="C20">
        <f>'DSGE HVD wFG'!C20-'DSGE HVD woFG'!C20</f>
        <v>-8.0962693182250023E-2</v>
      </c>
      <c r="D20">
        <f>'DSGE HVD wFG'!D20-'DSGE HVD woFG'!D20</f>
        <v>-0.44229867558583974</v>
      </c>
      <c r="E20">
        <f>'DSGE HVD wFG'!E20-'DSGE HVD woFG'!E20</f>
        <v>2.4167853330263604E-2</v>
      </c>
      <c r="F20">
        <f>'DSGE HVD wFG'!F20-'DSGE HVD woFG'!F20</f>
        <v>4.7533223198397458E-2</v>
      </c>
      <c r="G20">
        <f>'DSGE HVD wFG'!G20-'DSGE HVD woFG'!G20</f>
        <v>-1.4831659582479967E-17</v>
      </c>
      <c r="H20">
        <f>'DSGE HVD wFG'!H20-'DSGE HVD woFG'!H20</f>
        <v>1.5105839125804006E-15</v>
      </c>
      <c r="I20">
        <f>'DSGE HVD wFG'!I20-'DSGE HVD woFG'!I20</f>
        <v>-3.3514856390140197E-15</v>
      </c>
      <c r="J20">
        <f>'DSGE HVD wFG'!J20-'DSGE HVD woFG'!J20</f>
        <v>2.0127300449166532E-15</v>
      </c>
      <c r="K20">
        <f>'DSGE HVD wFG'!K20-'DSGE HVD woFG'!K20</f>
        <v>2.3193335253289297E-15</v>
      </c>
      <c r="L20">
        <f>'DSGE HVD wFG'!L20-'DSGE HVD woFG'!L20</f>
        <v>2.8383489775644301E-15</v>
      </c>
      <c r="M20">
        <f>'DSGE HVD wFG'!M20-'DSGE HVD woFG'!M20</f>
        <v>3.2930886444011499E-15</v>
      </c>
      <c r="N20">
        <f>'DSGE HVD wFG'!N20-'DSGE HVD woFG'!N20</f>
        <v>5.4180814885171699E-15</v>
      </c>
      <c r="O20">
        <f>'DSGE HVD wFG'!O20-'DSGE HVD woFG'!O20</f>
        <v>-5.6453168930452403E-15</v>
      </c>
      <c r="P20">
        <f>'DSGE HVD wFG'!P20-'DSGE HVD woFG'!P20</f>
        <v>-3.0385315090600184E-16</v>
      </c>
      <c r="Q20">
        <f>'DSGE HVD wFG'!Q20-'DSGE HVD woFG'!Q20</f>
        <v>-0.1128383270694886</v>
      </c>
      <c r="R20">
        <f>'DSGE HVD wFG'!R20-'DSGE HVD woFG'!R20</f>
        <v>0</v>
      </c>
      <c r="S20">
        <f>'DSGE HVD wFG'!S20-'DSGE HVD woFG'!S20</f>
        <v>-0.22472716420306216</v>
      </c>
      <c r="T20">
        <f>'DSGE HVD wFG'!T20-'DSGE HVD woFG'!T20</f>
        <v>-3.1328389430504006E-3</v>
      </c>
      <c r="U20">
        <f>'DSGE HVD wFG'!U20-'DSGE HVD woFG'!U20</f>
        <v>-0.79148917040049005</v>
      </c>
      <c r="Y20" s="1">
        <f t="shared" si="1"/>
        <v>40816</v>
      </c>
      <c r="Z20" s="7">
        <f t="shared" si="1"/>
        <v>7.694520545393907E-4</v>
      </c>
      <c r="AA20" s="7">
        <f t="shared" si="1"/>
        <v>-8.0962693182250023E-2</v>
      </c>
      <c r="AB20" s="7">
        <f t="shared" si="1"/>
        <v>-0.44229867558583974</v>
      </c>
      <c r="AC20" s="7">
        <f t="shared" si="2"/>
        <v>-0.17719394100466471</v>
      </c>
      <c r="AD20" s="7">
        <f t="shared" si="3"/>
        <v>2.4167853330263604E-2</v>
      </c>
      <c r="AE20" s="7">
        <f t="shared" si="4"/>
        <v>-0.1128383270694886</v>
      </c>
      <c r="AF20" s="7">
        <f t="shared" si="5"/>
        <v>-1.4831659582479967E-17</v>
      </c>
      <c r="AG20" s="7">
        <f t="shared" si="5"/>
        <v>1.5105839125804006E-15</v>
      </c>
      <c r="AH20" s="7">
        <f t="shared" si="6"/>
        <v>-3.1328389430438199E-3</v>
      </c>
      <c r="AI20" s="7">
        <f t="shared" si="0"/>
        <v>-0.79148917040048228</v>
      </c>
      <c r="AJ20" s="8">
        <f t="shared" si="7"/>
        <v>-0.29003226807415328</v>
      </c>
      <c r="AK20" s="8">
        <f t="shared" si="8"/>
        <v>-0.49909351543782621</v>
      </c>
      <c r="AL20" s="8">
        <f t="shared" si="9"/>
        <v>7.694520545393907E-4</v>
      </c>
      <c r="AM20" s="8">
        <f t="shared" si="10"/>
        <v>-3.1328389430438199E-3</v>
      </c>
      <c r="AN20" s="8">
        <f t="shared" si="11"/>
        <v>-0.79148917040048394</v>
      </c>
      <c r="AO20" s="9">
        <f t="shared" si="13"/>
        <v>0.30281100878868006</v>
      </c>
      <c r="AP20" s="9">
        <f t="shared" si="13"/>
        <v>0.69153748485672395</v>
      </c>
      <c r="AQ20" s="9">
        <f t="shared" si="13"/>
        <v>5.9450111934450638E-3</v>
      </c>
      <c r="AR20" s="9">
        <f t="shared" si="13"/>
        <v>-2.9350483884874013E-4</v>
      </c>
      <c r="AS20" s="9">
        <f t="shared" si="13"/>
        <v>1</v>
      </c>
      <c r="AT20" s="7"/>
      <c r="AU20" s="7"/>
      <c r="AV20" s="7"/>
      <c r="AW20" s="7"/>
      <c r="AX20" s="7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</row>
    <row r="21" spans="1:87" x14ac:dyDescent="0.25">
      <c r="A21" s="1">
        <v>40908</v>
      </c>
      <c r="B21">
        <f>'DSGE HVD wFG'!B21-'DSGE HVD woFG'!B21</f>
        <v>-2.0308676060659669E-4</v>
      </c>
      <c r="C21">
        <f>'DSGE HVD wFG'!C21-'DSGE HVD woFG'!C21</f>
        <v>-3.4046858605542019E-2</v>
      </c>
      <c r="D21">
        <f>'DSGE HVD wFG'!D21-'DSGE HVD woFG'!D21</f>
        <v>-0.4163615570138644</v>
      </c>
      <c r="E21">
        <f>'DSGE HVD wFG'!E21-'DSGE HVD woFG'!E21</f>
        <v>2.4935025002370149E-2</v>
      </c>
      <c r="F21">
        <f>'DSGE HVD wFG'!F21-'DSGE HVD woFG'!F21</f>
        <v>4.4357045468489509E-2</v>
      </c>
      <c r="G21">
        <f>'DSGE HVD wFG'!G21-'DSGE HVD woFG'!G21</f>
        <v>-9.8214900069509865E-17</v>
      </c>
      <c r="H21">
        <f>'DSGE HVD wFG'!H21-'DSGE HVD woFG'!H21</f>
        <v>1.5187506134264997E-15</v>
      </c>
      <c r="I21">
        <f>'DSGE HVD wFG'!I21-'DSGE HVD woFG'!I21</f>
        <v>-3.89120351835212E-15</v>
      </c>
      <c r="J21">
        <f>'DSGE HVD wFG'!J21-'DSGE HVD woFG'!J21</f>
        <v>1.6524395595687449E-15</v>
      </c>
      <c r="K21">
        <f>'DSGE HVD wFG'!K21-'DSGE HVD woFG'!K21</f>
        <v>2.086574623446003E-15</v>
      </c>
      <c r="L21">
        <f>'DSGE HVD wFG'!L21-'DSGE HVD woFG'!L21</f>
        <v>2.4319448577603499E-15</v>
      </c>
      <c r="M21">
        <f>'DSGE HVD wFG'!M21-'DSGE HVD woFG'!M21</f>
        <v>3.2523644704994301E-15</v>
      </c>
      <c r="N21">
        <f>'DSGE HVD wFG'!N21-'DSGE HVD woFG'!N21</f>
        <v>4.6641370246401594E-15</v>
      </c>
      <c r="O21">
        <f>'DSGE HVD wFG'!O21-'DSGE HVD woFG'!O21</f>
        <v>-4.97801444818421E-15</v>
      </c>
      <c r="P21">
        <f>'DSGE HVD wFG'!P21-'DSGE HVD woFG'!P21</f>
        <v>7.3496866450098674E-16</v>
      </c>
      <c r="Q21">
        <f>'DSGE HVD wFG'!Q21-'DSGE HVD woFG'!Q21</f>
        <v>-9.3472598537002807E-2</v>
      </c>
      <c r="R21">
        <f>'DSGE HVD wFG'!R21-'DSGE HVD woFG'!R21</f>
        <v>0</v>
      </c>
      <c r="S21">
        <f>'DSGE HVD wFG'!S21-'DSGE HVD woFG'!S21</f>
        <v>-0.17737991541756992</v>
      </c>
      <c r="T21">
        <f>'DSGE HVD wFG'!T21-'DSGE HVD woFG'!T21</f>
        <v>-3.1000000286062999E-3</v>
      </c>
      <c r="U21">
        <f>'DSGE HVD wFG'!U21-'DSGE HVD woFG'!U21</f>
        <v>-0.65527194589231996</v>
      </c>
      <c r="Y21" s="1">
        <f t="shared" si="1"/>
        <v>40908</v>
      </c>
      <c r="Z21" s="7">
        <f t="shared" si="1"/>
        <v>-2.0308676060659669E-4</v>
      </c>
      <c r="AA21" s="7">
        <f t="shared" si="1"/>
        <v>-3.4046858605542019E-2</v>
      </c>
      <c r="AB21" s="7">
        <f t="shared" si="1"/>
        <v>-0.4163615570138644</v>
      </c>
      <c r="AC21" s="7">
        <f t="shared" si="2"/>
        <v>-0.13302286994908041</v>
      </c>
      <c r="AD21" s="7">
        <f t="shared" si="3"/>
        <v>2.4935025002370149E-2</v>
      </c>
      <c r="AE21" s="7">
        <f t="shared" si="4"/>
        <v>-9.3472598537002807E-2</v>
      </c>
      <c r="AF21" s="7">
        <f t="shared" si="5"/>
        <v>-9.8214900069509865E-17</v>
      </c>
      <c r="AG21" s="7">
        <f t="shared" si="5"/>
        <v>1.5187506134264997E-15</v>
      </c>
      <c r="AH21" s="7">
        <f t="shared" si="6"/>
        <v>-3.1000000286003472E-3</v>
      </c>
      <c r="AI21" s="7">
        <f t="shared" si="0"/>
        <v>-0.65527194589232507</v>
      </c>
      <c r="AJ21" s="8">
        <f t="shared" si="7"/>
        <v>-0.22649546848608321</v>
      </c>
      <c r="AK21" s="8">
        <f t="shared" si="8"/>
        <v>-0.42547339061703626</v>
      </c>
      <c r="AL21" s="8">
        <f t="shared" si="9"/>
        <v>-2.0308676060659669E-4</v>
      </c>
      <c r="AM21" s="8">
        <f t="shared" si="10"/>
        <v>-3.1000000286003472E-3</v>
      </c>
      <c r="AN21" s="8">
        <f t="shared" si="11"/>
        <v>-0.6552719458923264</v>
      </c>
      <c r="AO21" s="9">
        <f t="shared" si="13"/>
        <v>0.4664373379907259</v>
      </c>
      <c r="AP21" s="9">
        <f t="shared" si="13"/>
        <v>0.54046120148616827</v>
      </c>
      <c r="AQ21" s="9">
        <f t="shared" si="13"/>
        <v>-7.1396170246277894E-3</v>
      </c>
      <c r="AR21" s="9">
        <f t="shared" si="13"/>
        <v>2.4107754773337086E-4</v>
      </c>
      <c r="AS21" s="9">
        <f t="shared" si="13"/>
        <v>1</v>
      </c>
      <c r="AT21" s="7"/>
      <c r="AU21" s="7"/>
      <c r="AV21" s="7"/>
      <c r="AW21" s="7"/>
      <c r="AX21" s="7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</row>
    <row r="22" spans="1:87" x14ac:dyDescent="0.25">
      <c r="A22" s="1">
        <v>40999</v>
      </c>
      <c r="B22">
        <f>'DSGE HVD wFG'!B22-'DSGE HVD woFG'!B22</f>
        <v>-4.7735075399099602E-4</v>
      </c>
      <c r="C22">
        <f>'DSGE HVD wFG'!C22-'DSGE HVD woFG'!C22</f>
        <v>-3.8461586227080957E-2</v>
      </c>
      <c r="D22">
        <f>'DSGE HVD wFG'!D22-'DSGE HVD woFG'!D22</f>
        <v>-0.45149863174881505</v>
      </c>
      <c r="E22">
        <f>'DSGE HVD wFG'!E22-'DSGE HVD woFG'!E22</f>
        <v>2.4506641345734499E-2</v>
      </c>
      <c r="F22">
        <f>'DSGE HVD wFG'!F22-'DSGE HVD woFG'!F22</f>
        <v>3.9757215660535403E-2</v>
      </c>
      <c r="G22">
        <f>'DSGE HVD wFG'!G22-'DSGE HVD woFG'!G22</f>
        <v>-4.512130231527993E-17</v>
      </c>
      <c r="H22">
        <f>'DSGE HVD wFG'!H22-'DSGE HVD woFG'!H22</f>
        <v>1.5282852240452995E-15</v>
      </c>
      <c r="I22">
        <f>'DSGE HVD wFG'!I22-'DSGE HVD woFG'!I22</f>
        <v>-3.5252135636349004E-15</v>
      </c>
      <c r="J22">
        <f>'DSGE HVD wFG'!J22-'DSGE HVD woFG'!J22</f>
        <v>2.1023048644011348E-15</v>
      </c>
      <c r="K22">
        <f>'DSGE HVD wFG'!K22-'DSGE HVD woFG'!K22</f>
        <v>2.2596910883018602E-15</v>
      </c>
      <c r="L22">
        <f>'DSGE HVD wFG'!L22-'DSGE HVD woFG'!L22</f>
        <v>2.0048581138209822E-15</v>
      </c>
      <c r="M22">
        <f>'DSGE HVD wFG'!M22-'DSGE HVD woFG'!M22</f>
        <v>3.9802074272956701E-15</v>
      </c>
      <c r="N22">
        <f>'DSGE HVD wFG'!N22-'DSGE HVD woFG'!N22</f>
        <v>4.06807156129463E-15</v>
      </c>
      <c r="O22">
        <f>'DSGE HVD wFG'!O22-'DSGE HVD woFG'!O22</f>
        <v>-4.1223657400007005E-15</v>
      </c>
      <c r="P22">
        <f>'DSGE HVD wFG'!P22-'DSGE HVD woFG'!P22</f>
        <v>3.1441074942399603E-16</v>
      </c>
      <c r="Q22">
        <f>'DSGE HVD wFG'!Q22-'DSGE HVD woFG'!Q22</f>
        <v>-9.5239785560774698E-2</v>
      </c>
      <c r="R22">
        <f>'DSGE HVD wFG'!R22-'DSGE HVD woFG'!R22</f>
        <v>0</v>
      </c>
      <c r="S22">
        <f>'DSGE HVD wFG'!S22-'DSGE HVD woFG'!S22</f>
        <v>-0.186812589857142</v>
      </c>
      <c r="T22">
        <f>'DSGE HVD wFG'!T22-'DSGE HVD woFG'!T22</f>
        <v>-3.067521689491301E-3</v>
      </c>
      <c r="U22">
        <f>'DSGE HVD wFG'!U22-'DSGE HVD woFG'!U22</f>
        <v>-0.71129360883102022</v>
      </c>
      <c r="Y22" s="1">
        <f t="shared" si="1"/>
        <v>40999</v>
      </c>
      <c r="Z22" s="7">
        <f t="shared" si="1"/>
        <v>-4.7735075399099602E-4</v>
      </c>
      <c r="AA22" s="7">
        <f t="shared" si="1"/>
        <v>-3.8461586227080957E-2</v>
      </c>
      <c r="AB22" s="7">
        <f t="shared" si="1"/>
        <v>-0.45149863174881505</v>
      </c>
      <c r="AC22" s="7">
        <f t="shared" si="2"/>
        <v>-0.14705537419660658</v>
      </c>
      <c r="AD22" s="7">
        <f t="shared" si="3"/>
        <v>2.4506641345734499E-2</v>
      </c>
      <c r="AE22" s="7">
        <f t="shared" si="4"/>
        <v>-9.5239785560774698E-2</v>
      </c>
      <c r="AF22" s="7">
        <f t="shared" si="5"/>
        <v>-4.512130231527993E-17</v>
      </c>
      <c r="AG22" s="7">
        <f t="shared" si="5"/>
        <v>1.5282852240452995E-15</v>
      </c>
      <c r="AH22" s="7">
        <f t="shared" si="6"/>
        <v>-3.0675216894842194E-3</v>
      </c>
      <c r="AI22" s="7">
        <f t="shared" si="0"/>
        <v>-0.71129360883101633</v>
      </c>
      <c r="AJ22" s="8">
        <f t="shared" si="7"/>
        <v>-0.24229515975738128</v>
      </c>
      <c r="AK22" s="8">
        <f t="shared" si="8"/>
        <v>-0.46545357663016151</v>
      </c>
      <c r="AL22" s="8">
        <f t="shared" si="9"/>
        <v>-4.7735075399099602E-4</v>
      </c>
      <c r="AM22" s="8">
        <f t="shared" si="10"/>
        <v>-3.0675216894842194E-3</v>
      </c>
      <c r="AN22" s="8">
        <f t="shared" si="11"/>
        <v>-0.711293608831018</v>
      </c>
      <c r="AO22" s="9">
        <f t="shared" si="13"/>
        <v>0.28202824483430228</v>
      </c>
      <c r="AP22" s="9">
        <f t="shared" si="13"/>
        <v>0.71365582376371706</v>
      </c>
      <c r="AQ22" s="9">
        <f t="shared" si="13"/>
        <v>4.8956774754177774E-3</v>
      </c>
      <c r="AR22" s="9">
        <f t="shared" si="13"/>
        <v>-5.7974607343718322E-4</v>
      </c>
      <c r="AS22" s="9">
        <f t="shared" si="13"/>
        <v>1</v>
      </c>
      <c r="AT22" s="7"/>
      <c r="AU22" s="7"/>
      <c r="AV22" s="7"/>
      <c r="AW22" s="7"/>
      <c r="AX22" s="7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</row>
    <row r="23" spans="1:87" x14ac:dyDescent="0.25">
      <c r="A23" s="1">
        <v>41090</v>
      </c>
      <c r="B23">
        <f>'DSGE HVD wFG'!B23-'DSGE HVD woFG'!B23</f>
        <v>-1.3656282023428029E-3</v>
      </c>
      <c r="C23">
        <f>'DSGE HVD wFG'!C23-'DSGE HVD woFG'!C23</f>
        <v>-1.9157278433049929E-2</v>
      </c>
      <c r="D23">
        <f>'DSGE HVD wFG'!D23-'DSGE HVD woFG'!D23</f>
        <v>-0.4495935426404194</v>
      </c>
      <c r="E23">
        <f>'DSGE HVD wFG'!E23-'DSGE HVD woFG'!E23</f>
        <v>2.464241389273733E-2</v>
      </c>
      <c r="F23">
        <f>'DSGE HVD wFG'!F23-'DSGE HVD woFG'!F23</f>
        <v>3.6363846957459894E-2</v>
      </c>
      <c r="G23">
        <f>'DSGE HVD wFG'!G23-'DSGE HVD woFG'!G23</f>
        <v>-1.0491801539002003E-16</v>
      </c>
      <c r="H23">
        <f>'DSGE HVD wFG'!H23-'DSGE HVD woFG'!H23</f>
        <v>1.5222936125643989E-15</v>
      </c>
      <c r="I23">
        <f>'DSGE HVD wFG'!I23-'DSGE HVD woFG'!I23</f>
        <v>-4.2669600524075595E-15</v>
      </c>
      <c r="J23">
        <f>'DSGE HVD wFG'!J23-'DSGE HVD woFG'!J23</f>
        <v>1.6398524236677239E-15</v>
      </c>
      <c r="K23">
        <f>'DSGE HVD wFG'!K23-'DSGE HVD woFG'!K23</f>
        <v>2.32697696541956E-15</v>
      </c>
      <c r="L23">
        <f>'DSGE HVD wFG'!L23-'DSGE HVD woFG'!L23</f>
        <v>2.0140895582955221E-15</v>
      </c>
      <c r="M23">
        <f>'DSGE HVD wFG'!M23-'DSGE HVD woFG'!M23</f>
        <v>4.4618654426938402E-15</v>
      </c>
      <c r="N23">
        <f>'DSGE HVD wFG'!N23-'DSGE HVD woFG'!N23</f>
        <v>4.1429503013073097E-15</v>
      </c>
      <c r="O23">
        <f>'DSGE HVD wFG'!O23-'DSGE HVD woFG'!O23</f>
        <v>-4.0569317833145607E-15</v>
      </c>
      <c r="P23">
        <f>'DSGE HVD wFG'!P23-'DSGE HVD woFG'!P23</f>
        <v>7.6426968652001994E-16</v>
      </c>
      <c r="Q23">
        <f>'DSGE HVD wFG'!Q23-'DSGE HVD woFG'!Q23</f>
        <v>-8.2369371257204518E-2</v>
      </c>
      <c r="R23">
        <f>'DSGE HVD wFG'!R23-'DSGE HVD woFG'!R23</f>
        <v>0</v>
      </c>
      <c r="S23">
        <f>'DSGE HVD wFG'!S23-'DSGE HVD woFG'!S23</f>
        <v>-0.16376884214590293</v>
      </c>
      <c r="T23">
        <f>'DSGE HVD wFG'!T23-'DSGE HVD woFG'!T23</f>
        <v>-3.0353997069928994E-3</v>
      </c>
      <c r="U23">
        <f>'DSGE HVD wFG'!U23-'DSGE HVD woFG'!U23</f>
        <v>-0.65828380153570976</v>
      </c>
      <c r="Y23" s="1">
        <f t="shared" si="1"/>
        <v>41090</v>
      </c>
      <c r="Z23" s="7">
        <f t="shared" si="1"/>
        <v>-1.3656282023428029E-3</v>
      </c>
      <c r="AA23" s="7">
        <f t="shared" si="1"/>
        <v>-1.9157278433049929E-2</v>
      </c>
      <c r="AB23" s="7">
        <f t="shared" si="1"/>
        <v>-0.4495935426404194</v>
      </c>
      <c r="AC23" s="7">
        <f t="shared" si="2"/>
        <v>-0.12740499518844303</v>
      </c>
      <c r="AD23" s="7">
        <f t="shared" si="3"/>
        <v>2.464241389273733E-2</v>
      </c>
      <c r="AE23" s="7">
        <f t="shared" si="4"/>
        <v>-8.2369371257204518E-2</v>
      </c>
      <c r="AF23" s="7">
        <f t="shared" si="5"/>
        <v>-1.0491801539002003E-16</v>
      </c>
      <c r="AG23" s="7">
        <f t="shared" si="5"/>
        <v>1.5222936125643989E-15</v>
      </c>
      <c r="AH23" s="7">
        <f t="shared" si="6"/>
        <v>-3.0353997069858737E-3</v>
      </c>
      <c r="AI23" s="7">
        <f t="shared" si="0"/>
        <v>-0.65828380153570676</v>
      </c>
      <c r="AJ23" s="8">
        <f t="shared" si="7"/>
        <v>-0.20977436644564756</v>
      </c>
      <c r="AK23" s="8">
        <f t="shared" si="8"/>
        <v>-0.44410840718073197</v>
      </c>
      <c r="AL23" s="8">
        <f t="shared" si="9"/>
        <v>-1.3656282023428029E-3</v>
      </c>
      <c r="AM23" s="8">
        <f t="shared" si="10"/>
        <v>-3.0353997069858737E-3</v>
      </c>
      <c r="AN23" s="8">
        <f t="shared" si="11"/>
        <v>-0.65828380153570809</v>
      </c>
      <c r="AO23" s="9">
        <f t="shared" si="13"/>
        <v>0.6134863522624241</v>
      </c>
      <c r="AP23" s="9">
        <f t="shared" si="13"/>
        <v>0.40266453583803313</v>
      </c>
      <c r="AQ23" s="9">
        <f t="shared" si="13"/>
        <v>-1.6756851112537399E-2</v>
      </c>
      <c r="AR23" s="9">
        <f t="shared" si="13"/>
        <v>6.0596301207810083E-4</v>
      </c>
      <c r="AS23" s="9">
        <f t="shared" si="13"/>
        <v>1</v>
      </c>
      <c r="AT23" s="7"/>
      <c r="AU23" s="7"/>
      <c r="AV23" s="7"/>
      <c r="AW23" s="7"/>
      <c r="AX23" s="7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</row>
    <row r="24" spans="1:87" x14ac:dyDescent="0.25">
      <c r="A24" s="1">
        <v>41182</v>
      </c>
      <c r="B24">
        <f>'DSGE HVD wFG'!B24-'DSGE HVD woFG'!B24</f>
        <v>-1.7964981351362014E-3</v>
      </c>
      <c r="C24">
        <f>'DSGE HVD wFG'!C24-'DSGE HVD woFG'!C24</f>
        <v>-2.1097859485958992E-2</v>
      </c>
      <c r="D24">
        <f>'DSGE HVD wFG'!D24-'DSGE HVD woFG'!D24</f>
        <v>-0.47669572032165614</v>
      </c>
      <c r="E24">
        <f>'DSGE HVD wFG'!E24-'DSGE HVD woFG'!E24</f>
        <v>2.4188270384518748E-2</v>
      </c>
      <c r="F24">
        <f>'DSGE HVD wFG'!F24-'DSGE HVD woFG'!F24</f>
        <v>3.20627173038599E-2</v>
      </c>
      <c r="G24">
        <f>'DSGE HVD wFG'!G24-'DSGE HVD woFG'!G24</f>
        <v>-7.6874359411639935E-17</v>
      </c>
      <c r="H24">
        <f>'DSGE HVD wFG'!H24-'DSGE HVD woFG'!H24</f>
        <v>1.5160256900136002E-15</v>
      </c>
      <c r="I24">
        <f>'DSGE HVD wFG'!I24-'DSGE HVD woFG'!I24</f>
        <v>-4.0392438368049499E-15</v>
      </c>
      <c r="J24">
        <f>'DSGE HVD wFG'!J24-'DSGE HVD woFG'!J24</f>
        <v>1.5022547209032627E-15</v>
      </c>
      <c r="K24">
        <f>'DSGE HVD wFG'!K24-'DSGE HVD woFG'!K24</f>
        <v>2.44385401614323E-15</v>
      </c>
      <c r="L24">
        <f>'DSGE HVD wFG'!L24-'DSGE HVD woFG'!L24</f>
        <v>2.1824979511539543E-15</v>
      </c>
      <c r="M24">
        <f>'DSGE HVD wFG'!M24-'DSGE HVD woFG'!M24</f>
        <v>4.8188048733916199E-15</v>
      </c>
      <c r="N24">
        <f>'DSGE HVD wFG'!N24-'DSGE HVD woFG'!N24</f>
        <v>5.0914059145975299E-15</v>
      </c>
      <c r="O24">
        <f>'DSGE HVD wFG'!O24-'DSGE HVD woFG'!O24</f>
        <v>-3.3616007280549103E-15</v>
      </c>
      <c r="P24">
        <f>'DSGE HVD wFG'!P24-'DSGE HVD woFG'!P24</f>
        <v>4.7189073955500093E-16</v>
      </c>
      <c r="Q24">
        <f>'DSGE HVD wFG'!Q24-'DSGE HVD woFG'!Q24</f>
        <v>-8.1967619069430994E-2</v>
      </c>
      <c r="R24">
        <f>'DSGE HVD wFG'!R24-'DSGE HVD woFG'!R24</f>
        <v>0</v>
      </c>
      <c r="S24">
        <f>'DSGE HVD wFG'!S24-'DSGE HVD woFG'!S24</f>
        <v>-0.16689728946318894</v>
      </c>
      <c r="T24">
        <f>'DSGE HVD wFG'!T24-'DSGE HVD woFG'!T24</f>
        <v>-3.0036299159518012E-3</v>
      </c>
      <c r="U24">
        <f>'DSGE HVD wFG'!U24-'DSGE HVD woFG'!U24</f>
        <v>-0.69520762870292985</v>
      </c>
      <c r="Y24" s="1">
        <f t="shared" si="1"/>
        <v>41182</v>
      </c>
      <c r="Z24" s="7">
        <f t="shared" si="1"/>
        <v>-1.7964981351362014E-3</v>
      </c>
      <c r="AA24" s="7">
        <f t="shared" si="1"/>
        <v>-2.1097859485958992E-2</v>
      </c>
      <c r="AB24" s="7">
        <f t="shared" si="1"/>
        <v>-0.47669572032165614</v>
      </c>
      <c r="AC24" s="7">
        <f t="shared" si="2"/>
        <v>-0.13483457215932904</v>
      </c>
      <c r="AD24" s="7">
        <f t="shared" si="3"/>
        <v>2.4188270384518748E-2</v>
      </c>
      <c r="AE24" s="7">
        <f t="shared" si="4"/>
        <v>-8.1967619069430994E-2</v>
      </c>
      <c r="AF24" s="7">
        <f t="shared" si="5"/>
        <v>-7.6874359411639935E-17</v>
      </c>
      <c r="AG24" s="7">
        <f t="shared" si="5"/>
        <v>1.5160256900136002E-15</v>
      </c>
      <c r="AH24" s="7">
        <f t="shared" si="6"/>
        <v>-3.0036299159426918E-3</v>
      </c>
      <c r="AI24" s="7">
        <f t="shared" si="0"/>
        <v>-0.69520762870293384</v>
      </c>
      <c r="AJ24" s="8">
        <f t="shared" si="7"/>
        <v>-0.21680219122876004</v>
      </c>
      <c r="AK24" s="8">
        <f t="shared" si="8"/>
        <v>-0.47360530942309637</v>
      </c>
      <c r="AL24" s="8">
        <f t="shared" si="9"/>
        <v>-1.7964981351362014E-3</v>
      </c>
      <c r="AM24" s="8">
        <f t="shared" si="10"/>
        <v>-3.0036299159426918E-3</v>
      </c>
      <c r="AN24" s="8">
        <f t="shared" si="11"/>
        <v>-0.69520762870293529</v>
      </c>
      <c r="AO24" s="9">
        <f t="shared" si="13"/>
        <v>0.19033305381058188</v>
      </c>
      <c r="AP24" s="9">
        <f t="shared" si="13"/>
        <v>0.79885820364106841</v>
      </c>
      <c r="AQ24" s="9">
        <f t="shared" si="13"/>
        <v>1.1669156906243712E-2</v>
      </c>
      <c r="AR24" s="9">
        <f t="shared" si="13"/>
        <v>-8.604143578967939E-4</v>
      </c>
      <c r="AS24" s="9">
        <f t="shared" si="13"/>
        <v>1</v>
      </c>
      <c r="AT24" s="7"/>
      <c r="AU24" s="7"/>
      <c r="AV24" s="7"/>
      <c r="AW24" s="7"/>
      <c r="AX24" s="7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</row>
    <row r="25" spans="1:87" x14ac:dyDescent="0.25">
      <c r="A25" s="1">
        <v>41274</v>
      </c>
      <c r="B25">
        <f>'DSGE HVD wFG'!B25-'DSGE HVD woFG'!B25</f>
        <v>-2.1072613581011035E-3</v>
      </c>
      <c r="C25">
        <f>'DSGE HVD wFG'!C25-'DSGE HVD woFG'!C25</f>
        <v>-4.3802086858290012E-2</v>
      </c>
      <c r="D25">
        <f>'DSGE HVD wFG'!D25-'DSGE HVD woFG'!D25</f>
        <v>-0.52699564246452291</v>
      </c>
      <c r="E25">
        <f>'DSGE HVD wFG'!E25-'DSGE HVD woFG'!E25</f>
        <v>2.2117572145654799E-2</v>
      </c>
      <c r="F25">
        <f>'DSGE HVD wFG'!F25-'DSGE HVD woFG'!F25</f>
        <v>2.6892019462195396E-2</v>
      </c>
      <c r="G25">
        <f>'DSGE HVD wFG'!G25-'DSGE HVD woFG'!G25</f>
        <v>7.6682069633603216E-18</v>
      </c>
      <c r="H25">
        <f>'DSGE HVD wFG'!H25-'DSGE HVD woFG'!H25</f>
        <v>1.5022940682339E-15</v>
      </c>
      <c r="I25">
        <f>'DSGE HVD wFG'!I25-'DSGE HVD woFG'!I25</f>
        <v>-3.7037870943556394E-15</v>
      </c>
      <c r="J25">
        <f>'DSGE HVD wFG'!J25-'DSGE HVD woFG'!J25</f>
        <v>2.0708964104655889E-15</v>
      </c>
      <c r="K25">
        <f>'DSGE HVD wFG'!K25-'DSGE HVD woFG'!K25</f>
        <v>2.7299129944467802E-15</v>
      </c>
      <c r="L25">
        <f>'DSGE HVD wFG'!L25-'DSGE HVD woFG'!L25</f>
        <v>2.5191423706481499E-15</v>
      </c>
      <c r="M25">
        <f>'DSGE HVD wFG'!M25-'DSGE HVD woFG'!M25</f>
        <v>5.1319104449238104E-15</v>
      </c>
      <c r="N25">
        <f>'DSGE HVD wFG'!N25-'DSGE HVD woFG'!N25</f>
        <v>5.2685028238974894E-15</v>
      </c>
      <c r="O25">
        <f>'DSGE HVD wFG'!O25-'DSGE HVD woFG'!O25</f>
        <v>-3.1234757896383002E-15</v>
      </c>
      <c r="P25">
        <f>'DSGE HVD wFG'!P25-'DSGE HVD woFG'!P25</f>
        <v>-4.4171679172700998E-16</v>
      </c>
      <c r="Q25">
        <f>'DSGE HVD wFG'!Q25-'DSGE HVD woFG'!Q25</f>
        <v>-8.9649139775997408E-2</v>
      </c>
      <c r="R25">
        <f>'DSGE HVD wFG'!R25-'DSGE HVD woFG'!R25</f>
        <v>0</v>
      </c>
      <c r="S25">
        <f>'DSGE HVD wFG'!S25-'DSGE HVD woFG'!S25</f>
        <v>-0.19218370657303496</v>
      </c>
      <c r="T25">
        <f>'DSGE HVD wFG'!T25-'DSGE HVD woFG'!T25</f>
        <v>-2.9722082040260014E-3</v>
      </c>
      <c r="U25">
        <f>'DSGE HVD wFG'!U25-'DSGE HVD woFG'!U25</f>
        <v>-0.80870045362611021</v>
      </c>
      <c r="Y25" s="1">
        <f t="shared" si="1"/>
        <v>41274</v>
      </c>
      <c r="Z25" s="7">
        <f t="shared" si="1"/>
        <v>-2.1072613581011035E-3</v>
      </c>
      <c r="AA25" s="7">
        <f t="shared" si="1"/>
        <v>-4.3802086858290012E-2</v>
      </c>
      <c r="AB25" s="7">
        <f t="shared" si="1"/>
        <v>-0.52699564246452291</v>
      </c>
      <c r="AC25" s="7">
        <f t="shared" si="2"/>
        <v>-0.16529168711083958</v>
      </c>
      <c r="AD25" s="7">
        <f t="shared" si="3"/>
        <v>2.2117572145654799E-2</v>
      </c>
      <c r="AE25" s="7">
        <f t="shared" si="4"/>
        <v>-8.9649139775997408E-2</v>
      </c>
      <c r="AF25" s="7">
        <f t="shared" si="5"/>
        <v>7.6682069633603216E-18</v>
      </c>
      <c r="AG25" s="7">
        <f t="shared" si="5"/>
        <v>1.5022940682339E-15</v>
      </c>
      <c r="AH25" s="7">
        <f t="shared" si="6"/>
        <v>-2.9722082040155502E-3</v>
      </c>
      <c r="AI25" s="7">
        <f t="shared" si="0"/>
        <v>-0.80870045362611032</v>
      </c>
      <c r="AJ25" s="8">
        <f t="shared" si="7"/>
        <v>-0.254940826886837</v>
      </c>
      <c r="AK25" s="8">
        <f t="shared" si="8"/>
        <v>-0.54868015717715812</v>
      </c>
      <c r="AL25" s="8">
        <f t="shared" si="9"/>
        <v>-2.1072613581011035E-3</v>
      </c>
      <c r="AM25" s="8">
        <f t="shared" si="10"/>
        <v>-2.9722082040155502E-3</v>
      </c>
      <c r="AN25" s="8">
        <f t="shared" si="11"/>
        <v>-0.80870045362611187</v>
      </c>
      <c r="AO25" s="9">
        <f t="shared" si="13"/>
        <v>0.33604446522406189</v>
      </c>
      <c r="AP25" s="9">
        <f t="shared" si="13"/>
        <v>0.66149422049261708</v>
      </c>
      <c r="AQ25" s="9">
        <f t="shared" si="13"/>
        <v>2.7381750623905791E-3</v>
      </c>
      <c r="AR25" s="9">
        <f t="shared" si="13"/>
        <v>-2.768607790704918E-4</v>
      </c>
      <c r="AS25" s="9">
        <f t="shared" si="13"/>
        <v>1</v>
      </c>
      <c r="AT25" s="7"/>
      <c r="AU25" s="7"/>
      <c r="AV25" s="7"/>
      <c r="AW25" s="7"/>
      <c r="AX25" s="7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</row>
    <row r="26" spans="1:87" x14ac:dyDescent="0.25">
      <c r="A26" s="1">
        <v>41364</v>
      </c>
      <c r="B26">
        <f>'DSGE HVD wFG'!B26-'DSGE HVD woFG'!B26</f>
        <v>-3.0195492424821002E-3</v>
      </c>
      <c r="C26">
        <f>'DSGE HVD wFG'!C26-'DSGE HVD woFG'!C26</f>
        <v>-3.4947114971620064E-2</v>
      </c>
      <c r="D26">
        <f>'DSGE HVD wFG'!D26-'DSGE HVD woFG'!D26</f>
        <v>-0.52963611883382133</v>
      </c>
      <c r="E26">
        <f>'DSGE HVD wFG'!E26-'DSGE HVD woFG'!E26</f>
        <v>2.1776963225228999E-2</v>
      </c>
      <c r="F26">
        <f>'DSGE HVD wFG'!F26-'DSGE HVD woFG'!F26</f>
        <v>2.2727160558212001E-2</v>
      </c>
      <c r="G26">
        <f>'DSGE HVD wFG'!G26-'DSGE HVD woFG'!G26</f>
        <v>-1.7653919168529843E-17</v>
      </c>
      <c r="H26">
        <f>'DSGE HVD wFG'!H26-'DSGE HVD woFG'!H26</f>
        <v>1.4721625638764003E-15</v>
      </c>
      <c r="I26">
        <f>'DSGE HVD wFG'!I26-'DSGE HVD woFG'!I26</f>
        <v>-4.4829573911055699E-15</v>
      </c>
      <c r="J26">
        <f>'DSGE HVD wFG'!J26-'DSGE HVD woFG'!J26</f>
        <v>2.287553590787837E-15</v>
      </c>
      <c r="K26">
        <f>'DSGE HVD wFG'!K26-'DSGE HVD woFG'!K26</f>
        <v>2.69094604473344E-15</v>
      </c>
      <c r="L26">
        <f>'DSGE HVD wFG'!L26-'DSGE HVD woFG'!L26</f>
        <v>2.5134678018111243E-15</v>
      </c>
      <c r="M26">
        <f>'DSGE HVD wFG'!M26-'DSGE HVD woFG'!M26</f>
        <v>5.0212292920170194E-15</v>
      </c>
      <c r="N26">
        <f>'DSGE HVD wFG'!N26-'DSGE HVD woFG'!N26</f>
        <v>5.24563528590534E-15</v>
      </c>
      <c r="O26">
        <f>'DSGE HVD wFG'!O26-'DSGE HVD woFG'!O26</f>
        <v>-2.3190674313643705E-15</v>
      </c>
      <c r="P26">
        <f>'DSGE HVD wFG'!P26-'DSGE HVD woFG'!P26</f>
        <v>-2.8586154248699602E-16</v>
      </c>
      <c r="Q26">
        <f>'DSGE HVD wFG'!Q26-'DSGE HVD woFG'!Q26</f>
        <v>-7.9716454015137814E-2</v>
      </c>
      <c r="R26">
        <f>'DSGE HVD wFG'!R26-'DSGE HVD woFG'!R26</f>
        <v>0</v>
      </c>
      <c r="S26">
        <f>'DSGE HVD wFG'!S26-'DSGE HVD woFG'!S26</f>
        <v>-0.17714109524209398</v>
      </c>
      <c r="T26">
        <f>'DSGE HVD wFG'!T26-'DSGE HVD woFG'!T26</f>
        <v>-2.941130510964101E-3</v>
      </c>
      <c r="U26">
        <f>'DSGE HVD wFG'!U26-'DSGE HVD woFG'!U26</f>
        <v>-0.7828973390326599</v>
      </c>
      <c r="Y26" s="1">
        <f t="shared" si="1"/>
        <v>41364</v>
      </c>
      <c r="Z26" s="7">
        <f t="shared" si="1"/>
        <v>-3.0195492424821002E-3</v>
      </c>
      <c r="AA26" s="7">
        <f t="shared" si="1"/>
        <v>-3.4947114971620064E-2</v>
      </c>
      <c r="AB26" s="7">
        <f t="shared" si="1"/>
        <v>-0.52963611883382133</v>
      </c>
      <c r="AC26" s="7">
        <f t="shared" si="2"/>
        <v>-0.15441393468388198</v>
      </c>
      <c r="AD26" s="7">
        <f t="shared" si="3"/>
        <v>2.1776963225228999E-2</v>
      </c>
      <c r="AE26" s="7">
        <f t="shared" si="4"/>
        <v>-7.9716454015137814E-2</v>
      </c>
      <c r="AF26" s="7">
        <f t="shared" si="5"/>
        <v>-1.7653919168529843E-17</v>
      </c>
      <c r="AG26" s="7">
        <f t="shared" si="5"/>
        <v>1.4721625638764003E-15</v>
      </c>
      <c r="AH26" s="7">
        <f t="shared" si="6"/>
        <v>-2.9411305109534294E-3</v>
      </c>
      <c r="AI26" s="7">
        <f t="shared" si="0"/>
        <v>-0.78289733903266634</v>
      </c>
      <c r="AJ26" s="8">
        <f t="shared" si="7"/>
        <v>-0.23413038869901981</v>
      </c>
      <c r="AK26" s="8">
        <f t="shared" si="8"/>
        <v>-0.54280627058021236</v>
      </c>
      <c r="AL26" s="8">
        <f t="shared" si="9"/>
        <v>-3.0195492424821002E-3</v>
      </c>
      <c r="AM26" s="8">
        <f t="shared" si="10"/>
        <v>-2.9411305109534294E-3</v>
      </c>
      <c r="AN26" s="8">
        <f t="shared" si="11"/>
        <v>-0.78289733903266767</v>
      </c>
      <c r="AO26" s="9">
        <f t="shared" si="13"/>
        <v>0.80650876902684088</v>
      </c>
      <c r="AP26" s="9">
        <f t="shared" si="13"/>
        <v>0.2276425419758491</v>
      </c>
      <c r="AQ26" s="9">
        <f t="shared" si="13"/>
        <v>-3.53557273513323E-2</v>
      </c>
      <c r="AR26" s="9">
        <f t="shared" si="13"/>
        <v>1.2044163486378751E-3</v>
      </c>
      <c r="AS26" s="9">
        <f t="shared" si="13"/>
        <v>1</v>
      </c>
      <c r="AT26" s="7"/>
      <c r="AU26" s="7"/>
      <c r="AV26" s="7"/>
      <c r="AW26" s="7"/>
      <c r="AX26" s="7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</row>
    <row r="27" spans="1:87" x14ac:dyDescent="0.25">
      <c r="A27" s="1">
        <v>41455</v>
      </c>
      <c r="B27">
        <f>'DSGE HVD wFG'!B27-'DSGE HVD woFG'!B27</f>
        <v>-3.8805224036214947E-3</v>
      </c>
      <c r="C27">
        <f>'DSGE HVD wFG'!C27-'DSGE HVD woFG'!C27</f>
        <v>-9.4522105603990214E-3</v>
      </c>
      <c r="D27">
        <f>'DSGE HVD wFG'!D27-'DSGE HVD woFG'!D27</f>
        <v>-0.50828762149507101</v>
      </c>
      <c r="E27">
        <f>'DSGE HVD wFG'!E27-'DSGE HVD woFG'!E27</f>
        <v>2.1311558026525797E-2</v>
      </c>
      <c r="F27">
        <f>'DSGE HVD wFG'!F27-'DSGE HVD woFG'!F27</f>
        <v>1.9031913114684801E-2</v>
      </c>
      <c r="G27">
        <f>'DSGE HVD wFG'!G27-'DSGE HVD woFG'!G27</f>
        <v>-5.7899845804250046E-17</v>
      </c>
      <c r="H27">
        <f>'DSGE HVD wFG'!H27-'DSGE HVD woFG'!H27</f>
        <v>1.4383588169203976E-15</v>
      </c>
      <c r="I27">
        <f>'DSGE HVD wFG'!I27-'DSGE HVD woFG'!I27</f>
        <v>-4.9717844885248621E-15</v>
      </c>
      <c r="J27">
        <f>'DSGE HVD wFG'!J27-'DSGE HVD woFG'!J27</f>
        <v>2.2586662735343177E-15</v>
      </c>
      <c r="K27">
        <f>'DSGE HVD wFG'!K27-'DSGE HVD woFG'!K27</f>
        <v>2.3164346889029769E-15</v>
      </c>
      <c r="L27">
        <f>'DSGE HVD wFG'!L27-'DSGE HVD woFG'!L27</f>
        <v>2.5300211032805331E-15</v>
      </c>
      <c r="M27">
        <f>'DSGE HVD wFG'!M27-'DSGE HVD woFG'!M27</f>
        <v>5.00083734033701E-15</v>
      </c>
      <c r="N27">
        <f>'DSGE HVD wFG'!N27-'DSGE HVD woFG'!N27</f>
        <v>4.7774353820451201E-15</v>
      </c>
      <c r="O27">
        <f>'DSGE HVD wFG'!O27-'DSGE HVD woFG'!O27</f>
        <v>-2.3338100554396704E-15</v>
      </c>
      <c r="P27">
        <f>'DSGE HVD wFG'!P27-'DSGE HVD woFG'!P27</f>
        <v>5.2312179170098782E-16</v>
      </c>
      <c r="Q27">
        <f>'DSGE HVD wFG'!Q27-'DSGE HVD woFG'!Q27</f>
        <v>-6.5448594845040994E-2</v>
      </c>
      <c r="R27">
        <f>'DSGE HVD wFG'!R27-'DSGE HVD woFG'!R27</f>
        <v>0</v>
      </c>
      <c r="S27">
        <f>'DSGE HVD wFG'!S27-'DSGE HVD woFG'!S27</f>
        <v>-0.14226142847033707</v>
      </c>
      <c r="T27">
        <f>'DSGE HVD wFG'!T27-'DSGE HVD woFG'!T27</f>
        <v>-2.9103928278901986E-3</v>
      </c>
      <c r="U27">
        <f>'DSGE HVD wFG'!U27-'DSGE HVD woFG'!U27</f>
        <v>-0.69189729946113987</v>
      </c>
      <c r="Y27" s="1">
        <f t="shared" si="1"/>
        <v>41455</v>
      </c>
      <c r="Z27" s="7">
        <f t="shared" si="1"/>
        <v>-3.8805224036214947E-3</v>
      </c>
      <c r="AA27" s="7">
        <f t="shared" si="1"/>
        <v>-9.4522105603990214E-3</v>
      </c>
      <c r="AB27" s="7">
        <f t="shared" si="1"/>
        <v>-0.50828762149507101</v>
      </c>
      <c r="AC27" s="7">
        <f t="shared" si="2"/>
        <v>-0.12322951535565227</v>
      </c>
      <c r="AD27" s="7">
        <f t="shared" si="3"/>
        <v>2.1311558026525797E-2</v>
      </c>
      <c r="AE27" s="7">
        <f t="shared" si="4"/>
        <v>-6.5448594845040994E-2</v>
      </c>
      <c r="AF27" s="7">
        <f t="shared" si="5"/>
        <v>-5.7899845804250046E-17</v>
      </c>
      <c r="AG27" s="7">
        <f t="shared" si="5"/>
        <v>1.4383588169203976E-15</v>
      </c>
      <c r="AH27" s="7">
        <f t="shared" si="6"/>
        <v>-2.9103928278800977E-3</v>
      </c>
      <c r="AI27" s="7">
        <f t="shared" si="0"/>
        <v>-0.69189729946113765</v>
      </c>
      <c r="AJ27" s="8">
        <f t="shared" si="7"/>
        <v>-0.18867811020069325</v>
      </c>
      <c r="AK27" s="8">
        <f t="shared" si="8"/>
        <v>-0.49642827402894424</v>
      </c>
      <c r="AL27" s="8">
        <f t="shared" si="9"/>
        <v>-3.8805224036214947E-3</v>
      </c>
      <c r="AM27" s="8">
        <f t="shared" si="10"/>
        <v>-2.9103928278800977E-3</v>
      </c>
      <c r="AN27" s="8">
        <f t="shared" si="11"/>
        <v>-0.69189729946113898</v>
      </c>
      <c r="AO27" s="9">
        <f t="shared" si="13"/>
        <v>0.49947537069585274</v>
      </c>
      <c r="AP27" s="9">
        <f t="shared" si="13"/>
        <v>0.50964809212872553</v>
      </c>
      <c r="AQ27" s="9">
        <f t="shared" si="13"/>
        <v>-9.4612394147657979E-3</v>
      </c>
      <c r="AR27" s="9">
        <f t="shared" si="13"/>
        <v>3.3777659018676564E-4</v>
      </c>
      <c r="AS27" s="9">
        <f t="shared" si="13"/>
        <v>1</v>
      </c>
      <c r="AT27" s="7"/>
      <c r="AU27" s="7"/>
      <c r="AV27" s="7"/>
      <c r="AW27" s="7"/>
      <c r="AX27" s="7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</row>
    <row r="28" spans="1:87" x14ac:dyDescent="0.25">
      <c r="A28" s="1">
        <v>41547</v>
      </c>
      <c r="B28">
        <f>'DSGE HVD wFG'!B28-'DSGE HVD woFG'!B28</f>
        <v>-4.3051696003475054E-3</v>
      </c>
      <c r="C28">
        <f>'DSGE HVD wFG'!C28-'DSGE HVD woFG'!C28</f>
        <v>-3.8651324145868027E-2</v>
      </c>
      <c r="D28">
        <f>'DSGE HVD wFG'!D28-'DSGE HVD woFG'!D28</f>
        <v>-0.55566101580105098</v>
      </c>
      <c r="E28">
        <f>'DSGE HVD wFG'!E28-'DSGE HVD woFG'!E28</f>
        <v>1.9800074855664804E-2</v>
      </c>
      <c r="F28">
        <f>'DSGE HVD wFG'!F28-'DSGE HVD woFG'!F28</f>
        <v>1.4160760439968001E-2</v>
      </c>
      <c r="G28">
        <f>'DSGE HVD wFG'!G28-'DSGE HVD woFG'!G28</f>
        <v>1.2342370065598603E-18</v>
      </c>
      <c r="H28">
        <f>'DSGE HVD wFG'!H28-'DSGE HVD woFG'!H28</f>
        <v>1.4018557577020003E-15</v>
      </c>
      <c r="I28">
        <f>'DSGE HVD wFG'!I28-'DSGE HVD woFG'!I28</f>
        <v>-5.423988571537872E-15</v>
      </c>
      <c r="J28">
        <f>'DSGE HVD wFG'!J28-'DSGE HVD woFG'!J28</f>
        <v>2.8203515130946799E-15</v>
      </c>
      <c r="K28">
        <f>'DSGE HVD wFG'!K28-'DSGE HVD woFG'!K28</f>
        <v>2.5364983428301123E-15</v>
      </c>
      <c r="L28">
        <f>'DSGE HVD wFG'!L28-'DSGE HVD woFG'!L28</f>
        <v>3.2317297422778499E-15</v>
      </c>
      <c r="M28">
        <f>'DSGE HVD wFG'!M28-'DSGE HVD woFG'!M28</f>
        <v>5.3357145207139499E-15</v>
      </c>
      <c r="N28">
        <f>'DSGE HVD wFG'!N28-'DSGE HVD woFG'!N28</f>
        <v>5.6131925757760998E-15</v>
      </c>
      <c r="O28">
        <f>'DSGE HVD wFG'!O28-'DSGE HVD woFG'!O28</f>
        <v>-1.9787750162288799E-15</v>
      </c>
      <c r="P28">
        <f>'DSGE HVD wFG'!P28-'DSGE HVD woFG'!P28</f>
        <v>-3.2513035527899856E-16</v>
      </c>
      <c r="Q28">
        <f>'DSGE HVD wFG'!Q28-'DSGE HVD woFG'!Q28</f>
        <v>-6.9853028835554096E-2</v>
      </c>
      <c r="R28">
        <f>'DSGE HVD wFG'!R28-'DSGE HVD woFG'!R28</f>
        <v>0</v>
      </c>
      <c r="S28">
        <f>'DSGE HVD wFG'!S28-'DSGE HVD woFG'!S28</f>
        <v>-0.16892585973810803</v>
      </c>
      <c r="T28">
        <f>'DSGE HVD wFG'!T28-'DSGE HVD woFG'!T28</f>
        <v>-2.879991196597799E-3</v>
      </c>
      <c r="U28">
        <f>'DSGE HVD wFG'!U28-'DSGE HVD woFG'!U28</f>
        <v>-0.80631555402188981</v>
      </c>
      <c r="Y28" s="1">
        <f t="shared" si="1"/>
        <v>41547</v>
      </c>
      <c r="Z28" s="7">
        <f t="shared" si="1"/>
        <v>-4.3051696003475054E-3</v>
      </c>
      <c r="AA28" s="7">
        <f t="shared" si="1"/>
        <v>-3.8651324145868027E-2</v>
      </c>
      <c r="AB28" s="7">
        <f t="shared" si="1"/>
        <v>-0.55566101580105098</v>
      </c>
      <c r="AC28" s="7">
        <f t="shared" si="2"/>
        <v>-0.15476509929814003</v>
      </c>
      <c r="AD28" s="7">
        <f t="shared" si="3"/>
        <v>1.9800074855664804E-2</v>
      </c>
      <c r="AE28" s="7">
        <f t="shared" si="4"/>
        <v>-6.9853028835554096E-2</v>
      </c>
      <c r="AF28" s="7">
        <f t="shared" si="5"/>
        <v>1.2342370065598603E-18</v>
      </c>
      <c r="AG28" s="7">
        <f t="shared" si="5"/>
        <v>1.4018557577020003E-15</v>
      </c>
      <c r="AH28" s="7">
        <f t="shared" si="6"/>
        <v>-2.8799911965859898E-3</v>
      </c>
      <c r="AI28" s="7">
        <f t="shared" si="0"/>
        <v>-0.80631555402188038</v>
      </c>
      <c r="AJ28" s="8">
        <f t="shared" si="7"/>
        <v>-0.22461812813369414</v>
      </c>
      <c r="AK28" s="8">
        <f t="shared" si="8"/>
        <v>-0.57451226509125419</v>
      </c>
      <c r="AL28" s="8">
        <f t="shared" si="9"/>
        <v>-4.3051696003475054E-3</v>
      </c>
      <c r="AM28" s="8">
        <f t="shared" si="10"/>
        <v>-2.8799911965859898E-3</v>
      </c>
      <c r="AN28" s="8">
        <f t="shared" si="11"/>
        <v>-0.80631555402188182</v>
      </c>
      <c r="AO28" s="9">
        <f t="shared" si="13"/>
        <v>0.31411087392458781</v>
      </c>
      <c r="AP28" s="9">
        <f t="shared" si="13"/>
        <v>0.68244347339572808</v>
      </c>
      <c r="AQ28" s="9">
        <f t="shared" si="13"/>
        <v>3.7113588068289597E-3</v>
      </c>
      <c r="AR28" s="9">
        <f t="shared" si="13"/>
        <v>-2.6570612714571843E-4</v>
      </c>
      <c r="AS28" s="9">
        <f t="shared" si="13"/>
        <v>1</v>
      </c>
      <c r="AT28" s="7"/>
      <c r="AU28" s="7"/>
      <c r="AV28" s="7"/>
      <c r="AW28" s="7"/>
      <c r="AX28" s="7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</row>
    <row r="29" spans="1:87" x14ac:dyDescent="0.25">
      <c r="A29" s="1">
        <v>41639</v>
      </c>
      <c r="B29">
        <f>'DSGE HVD wFG'!B29-'DSGE HVD woFG'!B29</f>
        <v>-5.0010429681340007E-3</v>
      </c>
      <c r="C29">
        <f>'DSGE HVD wFG'!C29-'DSGE HVD woFG'!C29</f>
        <v>-4.3031957923910014E-2</v>
      </c>
      <c r="D29">
        <f>'DSGE HVD wFG'!D29-'DSGE HVD woFG'!D29</f>
        <v>-0.569097201407327</v>
      </c>
      <c r="E29">
        <f>'DSGE HVD wFG'!E29-'DSGE HVD woFG'!E29</f>
        <v>1.8073243173512596E-2</v>
      </c>
      <c r="F29">
        <f>'DSGE HVD wFG'!F29-'DSGE HVD woFG'!F29</f>
        <v>9.6012848658789951E-3</v>
      </c>
      <c r="G29">
        <f>'DSGE HVD wFG'!G29-'DSGE HVD woFG'!G29</f>
        <v>1.8442356232160433E-17</v>
      </c>
      <c r="H29">
        <f>'DSGE HVD wFG'!H29-'DSGE HVD woFG'!H29</f>
        <v>1.3535872357446E-15</v>
      </c>
      <c r="I29">
        <f>'DSGE HVD wFG'!I29-'DSGE HVD woFG'!I29</f>
        <v>-5.9754694162409896E-15</v>
      </c>
      <c r="J29">
        <f>'DSGE HVD wFG'!J29-'DSGE HVD woFG'!J29</f>
        <v>3.0699103691452899E-15</v>
      </c>
      <c r="K29">
        <f>'DSGE HVD wFG'!K29-'DSGE HVD woFG'!K29</f>
        <v>2.8132922774124203E-15</v>
      </c>
      <c r="L29">
        <f>'DSGE HVD wFG'!L29-'DSGE HVD woFG'!L29</f>
        <v>3.8589659442540701E-15</v>
      </c>
      <c r="M29">
        <f>'DSGE HVD wFG'!M29-'DSGE HVD woFG'!M29</f>
        <v>4.9017201283805801E-15</v>
      </c>
      <c r="N29">
        <f>'DSGE HVD wFG'!N29-'DSGE HVD woFG'!N29</f>
        <v>5.9982160846841493E-15</v>
      </c>
      <c r="O29">
        <f>'DSGE HVD wFG'!O29-'DSGE HVD woFG'!O29</f>
        <v>-1.86816796649548E-15</v>
      </c>
      <c r="P29">
        <f>'DSGE HVD wFG'!P29-'DSGE HVD woFG'!P29</f>
        <v>-4.3616425922700663E-16</v>
      </c>
      <c r="Q29">
        <f>'DSGE HVD wFG'!Q29-'DSGE HVD woFG'!Q29</f>
        <v>-6.5487604960583284E-2</v>
      </c>
      <c r="R29">
        <f>'DSGE HVD wFG'!R29-'DSGE HVD woFG'!R29</f>
        <v>0</v>
      </c>
      <c r="S29">
        <f>'DSGE HVD wFG'!S29-'DSGE HVD woFG'!S29</f>
        <v>-0.16619110330978515</v>
      </c>
      <c r="T29">
        <f>'DSGE HVD wFG'!T29-'DSGE HVD woFG'!T29</f>
        <v>-2.8499217088549002E-3</v>
      </c>
      <c r="U29">
        <f>'DSGE HVD wFG'!U29-'DSGE HVD woFG'!U29</f>
        <v>-0.8239843042392001</v>
      </c>
      <c r="Y29" s="1">
        <f t="shared" si="1"/>
        <v>41639</v>
      </c>
      <c r="Z29" s="7">
        <f t="shared" si="1"/>
        <v>-5.0010429681340007E-3</v>
      </c>
      <c r="AA29" s="7">
        <f t="shared" si="1"/>
        <v>-4.3031957923910014E-2</v>
      </c>
      <c r="AB29" s="7">
        <f t="shared" si="1"/>
        <v>-0.569097201407327</v>
      </c>
      <c r="AC29" s="7">
        <f t="shared" si="2"/>
        <v>-0.15658981844390615</v>
      </c>
      <c r="AD29" s="7">
        <f t="shared" si="3"/>
        <v>1.8073243173512596E-2</v>
      </c>
      <c r="AE29" s="7">
        <f t="shared" si="4"/>
        <v>-6.5487604960583284E-2</v>
      </c>
      <c r="AF29" s="7">
        <f t="shared" si="5"/>
        <v>1.8442356232160433E-17</v>
      </c>
      <c r="AG29" s="7">
        <f t="shared" si="5"/>
        <v>1.3535872357446E-15</v>
      </c>
      <c r="AH29" s="7">
        <f t="shared" si="6"/>
        <v>-2.8499217088425377E-3</v>
      </c>
      <c r="AI29" s="7">
        <f t="shared" si="0"/>
        <v>-0.82398430423918911</v>
      </c>
      <c r="AJ29" s="8">
        <f t="shared" si="7"/>
        <v>-0.22207742340448944</v>
      </c>
      <c r="AK29" s="8">
        <f t="shared" si="8"/>
        <v>-0.59405591615772446</v>
      </c>
      <c r="AL29" s="8">
        <f t="shared" si="9"/>
        <v>-5.0010429681340007E-3</v>
      </c>
      <c r="AM29" s="8">
        <f t="shared" si="10"/>
        <v>-2.8499217088425377E-3</v>
      </c>
      <c r="AN29" s="8">
        <f t="shared" si="11"/>
        <v>-0.82398430423919045</v>
      </c>
      <c r="AO29" s="9">
        <f t="shared" si="13"/>
        <v>-0.1437965163328746</v>
      </c>
      <c r="AP29" s="9">
        <f t="shared" si="13"/>
        <v>1.1061139484175262</v>
      </c>
      <c r="AQ29" s="9">
        <f t="shared" si="13"/>
        <v>3.938441368109926E-2</v>
      </c>
      <c r="AR29" s="9">
        <f t="shared" si="13"/>
        <v>-1.7018457657517587E-3</v>
      </c>
      <c r="AS29" s="9">
        <f t="shared" si="13"/>
        <v>1</v>
      </c>
      <c r="AT29" s="7"/>
      <c r="AU29" s="7"/>
      <c r="AV29" s="7"/>
      <c r="AW29" s="7"/>
      <c r="AX29" s="7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</row>
    <row r="30" spans="1:87" x14ac:dyDescent="0.25">
      <c r="A30" s="1">
        <v>41729</v>
      </c>
      <c r="B30">
        <f>'DSGE HVD wFG'!B30-'DSGE HVD woFG'!B30</f>
        <v>-5.7298596066309992E-3</v>
      </c>
      <c r="C30">
        <f>'DSGE HVD wFG'!C30-'DSGE HVD woFG'!C30</f>
        <v>-3.5706559308215979E-2</v>
      </c>
      <c r="D30">
        <f>'DSGE HVD wFG'!D30-'DSGE HVD woFG'!D30</f>
        <v>-0.56471101167759297</v>
      </c>
      <c r="E30">
        <f>'DSGE HVD wFG'!E30-'DSGE HVD woFG'!E30</f>
        <v>1.6250159923802104E-2</v>
      </c>
      <c r="F30">
        <f>'DSGE HVD wFG'!F30-'DSGE HVD woFG'!F30</f>
        <v>5.3130354601359925E-3</v>
      </c>
      <c r="G30">
        <f>'DSGE HVD wFG'!G30-'DSGE HVD woFG'!G30</f>
        <v>1.5920307326299942E-17</v>
      </c>
      <c r="H30">
        <f>'DSGE HVD wFG'!H30-'DSGE HVD woFG'!H30</f>
        <v>1.2984405939737982E-15</v>
      </c>
      <c r="I30">
        <f>'DSGE HVD wFG'!I30-'DSGE HVD woFG'!I30</f>
        <v>-6.4157862774424206E-15</v>
      </c>
      <c r="J30">
        <f>'DSGE HVD wFG'!J30-'DSGE HVD woFG'!J30</f>
        <v>2.9088459080833298E-15</v>
      </c>
      <c r="K30">
        <f>'DSGE HVD wFG'!K30-'DSGE HVD woFG'!K30</f>
        <v>3.0218864341104699E-15</v>
      </c>
      <c r="L30">
        <f>'DSGE HVD wFG'!L30-'DSGE HVD woFG'!L30</f>
        <v>4.3761281257454403E-15</v>
      </c>
      <c r="M30">
        <f>'DSGE HVD wFG'!M30-'DSGE HVD woFG'!M30</f>
        <v>5.1624089264152397E-15</v>
      </c>
      <c r="N30">
        <f>'DSGE HVD wFG'!N30-'DSGE HVD woFG'!N30</f>
        <v>5.594043732943E-15</v>
      </c>
      <c r="O30">
        <f>'DSGE HVD wFG'!O30-'DSGE HVD woFG'!O30</f>
        <v>-2.18380336135601E-15</v>
      </c>
      <c r="P30">
        <f>'DSGE HVD wFG'!P30-'DSGE HVD woFG'!P30</f>
        <v>-1.3159776223000054E-16</v>
      </c>
      <c r="Q30">
        <f>'DSGE HVD wFG'!Q30-'DSGE HVD woFG'!Q30</f>
        <v>-5.7061744565568499E-2</v>
      </c>
      <c r="R30">
        <f>'DSGE HVD wFG'!R30-'DSGE HVD woFG'!R30</f>
        <v>0</v>
      </c>
      <c r="S30">
        <f>'DSGE HVD wFG'!S30-'DSGE HVD woFG'!S30</f>
        <v>-0.14917897903602395</v>
      </c>
      <c r="T30">
        <f>'DSGE HVD wFG'!T30-'DSGE HVD woFG'!T30</f>
        <v>-2.8201805057181985E-3</v>
      </c>
      <c r="U30">
        <f>'DSGE HVD wFG'!U30-'DSGE HVD woFG'!U30</f>
        <v>-0.79364513931580016</v>
      </c>
      <c r="Y30" s="1">
        <f t="shared" si="1"/>
        <v>41729</v>
      </c>
      <c r="Z30" s="7">
        <f t="shared" si="1"/>
        <v>-5.7298596066309992E-3</v>
      </c>
      <c r="AA30" s="7">
        <f t="shared" si="1"/>
        <v>-3.5706559308215979E-2</v>
      </c>
      <c r="AB30" s="7">
        <f t="shared" si="1"/>
        <v>-0.56471101167759297</v>
      </c>
      <c r="AC30" s="7">
        <f t="shared" si="2"/>
        <v>-0.14386594357588794</v>
      </c>
      <c r="AD30" s="7">
        <f t="shared" si="3"/>
        <v>1.6250159923802104E-2</v>
      </c>
      <c r="AE30" s="7">
        <f t="shared" si="4"/>
        <v>-5.7061744565568499E-2</v>
      </c>
      <c r="AF30" s="7">
        <f t="shared" si="5"/>
        <v>1.5920307326299942E-17</v>
      </c>
      <c r="AG30" s="7">
        <f t="shared" si="5"/>
        <v>1.2984405939737982E-15</v>
      </c>
      <c r="AH30" s="7">
        <f t="shared" si="6"/>
        <v>-2.8201805057058663E-3</v>
      </c>
      <c r="AI30" s="7">
        <f t="shared" si="0"/>
        <v>-0.79364513931579883</v>
      </c>
      <c r="AJ30" s="8">
        <f t="shared" si="7"/>
        <v>-0.20092768814145645</v>
      </c>
      <c r="AK30" s="8">
        <f t="shared" si="8"/>
        <v>-0.58416741106200687</v>
      </c>
      <c r="AL30" s="8">
        <f t="shared" si="9"/>
        <v>-5.7298596066309992E-3</v>
      </c>
      <c r="AM30" s="8">
        <f t="shared" si="10"/>
        <v>-2.8201805057058663E-3</v>
      </c>
      <c r="AN30" s="8">
        <f t="shared" si="11"/>
        <v>-0.79364513931580016</v>
      </c>
      <c r="AO30" s="9">
        <f t="shared" si="13"/>
        <v>0.69711000010838753</v>
      </c>
      <c r="AP30" s="9">
        <f t="shared" si="13"/>
        <v>0.32593201298345398</v>
      </c>
      <c r="AQ30" s="9">
        <f t="shared" si="13"/>
        <v>-2.4022303855011844E-2</v>
      </c>
      <c r="AR30" s="9">
        <f t="shared" si="13"/>
        <v>9.8029076316936015E-4</v>
      </c>
      <c r="AS30" s="9">
        <f t="shared" si="13"/>
        <v>1</v>
      </c>
      <c r="AT30" s="7"/>
      <c r="AU30" s="7"/>
      <c r="AV30" s="7"/>
      <c r="AW30" s="7"/>
      <c r="AX30" s="7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</row>
    <row r="31" spans="1:87" x14ac:dyDescent="0.25">
      <c r="A31" s="1">
        <v>41820</v>
      </c>
      <c r="B31">
        <f>'DSGE HVD wFG'!B31-'DSGE HVD woFG'!B31</f>
        <v>-6.3754523316850026E-3</v>
      </c>
      <c r="C31">
        <f>'DSGE HVD wFG'!C31-'DSGE HVD woFG'!C31</f>
        <v>-3.0811575041340022E-2</v>
      </c>
      <c r="D31">
        <f>'DSGE HVD wFG'!D31-'DSGE HVD woFG'!D31</f>
        <v>-0.55938345604030904</v>
      </c>
      <c r="E31">
        <f>'DSGE HVD wFG'!E31-'DSGE HVD woFG'!E31</f>
        <v>1.4885130705203697E-2</v>
      </c>
      <c r="F31">
        <f>'DSGE HVD wFG'!F31-'DSGE HVD woFG'!F31</f>
        <v>1.1550940896200013E-3</v>
      </c>
      <c r="G31">
        <f>'DSGE HVD wFG'!G31-'DSGE HVD woFG'!G31</f>
        <v>2.5130590692719635E-17</v>
      </c>
      <c r="H31">
        <f>'DSGE HVD wFG'!H31-'DSGE HVD woFG'!H31</f>
        <v>1.2398934162290996E-15</v>
      </c>
      <c r="I31">
        <f>'DSGE HVD wFG'!I31-'DSGE HVD woFG'!I31</f>
        <v>-6.7734766310631798E-15</v>
      </c>
      <c r="J31">
        <f>'DSGE HVD wFG'!J31-'DSGE HVD woFG'!J31</f>
        <v>3.1397765261087903E-15</v>
      </c>
      <c r="K31">
        <f>'DSGE HVD wFG'!K31-'DSGE HVD woFG'!K31</f>
        <v>2.9732826590975601E-15</v>
      </c>
      <c r="L31">
        <f>'DSGE HVD wFG'!L31-'DSGE HVD woFG'!L31</f>
        <v>4.3919613230435502E-15</v>
      </c>
      <c r="M31">
        <f>'DSGE HVD wFG'!M31-'DSGE HVD woFG'!M31</f>
        <v>5.4527052252219802E-15</v>
      </c>
      <c r="N31">
        <f>'DSGE HVD wFG'!N31-'DSGE HVD woFG'!N31</f>
        <v>5.3014702825117801E-15</v>
      </c>
      <c r="O31">
        <f>'DSGE HVD wFG'!O31-'DSGE HVD woFG'!O31</f>
        <v>-2.3933853858409301E-15</v>
      </c>
      <c r="P31">
        <f>'DSGE HVD wFG'!P31-'DSGE HVD woFG'!P31</f>
        <v>2.3535963436200796E-16</v>
      </c>
      <c r="Q31">
        <f>'DSGE HVD wFG'!Q31-'DSGE HVD woFG'!Q31</f>
        <v>-4.9119878175058695E-2</v>
      </c>
      <c r="R31">
        <f>'DSGE HVD wFG'!R31-'DSGE HVD woFG'!R31</f>
        <v>0</v>
      </c>
      <c r="S31">
        <f>'DSGE HVD wFG'!S31-'DSGE HVD woFG'!S31</f>
        <v>-0.133046471227378</v>
      </c>
      <c r="T31">
        <f>'DSGE HVD wFG'!T31-'DSGE HVD woFG'!T31</f>
        <v>-2.7907637768571983E-3</v>
      </c>
      <c r="U31">
        <f>'DSGE HVD wFG'!U31-'DSGE HVD woFG'!U31</f>
        <v>-0.76548737179779014</v>
      </c>
      <c r="Y31" s="1">
        <f t="shared" si="1"/>
        <v>41820</v>
      </c>
      <c r="Z31" s="7">
        <f t="shared" si="1"/>
        <v>-6.3754523316850026E-3</v>
      </c>
      <c r="AA31" s="7">
        <f t="shared" si="1"/>
        <v>-3.0811575041340022E-2</v>
      </c>
      <c r="AB31" s="7">
        <f t="shared" si="1"/>
        <v>-0.55938345604030904</v>
      </c>
      <c r="AC31" s="7">
        <f t="shared" si="2"/>
        <v>-0.131891377137758</v>
      </c>
      <c r="AD31" s="7">
        <f t="shared" si="3"/>
        <v>1.4885130705203697E-2</v>
      </c>
      <c r="AE31" s="7">
        <f t="shared" si="4"/>
        <v>-4.9119878175058695E-2</v>
      </c>
      <c r="AF31" s="7">
        <f t="shared" si="5"/>
        <v>2.5130590692719635E-17</v>
      </c>
      <c r="AG31" s="7">
        <f t="shared" si="5"/>
        <v>1.2398934162290996E-15</v>
      </c>
      <c r="AH31" s="7">
        <f t="shared" si="6"/>
        <v>-2.7907637768448709E-3</v>
      </c>
      <c r="AI31" s="7">
        <f t="shared" si="0"/>
        <v>-0.76548737179779069</v>
      </c>
      <c r="AJ31" s="8">
        <f t="shared" si="7"/>
        <v>-0.1810112553128167</v>
      </c>
      <c r="AK31" s="8">
        <f t="shared" si="8"/>
        <v>-0.57530990037644536</v>
      </c>
      <c r="AL31" s="8">
        <f t="shared" si="9"/>
        <v>-6.3754523316850026E-3</v>
      </c>
      <c r="AM31" s="8">
        <f t="shared" si="10"/>
        <v>-2.7907637768448709E-3</v>
      </c>
      <c r="AN31" s="8">
        <f t="shared" si="11"/>
        <v>-0.76548737179779192</v>
      </c>
      <c r="AO31" s="9">
        <f t="shared" si="13"/>
        <v>0.70731576343551505</v>
      </c>
      <c r="AP31" s="9">
        <f t="shared" si="13"/>
        <v>0.31456722127905579</v>
      </c>
      <c r="AQ31" s="9">
        <f t="shared" si="13"/>
        <v>-2.2927695693243995E-2</v>
      </c>
      <c r="AR31" s="9">
        <f t="shared" si="13"/>
        <v>1.0447109786733627E-3</v>
      </c>
      <c r="AS31" s="9">
        <f t="shared" si="13"/>
        <v>1</v>
      </c>
      <c r="AT31" s="7"/>
      <c r="AU31" s="7"/>
      <c r="AV31" s="7"/>
      <c r="AW31" s="7"/>
      <c r="AX31" s="7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</row>
    <row r="32" spans="1:87" x14ac:dyDescent="0.25">
      <c r="A32" s="1">
        <v>41912</v>
      </c>
      <c r="B32">
        <f>'DSGE HVD wFG'!B32-'DSGE HVD woFG'!B32</f>
        <v>-7.0991652420539925E-3</v>
      </c>
      <c r="C32">
        <f>'DSGE HVD wFG'!C32-'DSGE HVD woFG'!C32</f>
        <v>-2.6442314395306976E-2</v>
      </c>
      <c r="D32">
        <f>'DSGE HVD wFG'!D32-'DSGE HVD woFG'!D32</f>
        <v>-0.55021881056910393</v>
      </c>
      <c r="E32">
        <f>'DSGE HVD wFG'!E32-'DSGE HVD woFG'!E32</f>
        <v>1.3892843019158801E-2</v>
      </c>
      <c r="F32">
        <f>'DSGE HVD wFG'!F32-'DSGE HVD woFG'!F32</f>
        <v>-2.5196028574940021E-3</v>
      </c>
      <c r="G32">
        <f>'DSGE HVD wFG'!G32-'DSGE HVD woFG'!G32</f>
        <v>1.2493731343709823E-17</v>
      </c>
      <c r="H32">
        <f>'DSGE HVD wFG'!H32-'DSGE HVD woFG'!H32</f>
        <v>1.176102674216601E-15</v>
      </c>
      <c r="I32">
        <f>'DSGE HVD wFG'!I32-'DSGE HVD woFG'!I32</f>
        <v>-7.5012084233134696E-15</v>
      </c>
      <c r="J32">
        <f>'DSGE HVD wFG'!J32-'DSGE HVD woFG'!J32</f>
        <v>3.1287126199573899E-15</v>
      </c>
      <c r="K32">
        <f>'DSGE HVD wFG'!K32-'DSGE HVD woFG'!K32</f>
        <v>3.4132146928546897E-15</v>
      </c>
      <c r="L32">
        <f>'DSGE HVD wFG'!L32-'DSGE HVD woFG'!L32</f>
        <v>4.2422075012246194E-15</v>
      </c>
      <c r="M32">
        <f>'DSGE HVD wFG'!M32-'DSGE HVD woFG'!M32</f>
        <v>5.4092452790427103E-15</v>
      </c>
      <c r="N32">
        <f>'DSGE HVD wFG'!N32-'DSGE HVD woFG'!N32</f>
        <v>5.24441015062408E-15</v>
      </c>
      <c r="O32">
        <f>'DSGE HVD wFG'!O32-'DSGE HVD woFG'!O32</f>
        <v>-2.3807946357167797E-15</v>
      </c>
      <c r="P32">
        <f>'DSGE HVD wFG'!P32-'DSGE HVD woFG'!P32</f>
        <v>7.389615895890076E-16</v>
      </c>
      <c r="Q32">
        <f>'DSGE HVD wFG'!Q32-'DSGE HVD woFG'!Q32</f>
        <v>-3.8855707373956209E-2</v>
      </c>
      <c r="R32">
        <f>'DSGE HVD wFG'!R32-'DSGE HVD woFG'!R32</f>
        <v>0</v>
      </c>
      <c r="S32">
        <f>'DSGE HVD wFG'!S32-'DSGE HVD woFG'!S32</f>
        <v>-0.11465269083049101</v>
      </c>
      <c r="T32">
        <f>'DSGE HVD wFG'!T32-'DSGE HVD woFG'!T32</f>
        <v>-2.7616677598891991E-3</v>
      </c>
      <c r="U32">
        <f>'DSGE HVD wFG'!U32-'DSGE HVD woFG'!U32</f>
        <v>-0.7286571160091202</v>
      </c>
      <c r="Y32" s="1">
        <f t="shared" si="1"/>
        <v>41912</v>
      </c>
      <c r="Z32" s="7">
        <f t="shared" si="1"/>
        <v>-7.0991652420539925E-3</v>
      </c>
      <c r="AA32" s="7">
        <f t="shared" si="1"/>
        <v>-2.6442314395306976E-2</v>
      </c>
      <c r="AB32" s="7">
        <f t="shared" si="1"/>
        <v>-0.55021881056910393</v>
      </c>
      <c r="AC32" s="7">
        <f t="shared" si="2"/>
        <v>-0.11717229368798501</v>
      </c>
      <c r="AD32" s="7">
        <f t="shared" si="3"/>
        <v>1.3892843019158801E-2</v>
      </c>
      <c r="AE32" s="7">
        <f t="shared" si="4"/>
        <v>-3.8855707373956209E-2</v>
      </c>
      <c r="AF32" s="7">
        <f t="shared" si="5"/>
        <v>1.2493731343709823E-17</v>
      </c>
      <c r="AG32" s="7">
        <f t="shared" si="5"/>
        <v>1.176102674216601E-15</v>
      </c>
      <c r="AH32" s="7">
        <f t="shared" si="6"/>
        <v>-2.7616677598769047E-3</v>
      </c>
      <c r="AI32" s="7">
        <f t="shared" si="0"/>
        <v>-0.72865711600912286</v>
      </c>
      <c r="AJ32" s="8">
        <f t="shared" si="7"/>
        <v>-0.15602800106194123</v>
      </c>
      <c r="AK32" s="8">
        <f t="shared" si="8"/>
        <v>-0.56276828194525208</v>
      </c>
      <c r="AL32" s="8">
        <f t="shared" si="9"/>
        <v>-7.0991652420539925E-3</v>
      </c>
      <c r="AM32" s="8">
        <f t="shared" si="10"/>
        <v>-2.7616677598769047E-3</v>
      </c>
      <c r="AN32" s="8">
        <f t="shared" si="11"/>
        <v>-0.72865711600912419</v>
      </c>
      <c r="AO32" s="9">
        <f t="shared" si="13"/>
        <v>0.67833507305052576</v>
      </c>
      <c r="AP32" s="9">
        <f t="shared" si="13"/>
        <v>0.34052487995622888</v>
      </c>
      <c r="AQ32" s="9">
        <f t="shared" si="13"/>
        <v>-1.964995612633428E-2</v>
      </c>
      <c r="AR32" s="9">
        <f t="shared" si="13"/>
        <v>7.9000311957971219E-4</v>
      </c>
      <c r="AS32" s="9">
        <f t="shared" si="13"/>
        <v>1</v>
      </c>
      <c r="AT32" s="7"/>
      <c r="AU32" s="7"/>
      <c r="AV32" s="7"/>
      <c r="AW32" s="7"/>
      <c r="AX32" s="7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</row>
    <row r="33" spans="1:87" x14ac:dyDescent="0.25">
      <c r="A33" s="1">
        <v>42004</v>
      </c>
      <c r="B33">
        <f>'DSGE HVD wFG'!B33-'DSGE HVD woFG'!B33</f>
        <v>-7.6883742881750095E-3</v>
      </c>
      <c r="C33">
        <f>'DSGE HVD wFG'!C33-'DSGE HVD woFG'!C33</f>
        <v>-1.8059926180642893E-2</v>
      </c>
      <c r="D33">
        <f>'DSGE HVD wFG'!D33-'DSGE HVD woFG'!D33</f>
        <v>-0.53615245183516702</v>
      </c>
      <c r="E33">
        <f>'DSGE HVD wFG'!E33-'DSGE HVD woFG'!E33</f>
        <v>1.3277981727022298E-2</v>
      </c>
      <c r="F33">
        <f>'DSGE HVD wFG'!F33-'DSGE HVD woFG'!F33</f>
        <v>-5.9721550456069972E-3</v>
      </c>
      <c r="G33">
        <f>'DSGE HVD wFG'!G33-'DSGE HVD woFG'!G33</f>
        <v>9.5787857130204801E-18</v>
      </c>
      <c r="H33">
        <f>'DSGE HVD wFG'!H33-'DSGE HVD woFG'!H33</f>
        <v>1.1116255971244997E-15</v>
      </c>
      <c r="I33">
        <f>'DSGE HVD wFG'!I33-'DSGE HVD woFG'!I33</f>
        <v>-7.7969189664133507E-15</v>
      </c>
      <c r="J33">
        <f>'DSGE HVD wFG'!J33-'DSGE HVD woFG'!J33</f>
        <v>3.1261689962950598E-15</v>
      </c>
      <c r="K33">
        <f>'DSGE HVD wFG'!K33-'DSGE HVD woFG'!K33</f>
        <v>3.25208024872637E-15</v>
      </c>
      <c r="L33">
        <f>'DSGE HVD wFG'!L33-'DSGE HVD woFG'!L33</f>
        <v>4.3458259794584002E-15</v>
      </c>
      <c r="M33">
        <f>'DSGE HVD wFG'!M33-'DSGE HVD woFG'!M33</f>
        <v>5.4842460758066204E-15</v>
      </c>
      <c r="N33">
        <f>'DSGE HVD wFG'!N33-'DSGE HVD woFG'!N33</f>
        <v>5.3051928986808297E-15</v>
      </c>
      <c r="O33">
        <f>'DSGE HVD wFG'!O33-'DSGE HVD woFG'!O33</f>
        <v>-2.24725371219376E-15</v>
      </c>
      <c r="P33">
        <f>'DSGE HVD wFG'!P33-'DSGE HVD woFG'!P33</f>
        <v>1.358302206087005E-15</v>
      </c>
      <c r="Q33">
        <f>'DSGE HVD wFG'!Q33-'DSGE HVD woFG'!Q33</f>
        <v>-2.9344012777651002E-2</v>
      </c>
      <c r="R33">
        <f>'DSGE HVD wFG'!R33-'DSGE HVD woFG'!R33</f>
        <v>0</v>
      </c>
      <c r="S33">
        <f>'DSGE HVD wFG'!S33-'DSGE HVD woFG'!S33</f>
        <v>-9.2809143669579042E-2</v>
      </c>
      <c r="T33">
        <f>'DSGE HVD wFG'!T33-'DSGE HVD woFG'!T33</f>
        <v>-2.732888739720999E-3</v>
      </c>
      <c r="U33">
        <f>'DSGE HVD wFG'!U33-'DSGE HVD woFG'!U33</f>
        <v>-0.67948097080950021</v>
      </c>
      <c r="Y33" s="1">
        <f t="shared" si="1"/>
        <v>42004</v>
      </c>
      <c r="Z33" s="7">
        <f t="shared" si="1"/>
        <v>-7.6883742881750095E-3</v>
      </c>
      <c r="AA33" s="7">
        <f t="shared" si="1"/>
        <v>-1.8059926180642893E-2</v>
      </c>
      <c r="AB33" s="7">
        <f t="shared" si="1"/>
        <v>-0.53615245183516702</v>
      </c>
      <c r="AC33" s="7">
        <f t="shared" si="2"/>
        <v>-9.8781298715186039E-2</v>
      </c>
      <c r="AD33" s="7">
        <f t="shared" si="3"/>
        <v>1.3277981727022298E-2</v>
      </c>
      <c r="AE33" s="7">
        <f t="shared" si="4"/>
        <v>-2.9344012777651002E-2</v>
      </c>
      <c r="AF33" s="7">
        <f t="shared" si="5"/>
        <v>9.5787857130204801E-18</v>
      </c>
      <c r="AG33" s="7">
        <f t="shared" si="5"/>
        <v>1.1116255971244997E-15</v>
      </c>
      <c r="AH33" s="7">
        <f t="shared" si="6"/>
        <v>-2.7328887397081712E-3</v>
      </c>
      <c r="AI33" s="7">
        <f t="shared" si="0"/>
        <v>-0.67948097080950665</v>
      </c>
      <c r="AJ33" s="8">
        <f t="shared" si="7"/>
        <v>-0.12812531149283704</v>
      </c>
      <c r="AK33" s="8">
        <f t="shared" si="8"/>
        <v>-0.54093439628878759</v>
      </c>
      <c r="AL33" s="8">
        <f t="shared" si="9"/>
        <v>-7.6883742881750095E-3</v>
      </c>
      <c r="AM33" s="8">
        <f t="shared" si="10"/>
        <v>-2.7328887397081712E-3</v>
      </c>
      <c r="AN33" s="8">
        <f t="shared" si="11"/>
        <v>-0.67948097080950776</v>
      </c>
      <c r="AO33" s="9">
        <f t="shared" si="13"/>
        <v>0.56740294416817816</v>
      </c>
      <c r="AP33" s="9">
        <f t="shared" si="13"/>
        <v>0.44399343559435378</v>
      </c>
      <c r="AQ33" s="9">
        <f t="shared" si="13"/>
        <v>-1.1981602944462037E-2</v>
      </c>
      <c r="AR33" s="9">
        <f t="shared" si="13"/>
        <v>5.8522318192923237E-4</v>
      </c>
      <c r="AS33" s="9">
        <f t="shared" si="13"/>
        <v>1</v>
      </c>
      <c r="AT33" s="7"/>
      <c r="AU33" s="7"/>
      <c r="AV33" s="7"/>
      <c r="AW33" s="7"/>
      <c r="AX33" s="7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</row>
    <row r="34" spans="1:87" x14ac:dyDescent="0.25">
      <c r="A34" s="1">
        <v>42094</v>
      </c>
      <c r="B34">
        <f>'DSGE HVD wFG'!B34-'DSGE HVD woFG'!B34</f>
        <v>-8.3232629441979955E-3</v>
      </c>
      <c r="C34">
        <f>'DSGE HVD wFG'!C34-'DSGE HVD woFG'!C34</f>
        <v>-1.3052039397609017E-2</v>
      </c>
      <c r="D34">
        <f>'DSGE HVD wFG'!D34-'DSGE HVD woFG'!D34</f>
        <v>-0.52365874765918097</v>
      </c>
      <c r="E34">
        <f>'DSGE HVD wFG'!E34-'DSGE HVD woFG'!E34</f>
        <v>1.2215664460507598E-2</v>
      </c>
      <c r="F34">
        <f>'DSGE HVD wFG'!F34-'DSGE HVD woFG'!F34</f>
        <v>-8.8820802181049929E-3</v>
      </c>
      <c r="G34">
        <f>'DSGE HVD wFG'!G34-'DSGE HVD woFG'!G34</f>
        <v>-3.3375939441501175E-18</v>
      </c>
      <c r="H34">
        <f>'DSGE HVD wFG'!H34-'DSGE HVD woFG'!H34</f>
        <v>1.0455352885335014E-15</v>
      </c>
      <c r="I34">
        <f>'DSGE HVD wFG'!I34-'DSGE HVD woFG'!I34</f>
        <v>-8.3417231876709304E-15</v>
      </c>
      <c r="J34">
        <f>'DSGE HVD wFG'!J34-'DSGE HVD woFG'!J34</f>
        <v>3.0533527084206201E-15</v>
      </c>
      <c r="K34">
        <f>'DSGE HVD wFG'!K34-'DSGE HVD woFG'!K34</f>
        <v>3.3825177975439699E-15</v>
      </c>
      <c r="L34">
        <f>'DSGE HVD wFG'!L34-'DSGE HVD woFG'!L34</f>
        <v>4.4457197719814601E-15</v>
      </c>
      <c r="M34">
        <f>'DSGE HVD wFG'!M34-'DSGE HVD woFG'!M34</f>
        <v>5.5560852604615704E-15</v>
      </c>
      <c r="N34">
        <f>'DSGE HVD wFG'!N34-'DSGE HVD woFG'!N34</f>
        <v>5.37151291056963E-15</v>
      </c>
      <c r="O34">
        <f>'DSGE HVD wFG'!O34-'DSGE HVD woFG'!O34</f>
        <v>-2.1025673779983E-15</v>
      </c>
      <c r="P34">
        <f>'DSGE HVD wFG'!P34-'DSGE HVD woFG'!P34</f>
        <v>2.0095880052359987E-15</v>
      </c>
      <c r="Q34">
        <f>'DSGE HVD wFG'!Q34-'DSGE HVD woFG'!Q34</f>
        <v>-2.0356133150676397E-2</v>
      </c>
      <c r="R34">
        <f>'DSGE HVD wFG'!R34-'DSGE HVD woFG'!R34</f>
        <v>0</v>
      </c>
      <c r="S34">
        <f>'DSGE HVD wFG'!S34-'DSGE HVD woFG'!S34</f>
        <v>-7.2450857113467104E-2</v>
      </c>
      <c r="T34">
        <f>'DSGE HVD wFG'!T34-'DSGE HVD woFG'!T34</f>
        <v>-2.7044230479040983E-3</v>
      </c>
      <c r="U34">
        <f>'DSGE HVD wFG'!U34-'DSGE HVD woFG'!U34</f>
        <v>-0.63721187907062005</v>
      </c>
      <c r="Y34" s="1">
        <f t="shared" si="1"/>
        <v>42094</v>
      </c>
      <c r="Z34" s="7">
        <f t="shared" si="1"/>
        <v>-8.3232629441979955E-3</v>
      </c>
      <c r="AA34" s="7">
        <f t="shared" si="1"/>
        <v>-1.3052039397609017E-2</v>
      </c>
      <c r="AB34" s="7">
        <f t="shared" si="1"/>
        <v>-0.52365874765918097</v>
      </c>
      <c r="AC34" s="7">
        <f t="shared" si="2"/>
        <v>-8.1332937331572097E-2</v>
      </c>
      <c r="AD34" s="7">
        <f t="shared" si="3"/>
        <v>1.2215664460507598E-2</v>
      </c>
      <c r="AE34" s="7">
        <f t="shared" si="4"/>
        <v>-2.0356133150676397E-2</v>
      </c>
      <c r="AF34" s="7">
        <f t="shared" si="5"/>
        <v>-3.3375939441501175E-18</v>
      </c>
      <c r="AG34" s="7">
        <f t="shared" si="5"/>
        <v>1.0455352885335014E-15</v>
      </c>
      <c r="AH34" s="7">
        <f t="shared" si="6"/>
        <v>-2.7044230478907236E-3</v>
      </c>
      <c r="AI34" s="7">
        <f t="shared" si="0"/>
        <v>-0.63721187907061871</v>
      </c>
      <c r="AJ34" s="8">
        <f t="shared" si="7"/>
        <v>-0.1016890704822485</v>
      </c>
      <c r="AK34" s="8">
        <f t="shared" si="8"/>
        <v>-0.52449512259628239</v>
      </c>
      <c r="AL34" s="8">
        <f t="shared" si="9"/>
        <v>-8.3232629441979955E-3</v>
      </c>
      <c r="AM34" s="8">
        <f t="shared" si="10"/>
        <v>-2.7044230478907236E-3</v>
      </c>
      <c r="AN34" s="8">
        <f t="shared" si="11"/>
        <v>-0.6372118790706196</v>
      </c>
      <c r="AO34" s="9">
        <f t="shared" si="13"/>
        <v>0.62542723117626942</v>
      </c>
      <c r="AP34" s="9">
        <f t="shared" si="13"/>
        <v>0.38891949214467825</v>
      </c>
      <c r="AQ34" s="9">
        <f t="shared" si="13"/>
        <v>-1.5020163195010875E-2</v>
      </c>
      <c r="AR34" s="9">
        <f t="shared" si="13"/>
        <v>6.7343987406426255E-4</v>
      </c>
      <c r="AS34" s="9">
        <f t="shared" si="13"/>
        <v>1</v>
      </c>
      <c r="AT34" s="7"/>
      <c r="AU34" s="7"/>
      <c r="AV34" s="7"/>
      <c r="AW34" s="7"/>
      <c r="AX34" s="7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</row>
    <row r="35" spans="1:87" x14ac:dyDescent="0.25">
      <c r="A35" s="1">
        <v>42185</v>
      </c>
      <c r="B35">
        <f>'DSGE HVD wFG'!B35-'DSGE HVD woFG'!B35</f>
        <v>-8.73111350007999E-3</v>
      </c>
      <c r="C35">
        <f>'DSGE HVD wFG'!C35-'DSGE HVD woFG'!C35</f>
        <v>-6.9940990248309465E-3</v>
      </c>
      <c r="D35">
        <f>'DSGE HVD wFG'!D35-'DSGE HVD woFG'!D35</f>
        <v>-0.51248601023596008</v>
      </c>
      <c r="E35">
        <f>'DSGE HVD wFG'!E35-'DSGE HVD woFG'!E35</f>
        <v>1.0747880906970899E-2</v>
      </c>
      <c r="F35">
        <f>'DSGE HVD wFG'!F35-'DSGE HVD woFG'!F35</f>
        <v>-1.1756509966938E-2</v>
      </c>
      <c r="G35">
        <f>'DSGE HVD wFG'!G35-'DSGE HVD woFG'!G35</f>
        <v>1.7003768518029527E-17</v>
      </c>
      <c r="H35">
        <f>'DSGE HVD wFG'!H35-'DSGE HVD woFG'!H35</f>
        <v>9.8251529084870005E-16</v>
      </c>
      <c r="I35">
        <f>'DSGE HVD wFG'!I35-'DSGE HVD woFG'!I35</f>
        <v>-8.1320587183311704E-15</v>
      </c>
      <c r="J35">
        <f>'DSGE HVD wFG'!J35-'DSGE HVD woFG'!J35</f>
        <v>3.04459933821003E-15</v>
      </c>
      <c r="K35">
        <f>'DSGE HVD wFG'!K35-'DSGE HVD woFG'!K35</f>
        <v>3.3662008320631099E-15</v>
      </c>
      <c r="L35">
        <f>'DSGE HVD wFG'!L35-'DSGE HVD woFG'!L35</f>
        <v>4.4253801329797699E-15</v>
      </c>
      <c r="M35">
        <f>'DSGE HVD wFG'!M35-'DSGE HVD woFG'!M35</f>
        <v>5.5354576415701699E-15</v>
      </c>
      <c r="N35">
        <f>'DSGE HVD wFG'!N35-'DSGE HVD woFG'!N35</f>
        <v>5.3699150123686602E-15</v>
      </c>
      <c r="O35">
        <f>'DSGE HVD wFG'!O35-'DSGE HVD woFG'!O35</f>
        <v>-2.0057149570018899E-15</v>
      </c>
      <c r="P35">
        <f>'DSGE HVD wFG'!P35-'DSGE HVD woFG'!P35</f>
        <v>2.6084795259400061E-15</v>
      </c>
      <c r="Q35">
        <f>'DSGE HVD wFG'!Q35-'DSGE HVD woFG'!Q35</f>
        <v>-1.5691956544976397E-2</v>
      </c>
      <c r="R35">
        <f>'DSGE HVD wFG'!R35-'DSGE HVD woFG'!R35</f>
        <v>0</v>
      </c>
      <c r="S35">
        <f>'DSGE HVD wFG'!S35-'DSGE HVD woFG'!S35</f>
        <v>-5.3950260246669046E-2</v>
      </c>
      <c r="T35">
        <f>'DSGE HVD wFG'!T35-'DSGE HVD woFG'!T35</f>
        <v>-2.6762670619950996E-3</v>
      </c>
      <c r="U35">
        <f>'DSGE HVD wFG'!U35-'DSGE HVD woFG'!U35</f>
        <v>-0.60153833567445969</v>
      </c>
      <c r="Y35" s="1">
        <f t="shared" ref="Y35:AB66" si="14">+A35</f>
        <v>42185</v>
      </c>
      <c r="Z35" s="7">
        <f t="shared" si="14"/>
        <v>-8.73111350007999E-3</v>
      </c>
      <c r="AA35" s="7">
        <f t="shared" si="14"/>
        <v>-6.9940990248309465E-3</v>
      </c>
      <c r="AB35" s="7">
        <f t="shared" si="14"/>
        <v>-0.51248601023596008</v>
      </c>
      <c r="AC35" s="7">
        <f t="shared" si="2"/>
        <v>-6.5706770213607046E-2</v>
      </c>
      <c r="AD35" s="7">
        <f t="shared" si="3"/>
        <v>1.0747880906970899E-2</v>
      </c>
      <c r="AE35" s="7">
        <f t="shared" si="4"/>
        <v>-1.5691956544976397E-2</v>
      </c>
      <c r="AF35" s="7">
        <f t="shared" si="5"/>
        <v>1.7003768518029527E-17</v>
      </c>
      <c r="AG35" s="7">
        <f t="shared" si="5"/>
        <v>9.8251529084870005E-16</v>
      </c>
      <c r="AH35" s="7">
        <f t="shared" si="6"/>
        <v>-2.6762670619808874E-3</v>
      </c>
      <c r="AI35" s="7">
        <f t="shared" si="0"/>
        <v>-0.60153833567446346</v>
      </c>
      <c r="AJ35" s="8">
        <f t="shared" si="7"/>
        <v>-8.1398726758583451E-2</v>
      </c>
      <c r="AK35" s="8">
        <f t="shared" si="8"/>
        <v>-0.50873222835382015</v>
      </c>
      <c r="AL35" s="8">
        <f t="shared" si="9"/>
        <v>-8.73111350007999E-3</v>
      </c>
      <c r="AM35" s="8">
        <f t="shared" si="10"/>
        <v>-2.6762670619808874E-3</v>
      </c>
      <c r="AN35" s="8">
        <f t="shared" si="11"/>
        <v>-0.60153833567446457</v>
      </c>
      <c r="AO35" s="9">
        <f t="shared" si="13"/>
        <v>0.56877847816631488</v>
      </c>
      <c r="AP35" s="9">
        <f t="shared" si="13"/>
        <v>0.4418651118397508</v>
      </c>
      <c r="AQ35" s="9">
        <f t="shared" si="13"/>
        <v>-1.1432857996549721E-2</v>
      </c>
      <c r="AR35" s="9">
        <f t="shared" si="13"/>
        <v>7.8926799048705887E-4</v>
      </c>
      <c r="AS35" s="9">
        <f t="shared" si="13"/>
        <v>1</v>
      </c>
      <c r="AT35" s="7"/>
      <c r="AU35" s="7"/>
      <c r="AV35" s="7"/>
      <c r="AW35" s="7"/>
      <c r="AX35" s="7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</row>
    <row r="36" spans="1:87" x14ac:dyDescent="0.25">
      <c r="A36" s="1">
        <v>42277</v>
      </c>
      <c r="B36">
        <f>'DSGE HVD wFG'!B36-'DSGE HVD woFG'!B36</f>
        <v>-9.1724951629650053E-3</v>
      </c>
      <c r="C36">
        <f>'DSGE HVD wFG'!C36-'DSGE HVD woFG'!C36</f>
        <v>-3.1542250797900184E-3</v>
      </c>
      <c r="D36">
        <f>'DSGE HVD wFG'!D36-'DSGE HVD woFG'!D36</f>
        <v>-0.50374858284924284</v>
      </c>
      <c r="E36">
        <f>'DSGE HVD wFG'!E36-'DSGE HVD woFG'!E36</f>
        <v>9.4050340437179993E-3</v>
      </c>
      <c r="F36">
        <f>'DSGE HVD wFG'!F36-'DSGE HVD woFG'!F36</f>
        <v>-1.4230042809596999E-2</v>
      </c>
      <c r="G36">
        <f>'DSGE HVD wFG'!G36-'DSGE HVD woFG'!G36</f>
        <v>3.1158485327289489E-17</v>
      </c>
      <c r="H36">
        <f>'DSGE HVD wFG'!H36-'DSGE HVD woFG'!H36</f>
        <v>9.1939001190800065E-16</v>
      </c>
      <c r="I36">
        <f>'DSGE HVD wFG'!I36-'DSGE HVD woFG'!I36</f>
        <v>-8.0252692378152904E-15</v>
      </c>
      <c r="J36">
        <f>'DSGE HVD wFG'!J36-'DSGE HVD woFG'!J36</f>
        <v>3.01548817309788E-15</v>
      </c>
      <c r="K36">
        <f>'DSGE HVD wFG'!K36-'DSGE HVD woFG'!K36</f>
        <v>3.3370359078955899E-15</v>
      </c>
      <c r="L36">
        <f>'DSGE HVD wFG'!L36-'DSGE HVD woFG'!L36</f>
        <v>4.4043221236478902E-15</v>
      </c>
      <c r="M36">
        <f>'DSGE HVD wFG'!M36-'DSGE HVD woFG'!M36</f>
        <v>5.5201632731121197E-15</v>
      </c>
      <c r="N36">
        <f>'DSGE HVD wFG'!N36-'DSGE HVD woFG'!N36</f>
        <v>5.3723549808833701E-15</v>
      </c>
      <c r="O36">
        <f>'DSGE HVD wFG'!O36-'DSGE HVD woFG'!O36</f>
        <v>-1.9082881693560402E-15</v>
      </c>
      <c r="P36">
        <f>'DSGE HVD wFG'!P36-'DSGE HVD woFG'!P36</f>
        <v>3.1291669304750001E-15</v>
      </c>
      <c r="Q36">
        <f>'DSGE HVD wFG'!Q36-'DSGE HVD woFG'!Q36</f>
        <v>-1.1584108038213541E-2</v>
      </c>
      <c r="R36">
        <f>'DSGE HVD wFG'!R36-'DSGE HVD woFG'!R36</f>
        <v>0</v>
      </c>
      <c r="S36">
        <f>'DSGE HVD wFG'!S36-'DSGE HVD woFG'!S36</f>
        <v>-3.8781283084595941E-2</v>
      </c>
      <c r="T36">
        <f>'DSGE HVD wFG'!T36-'DSGE HVD woFG'!T36</f>
        <v>-2.6484172049281995E-3</v>
      </c>
      <c r="U36">
        <f>'DSGE HVD wFG'!U36-'DSGE HVD woFG'!U36</f>
        <v>-0.57391412018559995</v>
      </c>
      <c r="Y36" s="1">
        <f t="shared" si="14"/>
        <v>42277</v>
      </c>
      <c r="Z36" s="7">
        <f t="shared" si="14"/>
        <v>-9.1724951629650053E-3</v>
      </c>
      <c r="AA36" s="7">
        <f t="shared" si="14"/>
        <v>-3.1542250797900184E-3</v>
      </c>
      <c r="AB36" s="7">
        <f t="shared" si="14"/>
        <v>-0.50374858284924284</v>
      </c>
      <c r="AC36" s="7">
        <f t="shared" si="2"/>
        <v>-5.301132589419294E-2</v>
      </c>
      <c r="AD36" s="7">
        <f t="shared" si="3"/>
        <v>9.4050340437179993E-3</v>
      </c>
      <c r="AE36" s="7">
        <f t="shared" si="4"/>
        <v>-1.1584108038213541E-2</v>
      </c>
      <c r="AF36" s="7">
        <f t="shared" si="5"/>
        <v>3.1158485327289489E-17</v>
      </c>
      <c r="AG36" s="7">
        <f t="shared" si="5"/>
        <v>9.1939001190800065E-16</v>
      </c>
      <c r="AH36" s="7">
        <f t="shared" si="6"/>
        <v>-2.6484172049133542E-3</v>
      </c>
      <c r="AI36" s="7">
        <f t="shared" si="0"/>
        <v>-0.57391412018559895</v>
      </c>
      <c r="AJ36" s="8">
        <f t="shared" si="7"/>
        <v>-6.4595433932406479E-2</v>
      </c>
      <c r="AK36" s="8">
        <f t="shared" si="8"/>
        <v>-0.49749777388531485</v>
      </c>
      <c r="AL36" s="8">
        <f t="shared" si="9"/>
        <v>-9.1724951629650053E-3</v>
      </c>
      <c r="AM36" s="8">
        <f t="shared" si="10"/>
        <v>-2.6484172049133542E-3</v>
      </c>
      <c r="AN36" s="8">
        <f t="shared" si="11"/>
        <v>-0.57391412018559973</v>
      </c>
      <c r="AO36" s="9">
        <f t="shared" si="13"/>
        <v>0.60828126804000204</v>
      </c>
      <c r="AP36" s="9">
        <f t="shared" si="13"/>
        <v>0.4066886342178237</v>
      </c>
      <c r="AQ36" s="9">
        <f t="shared" si="13"/>
        <v>-1.5978070510742057E-2</v>
      </c>
      <c r="AR36" s="9">
        <f t="shared" si="13"/>
        <v>1.0081682529141617E-3</v>
      </c>
      <c r="AS36" s="9">
        <f t="shared" si="13"/>
        <v>1</v>
      </c>
      <c r="AT36" s="7"/>
      <c r="AU36" s="7"/>
      <c r="AV36" s="7"/>
      <c r="AW36" s="7"/>
      <c r="AX36" s="7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</row>
    <row r="37" spans="1:87" x14ac:dyDescent="0.25">
      <c r="A37" s="1">
        <v>42369</v>
      </c>
      <c r="B37">
        <f>'DSGE HVD wFG'!B37-'DSGE HVD woFG'!B37</f>
        <v>-9.6189000871950009E-3</v>
      </c>
      <c r="C37">
        <f>'DSGE HVD wFG'!C37-'DSGE HVD woFG'!C37</f>
        <v>-7.9176049165008422E-4</v>
      </c>
      <c r="D37">
        <f>'DSGE HVD wFG'!D37-'DSGE HVD woFG'!D37</f>
        <v>-0.49718636501865737</v>
      </c>
      <c r="E37">
        <f>'DSGE HVD wFG'!E37-'DSGE HVD woFG'!E37</f>
        <v>8.1554533753148712E-3</v>
      </c>
      <c r="F37">
        <f>'DSGE HVD wFG'!F37-'DSGE HVD woFG'!F37</f>
        <v>-1.6390455352141009E-2</v>
      </c>
      <c r="G37">
        <f>'DSGE HVD wFG'!G37-'DSGE HVD woFG'!G37</f>
        <v>4.1288263626229345E-17</v>
      </c>
      <c r="H37">
        <f>'DSGE HVD wFG'!H37-'DSGE HVD woFG'!H37</f>
        <v>8.5646524828830077E-16</v>
      </c>
      <c r="I37">
        <f>'DSGE HVD wFG'!I37-'DSGE HVD woFG'!I37</f>
        <v>-7.9907548643177598E-15</v>
      </c>
      <c r="J37">
        <f>'DSGE HVD wFG'!J37-'DSGE HVD woFG'!J37</f>
        <v>2.9756646003633003E-15</v>
      </c>
      <c r="K37">
        <f>'DSGE HVD wFG'!K37-'DSGE HVD woFG'!K37</f>
        <v>3.3078744195953103E-15</v>
      </c>
      <c r="L37">
        <f>'DSGE HVD wFG'!L37-'DSGE HVD woFG'!L37</f>
        <v>4.38864568106135E-15</v>
      </c>
      <c r="M37">
        <f>'DSGE HVD wFG'!M37-'DSGE HVD woFG'!M37</f>
        <v>5.5088755361930501E-15</v>
      </c>
      <c r="N37">
        <f>'DSGE HVD wFG'!N37-'DSGE HVD woFG'!N37</f>
        <v>5.3748496473180396E-15</v>
      </c>
      <c r="O37">
        <f>'DSGE HVD wFG'!O37-'DSGE HVD woFG'!O37</f>
        <v>-1.8101297006225001E-15</v>
      </c>
      <c r="P37">
        <f>'DSGE HVD wFG'!P37-'DSGE HVD woFG'!P37</f>
        <v>3.589939188946E-15</v>
      </c>
      <c r="Q37">
        <f>'DSGE HVD wFG'!Q37-'DSGE HVD woFG'!Q37</f>
        <v>-8.0244456053580708E-3</v>
      </c>
      <c r="R37">
        <f>'DSGE HVD wFG'!R37-'DSGE HVD woFG'!R37</f>
        <v>0</v>
      </c>
      <c r="S37">
        <f>'DSGE HVD wFG'!S37-'DSGE HVD woFG'!S37</f>
        <v>-2.6474102993011006E-2</v>
      </c>
      <c r="T37">
        <f>'DSGE HVD wFG'!T37-'DSGE HVD woFG'!T37</f>
        <v>-2.6208699443954001E-3</v>
      </c>
      <c r="U37">
        <f>'DSGE HVD wFG'!U37-'DSGE HVD woFG'!U37</f>
        <v>-0.5529514461170697</v>
      </c>
      <c r="Y37" s="1">
        <f t="shared" si="14"/>
        <v>42369</v>
      </c>
      <c r="Z37" s="7">
        <f t="shared" si="14"/>
        <v>-9.6189000871950009E-3</v>
      </c>
      <c r="AA37" s="7">
        <f t="shared" si="14"/>
        <v>-7.9176049165008422E-4</v>
      </c>
      <c r="AB37" s="7">
        <f t="shared" si="14"/>
        <v>-0.49718636501865737</v>
      </c>
      <c r="AC37" s="7">
        <f t="shared" si="2"/>
        <v>-4.2864558345152015E-2</v>
      </c>
      <c r="AD37" s="7">
        <f t="shared" si="3"/>
        <v>8.1554533753148712E-3</v>
      </c>
      <c r="AE37" s="7">
        <f t="shared" si="4"/>
        <v>-8.0244456053580708E-3</v>
      </c>
      <c r="AF37" s="7">
        <f t="shared" si="5"/>
        <v>4.1288263626229345E-17</v>
      </c>
      <c r="AG37" s="7">
        <f t="shared" si="5"/>
        <v>8.5646524828830077E-16</v>
      </c>
      <c r="AH37" s="7">
        <f t="shared" si="6"/>
        <v>-2.6208699443800547E-3</v>
      </c>
      <c r="AI37" s="7">
        <f t="shared" si="0"/>
        <v>-0.55295144611707681</v>
      </c>
      <c r="AJ37" s="8">
        <f t="shared" si="7"/>
        <v>-5.0889003950510089E-2</v>
      </c>
      <c r="AK37" s="8">
        <f t="shared" si="8"/>
        <v>-0.48982267213499259</v>
      </c>
      <c r="AL37" s="8">
        <f t="shared" si="9"/>
        <v>-9.6189000871950009E-3</v>
      </c>
      <c r="AM37" s="8">
        <f t="shared" si="10"/>
        <v>-2.6208699443800547E-3</v>
      </c>
      <c r="AN37" s="8">
        <f t="shared" si="11"/>
        <v>-0.55295144611707769</v>
      </c>
      <c r="AO37" s="9">
        <f t="shared" si="13"/>
        <v>0.65384931030713467</v>
      </c>
      <c r="AP37" s="9">
        <f t="shared" si="13"/>
        <v>0.36613180767082337</v>
      </c>
      <c r="AQ37" s="9">
        <f t="shared" si="13"/>
        <v>-2.1295228021520687E-2</v>
      </c>
      <c r="AR37" s="9">
        <f t="shared" si="13"/>
        <v>1.3141100435590434E-3</v>
      </c>
      <c r="AS37" s="9">
        <f t="shared" si="13"/>
        <v>1</v>
      </c>
      <c r="AT37" s="7"/>
      <c r="AU37" s="7"/>
      <c r="AV37" s="7"/>
      <c r="AW37" s="7"/>
      <c r="AX37" s="7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</row>
    <row r="38" spans="1:87" x14ac:dyDescent="0.25">
      <c r="A38" s="1">
        <v>42460</v>
      </c>
      <c r="B38">
        <f>'DSGE HVD wFG'!B38-'DSGE HVD woFG'!B38</f>
        <v>-1.0055867739159993E-2</v>
      </c>
      <c r="C38">
        <f>'DSGE HVD wFG'!C38-'DSGE HVD woFG'!C38</f>
        <v>6.2982410732015381E-4</v>
      </c>
      <c r="D38">
        <f>'DSGE HVD wFG'!D38-'DSGE HVD woFG'!D38</f>
        <v>-0.49260064589920349</v>
      </c>
      <c r="E38">
        <f>'DSGE HVD wFG'!E38-'DSGE HVD woFG'!E38</f>
        <v>6.965424133631902E-3</v>
      </c>
      <c r="F38">
        <f>'DSGE HVD wFG'!F38-'DSGE HVD woFG'!F38</f>
        <v>-1.8300468772876999E-2</v>
      </c>
      <c r="G38">
        <f>'DSGE HVD wFG'!G38-'DSGE HVD woFG'!G38</f>
        <v>4.9432075637660052E-17</v>
      </c>
      <c r="H38">
        <f>'DSGE HVD wFG'!H38-'DSGE HVD woFG'!H38</f>
        <v>7.9381091673180055E-16</v>
      </c>
      <c r="I38">
        <f>'DSGE HVD wFG'!I38-'DSGE HVD woFG'!I38</f>
        <v>-7.9967947913033499E-15</v>
      </c>
      <c r="J38">
        <f>'DSGE HVD wFG'!J38-'DSGE HVD woFG'!J38</f>
        <v>2.9348404696094402E-15</v>
      </c>
      <c r="K38">
        <f>'DSGE HVD wFG'!K38-'DSGE HVD woFG'!K38</f>
        <v>3.2831594985781299E-15</v>
      </c>
      <c r="L38">
        <f>'DSGE HVD wFG'!L38-'DSGE HVD woFG'!L38</f>
        <v>4.3760769925177999E-15</v>
      </c>
      <c r="M38">
        <f>'DSGE HVD wFG'!M38-'DSGE HVD woFG'!M38</f>
        <v>5.4972944635431102E-15</v>
      </c>
      <c r="N38">
        <f>'DSGE HVD wFG'!N38-'DSGE HVD woFG'!N38</f>
        <v>5.3771449374568997E-15</v>
      </c>
      <c r="O38">
        <f>'DSGE HVD wFG'!O38-'DSGE HVD woFG'!O38</f>
        <v>-1.7112371177995501E-15</v>
      </c>
      <c r="P38">
        <f>'DSGE HVD wFG'!P38-'DSGE HVD woFG'!P38</f>
        <v>3.999865348412991E-15</v>
      </c>
      <c r="Q38">
        <f>'DSGE HVD wFG'!Q38-'DSGE HVD woFG'!Q38</f>
        <v>-5.0437473154598097E-3</v>
      </c>
      <c r="R38">
        <f>'DSGE HVD wFG'!R38-'DSGE HVD woFG'!R38</f>
        <v>0</v>
      </c>
      <c r="S38">
        <f>'DSGE HVD wFG'!S38-'DSGE HVD woFG'!S38</f>
        <v>-1.6595334694938013E-2</v>
      </c>
      <c r="T38">
        <f>'DSGE HVD wFG'!T38-'DSGE HVD woFG'!T38</f>
        <v>-2.5936217922357986E-3</v>
      </c>
      <c r="U38">
        <f>'DSGE HVD wFG'!U38-'DSGE HVD woFG'!U38</f>
        <v>-0.53759443797290007</v>
      </c>
      <c r="Y38" s="1">
        <f t="shared" si="14"/>
        <v>42460</v>
      </c>
      <c r="Z38" s="7">
        <f t="shared" si="14"/>
        <v>-1.0055867739159993E-2</v>
      </c>
      <c r="AA38" s="7">
        <f t="shared" si="14"/>
        <v>6.2982410732015381E-4</v>
      </c>
      <c r="AB38" s="7">
        <f t="shared" si="14"/>
        <v>-0.49260064589920349</v>
      </c>
      <c r="AC38" s="7">
        <f t="shared" si="2"/>
        <v>-3.4895803467815012E-2</v>
      </c>
      <c r="AD38" s="7">
        <f t="shared" si="3"/>
        <v>6.965424133631902E-3</v>
      </c>
      <c r="AE38" s="7">
        <f t="shared" si="4"/>
        <v>-5.0437473154598097E-3</v>
      </c>
      <c r="AF38" s="7">
        <f t="shared" si="5"/>
        <v>4.9432075637660052E-17</v>
      </c>
      <c r="AG38" s="7">
        <f t="shared" si="5"/>
        <v>7.9381091673180055E-16</v>
      </c>
      <c r="AH38" s="7">
        <f t="shared" si="6"/>
        <v>-2.5936217922200382E-3</v>
      </c>
      <c r="AI38" s="7">
        <f t="shared" si="0"/>
        <v>-0.5375944379729054</v>
      </c>
      <c r="AJ38" s="8">
        <f t="shared" si="7"/>
        <v>-3.9939550783274824E-2</v>
      </c>
      <c r="AK38" s="8">
        <f t="shared" si="8"/>
        <v>-0.48500539765825146</v>
      </c>
      <c r="AL38" s="8">
        <f t="shared" si="9"/>
        <v>-1.0055867739159993E-2</v>
      </c>
      <c r="AM38" s="8">
        <f t="shared" si="10"/>
        <v>-2.5936217922200382E-3</v>
      </c>
      <c r="AN38" s="8">
        <f t="shared" si="11"/>
        <v>-0.53759443797290629</v>
      </c>
      <c r="AO38" s="9">
        <f t="shared" si="13"/>
        <v>0.71299390248686034</v>
      </c>
      <c r="AP38" s="9">
        <f t="shared" si="13"/>
        <v>0.31368574083679684</v>
      </c>
      <c r="AQ38" s="9">
        <f t="shared" si="13"/>
        <v>-2.845395716813753E-2</v>
      </c>
      <c r="AR38" s="9">
        <f t="shared" si="13"/>
        <v>1.7743138444813703E-3</v>
      </c>
      <c r="AS38" s="9">
        <f t="shared" si="13"/>
        <v>1</v>
      </c>
      <c r="AT38" s="7"/>
      <c r="AU38" s="7"/>
      <c r="AV38" s="7"/>
      <c r="AW38" s="7"/>
      <c r="AX38" s="7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</row>
    <row r="39" spans="1:87" x14ac:dyDescent="0.25">
      <c r="A39" s="1">
        <v>42551</v>
      </c>
      <c r="B39">
        <f>'DSGE HVD wFG'!B39-'DSGE HVD woFG'!B39</f>
        <v>-1.0476603993955003E-2</v>
      </c>
      <c r="C39">
        <f>'DSGE HVD wFG'!C39-'DSGE HVD woFG'!C39</f>
        <v>1.5299029997699609E-3</v>
      </c>
      <c r="D39">
        <f>'DSGE HVD wFG'!D39-'DSGE HVD woFG'!D39</f>
        <v>-0.489828246596064</v>
      </c>
      <c r="E39">
        <f>'DSGE HVD wFG'!E39-'DSGE HVD woFG'!E39</f>
        <v>5.8156349596037195E-3</v>
      </c>
      <c r="F39">
        <f>'DSGE HVD wFG'!F39-'DSGE HVD woFG'!F39</f>
        <v>-2.0009474911384995E-2</v>
      </c>
      <c r="G39">
        <f>'DSGE HVD wFG'!G39-'DSGE HVD woFG'!G39</f>
        <v>5.7164260972000041E-17</v>
      </c>
      <c r="H39">
        <f>'DSGE HVD wFG'!H39-'DSGE HVD woFG'!H39</f>
        <v>7.3141313721069987E-16</v>
      </c>
      <c r="I39">
        <f>'DSGE HVD wFG'!I39-'DSGE HVD woFG'!I39</f>
        <v>-8.0091615519472809E-15</v>
      </c>
      <c r="J39">
        <f>'DSGE HVD wFG'!J39-'DSGE HVD woFG'!J39</f>
        <v>2.89599597988661E-15</v>
      </c>
      <c r="K39">
        <f>'DSGE HVD wFG'!K39-'DSGE HVD woFG'!K39</f>
        <v>3.2601107405545502E-15</v>
      </c>
      <c r="L39">
        <f>'DSGE HVD wFG'!L39-'DSGE HVD woFG'!L39</f>
        <v>4.36214995986973E-15</v>
      </c>
      <c r="M39">
        <f>'DSGE HVD wFG'!M39-'DSGE HVD woFG'!M39</f>
        <v>5.4846111527675895E-15</v>
      </c>
      <c r="N39">
        <f>'DSGE HVD wFG'!N39-'DSGE HVD woFG'!N39</f>
        <v>5.37903500631588E-15</v>
      </c>
      <c r="O39">
        <f>'DSGE HVD wFG'!O39-'DSGE HVD woFG'!O39</f>
        <v>-1.6114598984460702E-15</v>
      </c>
      <c r="P39">
        <f>'DSGE HVD wFG'!P39-'DSGE HVD woFG'!P39</f>
        <v>4.3607811321850023E-15</v>
      </c>
      <c r="Q39">
        <f>'DSGE HVD wFG'!Q39-'DSGE HVD woFG'!Q39</f>
        <v>-2.6830299254285012E-3</v>
      </c>
      <c r="R39">
        <f>'DSGE HVD wFG'!R39-'DSGE HVD woFG'!R39</f>
        <v>0</v>
      </c>
      <c r="S39">
        <f>'DSGE HVD wFG'!S39-'DSGE HVD woFG'!S39</f>
        <v>-8.8277567379400068E-3</v>
      </c>
      <c r="T39">
        <f>'DSGE HVD wFG'!T39-'DSGE HVD woFG'!T39</f>
        <v>-2.5666693038338996E-3</v>
      </c>
      <c r="U39">
        <f>'DSGE HVD wFG'!U39-'DSGE HVD woFG'!U39</f>
        <v>-0.52704624350921003</v>
      </c>
      <c r="Y39" s="1">
        <f t="shared" si="14"/>
        <v>42551</v>
      </c>
      <c r="Z39" s="7">
        <f t="shared" si="14"/>
        <v>-1.0476603993955003E-2</v>
      </c>
      <c r="AA39" s="7">
        <f t="shared" si="14"/>
        <v>1.5299029997699609E-3</v>
      </c>
      <c r="AB39" s="7">
        <f t="shared" si="14"/>
        <v>-0.489828246596064</v>
      </c>
      <c r="AC39" s="7">
        <f t="shared" si="2"/>
        <v>-2.8837231649325001E-2</v>
      </c>
      <c r="AD39" s="7">
        <f t="shared" si="3"/>
        <v>5.8156349596037195E-3</v>
      </c>
      <c r="AE39" s="7">
        <f t="shared" si="4"/>
        <v>-2.6830299254285012E-3</v>
      </c>
      <c r="AF39" s="7">
        <f t="shared" si="5"/>
        <v>5.7164260972000041E-17</v>
      </c>
      <c r="AG39" s="7">
        <f t="shared" si="5"/>
        <v>7.3141313721069987E-16</v>
      </c>
      <c r="AH39" s="7">
        <f t="shared" si="6"/>
        <v>-2.5666693038177779E-3</v>
      </c>
      <c r="AI39" s="7">
        <f t="shared" si="0"/>
        <v>-0.52704624350921569</v>
      </c>
      <c r="AJ39" s="8">
        <f t="shared" si="7"/>
        <v>-3.1520261574753503E-2</v>
      </c>
      <c r="AK39" s="8">
        <f t="shared" si="8"/>
        <v>-0.48248270863669029</v>
      </c>
      <c r="AL39" s="8">
        <f t="shared" si="9"/>
        <v>-1.0476603993955003E-2</v>
      </c>
      <c r="AM39" s="8">
        <f t="shared" si="10"/>
        <v>-2.5666693038177779E-3</v>
      </c>
      <c r="AN39" s="8">
        <f t="shared" si="11"/>
        <v>-0.52704624350921658</v>
      </c>
      <c r="AO39" s="9">
        <f t="shared" si="13"/>
        <v>0.79817349191875764</v>
      </c>
      <c r="AP39" s="9">
        <f t="shared" si="13"/>
        <v>0.23915837257694428</v>
      </c>
      <c r="AQ39" s="9">
        <f t="shared" si="13"/>
        <v>-3.9887040027875811E-2</v>
      </c>
      <c r="AR39" s="9">
        <f t="shared" si="13"/>
        <v>2.5551755321765669E-3</v>
      </c>
      <c r="AS39" s="9">
        <f t="shared" si="13"/>
        <v>1</v>
      </c>
      <c r="AT39" s="7"/>
      <c r="AU39" s="7"/>
      <c r="AV39" s="7"/>
      <c r="AW39" s="7"/>
      <c r="AX39" s="7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</row>
    <row r="40" spans="1:87" x14ac:dyDescent="0.25">
      <c r="A40" s="1">
        <v>42643</v>
      </c>
      <c r="B40">
        <f>'DSGE HVD wFG'!B40-'DSGE HVD woFG'!B40</f>
        <v>-1.0881594741131984E-2</v>
      </c>
      <c r="C40">
        <f>'DSGE HVD wFG'!C40-'DSGE HVD woFG'!C40</f>
        <v>2.1354358013201402E-3</v>
      </c>
      <c r="D40">
        <f>'DSGE HVD wFG'!D40-'DSGE HVD woFG'!D40</f>
        <v>-0.48878553542544401</v>
      </c>
      <c r="E40">
        <f>'DSGE HVD wFG'!E40-'DSGE HVD woFG'!E40</f>
        <v>4.7060683548318001E-3</v>
      </c>
      <c r="F40">
        <f>'DSGE HVD wFG'!F40-'DSGE HVD woFG'!F40</f>
        <v>-2.155544397516701E-2</v>
      </c>
      <c r="G40">
        <f>'DSGE HVD wFG'!G40-'DSGE HVD woFG'!G40</f>
        <v>6.5051080288199628E-17</v>
      </c>
      <c r="H40">
        <f>'DSGE HVD wFG'!H40-'DSGE HVD woFG'!H40</f>
        <v>6.6914079908179935E-16</v>
      </c>
      <c r="I40">
        <f>'DSGE HVD wFG'!I40-'DSGE HVD woFG'!I40</f>
        <v>-8.0114913855216809E-15</v>
      </c>
      <c r="J40">
        <f>'DSGE HVD wFG'!J40-'DSGE HVD woFG'!J40</f>
        <v>2.8576837317872003E-15</v>
      </c>
      <c r="K40">
        <f>'DSGE HVD wFG'!K40-'DSGE HVD woFG'!K40</f>
        <v>3.23552819009826E-15</v>
      </c>
      <c r="L40">
        <f>'DSGE HVD wFG'!L40-'DSGE HVD woFG'!L40</f>
        <v>4.34670402378584E-15</v>
      </c>
      <c r="M40">
        <f>'DSGE HVD wFG'!M40-'DSGE HVD woFG'!M40</f>
        <v>5.4710415361680004E-15</v>
      </c>
      <c r="N40">
        <f>'DSGE HVD wFG'!N40-'DSGE HVD woFG'!N40</f>
        <v>5.3811167333288707E-15</v>
      </c>
      <c r="O40">
        <f>'DSGE HVD wFG'!O40-'DSGE HVD woFG'!O40</f>
        <v>-1.5100534641598201E-15</v>
      </c>
      <c r="P40">
        <f>'DSGE HVD wFG'!P40-'DSGE HVD woFG'!P40</f>
        <v>4.6699931493660053E-15</v>
      </c>
      <c r="Q40">
        <f>'DSGE HVD wFG'!Q40-'DSGE HVD woFG'!Q40</f>
        <v>-9.194463554999012E-4</v>
      </c>
      <c r="R40">
        <f>'DSGE HVD wFG'!R40-'DSGE HVD woFG'!R40</f>
        <v>0</v>
      </c>
      <c r="S40">
        <f>'DSGE HVD wFG'!S40-'DSGE HVD woFG'!S40</f>
        <v>-3.0070637150040325E-3</v>
      </c>
      <c r="T40">
        <f>'DSGE HVD wFG'!T40-'DSGE HVD woFG'!T40</f>
        <v>-2.5400090775270015E-3</v>
      </c>
      <c r="U40">
        <f>'DSGE HVD wFG'!U40-'DSGE HVD woFG'!U40</f>
        <v>-0.52084758913359974</v>
      </c>
      <c r="Y40" s="1">
        <f t="shared" si="14"/>
        <v>42643</v>
      </c>
      <c r="Z40" s="7">
        <f t="shared" si="14"/>
        <v>-1.0881594741131984E-2</v>
      </c>
      <c r="AA40" s="7">
        <f t="shared" si="14"/>
        <v>2.1354358013201402E-3</v>
      </c>
      <c r="AB40" s="7">
        <f t="shared" si="14"/>
        <v>-0.48878553542544401</v>
      </c>
      <c r="AC40" s="7">
        <f t="shared" si="2"/>
        <v>-2.4562507690171043E-2</v>
      </c>
      <c r="AD40" s="7">
        <f t="shared" si="3"/>
        <v>4.7060683548318001E-3</v>
      </c>
      <c r="AE40" s="7">
        <f t="shared" si="4"/>
        <v>-9.194463554999012E-4</v>
      </c>
      <c r="AF40" s="7">
        <f t="shared" si="5"/>
        <v>6.5051080288199628E-17</v>
      </c>
      <c r="AG40" s="7">
        <f t="shared" si="5"/>
        <v>6.6914079908179935E-16</v>
      </c>
      <c r="AH40" s="7">
        <f t="shared" si="6"/>
        <v>-2.5400090775105611E-3</v>
      </c>
      <c r="AI40" s="7">
        <f t="shared" si="0"/>
        <v>-0.52084758913360474</v>
      </c>
      <c r="AJ40" s="8">
        <f t="shared" si="7"/>
        <v>-2.5481954045670944E-2</v>
      </c>
      <c r="AK40" s="8">
        <f t="shared" si="8"/>
        <v>-0.48194403126929208</v>
      </c>
      <c r="AL40" s="8">
        <f t="shared" si="9"/>
        <v>-1.0881594741131984E-2</v>
      </c>
      <c r="AM40" s="8">
        <f t="shared" si="10"/>
        <v>-2.5400090775105611E-3</v>
      </c>
      <c r="AN40" s="8">
        <f t="shared" si="11"/>
        <v>-0.52084758913360552</v>
      </c>
      <c r="AO40" s="9">
        <f t="shared" si="13"/>
        <v>0.97413199110448834</v>
      </c>
      <c r="AP40" s="9">
        <f t="shared" si="13"/>
        <v>8.6902307300381967E-2</v>
      </c>
      <c r="AQ40" s="9">
        <f t="shared" si="13"/>
        <v>-6.5335268372187089E-2</v>
      </c>
      <c r="AR40" s="9">
        <f t="shared" si="13"/>
        <v>4.3009699673066011E-3</v>
      </c>
      <c r="AS40" s="9">
        <f t="shared" si="13"/>
        <v>1</v>
      </c>
      <c r="AT40" s="7"/>
      <c r="AU40" s="7"/>
      <c r="AV40" s="7"/>
      <c r="AW40" s="7"/>
      <c r="AX40" s="7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</row>
    <row r="41" spans="1:87" x14ac:dyDescent="0.25">
      <c r="A41" s="1">
        <v>42735</v>
      </c>
      <c r="B41">
        <f>'DSGE HVD wFG'!B41-'DSGE HVD woFG'!B41</f>
        <v>-1.1275467022558994E-2</v>
      </c>
      <c r="C41">
        <f>'DSGE HVD wFG'!C41-'DSGE HVD woFG'!C41</f>
        <v>2.5198352459870899E-3</v>
      </c>
      <c r="D41">
        <f>'DSGE HVD wFG'!D41-'DSGE HVD woFG'!D41</f>
        <v>-0.48945456358687001</v>
      </c>
      <c r="E41">
        <f>'DSGE HVD wFG'!E41-'DSGE HVD woFG'!E41</f>
        <v>3.6422903662906014E-3</v>
      </c>
      <c r="F41">
        <f>'DSGE HVD wFG'!F41-'DSGE HVD woFG'!F41</f>
        <v>-2.2970164757465023E-2</v>
      </c>
      <c r="G41">
        <f>'DSGE HVD wFG'!G41-'DSGE HVD woFG'!G41</f>
        <v>7.2961624918929563E-17</v>
      </c>
      <c r="H41">
        <f>'DSGE HVD wFG'!H41-'DSGE HVD woFG'!H41</f>
        <v>6.0675302877320069E-16</v>
      </c>
      <c r="I41">
        <f>'DSGE HVD wFG'!I41-'DSGE HVD woFG'!I41</f>
        <v>-8.0043798506406712E-15</v>
      </c>
      <c r="J41">
        <f>'DSGE HVD wFG'!J41-'DSGE HVD woFG'!J41</f>
        <v>2.8182129970767702E-15</v>
      </c>
      <c r="K41">
        <f>'DSGE HVD wFG'!K41-'DSGE HVD woFG'!K41</f>
        <v>3.2102493703345099E-15</v>
      </c>
      <c r="L41">
        <f>'DSGE HVD wFG'!L41-'DSGE HVD woFG'!L41</f>
        <v>4.3305792184976101E-15</v>
      </c>
      <c r="M41">
        <f>'DSGE HVD wFG'!M41-'DSGE HVD woFG'!M41</f>
        <v>5.4576041151752701E-15</v>
      </c>
      <c r="N41">
        <f>'DSGE HVD wFG'!N41-'DSGE HVD woFG'!N41</f>
        <v>5.3846103968771699E-15</v>
      </c>
      <c r="O41">
        <f>'DSGE HVD wFG'!O41-'DSGE HVD woFG'!O41</f>
        <v>-1.4058357048031299E-15</v>
      </c>
      <c r="P41">
        <f>'DSGE HVD wFG'!P41-'DSGE HVD woFG'!P41</f>
        <v>4.9235201916960051E-15</v>
      </c>
      <c r="Q41">
        <f>'DSGE HVD wFG'!Q41-'DSGE HVD woFG'!Q41</f>
        <v>3.2032569193870056E-4</v>
      </c>
      <c r="R41">
        <f>'DSGE HVD wFG'!R41-'DSGE HVD woFG'!R41</f>
        <v>0</v>
      </c>
      <c r="S41">
        <f>'DSGE HVD wFG'!S41-'DSGE HVD woFG'!S41</f>
        <v>9.3687268663700252E-4</v>
      </c>
      <c r="T41">
        <f>'DSGE HVD wFG'!T41-'DSGE HVD woFG'!T41</f>
        <v>-2.5136377540194987E-3</v>
      </c>
      <c r="U41">
        <f>'DSGE HVD wFG'!U41-'DSGE HVD woFG'!U41</f>
        <v>-0.51879450913003988</v>
      </c>
      <c r="Y41" s="1">
        <f t="shared" si="14"/>
        <v>42735</v>
      </c>
      <c r="Z41" s="7">
        <f t="shared" si="14"/>
        <v>-1.1275467022558994E-2</v>
      </c>
      <c r="AA41" s="7">
        <f t="shared" si="14"/>
        <v>2.5198352459870899E-3</v>
      </c>
      <c r="AB41" s="7">
        <f t="shared" si="14"/>
        <v>-0.48945456358687001</v>
      </c>
      <c r="AC41" s="7">
        <f t="shared" si="2"/>
        <v>-2.203329207082802E-2</v>
      </c>
      <c r="AD41" s="7">
        <f t="shared" si="3"/>
        <v>3.6422903662906014E-3</v>
      </c>
      <c r="AE41" s="7">
        <f t="shared" si="4"/>
        <v>3.2032569193870056E-4</v>
      </c>
      <c r="AF41" s="7">
        <f t="shared" si="5"/>
        <v>7.2961624918929563E-17</v>
      </c>
      <c r="AG41" s="7">
        <f t="shared" si="5"/>
        <v>6.0675302877320069E-16</v>
      </c>
      <c r="AH41" s="7">
        <f t="shared" si="6"/>
        <v>-2.5136377540027847E-3</v>
      </c>
      <c r="AI41" s="7">
        <f t="shared" si="0"/>
        <v>-0.51879450913004277</v>
      </c>
      <c r="AJ41" s="8">
        <f t="shared" si="7"/>
        <v>-2.1712966378889319E-2</v>
      </c>
      <c r="AK41" s="8">
        <f t="shared" si="8"/>
        <v>-0.48329243797459231</v>
      </c>
      <c r="AL41" s="8">
        <f t="shared" si="9"/>
        <v>-1.1275467022558994E-2</v>
      </c>
      <c r="AM41" s="8">
        <f t="shared" si="10"/>
        <v>-2.5136377540027847E-3</v>
      </c>
      <c r="AN41" s="8">
        <f t="shared" si="11"/>
        <v>-0.51879450913004344</v>
      </c>
      <c r="AO41" s="9">
        <f t="shared" si="13"/>
        <v>1.8357724298334483</v>
      </c>
      <c r="AP41" s="9">
        <f t="shared" si="13"/>
        <v>-0.65677260650376745</v>
      </c>
      <c r="AQ41" s="9">
        <f t="shared" si="13"/>
        <v>-0.19184458508370078</v>
      </c>
      <c r="AR41" s="9">
        <f t="shared" si="13"/>
        <v>1.2844761754058463E-2</v>
      </c>
      <c r="AS41" s="9">
        <f t="shared" si="13"/>
        <v>1</v>
      </c>
      <c r="AT41" s="7"/>
      <c r="AU41" s="7"/>
      <c r="AV41" s="7"/>
      <c r="AW41" s="7"/>
      <c r="AX41" s="7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</row>
    <row r="42" spans="1:87" x14ac:dyDescent="0.25">
      <c r="A42" s="1">
        <v>42825</v>
      </c>
      <c r="B42">
        <f>'DSGE HVD wFG'!B42-'DSGE HVD woFG'!B42</f>
        <v>-1.1663298081511009E-2</v>
      </c>
      <c r="C42">
        <f>'DSGE HVD wFG'!C42-'DSGE HVD woFG'!C42</f>
        <v>2.6929656281690084E-3</v>
      </c>
      <c r="D42">
        <f>'DSGE HVD wFG'!D42-'DSGE HVD woFG'!D42</f>
        <v>-0.49184460818993497</v>
      </c>
      <c r="E42">
        <f>'DSGE HVD wFG'!E42-'DSGE HVD woFG'!E42</f>
        <v>2.6231095404858004E-3</v>
      </c>
      <c r="F42">
        <f>'DSGE HVD wFG'!F42-'DSGE HVD woFG'!F42</f>
        <v>-2.4285002148473012E-2</v>
      </c>
      <c r="G42">
        <f>'DSGE HVD wFG'!G42-'DSGE HVD woFG'!G42</f>
        <v>8.0641975907849632E-17</v>
      </c>
      <c r="H42">
        <f>'DSGE HVD wFG'!H42-'DSGE HVD woFG'!H42</f>
        <v>5.4393425795129842E-16</v>
      </c>
      <c r="I42">
        <f>'DSGE HVD wFG'!I42-'DSGE HVD woFG'!I42</f>
        <v>-7.9934914102883304E-15</v>
      </c>
      <c r="J42">
        <f>'DSGE HVD wFG'!J42-'DSGE HVD woFG'!J42</f>
        <v>2.77856719357077E-15</v>
      </c>
      <c r="K42">
        <f>'DSGE HVD wFG'!K42-'DSGE HVD woFG'!K42</f>
        <v>3.1852869674127002E-15</v>
      </c>
      <c r="L42">
        <f>'DSGE HVD wFG'!L42-'DSGE HVD woFG'!L42</f>
        <v>4.3147694231030599E-15</v>
      </c>
      <c r="M42">
        <f>'DSGE HVD wFG'!M42-'DSGE HVD woFG'!M42</f>
        <v>5.4454558477813002E-15</v>
      </c>
      <c r="N42">
        <f>'DSGE HVD wFG'!N42-'DSGE HVD woFG'!N42</f>
        <v>5.3908523160155598E-15</v>
      </c>
      <c r="O42">
        <f>'DSGE HVD wFG'!O42-'DSGE HVD woFG'!O42</f>
        <v>-1.2976991604891702E-15</v>
      </c>
      <c r="P42">
        <f>'DSGE HVD wFG'!P42-'DSGE HVD woFG'!P42</f>
        <v>5.1176057496999977E-15</v>
      </c>
      <c r="Q42">
        <f>'DSGE HVD wFG'!Q42-'DSGE HVD woFG'!Q42</f>
        <v>1.1120776300913016E-3</v>
      </c>
      <c r="R42">
        <f>'DSGE HVD wFG'!R42-'DSGE HVD woFG'!R42</f>
        <v>0</v>
      </c>
      <c r="S42">
        <f>'DSGE HVD wFG'!S42-'DSGE HVD woFG'!S42</f>
        <v>3.0473219478069913E-3</v>
      </c>
      <c r="T42">
        <f>'DSGE HVD wFG'!T42-'DSGE HVD woFG'!T42</f>
        <v>-2.4875520158082996E-3</v>
      </c>
      <c r="U42">
        <f>'DSGE HVD wFG'!U42-'DSGE HVD woFG'!U42</f>
        <v>-0.52080498568915989</v>
      </c>
      <c r="Y42" s="1">
        <f t="shared" si="14"/>
        <v>42825</v>
      </c>
      <c r="Z42" s="7">
        <f t="shared" si="14"/>
        <v>-1.1663298081511009E-2</v>
      </c>
      <c r="AA42" s="7">
        <f t="shared" si="14"/>
        <v>2.6929656281690084E-3</v>
      </c>
      <c r="AB42" s="7">
        <f t="shared" si="14"/>
        <v>-0.49184460818993497</v>
      </c>
      <c r="AC42" s="7">
        <f t="shared" si="2"/>
        <v>-2.123768020066602E-2</v>
      </c>
      <c r="AD42" s="7">
        <f t="shared" si="3"/>
        <v>2.6231095404858004E-3</v>
      </c>
      <c r="AE42" s="7">
        <f t="shared" si="4"/>
        <v>1.1120776300913016E-3</v>
      </c>
      <c r="AF42" s="7">
        <f t="shared" si="5"/>
        <v>8.0641975907849632E-17</v>
      </c>
      <c r="AG42" s="7">
        <f t="shared" si="5"/>
        <v>5.4393425795129842E-16</v>
      </c>
      <c r="AH42" s="7">
        <f t="shared" si="6"/>
        <v>-2.4875520157913588E-3</v>
      </c>
      <c r="AI42" s="7">
        <f t="shared" si="0"/>
        <v>-0.52080498568915645</v>
      </c>
      <c r="AJ42" s="8">
        <f t="shared" si="7"/>
        <v>-2.0125602570574719E-2</v>
      </c>
      <c r="AK42" s="8">
        <f t="shared" si="8"/>
        <v>-0.48652853302128019</v>
      </c>
      <c r="AL42" s="8">
        <f t="shared" si="9"/>
        <v>-1.1663298081511009E-2</v>
      </c>
      <c r="AM42" s="8">
        <f t="shared" si="10"/>
        <v>-2.4875520157913588E-3</v>
      </c>
      <c r="AN42" s="8">
        <f t="shared" si="11"/>
        <v>-0.52080498568915723</v>
      </c>
      <c r="AO42" s="9">
        <f t="shared" si="13"/>
        <v>-0.78954604127008621</v>
      </c>
      <c r="AP42" s="9">
        <f t="shared" si="13"/>
        <v>1.6096159052529919</v>
      </c>
      <c r="AQ42" s="9">
        <f t="shared" si="13"/>
        <v>0.19290503895403222</v>
      </c>
      <c r="AR42" s="9">
        <f t="shared" si="13"/>
        <v>-1.2974902936905846E-2</v>
      </c>
      <c r="AS42" s="9">
        <f t="shared" si="13"/>
        <v>1</v>
      </c>
      <c r="AT42" s="7"/>
      <c r="AU42" s="7"/>
      <c r="AV42" s="7"/>
      <c r="AW42" s="7"/>
      <c r="AX42" s="7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</row>
    <row r="43" spans="1:87" x14ac:dyDescent="0.25">
      <c r="A43" s="1">
        <v>42916</v>
      </c>
      <c r="B43">
        <f>'DSGE HVD wFG'!B43-'DSGE HVD woFG'!B43</f>
        <v>-1.2048018390933002E-2</v>
      </c>
      <c r="C43">
        <f>'DSGE HVD wFG'!C43-'DSGE HVD woFG'!C43</f>
        <v>2.6771884908600718E-3</v>
      </c>
      <c r="D43">
        <f>'DSGE HVD wFG'!D43-'DSGE HVD woFG'!D43</f>
        <v>-0.49596052660265399</v>
      </c>
      <c r="E43">
        <f>'DSGE HVD wFG'!E43-'DSGE HVD woFG'!E43</f>
        <v>1.6443777950402999E-3</v>
      </c>
      <c r="F43">
        <f>'DSGE HVD wFG'!F43-'DSGE HVD woFG'!F43</f>
        <v>-2.5535350048897981E-2</v>
      </c>
      <c r="G43">
        <f>'DSGE HVD wFG'!G43-'DSGE HVD woFG'!G43</f>
        <v>8.8121002583929828E-17</v>
      </c>
      <c r="H43">
        <f>'DSGE HVD wFG'!H43-'DSGE HVD woFG'!H43</f>
        <v>4.8032781960820361E-16</v>
      </c>
      <c r="I43">
        <f>'DSGE HVD wFG'!I43-'DSGE HVD woFG'!I43</f>
        <v>-7.9780931052285595E-15</v>
      </c>
      <c r="J43">
        <f>'DSGE HVD wFG'!J43-'DSGE HVD woFG'!J43</f>
        <v>2.7390734388992802E-15</v>
      </c>
      <c r="K43">
        <f>'DSGE HVD wFG'!K43-'DSGE HVD woFG'!K43</f>
        <v>3.1610616074473698E-15</v>
      </c>
      <c r="L43">
        <f>'DSGE HVD wFG'!L43-'DSGE HVD woFG'!L43</f>
        <v>4.2998371302878204E-15</v>
      </c>
      <c r="M43">
        <f>'DSGE HVD wFG'!M43-'DSGE HVD woFG'!M43</f>
        <v>5.4354241703817995E-15</v>
      </c>
      <c r="N43">
        <f>'DSGE HVD wFG'!N43-'DSGE HVD woFG'!N43</f>
        <v>5.4007821784086599E-15</v>
      </c>
      <c r="O43">
        <f>'DSGE HVD wFG'!O43-'DSGE HVD woFG'!O43</f>
        <v>-1.1808648652799201E-15</v>
      </c>
      <c r="P43">
        <f>'DSGE HVD wFG'!P43-'DSGE HVD woFG'!P43</f>
        <v>5.2480268469294914E-15</v>
      </c>
      <c r="Q43">
        <f>'DSGE HVD wFG'!Q43-'DSGE HVD woFG'!Q43</f>
        <v>1.5021190620730998E-3</v>
      </c>
      <c r="R43">
        <f>'DSGE HVD wFG'!R43-'DSGE HVD woFG'!R43</f>
        <v>0</v>
      </c>
      <c r="S43">
        <f>'DSGE HVD wFG'!S43-'DSGE HVD woFG'!S43</f>
        <v>3.365612491529002E-3</v>
      </c>
      <c r="T43">
        <f>'DSGE HVD wFG'!T43-'DSGE HVD woFG'!T43</f>
        <v>-2.4617485866138024E-3</v>
      </c>
      <c r="U43">
        <f>'DSGE HVD wFG'!U43-'DSGE HVD woFG'!U43</f>
        <v>-0.52681634578956982</v>
      </c>
      <c r="Y43" s="1">
        <f t="shared" si="14"/>
        <v>42916</v>
      </c>
      <c r="Z43" s="7">
        <f t="shared" si="14"/>
        <v>-1.2048018390933002E-2</v>
      </c>
      <c r="AA43" s="7">
        <f t="shared" si="14"/>
        <v>2.6771884908600718E-3</v>
      </c>
      <c r="AB43" s="7">
        <f t="shared" si="14"/>
        <v>-0.49596052660265399</v>
      </c>
      <c r="AC43" s="7">
        <f t="shared" si="2"/>
        <v>-2.2169737557368979E-2</v>
      </c>
      <c r="AD43" s="7">
        <f t="shared" si="3"/>
        <v>1.6443777950402999E-3</v>
      </c>
      <c r="AE43" s="7">
        <f t="shared" si="4"/>
        <v>1.5021190620730998E-3</v>
      </c>
      <c r="AF43" s="7">
        <f t="shared" si="5"/>
        <v>8.8121002583929828E-17</v>
      </c>
      <c r="AG43" s="7">
        <f t="shared" si="5"/>
        <v>4.8032781960820361E-16</v>
      </c>
      <c r="AH43" s="7">
        <f t="shared" si="6"/>
        <v>-2.4617485865966772E-3</v>
      </c>
      <c r="AI43" s="7">
        <f t="shared" si="0"/>
        <v>-0.52681634578957848</v>
      </c>
      <c r="AJ43" s="8">
        <f t="shared" si="7"/>
        <v>-2.0667618495295879E-2</v>
      </c>
      <c r="AK43" s="8">
        <f t="shared" si="8"/>
        <v>-0.49163896031675364</v>
      </c>
      <c r="AL43" s="8">
        <f t="shared" si="9"/>
        <v>-1.2048018390933002E-2</v>
      </c>
      <c r="AM43" s="8">
        <f t="shared" si="10"/>
        <v>-2.4617485865966772E-3</v>
      </c>
      <c r="AN43" s="8">
        <f t="shared" si="11"/>
        <v>-0.52681634578957925</v>
      </c>
      <c r="AO43" s="9">
        <f t="shared" si="13"/>
        <v>9.0165273027498147E-2</v>
      </c>
      <c r="AP43" s="9">
        <f t="shared" si="13"/>
        <v>0.85012829211723262</v>
      </c>
      <c r="AQ43" s="9">
        <f t="shared" si="13"/>
        <v>6.3998879287731236E-2</v>
      </c>
      <c r="AR43" s="9">
        <f t="shared" si="13"/>
        <v>-4.2924444324787718E-3</v>
      </c>
      <c r="AS43" s="9">
        <f t="shared" si="13"/>
        <v>1</v>
      </c>
      <c r="AT43" s="7"/>
      <c r="AU43" s="7"/>
      <c r="AV43" s="7"/>
      <c r="AW43" s="7"/>
      <c r="AX43" s="7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</row>
    <row r="44" spans="1:87" x14ac:dyDescent="0.25">
      <c r="A44" s="1">
        <v>43008</v>
      </c>
      <c r="B44">
        <f>'DSGE HVD wFG'!B44-'DSGE HVD woFG'!B44</f>
        <v>-1.2432738758613004E-2</v>
      </c>
      <c r="C44">
        <f>'DSGE HVD wFG'!C44-'DSGE HVD woFG'!C44</f>
        <v>2.4641897537730495E-3</v>
      </c>
      <c r="D44">
        <f>'DSGE HVD wFG'!D44-'DSGE HVD woFG'!D44</f>
        <v>-0.50182432554676093</v>
      </c>
      <c r="E44">
        <f>'DSGE HVD wFG'!E44-'DSGE HVD woFG'!E44</f>
        <v>6.9776083502669922E-4</v>
      </c>
      <c r="F44">
        <f>'DSGE HVD wFG'!F44-'DSGE HVD woFG'!F44</f>
        <v>-2.6757090451225984E-2</v>
      </c>
      <c r="G44">
        <f>'DSGE HVD wFG'!G44-'DSGE HVD woFG'!G44</f>
        <v>9.5431483550669821E-17</v>
      </c>
      <c r="H44">
        <f>'DSGE HVD wFG'!H44-'DSGE HVD woFG'!H44</f>
        <v>4.1550864936300327E-16</v>
      </c>
      <c r="I44">
        <f>'DSGE HVD wFG'!I44-'DSGE HVD woFG'!I44</f>
        <v>-7.9578962038809796E-15</v>
      </c>
      <c r="J44">
        <f>'DSGE HVD wFG'!J44-'DSGE HVD woFG'!J44</f>
        <v>2.7000164439020002E-15</v>
      </c>
      <c r="K44">
        <f>'DSGE HVD wFG'!K44-'DSGE HVD woFG'!K44</f>
        <v>3.1379999570652699E-15</v>
      </c>
      <c r="L44">
        <f>'DSGE HVD wFG'!L44-'DSGE HVD woFG'!L44</f>
        <v>4.2863955521734905E-15</v>
      </c>
      <c r="M44">
        <f>'DSGE HVD wFG'!M44-'DSGE HVD woFG'!M44</f>
        <v>5.4282502448222197E-15</v>
      </c>
      <c r="N44">
        <f>'DSGE HVD wFG'!N44-'DSGE HVD woFG'!N44</f>
        <v>5.4186978541761901E-15</v>
      </c>
      <c r="O44">
        <f>'DSGE HVD wFG'!O44-'DSGE HVD woFG'!O44</f>
        <v>-1.0540978963083896E-15</v>
      </c>
      <c r="P44">
        <f>'DSGE HVD wFG'!P44-'DSGE HVD woFG'!P44</f>
        <v>5.3098482589919024E-15</v>
      </c>
      <c r="Q44">
        <f>'DSGE HVD wFG'!Q44-'DSGE HVD woFG'!Q44</f>
        <v>1.5292702577966999E-3</v>
      </c>
      <c r="R44">
        <f>'DSGE HVD wFG'!R44-'DSGE HVD woFG'!R44</f>
        <v>0</v>
      </c>
      <c r="S44">
        <f>'DSGE HVD wFG'!S44-'DSGE HVD woFG'!S44</f>
        <v>1.9101553805500604E-3</v>
      </c>
      <c r="T44">
        <f>'DSGE HVD wFG'!T44-'DSGE HVD woFG'!T44</f>
        <v>-2.4362242308211997E-3</v>
      </c>
      <c r="U44">
        <f>'DSGE HVD wFG'!U44-'DSGE HVD woFG'!U44</f>
        <v>-0.53684900276024994</v>
      </c>
      <c r="Y44" s="1">
        <f t="shared" si="14"/>
        <v>43008</v>
      </c>
      <c r="Z44" s="7">
        <f t="shared" si="14"/>
        <v>-1.2432738758613004E-2</v>
      </c>
      <c r="AA44" s="7">
        <f t="shared" si="14"/>
        <v>2.4641897537730495E-3</v>
      </c>
      <c r="AB44" s="7">
        <f t="shared" si="14"/>
        <v>-0.50182432554676093</v>
      </c>
      <c r="AC44" s="7">
        <f t="shared" si="2"/>
        <v>-2.4846935070675924E-2</v>
      </c>
      <c r="AD44" s="7">
        <f t="shared" si="3"/>
        <v>6.9776083502669922E-4</v>
      </c>
      <c r="AE44" s="7">
        <f t="shared" si="4"/>
        <v>1.5292702577966999E-3</v>
      </c>
      <c r="AF44" s="7">
        <f t="shared" si="5"/>
        <v>9.5431483550669821E-17</v>
      </c>
      <c r="AG44" s="7">
        <f t="shared" si="5"/>
        <v>4.1550864936300327E-16</v>
      </c>
      <c r="AH44" s="7">
        <f t="shared" si="6"/>
        <v>-2.4362242308039301E-3</v>
      </c>
      <c r="AI44" s="7">
        <f t="shared" si="0"/>
        <v>-0.53684900276025682</v>
      </c>
      <c r="AJ44" s="8">
        <f t="shared" si="7"/>
        <v>-2.3317664812879224E-2</v>
      </c>
      <c r="AK44" s="8">
        <f t="shared" si="8"/>
        <v>-0.49866237495796117</v>
      </c>
      <c r="AL44" s="8">
        <f t="shared" si="9"/>
        <v>-1.2432738758613004E-2</v>
      </c>
      <c r="AM44" s="8">
        <f t="shared" si="10"/>
        <v>-2.4362242308039301E-3</v>
      </c>
      <c r="AN44" s="8">
        <f t="shared" si="11"/>
        <v>-0.53684900276025738</v>
      </c>
      <c r="AO44" s="9">
        <f t="shared" si="13"/>
        <v>0.26414202392531561</v>
      </c>
      <c r="AP44" s="9">
        <f t="shared" si="13"/>
        <v>0.70005529559462398</v>
      </c>
      <c r="AQ44" s="9">
        <f t="shared" si="13"/>
        <v>3.8346807710500121E-2</v>
      </c>
      <c r="AR44" s="9">
        <f t="shared" si="13"/>
        <v>-2.5441272304381288E-3</v>
      </c>
      <c r="AS44" s="9">
        <f t="shared" si="13"/>
        <v>1</v>
      </c>
      <c r="AT44" s="7"/>
      <c r="AU44" s="7"/>
      <c r="AV44" s="7"/>
      <c r="AW44" s="7"/>
      <c r="AX44" s="7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</row>
    <row r="45" spans="1:87" x14ac:dyDescent="0.25">
      <c r="A45" s="1">
        <v>43100</v>
      </c>
      <c r="B45">
        <f>'DSGE HVD wFG'!B45-'DSGE HVD woFG'!B45</f>
        <v>-1.2820725051615994E-2</v>
      </c>
      <c r="C45">
        <f>'DSGE HVD wFG'!C45-'DSGE HVD woFG'!C45</f>
        <v>2.015126564139047E-3</v>
      </c>
      <c r="D45">
        <f>'DSGE HVD wFG'!D45-'DSGE HVD woFG'!D45</f>
        <v>-0.50947434478618103</v>
      </c>
      <c r="E45">
        <f>'DSGE HVD wFG'!E45-'DSGE HVD woFG'!E45</f>
        <v>-2.283534557592018E-4</v>
      </c>
      <c r="F45">
        <f>'DSGE HVD wFG'!F45-'DSGE HVD woFG'!F45</f>
        <v>-2.7986892235897981E-2</v>
      </c>
      <c r="G45">
        <f>'DSGE HVD wFG'!G45-'DSGE HVD woFG'!G45</f>
        <v>1.0262279695787977E-16</v>
      </c>
      <c r="H45">
        <f>'DSGE HVD wFG'!H45-'DSGE HVD woFG'!H45</f>
        <v>3.4898114172339937E-16</v>
      </c>
      <c r="I45">
        <f>'DSGE HVD wFG'!I45-'DSGE HVD woFG'!I45</f>
        <v>-7.9329243614877202E-15</v>
      </c>
      <c r="J45">
        <f>'DSGE HVD wFG'!J45-'DSGE HVD woFG'!J45</f>
        <v>2.6616758264740519E-15</v>
      </c>
      <c r="K45">
        <f>'DSGE HVD wFG'!K45-'DSGE HVD woFG'!K45</f>
        <v>3.1165546311010401E-15</v>
      </c>
      <c r="L45">
        <f>'DSGE HVD wFG'!L45-'DSGE HVD woFG'!L45</f>
        <v>4.2749867424620998E-15</v>
      </c>
      <c r="M45">
        <f>'DSGE HVD wFG'!M45-'DSGE HVD woFG'!M45</f>
        <v>5.4275565159996098E-15</v>
      </c>
      <c r="N45">
        <f>'DSGE HVD wFG'!N45-'DSGE HVD woFG'!N45</f>
        <v>5.4457696454692099E-15</v>
      </c>
      <c r="O45">
        <f>'DSGE HVD wFG'!O45-'DSGE HVD woFG'!O45</f>
        <v>-9.1529411394261043E-16</v>
      </c>
      <c r="P45">
        <f>'DSGE HVD wFG'!P45-'DSGE HVD woFG'!P45</f>
        <v>5.2974218075693954E-15</v>
      </c>
      <c r="Q45">
        <f>'DSGE HVD wFG'!Q45-'DSGE HVD woFG'!Q45</f>
        <v>1.2253752933084902E-3</v>
      </c>
      <c r="R45">
        <f>'DSGE HVD wFG'!R45-'DSGE HVD woFG'!R45</f>
        <v>0</v>
      </c>
      <c r="S45">
        <f>'DSGE HVD wFG'!S45-'DSGE HVD woFG'!S45</f>
        <v>-1.323294586817958E-3</v>
      </c>
      <c r="T45">
        <f>'DSGE HVD wFG'!T45-'DSGE HVD woFG'!T45</f>
        <v>-2.4109757529286006E-3</v>
      </c>
      <c r="U45">
        <f>'DSGE HVD wFG'!U45-'DSGE HVD woFG'!U45</f>
        <v>-0.55100408401173984</v>
      </c>
      <c r="Y45" s="1">
        <f t="shared" si="14"/>
        <v>43100</v>
      </c>
      <c r="Z45" s="7">
        <f t="shared" si="14"/>
        <v>-1.2820725051615994E-2</v>
      </c>
      <c r="AA45" s="7">
        <f t="shared" si="14"/>
        <v>2.015126564139047E-3</v>
      </c>
      <c r="AB45" s="7">
        <f t="shared" si="14"/>
        <v>-0.50947434478618103</v>
      </c>
      <c r="AC45" s="7">
        <f t="shared" si="2"/>
        <v>-2.9310186822715939E-2</v>
      </c>
      <c r="AD45" s="7">
        <f t="shared" si="3"/>
        <v>-2.283534557592018E-4</v>
      </c>
      <c r="AE45" s="7">
        <f t="shared" si="4"/>
        <v>1.2253752933084902E-3</v>
      </c>
      <c r="AF45" s="7">
        <f t="shared" si="5"/>
        <v>1.0262279695787977E-16</v>
      </c>
      <c r="AG45" s="7">
        <f t="shared" si="5"/>
        <v>3.4898114172339937E-16</v>
      </c>
      <c r="AH45" s="7">
        <f t="shared" si="6"/>
        <v>-2.4109757529112257E-3</v>
      </c>
      <c r="AI45" s="7">
        <f t="shared" si="0"/>
        <v>-0.55100408401173551</v>
      </c>
      <c r="AJ45" s="8">
        <f t="shared" si="7"/>
        <v>-2.808481152940745E-2</v>
      </c>
      <c r="AK45" s="8">
        <f t="shared" si="8"/>
        <v>-0.50768757167780121</v>
      </c>
      <c r="AL45" s="8">
        <f t="shared" si="9"/>
        <v>-1.2820725051615994E-2</v>
      </c>
      <c r="AM45" s="8">
        <f t="shared" si="10"/>
        <v>-2.4109757529112257E-3</v>
      </c>
      <c r="AN45" s="8">
        <f t="shared" si="11"/>
        <v>-0.55100408401173595</v>
      </c>
      <c r="AO45" s="9">
        <f t="shared" si="13"/>
        <v>0.33677989068627012</v>
      </c>
      <c r="AP45" s="9">
        <f t="shared" si="13"/>
        <v>0.63759413029842582</v>
      </c>
      <c r="AQ45" s="9">
        <f t="shared" si="13"/>
        <v>2.7409683216227571E-2</v>
      </c>
      <c r="AR45" s="9">
        <f t="shared" si="13"/>
        <v>-1.783704200925522E-3</v>
      </c>
      <c r="AS45" s="9">
        <f t="shared" si="13"/>
        <v>1</v>
      </c>
      <c r="AT45" s="7"/>
      <c r="AU45" s="7"/>
      <c r="AV45" s="7"/>
      <c r="AW45" s="7"/>
      <c r="AX45" s="7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</row>
    <row r="46" spans="1:87" x14ac:dyDescent="0.25">
      <c r="A46" s="1">
        <v>43190</v>
      </c>
      <c r="B46">
        <f>'DSGE HVD wFG'!B46-'DSGE HVD woFG'!B46</f>
        <v>-1.3215411722136999E-2</v>
      </c>
      <c r="C46">
        <f>'DSGE HVD wFG'!C46-'DSGE HVD woFG'!C46</f>
        <v>1.2567158112251064E-3</v>
      </c>
      <c r="D46">
        <f>'DSGE HVD wFG'!D46-'DSGE HVD woFG'!D46</f>
        <v>-0.51896445034854399</v>
      </c>
      <c r="E46">
        <f>'DSGE HVD wFG'!E46-'DSGE HVD woFG'!E46</f>
        <v>-1.149321496801102E-3</v>
      </c>
      <c r="F46">
        <f>'DSGE HVD wFG'!F46-'DSGE HVD woFG'!F46</f>
        <v>-2.9262491635038995E-2</v>
      </c>
      <c r="G46">
        <f>'DSGE HVD wFG'!G46-'DSGE HVD woFG'!G46</f>
        <v>1.0978028574118997E-16</v>
      </c>
      <c r="H46">
        <f>'DSGE HVD wFG'!H46-'DSGE HVD woFG'!H46</f>
        <v>2.801749778162972E-16</v>
      </c>
      <c r="I46">
        <f>'DSGE HVD wFG'!I46-'DSGE HVD woFG'!I46</f>
        <v>-7.9033731709098105E-15</v>
      </c>
      <c r="J46">
        <f>'DSGE HVD wFG'!J46-'DSGE HVD woFG'!J46</f>
        <v>2.6243354883710251E-15</v>
      </c>
      <c r="K46">
        <f>'DSGE HVD wFG'!K46-'DSGE HVD woFG'!K46</f>
        <v>3.0970884366785101E-15</v>
      </c>
      <c r="L46">
        <f>'DSGE HVD wFG'!L46-'DSGE HVD woFG'!L46</f>
        <v>4.2686507734161199E-15</v>
      </c>
      <c r="M46">
        <f>'DSGE HVD wFG'!M46-'DSGE HVD woFG'!M46</f>
        <v>5.4342806842355302E-15</v>
      </c>
      <c r="N46">
        <f>'DSGE HVD wFG'!N46-'DSGE HVD woFG'!N46</f>
        <v>5.4839054678915496E-15</v>
      </c>
      <c r="O46">
        <f>'DSGE HVD wFG'!O46-'DSGE HVD woFG'!O46</f>
        <v>-7.6338761389540975E-16</v>
      </c>
      <c r="P46">
        <f>'DSGE HVD wFG'!P46-'DSGE HVD woFG'!P46</f>
        <v>5.2044221359855009E-15</v>
      </c>
      <c r="Q46">
        <f>'DSGE HVD wFG'!Q46-'DSGE HVD woFG'!Q46</f>
        <v>6.1500160771731896E-4</v>
      </c>
      <c r="R46">
        <f>'DSGE HVD wFG'!R46-'DSGE HVD woFG'!R46</f>
        <v>0</v>
      </c>
      <c r="S46">
        <f>'DSGE HVD wFG'!S46-'DSGE HVD woFG'!S46</f>
        <v>-6.3620067957320114E-3</v>
      </c>
      <c r="T46">
        <f>'DSGE HVD wFG'!T46-'DSGE HVD woFG'!T46</f>
        <v>-2.3859999970037016E-3</v>
      </c>
      <c r="U46">
        <f>'DSGE HVD wFG'!U46-'DSGE HVD woFG'!U46</f>
        <v>-0.56946796457630011</v>
      </c>
      <c r="Y46" s="1">
        <f t="shared" si="14"/>
        <v>43190</v>
      </c>
      <c r="Z46" s="7">
        <f t="shared" si="14"/>
        <v>-1.3215411722136999E-2</v>
      </c>
      <c r="AA46" s="7">
        <f t="shared" si="14"/>
        <v>1.2567158112251064E-3</v>
      </c>
      <c r="AB46" s="7">
        <f t="shared" si="14"/>
        <v>-0.51896445034854399</v>
      </c>
      <c r="AC46" s="7">
        <f t="shared" si="2"/>
        <v>-3.5624498430771007E-2</v>
      </c>
      <c r="AD46" s="7">
        <f t="shared" si="3"/>
        <v>-1.149321496801102E-3</v>
      </c>
      <c r="AE46" s="7">
        <f t="shared" si="4"/>
        <v>6.1500160771731896E-4</v>
      </c>
      <c r="AF46" s="7">
        <f t="shared" si="5"/>
        <v>1.0978028574118997E-16</v>
      </c>
      <c r="AG46" s="7">
        <f t="shared" si="5"/>
        <v>2.801749778162972E-16</v>
      </c>
      <c r="AH46" s="7">
        <f t="shared" si="6"/>
        <v>-2.3859999969862555E-3</v>
      </c>
      <c r="AI46" s="7">
        <f t="shared" si="0"/>
        <v>-0.56946796457629656</v>
      </c>
      <c r="AJ46" s="8">
        <f t="shared" si="7"/>
        <v>-3.5009496823053689E-2</v>
      </c>
      <c r="AK46" s="8">
        <f t="shared" si="8"/>
        <v>-0.51885705603412002</v>
      </c>
      <c r="AL46" s="8">
        <f t="shared" si="9"/>
        <v>-1.3215411722136999E-2</v>
      </c>
      <c r="AM46" s="8">
        <f t="shared" si="10"/>
        <v>-2.3859999969862555E-3</v>
      </c>
      <c r="AN46" s="8">
        <f t="shared" si="11"/>
        <v>-0.569467964576297</v>
      </c>
      <c r="AO46" s="9">
        <f t="shared" si="13"/>
        <v>0.375039541088521</v>
      </c>
      <c r="AP46" s="9">
        <f t="shared" si="13"/>
        <v>0.60493699129299749</v>
      </c>
      <c r="AQ46" s="9">
        <f t="shared" si="13"/>
        <v>2.1376149457907199E-2</v>
      </c>
      <c r="AR46" s="9">
        <f t="shared" si="13"/>
        <v>-1.3526818394237129E-3</v>
      </c>
      <c r="AS46" s="9">
        <f t="shared" si="13"/>
        <v>1</v>
      </c>
      <c r="AT46" s="7"/>
      <c r="AU46" s="7"/>
      <c r="AV46" s="7"/>
      <c r="AW46" s="7"/>
      <c r="AX46" s="7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</row>
    <row r="47" spans="1:87" x14ac:dyDescent="0.25">
      <c r="A47" s="1">
        <v>43281</v>
      </c>
      <c r="B47">
        <f>'DSGE HVD wFG'!B47-'DSGE HVD woFG'!B47</f>
        <v>-1.3620485703604995E-2</v>
      </c>
      <c r="C47">
        <f>'DSGE HVD wFG'!C47-'DSGE HVD woFG'!C47</f>
        <v>6.9137945667985257E-5</v>
      </c>
      <c r="D47">
        <f>'DSGE HVD wFG'!D47-'DSGE HVD woFG'!D47</f>
        <v>-0.53036512309366801</v>
      </c>
      <c r="E47">
        <f>'DSGE HVD wFG'!E47-'DSGE HVD woFG'!E47</f>
        <v>-2.0868905326620023E-3</v>
      </c>
      <c r="F47">
        <f>'DSGE HVD wFG'!F47-'DSGE HVD woFG'!F47</f>
        <v>-3.0622948271389006E-2</v>
      </c>
      <c r="G47">
        <f>'DSGE HVD wFG'!G47-'DSGE HVD woFG'!G47</f>
        <v>1.1703654332406013E-16</v>
      </c>
      <c r="H47">
        <f>'DSGE HVD wFG'!H47-'DSGE HVD woFG'!H47</f>
        <v>2.0843660126350008E-16</v>
      </c>
      <c r="I47">
        <f>'DSGE HVD wFG'!I47-'DSGE HVD woFG'!I47</f>
        <v>-7.8694384846070004E-15</v>
      </c>
      <c r="J47">
        <f>'DSGE HVD wFG'!J47-'DSGE HVD woFG'!J47</f>
        <v>2.5882058306412882E-15</v>
      </c>
      <c r="K47">
        <f>'DSGE HVD wFG'!K47-'DSGE HVD woFG'!K47</f>
        <v>3.0822537021486E-15</v>
      </c>
      <c r="L47">
        <f>'DSGE HVD wFG'!L47-'DSGE HVD woFG'!L47</f>
        <v>4.2681142016387101E-15</v>
      </c>
      <c r="M47">
        <f>'DSGE HVD wFG'!M47-'DSGE HVD woFG'!M47</f>
        <v>5.4500084475234405E-15</v>
      </c>
      <c r="N47">
        <f>'DSGE HVD wFG'!N47-'DSGE HVD woFG'!N47</f>
        <v>5.5340994085514998E-15</v>
      </c>
      <c r="O47">
        <f>'DSGE HVD wFG'!O47-'DSGE HVD woFG'!O47</f>
        <v>-6.0289180630561005E-16</v>
      </c>
      <c r="P47">
        <f>'DSGE HVD wFG'!P47-'DSGE HVD woFG'!P47</f>
        <v>5.0240867304914932E-15</v>
      </c>
      <c r="Q47">
        <f>'DSGE HVD wFG'!Q47-'DSGE HVD woFG'!Q47</f>
        <v>-2.8430052633501152E-4</v>
      </c>
      <c r="R47">
        <f>'DSGE HVD wFG'!R47-'DSGE HVD woFG'!R47</f>
        <v>0</v>
      </c>
      <c r="S47">
        <f>'DSGE HVD wFG'!S47-'DSGE HVD woFG'!S47</f>
        <v>-1.3259565051970956E-2</v>
      </c>
      <c r="T47">
        <f>'DSGE HVD wFG'!T47-'DSGE HVD woFG'!T47</f>
        <v>-2.3612938461480999E-3</v>
      </c>
      <c r="U47">
        <f>'DSGE HVD wFG'!U47-'DSGE HVD woFG'!U47</f>
        <v>-0.59253146908009002</v>
      </c>
      <c r="Y47" s="1">
        <f t="shared" si="14"/>
        <v>43281</v>
      </c>
      <c r="Z47" s="7">
        <f t="shared" si="14"/>
        <v>-1.3620485703604995E-2</v>
      </c>
      <c r="AA47" s="7">
        <f t="shared" si="14"/>
        <v>6.9137945667985257E-5</v>
      </c>
      <c r="AB47" s="7">
        <f t="shared" si="14"/>
        <v>-0.53036512309366801</v>
      </c>
      <c r="AC47" s="7">
        <f t="shared" si="2"/>
        <v>-4.3882513323359962E-2</v>
      </c>
      <c r="AD47" s="7">
        <f t="shared" si="3"/>
        <v>-2.0868905326620023E-3</v>
      </c>
      <c r="AE47" s="7">
        <f t="shared" si="4"/>
        <v>-2.8430052633501152E-4</v>
      </c>
      <c r="AF47" s="7">
        <f t="shared" si="5"/>
        <v>1.1703654332406013E-16</v>
      </c>
      <c r="AG47" s="7">
        <f t="shared" si="5"/>
        <v>2.0843660126350008E-16</v>
      </c>
      <c r="AH47" s="7">
        <f t="shared" si="6"/>
        <v>-2.3612938461306252E-3</v>
      </c>
      <c r="AI47" s="7">
        <f t="shared" si="0"/>
        <v>-0.59253146908009213</v>
      </c>
      <c r="AJ47" s="8">
        <f t="shared" si="7"/>
        <v>-4.4166813849694973E-2</v>
      </c>
      <c r="AK47" s="8">
        <f t="shared" si="8"/>
        <v>-0.532382875680662</v>
      </c>
      <c r="AL47" s="8">
        <f t="shared" si="9"/>
        <v>-1.3620485703604995E-2</v>
      </c>
      <c r="AM47" s="8">
        <f t="shared" si="10"/>
        <v>-2.3612938461306252E-3</v>
      </c>
      <c r="AN47" s="8">
        <f t="shared" si="11"/>
        <v>-0.59253146908009258</v>
      </c>
      <c r="AO47" s="9">
        <f t="shared" si="13"/>
        <v>0.39704794321844106</v>
      </c>
      <c r="AP47" s="9">
        <f t="shared" si="13"/>
        <v>0.58645986104653047</v>
      </c>
      <c r="AQ47" s="9">
        <f t="shared" si="13"/>
        <v>1.7563418490946715E-2</v>
      </c>
      <c r="AR47" s="9">
        <f t="shared" si="13"/>
        <v>-1.0712227559157097E-3</v>
      </c>
      <c r="AS47" s="9">
        <f t="shared" si="13"/>
        <v>1</v>
      </c>
      <c r="AT47" s="7"/>
      <c r="AU47" s="7"/>
      <c r="AV47" s="7"/>
      <c r="AW47" s="7"/>
      <c r="AX47" s="7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</row>
    <row r="48" spans="1:87" x14ac:dyDescent="0.25">
      <c r="A48" s="1">
        <v>43373</v>
      </c>
      <c r="B48">
        <f>'DSGE HVD wFG'!B48-'DSGE HVD woFG'!B48</f>
        <v>-1.4040211293604998E-2</v>
      </c>
      <c r="C48">
        <f>'DSGE HVD wFG'!C48-'DSGE HVD woFG'!C48</f>
        <v>-1.7582445391649548E-3</v>
      </c>
      <c r="D48">
        <f>'DSGE HVD wFG'!D48-'DSGE HVD woFG'!D48</f>
        <v>-0.54377824965421206</v>
      </c>
      <c r="E48">
        <f>'DSGE HVD wFG'!E48-'DSGE HVD woFG'!E48</f>
        <v>-3.1068720211964995E-3</v>
      </c>
      <c r="F48">
        <f>'DSGE HVD wFG'!F48-'DSGE HVD woFG'!F48</f>
        <v>-3.2108569854502E-2</v>
      </c>
      <c r="G48">
        <f>'DSGE HVD wFG'!G48-'DSGE HVD woFG'!G48</f>
        <v>1.2444089288933002E-16</v>
      </c>
      <c r="H48">
        <f>'DSGE HVD wFG'!H48-'DSGE HVD woFG'!H48</f>
        <v>1.3298870476199677E-16</v>
      </c>
      <c r="I48">
        <f>'DSGE HVD wFG'!I48-'DSGE HVD woFG'!I48</f>
        <v>-7.8306974403327909E-15</v>
      </c>
      <c r="J48">
        <f>'DSGE HVD wFG'!J48-'DSGE HVD woFG'!J48</f>
        <v>2.5556669795399459E-15</v>
      </c>
      <c r="K48">
        <f>'DSGE HVD wFG'!K48-'DSGE HVD woFG'!K48</f>
        <v>3.0727574594672297E-15</v>
      </c>
      <c r="L48">
        <f>'DSGE HVD wFG'!L48-'DSGE HVD woFG'!L48</f>
        <v>4.2748472524846201E-15</v>
      </c>
      <c r="M48">
        <f>'DSGE HVD wFG'!M48-'DSGE HVD woFG'!M48</f>
        <v>5.4757268226142094E-15</v>
      </c>
      <c r="N48">
        <f>'DSGE HVD wFG'!N48-'DSGE HVD woFG'!N48</f>
        <v>5.5926425851428403E-15</v>
      </c>
      <c r="O48">
        <f>'DSGE HVD wFG'!O48-'DSGE HVD woFG'!O48</f>
        <v>-4.9722327281432993E-16</v>
      </c>
      <c r="P48">
        <f>'DSGE HVD wFG'!P48-'DSGE HVD woFG'!P48</f>
        <v>4.7517127737439066E-15</v>
      </c>
      <c r="Q48">
        <f>'DSGE HVD wFG'!Q48-'DSGE HVD woFG'!Q48</f>
        <v>-1.4690809468804909E-3</v>
      </c>
      <c r="R48">
        <f>'DSGE HVD wFG'!R48-'DSGE HVD woFG'!R48</f>
        <v>0</v>
      </c>
      <c r="S48">
        <f>'DSGE HVD wFG'!S48-'DSGE HVD woFG'!S48</f>
        <v>-2.2100796366205044E-2</v>
      </c>
      <c r="T48">
        <f>'DSGE HVD wFG'!T48-'DSGE HVD woFG'!T48</f>
        <v>-2.3368542219696017E-3</v>
      </c>
      <c r="U48">
        <f>'DSGE HVD wFG'!U48-'DSGE HVD woFG'!U48</f>
        <v>-0.62069887889771991</v>
      </c>
      <c r="Y48" s="1">
        <f t="shared" si="14"/>
        <v>43373</v>
      </c>
      <c r="Z48" s="7">
        <f t="shared" si="14"/>
        <v>-1.4040211293604998E-2</v>
      </c>
      <c r="AA48" s="7">
        <f t="shared" si="14"/>
        <v>-1.7582445391649548E-3</v>
      </c>
      <c r="AB48" s="7">
        <f t="shared" si="14"/>
        <v>-0.54377824965421206</v>
      </c>
      <c r="AC48" s="7">
        <f t="shared" si="2"/>
        <v>-5.4209366220707045E-2</v>
      </c>
      <c r="AD48" s="7">
        <f t="shared" si="3"/>
        <v>-3.1068720211964995E-3</v>
      </c>
      <c r="AE48" s="7">
        <f t="shared" si="4"/>
        <v>-1.4690809468804909E-3</v>
      </c>
      <c r="AF48" s="7">
        <f t="shared" si="5"/>
        <v>1.2444089288933002E-16</v>
      </c>
      <c r="AG48" s="7">
        <f t="shared" si="5"/>
        <v>1.3298870476199677E-16</v>
      </c>
      <c r="AH48" s="7">
        <f t="shared" si="6"/>
        <v>-2.3368542219522064E-3</v>
      </c>
      <c r="AI48" s="7">
        <f t="shared" si="0"/>
        <v>-0.62069887889771802</v>
      </c>
      <c r="AJ48" s="8">
        <f t="shared" si="7"/>
        <v>-5.5678447167587533E-2</v>
      </c>
      <c r="AK48" s="8">
        <f t="shared" si="8"/>
        <v>-0.54864336621457355</v>
      </c>
      <c r="AL48" s="8">
        <f t="shared" si="9"/>
        <v>-1.4040211293604998E-2</v>
      </c>
      <c r="AM48" s="8">
        <f t="shared" si="10"/>
        <v>-2.3368542219522064E-3</v>
      </c>
      <c r="AN48" s="8">
        <f t="shared" si="11"/>
        <v>-0.62069887889771824</v>
      </c>
      <c r="AO48" s="9">
        <f t="shared" si="13"/>
        <v>0.40868625807010456</v>
      </c>
      <c r="AP48" s="9">
        <f t="shared" si="13"/>
        <v>0.57728029091750543</v>
      </c>
      <c r="AQ48" s="9">
        <f t="shared" si="13"/>
        <v>1.4901107085017134E-2</v>
      </c>
      <c r="AR48" s="9">
        <f t="shared" si="13"/>
        <v>-8.6765607262637981E-4</v>
      </c>
      <c r="AS48" s="9">
        <f t="shared" si="13"/>
        <v>1</v>
      </c>
      <c r="AT48" s="7"/>
      <c r="AU48" s="7"/>
      <c r="AV48" s="7"/>
      <c r="AW48" s="7"/>
      <c r="AX48" s="7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</row>
    <row r="49" spans="1:87" x14ac:dyDescent="0.25">
      <c r="A49" s="1">
        <v>43465</v>
      </c>
      <c r="B49">
        <f>'DSGE HVD wFG'!B49-'DSGE HVD woFG'!B49</f>
        <v>-1.447665096595499E-2</v>
      </c>
      <c r="C49">
        <f>'DSGE HVD wFG'!C49-'DSGE HVD woFG'!C49</f>
        <v>-4.010048934222965E-3</v>
      </c>
      <c r="D49">
        <f>'DSGE HVD wFG'!D49-'DSGE HVD woFG'!D49</f>
        <v>-0.55905867470827697</v>
      </c>
      <c r="E49">
        <f>'DSGE HVD wFG'!E49-'DSGE HVD woFG'!E49</f>
        <v>-3.3151367142601699E-3</v>
      </c>
      <c r="F49">
        <f>'DSGE HVD wFG'!F49-'DSGE HVD woFG'!F49</f>
        <v>-3.3769102804704992E-2</v>
      </c>
      <c r="G49">
        <f>'DSGE HVD wFG'!G49-'DSGE HVD woFG'!G49</f>
        <v>1.3459558988596016E-16</v>
      </c>
      <c r="H49">
        <f>'DSGE HVD wFG'!H49-'DSGE HVD woFG'!H49</f>
        <v>5.3464612144000724E-17</v>
      </c>
      <c r="I49">
        <f>'DSGE HVD wFG'!I49-'DSGE HVD woFG'!I49</f>
        <v>-7.7990965011225103E-15</v>
      </c>
      <c r="J49">
        <f>'DSGE HVD wFG'!J49-'DSGE HVD woFG'!J49</f>
        <v>2.5231293678930682E-15</v>
      </c>
      <c r="K49">
        <f>'DSGE HVD wFG'!K49-'DSGE HVD woFG'!K49</f>
        <v>3.0658393912800698E-15</v>
      </c>
      <c r="L49">
        <f>'DSGE HVD wFG'!L49-'DSGE HVD woFG'!L49</f>
        <v>4.2858342795482403E-15</v>
      </c>
      <c r="M49">
        <f>'DSGE HVD wFG'!M49-'DSGE HVD woFG'!M49</f>
        <v>5.5041765408303306E-15</v>
      </c>
      <c r="N49">
        <f>'DSGE HVD wFG'!N49-'DSGE HVD woFG'!N49</f>
        <v>5.59956245027805E-15</v>
      </c>
      <c r="O49">
        <f>'DSGE HVD wFG'!O49-'DSGE HVD woFG'!O49</f>
        <v>7.7649901205091024E-16</v>
      </c>
      <c r="P49">
        <f>'DSGE HVD wFG'!P49-'DSGE HVD woFG'!P49</f>
        <v>4.326035877489699E-15</v>
      </c>
      <c r="Q49">
        <f>'DSGE HVD wFG'!Q49-'DSGE HVD woFG'!Q49</f>
        <v>-2.655770959815399E-3</v>
      </c>
      <c r="R49">
        <f>'DSGE HVD wFG'!R49-'DSGE HVD woFG'!R49</f>
        <v>0</v>
      </c>
      <c r="S49">
        <f>'DSGE HVD wFG'!S49-'DSGE HVD woFG'!S49</f>
        <v>-3.3141567145699991E-2</v>
      </c>
      <c r="T49">
        <f>'DSGE HVD wFG'!T49-'DSGE HVD woFG'!T49</f>
        <v>-2.312678084061999E-3</v>
      </c>
      <c r="U49">
        <f>'DSGE HVD wFG'!U49-'DSGE HVD woFG'!U49</f>
        <v>-0.6527396303169799</v>
      </c>
      <c r="Y49" s="1">
        <f t="shared" si="14"/>
        <v>43465</v>
      </c>
      <c r="Z49" s="7">
        <f t="shared" si="14"/>
        <v>-1.447665096595499E-2</v>
      </c>
      <c r="AA49" s="7">
        <f t="shared" si="14"/>
        <v>-4.010048934222965E-3</v>
      </c>
      <c r="AB49" s="7">
        <f t="shared" si="14"/>
        <v>-0.55905867470827697</v>
      </c>
      <c r="AC49" s="7">
        <f t="shared" si="2"/>
        <v>-6.6910669950404983E-2</v>
      </c>
      <c r="AD49" s="7">
        <f t="shared" si="3"/>
        <v>-3.3151367142601699E-3</v>
      </c>
      <c r="AE49" s="7">
        <f t="shared" si="4"/>
        <v>-2.655770959815399E-3</v>
      </c>
      <c r="AF49" s="7">
        <f t="shared" si="5"/>
        <v>1.3459558988596016E-16</v>
      </c>
      <c r="AG49" s="7">
        <f t="shared" si="5"/>
        <v>5.3464612144000724E-17</v>
      </c>
      <c r="AH49" s="7">
        <f t="shared" si="6"/>
        <v>-2.3126780840437172E-3</v>
      </c>
      <c r="AI49" s="7">
        <f t="shared" si="0"/>
        <v>-0.65273963031697901</v>
      </c>
      <c r="AJ49" s="8">
        <f t="shared" si="7"/>
        <v>-6.9566440910220378E-2</v>
      </c>
      <c r="AK49" s="8">
        <f t="shared" si="8"/>
        <v>-0.56638386035676014</v>
      </c>
      <c r="AL49" s="8">
        <f t="shared" si="9"/>
        <v>-1.447665096595499E-2</v>
      </c>
      <c r="AM49" s="8">
        <f t="shared" si="10"/>
        <v>-2.3126780840437172E-3</v>
      </c>
      <c r="AN49" s="8">
        <f t="shared" si="11"/>
        <v>-0.65273963031697912</v>
      </c>
      <c r="AO49" s="9">
        <f t="shared" si="13"/>
        <v>0.43344781652917969</v>
      </c>
      <c r="AP49" s="9">
        <f t="shared" si="13"/>
        <v>0.55368533371917494</v>
      </c>
      <c r="AQ49" s="9">
        <f t="shared" si="13"/>
        <v>1.3621393163945334E-2</v>
      </c>
      <c r="AR49" s="9">
        <f t="shared" si="13"/>
        <v>-7.5454341229825304E-4</v>
      </c>
      <c r="AS49" s="9">
        <f t="shared" si="13"/>
        <v>1</v>
      </c>
      <c r="AT49" s="7"/>
      <c r="AU49" s="7"/>
      <c r="AV49" s="7"/>
      <c r="AW49" s="7"/>
      <c r="AX49" s="7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</row>
    <row r="50" spans="1:87" x14ac:dyDescent="0.25">
      <c r="A50" s="1">
        <v>43555</v>
      </c>
      <c r="B50">
        <f>'DSGE HVD wFG'!B50-'DSGE HVD woFG'!B50</f>
        <v>-1.4939734130619997E-2</v>
      </c>
      <c r="C50">
        <f>'DSGE HVD wFG'!C50-'DSGE HVD woFG'!C50</f>
        <v>-7.1768587847850229E-3</v>
      </c>
      <c r="D50">
        <f>'DSGE HVD wFG'!D50-'DSGE HVD woFG'!D50</f>
        <v>-0.57631768507007186</v>
      </c>
      <c r="E50">
        <f>'DSGE HVD wFG'!E50-'DSGE HVD woFG'!E50</f>
        <v>-4.3032994421471904E-3</v>
      </c>
      <c r="F50">
        <f>'DSGE HVD wFG'!F50-'DSGE HVD woFG'!F50</f>
        <v>-3.5628427635682997E-2</v>
      </c>
      <c r="G50">
        <f>'DSGE HVD wFG'!G50-'DSGE HVD woFG'!G50</f>
        <v>1.4719121960183006E-16</v>
      </c>
      <c r="H50">
        <f>'DSGE HVD wFG'!H50-'DSGE HVD woFG'!H50</f>
        <v>-3.1007748679999931E-17</v>
      </c>
      <c r="I50">
        <f>'DSGE HVD wFG'!I50-'DSGE HVD woFG'!I50</f>
        <v>-7.7634012472977393E-15</v>
      </c>
      <c r="J50">
        <f>'DSGE HVD wFG'!J50-'DSGE HVD woFG'!J50</f>
        <v>2.493448182867807E-15</v>
      </c>
      <c r="K50">
        <f>'DSGE HVD wFG'!K50-'DSGE HVD woFG'!K50</f>
        <v>3.0640510058130501E-15</v>
      </c>
      <c r="L50">
        <f>'DSGE HVD wFG'!L50-'DSGE HVD woFG'!L50</f>
        <v>4.3005500784984001E-15</v>
      </c>
      <c r="M50">
        <f>'DSGE HVD wFG'!M50-'DSGE HVD woFG'!M50</f>
        <v>5.4909128128261906E-15</v>
      </c>
      <c r="N50">
        <f>'DSGE HVD wFG'!N50-'DSGE HVD woFG'!N50</f>
        <v>6.6339237827524197E-15</v>
      </c>
      <c r="O50">
        <f>'DSGE HVD wFG'!O50-'DSGE HVD woFG'!O50</f>
        <v>8.0052777401751991E-16</v>
      </c>
      <c r="P50">
        <f>'DSGE HVD wFG'!P50-'DSGE HVD woFG'!P50</f>
        <v>3.8055364537277075E-15</v>
      </c>
      <c r="Q50">
        <f>'DSGE HVD wFG'!Q50-'DSGE HVD woFG'!Q50</f>
        <v>-4.6143992083780977E-3</v>
      </c>
      <c r="R50">
        <f>'DSGE HVD wFG'!R50-'DSGE HVD woFG'!R50</f>
        <v>0</v>
      </c>
      <c r="S50">
        <f>'DSGE HVD wFG'!S50-'DSGE HVD woFG'!S50</f>
        <v>-4.5883414121780042E-2</v>
      </c>
      <c r="T50">
        <f>'DSGE HVD wFG'!T50-'DSGE HVD woFG'!T50</f>
        <v>-2.288762429491999E-3</v>
      </c>
      <c r="U50">
        <f>'DSGE HVD wFG'!U50-'DSGE HVD woFG'!U50</f>
        <v>-0.69115258082293018</v>
      </c>
      <c r="Y50" s="1">
        <f t="shared" si="14"/>
        <v>43555</v>
      </c>
      <c r="Z50" s="7">
        <f t="shared" si="14"/>
        <v>-1.4939734130619997E-2</v>
      </c>
      <c r="AA50" s="7">
        <f t="shared" si="14"/>
        <v>-7.1768587847850229E-3</v>
      </c>
      <c r="AB50" s="7">
        <f t="shared" si="14"/>
        <v>-0.57631768507007186</v>
      </c>
      <c r="AC50" s="7">
        <f t="shared" si="2"/>
        <v>-8.1511841757463038E-2</v>
      </c>
      <c r="AD50" s="7">
        <f t="shared" si="3"/>
        <v>-4.3032994421471904E-3</v>
      </c>
      <c r="AE50" s="7">
        <f t="shared" si="4"/>
        <v>-4.6143992083780977E-3</v>
      </c>
      <c r="AF50" s="7">
        <f t="shared" si="5"/>
        <v>1.4719121960183006E-16</v>
      </c>
      <c r="AG50" s="7">
        <f t="shared" si="5"/>
        <v>-3.1007748679999931E-17</v>
      </c>
      <c r="AH50" s="7">
        <f t="shared" si="6"/>
        <v>-2.2887624294731733E-3</v>
      </c>
      <c r="AI50" s="7">
        <f t="shared" si="0"/>
        <v>-0.6911525808229384</v>
      </c>
      <c r="AJ50" s="8">
        <f t="shared" si="7"/>
        <v>-8.6126240965841136E-2</v>
      </c>
      <c r="AK50" s="8">
        <f t="shared" si="8"/>
        <v>-0.58779784329700413</v>
      </c>
      <c r="AL50" s="8">
        <f t="shared" si="9"/>
        <v>-1.4939734130619997E-2</v>
      </c>
      <c r="AM50" s="8">
        <f t="shared" si="10"/>
        <v>-2.2887624294731733E-3</v>
      </c>
      <c r="AN50" s="8">
        <f t="shared" si="11"/>
        <v>-0.6911525808229384</v>
      </c>
      <c r="AO50" s="9">
        <f t="shared" si="13"/>
        <v>0.43109940365168559</v>
      </c>
      <c r="AP50" s="9">
        <f t="shared" si="13"/>
        <v>0.55746779818233139</v>
      </c>
      <c r="AQ50" s="9">
        <f t="shared" si="13"/>
        <v>1.2055391699035602E-2</v>
      </c>
      <c r="AR50" s="9">
        <f t="shared" si="13"/>
        <v>-6.225935330542655E-4</v>
      </c>
      <c r="AS50" s="9">
        <f t="shared" si="13"/>
        <v>1</v>
      </c>
      <c r="AT50" s="7"/>
      <c r="AU50" s="7"/>
      <c r="AV50" s="7"/>
      <c r="AW50" s="7"/>
      <c r="AX50" s="7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</row>
    <row r="51" spans="1:87" x14ac:dyDescent="0.25">
      <c r="A51" s="1">
        <v>43646</v>
      </c>
      <c r="B51">
        <f>'DSGE HVD wFG'!B51-'DSGE HVD woFG'!B51</f>
        <v>-1.543884931247802E-2</v>
      </c>
      <c r="C51">
        <f>'DSGE HVD wFG'!C51-'DSGE HVD woFG'!C51</f>
        <v>-1.1592061642496043E-2</v>
      </c>
      <c r="D51">
        <f>'DSGE HVD wFG'!D51-'DSGE HVD woFG'!D51</f>
        <v>-0.59562860860797351</v>
      </c>
      <c r="E51">
        <f>'DSGE HVD wFG'!E51-'DSGE HVD woFG'!E51</f>
        <v>-5.7490943493374302E-3</v>
      </c>
      <c r="F51">
        <f>'DSGE HVD wFG'!F51-'DSGE HVD woFG'!F51</f>
        <v>-3.7727038076423997E-2</v>
      </c>
      <c r="G51">
        <f>'DSGE HVD wFG'!G51-'DSGE HVD woFG'!G51</f>
        <v>1.6424091216414002E-16</v>
      </c>
      <c r="H51">
        <f>'DSGE HVD wFG'!H51-'DSGE HVD woFG'!H51</f>
        <v>-1.2124643766199929E-16</v>
      </c>
      <c r="I51">
        <f>'DSGE HVD wFG'!I51-'DSGE HVD woFG'!I51</f>
        <v>-7.7255058293053799E-15</v>
      </c>
      <c r="J51">
        <f>'DSGE HVD wFG'!J51-'DSGE HVD woFG'!J51</f>
        <v>2.4664374222095027E-15</v>
      </c>
      <c r="K51">
        <f>'DSGE HVD wFG'!K51-'DSGE HVD woFG'!K51</f>
        <v>3.0642633118355799E-15</v>
      </c>
      <c r="L51">
        <f>'DSGE HVD wFG'!L51-'DSGE HVD woFG'!L51</f>
        <v>4.2773462186401504E-15</v>
      </c>
      <c r="M51">
        <f>'DSGE HVD wFG'!M51-'DSGE HVD woFG'!M51</f>
        <v>6.3572579568833501E-15</v>
      </c>
      <c r="N51">
        <f>'DSGE HVD wFG'!N51-'DSGE HVD woFG'!N51</f>
        <v>6.5739030757366596E-15</v>
      </c>
      <c r="O51">
        <f>'DSGE HVD wFG'!O51-'DSGE HVD woFG'!O51</f>
        <v>1.0793456329336499E-15</v>
      </c>
      <c r="P51">
        <f>'DSGE HVD wFG'!P51-'DSGE HVD woFG'!P51</f>
        <v>3.1701237419947015E-15</v>
      </c>
      <c r="Q51">
        <f>'DSGE HVD wFG'!Q51-'DSGE HVD woFG'!Q51</f>
        <v>-7.1612782165377982E-3</v>
      </c>
      <c r="R51">
        <f>'DSGE HVD wFG'!R51-'DSGE HVD woFG'!R51</f>
        <v>0</v>
      </c>
      <c r="S51">
        <f>'DSGE HVD wFG'!S51-'DSGE HVD woFG'!S51</f>
        <v>-6.0601714356800951E-2</v>
      </c>
      <c r="T51">
        <f>'DSGE HVD wFG'!T51-'DSGE HVD woFG'!T51</f>
        <v>-2.2651042922948016E-3</v>
      </c>
      <c r="U51">
        <f>'DSGE HVD wFG'!U51-'DSGE HVD woFG'!U51</f>
        <v>-0.73616374885431979</v>
      </c>
      <c r="Y51" s="1">
        <f t="shared" si="14"/>
        <v>43646</v>
      </c>
      <c r="Z51" s="7">
        <f t="shared" si="14"/>
        <v>-1.543884931247802E-2</v>
      </c>
      <c r="AA51" s="7">
        <f t="shared" si="14"/>
        <v>-1.1592061642496043E-2</v>
      </c>
      <c r="AB51" s="7">
        <f t="shared" si="14"/>
        <v>-0.59562860860797351</v>
      </c>
      <c r="AC51" s="7">
        <f t="shared" si="2"/>
        <v>-9.8328752433224947E-2</v>
      </c>
      <c r="AD51" s="7">
        <f t="shared" si="3"/>
        <v>-5.7490943493374302E-3</v>
      </c>
      <c r="AE51" s="7">
        <f t="shared" si="4"/>
        <v>-7.1612782165377982E-3</v>
      </c>
      <c r="AF51" s="7">
        <f t="shared" si="5"/>
        <v>1.6424091216414002E-16</v>
      </c>
      <c r="AG51" s="7">
        <f t="shared" si="5"/>
        <v>-1.2124643766199929E-16</v>
      </c>
      <c r="AH51" s="7">
        <f t="shared" si="6"/>
        <v>-2.2651042922755384E-3</v>
      </c>
      <c r="AI51" s="7">
        <f t="shared" si="0"/>
        <v>-0.73616374885432334</v>
      </c>
      <c r="AJ51" s="8">
        <f t="shared" si="7"/>
        <v>-0.10549003064976274</v>
      </c>
      <c r="AK51" s="8">
        <f t="shared" si="8"/>
        <v>-0.61296976459980701</v>
      </c>
      <c r="AL51" s="8">
        <f t="shared" si="9"/>
        <v>-1.543884931247802E-2</v>
      </c>
      <c r="AM51" s="8">
        <f t="shared" si="10"/>
        <v>-2.2651042922755384E-3</v>
      </c>
      <c r="AN51" s="8">
        <f t="shared" si="11"/>
        <v>-0.73616374885432323</v>
      </c>
      <c r="AO51" s="9">
        <f t="shared" si="13"/>
        <v>0.43019967112206159</v>
      </c>
      <c r="AP51" s="9">
        <f t="shared" si="13"/>
        <v>0.55923723830608696</v>
      </c>
      <c r="AQ51" s="9">
        <f t="shared" si="13"/>
        <v>1.1088696509941848E-2</v>
      </c>
      <c r="AR51" s="9">
        <f t="shared" si="13"/>
        <v>-5.2560593808938477E-4</v>
      </c>
      <c r="AS51" s="9">
        <f t="shared" si="13"/>
        <v>1</v>
      </c>
      <c r="AT51" s="7"/>
      <c r="AU51" s="7"/>
      <c r="AV51" s="7"/>
      <c r="AW51" s="7"/>
      <c r="AX51" s="7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</row>
    <row r="52" spans="1:87" x14ac:dyDescent="0.25">
      <c r="A52" s="1">
        <v>43738</v>
      </c>
      <c r="B52">
        <f>'DSGE HVD wFG'!B52-'DSGE HVD woFG'!B52</f>
        <v>-1.5991531943911008E-2</v>
      </c>
      <c r="C52">
        <f>'DSGE HVD wFG'!C52-'DSGE HVD woFG'!C52</f>
        <v>-1.7851422277145979E-2</v>
      </c>
      <c r="D52">
        <f>'DSGE HVD wFG'!D52-'DSGE HVD woFG'!D52</f>
        <v>-0.61708764473922395</v>
      </c>
      <c r="E52">
        <f>'DSGE HVD wFG'!E52-'DSGE HVD woFG'!E52</f>
        <v>-7.8814460983137984E-3</v>
      </c>
      <c r="F52">
        <f>'DSGE HVD wFG'!F52-'DSGE HVD woFG'!F52</f>
        <v>-4.0092887089782009E-2</v>
      </c>
      <c r="G52">
        <f>'DSGE HVD wFG'!G52-'DSGE HVD woFG'!G52</f>
        <v>1.881755773930804E-16</v>
      </c>
      <c r="H52">
        <f>'DSGE HVD wFG'!H52-'DSGE HVD woFG'!H52</f>
        <v>-2.1830437168450086E-16</v>
      </c>
      <c r="I52">
        <f>'DSGE HVD wFG'!I52-'DSGE HVD woFG'!I52</f>
        <v>-7.6828680918032994E-15</v>
      </c>
      <c r="J52">
        <f>'DSGE HVD wFG'!J52-'DSGE HVD woFG'!J52</f>
        <v>2.440190168220618E-15</v>
      </c>
      <c r="K52">
        <f>'DSGE HVD wFG'!K52-'DSGE HVD woFG'!K52</f>
        <v>3.0291043281192044E-15</v>
      </c>
      <c r="L52">
        <f>'DSGE HVD wFG'!L52-'DSGE HVD woFG'!L52</f>
        <v>5.0165543962640698E-15</v>
      </c>
      <c r="M52">
        <f>'DSGE HVD wFG'!M52-'DSGE HVD woFG'!M52</f>
        <v>6.2845911134792296E-15</v>
      </c>
      <c r="N52">
        <f>'DSGE HVD wFG'!N52-'DSGE HVD woFG'!N52</f>
        <v>6.7384730516712005E-15</v>
      </c>
      <c r="O52">
        <f>'DSGE HVD wFG'!O52-'DSGE HVD woFG'!O52</f>
        <v>8.6284831091362016E-16</v>
      </c>
      <c r="P52">
        <f>'DSGE HVD wFG'!P52-'DSGE HVD woFG'!P52</f>
        <v>2.4274938189475921E-15</v>
      </c>
      <c r="Q52">
        <f>'DSGE HVD wFG'!Q52-'DSGE HVD woFG'!Q52</f>
        <v>-1.03523691684047E-2</v>
      </c>
      <c r="R52">
        <f>'DSGE HVD wFG'!R52-'DSGE HVD woFG'!R52</f>
        <v>0</v>
      </c>
      <c r="S52">
        <f>'DSGE HVD wFG'!S52-'DSGE HVD woFG'!S52</f>
        <v>-7.7529067996479961E-2</v>
      </c>
      <c r="T52">
        <f>'DSGE HVD wFG'!T52-'DSGE HVD woFG'!T52</f>
        <v>-2.2417007429755016E-3</v>
      </c>
      <c r="U52">
        <f>'DSGE HVD wFG'!U52-'DSGE HVD woFG'!U52</f>
        <v>-0.78902807005621023</v>
      </c>
      <c r="Y52" s="1">
        <f t="shared" si="14"/>
        <v>43738</v>
      </c>
      <c r="Z52" s="7">
        <f t="shared" si="14"/>
        <v>-1.5991531943911008E-2</v>
      </c>
      <c r="AA52" s="7">
        <f t="shared" si="14"/>
        <v>-1.7851422277145979E-2</v>
      </c>
      <c r="AB52" s="7">
        <f t="shared" si="14"/>
        <v>-0.61708764473922395</v>
      </c>
      <c r="AC52" s="7">
        <f t="shared" si="2"/>
        <v>-0.11762195508626197</v>
      </c>
      <c r="AD52" s="7">
        <f t="shared" si="3"/>
        <v>-7.8814460983137984E-3</v>
      </c>
      <c r="AE52" s="7">
        <f t="shared" si="4"/>
        <v>-1.03523691684047E-2</v>
      </c>
      <c r="AF52" s="7">
        <f t="shared" si="5"/>
        <v>1.881755773930804E-16</v>
      </c>
      <c r="AG52" s="7">
        <f t="shared" si="5"/>
        <v>-2.1830437168450086E-16</v>
      </c>
      <c r="AH52" s="7">
        <f t="shared" si="6"/>
        <v>-2.2417007429563849E-3</v>
      </c>
      <c r="AI52" s="7">
        <f t="shared" si="0"/>
        <v>-0.78902807005621767</v>
      </c>
      <c r="AJ52" s="8">
        <f t="shared" si="7"/>
        <v>-0.12797432425466668</v>
      </c>
      <c r="AK52" s="8">
        <f t="shared" si="8"/>
        <v>-0.64282051311468369</v>
      </c>
      <c r="AL52" s="8">
        <f t="shared" si="9"/>
        <v>-1.5991531943911008E-2</v>
      </c>
      <c r="AM52" s="8">
        <f t="shared" si="10"/>
        <v>-2.2417007429563849E-3</v>
      </c>
      <c r="AN52" s="8">
        <f t="shared" si="11"/>
        <v>-0.78902807005621778</v>
      </c>
      <c r="AO52" s="9">
        <f t="shared" si="13"/>
        <v>0.42532076632619553</v>
      </c>
      <c r="AP52" s="9">
        <f t="shared" si="13"/>
        <v>0.56466720533256165</v>
      </c>
      <c r="AQ52" s="9">
        <f t="shared" si="13"/>
        <v>1.045473807035625E-2</v>
      </c>
      <c r="AR52" s="9">
        <f t="shared" si="13"/>
        <v>-4.4270972911527261E-4</v>
      </c>
      <c r="AS52" s="9">
        <f t="shared" si="13"/>
        <v>1</v>
      </c>
      <c r="AT52" s="7"/>
      <c r="AU52" s="7"/>
      <c r="AV52" s="7"/>
      <c r="AW52" s="7"/>
      <c r="AX52" s="7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</row>
    <row r="53" spans="1:87" x14ac:dyDescent="0.25">
      <c r="A53" s="1">
        <v>43830</v>
      </c>
      <c r="B53">
        <f>'DSGE HVD wFG'!B53-'DSGE HVD woFG'!B53</f>
        <v>-1.6628698864142005E-2</v>
      </c>
      <c r="C53">
        <f>'DSGE HVD wFG'!C53-'DSGE HVD woFG'!C53</f>
        <v>-2.7118077892622994E-2</v>
      </c>
      <c r="D53">
        <f>'DSGE HVD wFG'!D53-'DSGE HVD woFG'!D53</f>
        <v>-0.64100246399203398</v>
      </c>
      <c r="E53">
        <f>'DSGE HVD wFG'!E53-'DSGE HVD woFG'!E53</f>
        <v>-1.0227033832294997E-2</v>
      </c>
      <c r="F53">
        <f>'DSGE HVD wFG'!F53-'DSGE HVD woFG'!F53</f>
        <v>-4.2746186968408012E-2</v>
      </c>
      <c r="G53">
        <f>'DSGE HVD wFG'!G53-'DSGE HVD woFG'!G53</f>
        <v>2.2252253609148989E-16</v>
      </c>
      <c r="H53">
        <f>'DSGE HVD wFG'!H53-'DSGE HVD woFG'!H53</f>
        <v>-3.2351360034959529E-16</v>
      </c>
      <c r="I53">
        <f>'DSGE HVD wFG'!I53-'DSGE HVD woFG'!I53</f>
        <v>-7.6298898301186895E-15</v>
      </c>
      <c r="J53">
        <f>'DSGE HVD wFG'!J53-'DSGE HVD woFG'!J53</f>
        <v>2.3853102973135259E-15</v>
      </c>
      <c r="K53">
        <f>'DSGE HVD wFG'!K53-'DSGE HVD woFG'!K53</f>
        <v>3.6949460942106702E-15</v>
      </c>
      <c r="L53">
        <f>'DSGE HVD wFG'!L53-'DSGE HVD woFG'!L53</f>
        <v>4.9420244256147196E-15</v>
      </c>
      <c r="M53">
        <f>'DSGE HVD wFG'!M53-'DSGE HVD woFG'!M53</f>
        <v>6.4052535332065798E-15</v>
      </c>
      <c r="N53">
        <f>'DSGE HVD wFG'!N53-'DSGE HVD woFG'!N53</f>
        <v>6.4707522689354197E-15</v>
      </c>
      <c r="O53">
        <f>'DSGE HVD wFG'!O53-'DSGE HVD woFG'!O53</f>
        <v>5.1124092176062003E-16</v>
      </c>
      <c r="P53">
        <f>'DSGE HVD wFG'!P53-'DSGE HVD woFG'!P53</f>
        <v>1.5741159259992087E-15</v>
      </c>
      <c r="Q53">
        <f>'DSGE HVD wFG'!Q53-'DSGE HVD woFG'!Q53</f>
        <v>-1.3647868446105396E-2</v>
      </c>
      <c r="R53">
        <f>'DSGE HVD wFG'!R53-'DSGE HVD woFG'!R53</f>
        <v>0</v>
      </c>
      <c r="S53">
        <f>'DSGE HVD wFG'!S53-'DSGE HVD woFG'!S53</f>
        <v>-9.7618162373587003E-2</v>
      </c>
      <c r="T53">
        <f>'DSGE HVD wFG'!T53-'DSGE HVD woFG'!T53</f>
        <v>-2.2185488880183003E-3</v>
      </c>
      <c r="U53">
        <f>'DSGE HVD wFG'!U53-'DSGE HVD woFG'!U53</f>
        <v>-0.85120704125719993</v>
      </c>
      <c r="Y53" s="1">
        <f t="shared" si="14"/>
        <v>43830</v>
      </c>
      <c r="Z53" s="7">
        <f t="shared" si="14"/>
        <v>-1.6628698864142005E-2</v>
      </c>
      <c r="AA53" s="7">
        <f t="shared" si="14"/>
        <v>-2.7118077892622994E-2</v>
      </c>
      <c r="AB53" s="7">
        <f t="shared" si="14"/>
        <v>-0.64100246399203398</v>
      </c>
      <c r="AC53" s="7">
        <f t="shared" si="2"/>
        <v>-0.14036434934199502</v>
      </c>
      <c r="AD53" s="7">
        <f t="shared" si="3"/>
        <v>-1.0227033832294997E-2</v>
      </c>
      <c r="AE53" s="7">
        <f t="shared" si="4"/>
        <v>-1.3647868446105396E-2</v>
      </c>
      <c r="AF53" s="7">
        <f t="shared" si="5"/>
        <v>2.2252253609148989E-16</v>
      </c>
      <c r="AG53" s="7">
        <f t="shared" si="5"/>
        <v>-3.2351360034959529E-16</v>
      </c>
      <c r="AH53" s="7">
        <f t="shared" si="6"/>
        <v>-2.2185488879999456E-3</v>
      </c>
      <c r="AI53" s="7">
        <f t="shared" si="0"/>
        <v>-0.85120704125719449</v>
      </c>
      <c r="AJ53" s="8">
        <f t="shared" si="7"/>
        <v>-0.15401221778810043</v>
      </c>
      <c r="AK53" s="8">
        <f t="shared" si="8"/>
        <v>-0.67834757571695192</v>
      </c>
      <c r="AL53" s="8">
        <f t="shared" si="9"/>
        <v>-1.6628698864142005E-2</v>
      </c>
      <c r="AM53" s="8">
        <f t="shared" si="10"/>
        <v>-2.2185488879999456E-3</v>
      </c>
      <c r="AN53" s="8">
        <f t="shared" si="11"/>
        <v>-0.85120704125719437</v>
      </c>
      <c r="AO53" s="9">
        <f t="shared" si="13"/>
        <v>0.41875722660758324</v>
      </c>
      <c r="AP53" s="9">
        <f t="shared" si="13"/>
        <v>0.57136780998573744</v>
      </c>
      <c r="AQ53" s="9">
        <f t="shared" si="13"/>
        <v>1.0247305607092283E-2</v>
      </c>
      <c r="AR53" s="9">
        <f t="shared" si="13"/>
        <v>-3.7234220041382232E-4</v>
      </c>
      <c r="AS53" s="9">
        <f t="shared" si="13"/>
        <v>1</v>
      </c>
      <c r="AT53" s="7"/>
      <c r="AU53" s="7"/>
      <c r="AV53" s="7"/>
      <c r="AW53" s="7"/>
      <c r="AX53" s="7"/>
    </row>
    <row r="54" spans="1:87" x14ac:dyDescent="0.25">
      <c r="A54" s="1">
        <v>43921</v>
      </c>
      <c r="B54">
        <f>'DSGE HVD wFG'!B54-'DSGE HVD woFG'!B54</f>
        <v>-1.6778456871725994E-2</v>
      </c>
      <c r="C54">
        <f>'DSGE HVD wFG'!C54-'DSGE HVD woFG'!C54</f>
        <v>-3.5117165982556986E-2</v>
      </c>
      <c r="D54">
        <f>'DSGE HVD wFG'!D54-'DSGE HVD woFG'!D54</f>
        <v>-0.66647949628600633</v>
      </c>
      <c r="E54">
        <f>'DSGE HVD wFG'!E54-'DSGE HVD woFG'!E54</f>
        <v>-1.1238757343654197E-2</v>
      </c>
      <c r="F54">
        <f>'DSGE HVD wFG'!F54-'DSGE HVD woFG'!F54</f>
        <v>-4.2301529843779995E-2</v>
      </c>
      <c r="G54">
        <f>'DSGE HVD wFG'!G54-'DSGE HVD woFG'!G54</f>
        <v>2.4718373604151917E-16</v>
      </c>
      <c r="H54">
        <f>'DSGE HVD wFG'!H54-'DSGE HVD woFG'!H54</f>
        <v>-3.6247804623460112E-16</v>
      </c>
      <c r="I54">
        <f>'DSGE HVD wFG'!I54-'DSGE HVD woFG'!I54</f>
        <v>-7.9745763325098503E-15</v>
      </c>
      <c r="J54">
        <f>'DSGE HVD wFG'!J54-'DSGE HVD woFG'!J54</f>
        <v>2.8784131444880699E-15</v>
      </c>
      <c r="K54">
        <f>'DSGE HVD wFG'!K54-'DSGE HVD woFG'!K54</f>
        <v>3.5613604265967806E-15</v>
      </c>
      <c r="L54">
        <f>'DSGE HVD wFG'!L54-'DSGE HVD woFG'!L54</f>
        <v>4.99127604903216E-15</v>
      </c>
      <c r="M54">
        <f>'DSGE HVD wFG'!M54-'DSGE HVD woFG'!M54</f>
        <v>6.1169442972593004E-15</v>
      </c>
      <c r="N54">
        <f>'DSGE HVD wFG'!N54-'DSGE HVD woFG'!N54</f>
        <v>6.05248733200426E-15</v>
      </c>
      <c r="O54">
        <f>'DSGE HVD wFG'!O54-'DSGE HVD woFG'!O54</f>
        <v>8.6897728755282002E-16</v>
      </c>
      <c r="P54">
        <f>'DSGE HVD wFG'!P54-'DSGE HVD woFG'!P54</f>
        <v>4.3533691914010005E-16</v>
      </c>
      <c r="Q54">
        <f>'DSGE HVD wFG'!Q54-'DSGE HVD woFG'!Q54</f>
        <v>-1.8818808754222101E-2</v>
      </c>
      <c r="R54">
        <f>'DSGE HVD wFG'!R54-'DSGE HVD woFG'!R54</f>
        <v>0</v>
      </c>
      <c r="S54">
        <f>'DSGE HVD wFG'!S54-'DSGE HVD woFG'!S54</f>
        <v>-0.13169156124775405</v>
      </c>
      <c r="T54">
        <f>'DSGE HVD wFG'!T54-'DSGE HVD woFG'!T54</f>
        <v>-2.1956458694036007E-3</v>
      </c>
      <c r="U54">
        <f>'DSGE HVD wFG'!U54-'DSGE HVD woFG'!U54</f>
        <v>-0.92462142219909005</v>
      </c>
      <c r="Y54" s="1">
        <f t="shared" si="14"/>
        <v>43921</v>
      </c>
      <c r="Z54" s="7">
        <f t="shared" si="14"/>
        <v>-1.6778456871725994E-2</v>
      </c>
      <c r="AA54" s="7">
        <f t="shared" si="14"/>
        <v>-3.5117165982556986E-2</v>
      </c>
      <c r="AB54" s="7">
        <f t="shared" si="14"/>
        <v>-0.66647949628600633</v>
      </c>
      <c r="AC54" s="7">
        <f t="shared" si="2"/>
        <v>-0.17399309109153405</v>
      </c>
      <c r="AD54" s="7">
        <f t="shared" si="3"/>
        <v>-1.1238757343654197E-2</v>
      </c>
      <c r="AE54" s="7">
        <f t="shared" si="4"/>
        <v>-1.8818808754222101E-2</v>
      </c>
      <c r="AF54" s="7">
        <f t="shared" si="5"/>
        <v>2.4718373604151917E-16</v>
      </c>
      <c r="AG54" s="7">
        <f t="shared" si="5"/>
        <v>-3.6247804623460112E-16</v>
      </c>
      <c r="AH54" s="7">
        <f t="shared" si="6"/>
        <v>-2.1956458693866703E-3</v>
      </c>
      <c r="AI54" s="7">
        <f t="shared" si="0"/>
        <v>-0.9246214221990865</v>
      </c>
      <c r="AJ54" s="8">
        <f t="shared" si="7"/>
        <v>-0.19281189984575614</v>
      </c>
      <c r="AK54" s="8">
        <f t="shared" si="8"/>
        <v>-0.71283541961221752</v>
      </c>
      <c r="AL54" s="8">
        <f t="shared" si="9"/>
        <v>-1.6778456871725994E-2</v>
      </c>
      <c r="AM54" s="8">
        <f t="shared" si="10"/>
        <v>-2.1956458693866703E-3</v>
      </c>
      <c r="AN54" s="8">
        <f t="shared" si="11"/>
        <v>-0.92462142219908638</v>
      </c>
      <c r="AO54" s="9">
        <f t="shared" si="13"/>
        <v>0.52850247539873596</v>
      </c>
      <c r="AP54" s="9">
        <f t="shared" si="13"/>
        <v>0.46976959354275516</v>
      </c>
      <c r="AQ54" s="9">
        <f t="shared" si="13"/>
        <v>2.0399001621020725E-3</v>
      </c>
      <c r="AR54" s="9">
        <f t="shared" si="13"/>
        <v>-3.119691035929761E-4</v>
      </c>
      <c r="AS54" s="9">
        <f t="shared" si="13"/>
        <v>1</v>
      </c>
      <c r="AT54" s="7"/>
      <c r="AU54" s="7"/>
      <c r="AV54" s="7"/>
      <c r="AW54" s="7"/>
      <c r="AX54" s="7"/>
    </row>
    <row r="55" spans="1:87" x14ac:dyDescent="0.25">
      <c r="A55" s="1">
        <v>44012</v>
      </c>
      <c r="B55">
        <f>'DSGE HVD wFG'!B55-'DSGE HVD woFG'!B55</f>
        <v>-1.6407466103429996E-2</v>
      </c>
      <c r="C55">
        <f>'DSGE HVD wFG'!C55-'DSGE HVD woFG'!C55</f>
        <v>-1.3890177927607938E-2</v>
      </c>
      <c r="D55">
        <f>'DSGE HVD wFG'!D55-'DSGE HVD woFG'!D55</f>
        <v>-0.63225099276288288</v>
      </c>
      <c r="E55">
        <f>'DSGE HVD wFG'!E55-'DSGE HVD woFG'!E55</f>
        <v>-7.5157087916299936E-4</v>
      </c>
      <c r="F55">
        <f>'DSGE HVD wFG'!F55-'DSGE HVD woFG'!F55</f>
        <v>-3.2731266292104988E-2</v>
      </c>
      <c r="G55">
        <f>'DSGE HVD wFG'!G55-'DSGE HVD woFG'!G55</f>
        <v>1.4948459067145964E-16</v>
      </c>
      <c r="H55">
        <f>'DSGE HVD wFG'!H55-'DSGE HVD woFG'!H55</f>
        <v>-4.9815582854709823E-16</v>
      </c>
      <c r="I55">
        <f>'DSGE HVD wFG'!I55-'DSGE HVD woFG'!I55</f>
        <v>-9.0157721737141494E-15</v>
      </c>
      <c r="J55">
        <f>'DSGE HVD wFG'!J55-'DSGE HVD woFG'!J55</f>
        <v>2.2137382596335282E-15</v>
      </c>
      <c r="K55">
        <f>'DSGE HVD wFG'!K55-'DSGE HVD woFG'!K55</f>
        <v>3.6625613355367203E-15</v>
      </c>
      <c r="L55">
        <f>'DSGE HVD wFG'!L55-'DSGE HVD woFG'!L55</f>
        <v>4.90005654829972E-15</v>
      </c>
      <c r="M55">
        <f>'DSGE HVD wFG'!M55-'DSGE HVD woFG'!M55</f>
        <v>5.9945580775585998E-15</v>
      </c>
      <c r="N55">
        <f>'DSGE HVD wFG'!N55-'DSGE HVD woFG'!N55</f>
        <v>6.2983147625692004E-15</v>
      </c>
      <c r="O55">
        <f>'DSGE HVD wFG'!O55-'DSGE HVD woFG'!O55</f>
        <v>1.5366596409776218E-15</v>
      </c>
      <c r="P55">
        <f>'DSGE HVD wFG'!P55-'DSGE HVD woFG'!P55</f>
        <v>1.1753030374193909E-15</v>
      </c>
      <c r="Q55">
        <f>'DSGE HVD wFG'!Q55-'DSGE HVD woFG'!Q55</f>
        <v>1.6964974973247279E-2</v>
      </c>
      <c r="R55">
        <f>'DSGE HVD wFG'!R55-'DSGE HVD woFG'!R55</f>
        <v>0</v>
      </c>
      <c r="S55">
        <f>'DSGE HVD wFG'!S55-'DSGE HVD woFG'!S55</f>
        <v>-9.8419010744895008E-2</v>
      </c>
      <c r="T55">
        <f>'DSGE HVD wFG'!T55-'DSGE HVD woFG'!T55</f>
        <v>-2.1729888641305005E-3</v>
      </c>
      <c r="U55">
        <f>'DSGE HVD wFG'!U55-'DSGE HVD woFG'!U55</f>
        <v>-0.77965849860095027</v>
      </c>
      <c r="Y55" s="1">
        <f t="shared" si="14"/>
        <v>44012</v>
      </c>
      <c r="Z55" s="7">
        <f t="shared" si="14"/>
        <v>-1.6407466103429996E-2</v>
      </c>
      <c r="AA55" s="7">
        <f t="shared" si="14"/>
        <v>-1.3890177927607938E-2</v>
      </c>
      <c r="AB55" s="7">
        <f t="shared" si="14"/>
        <v>-0.63225099276288288</v>
      </c>
      <c r="AC55" s="7">
        <f t="shared" si="2"/>
        <v>-0.131150277037</v>
      </c>
      <c r="AD55" s="7">
        <f t="shared" si="3"/>
        <v>-7.5157087916299936E-4</v>
      </c>
      <c r="AE55" s="7">
        <f t="shared" si="4"/>
        <v>1.6964974973247279E-2</v>
      </c>
      <c r="AF55" s="7">
        <f t="shared" si="5"/>
        <v>1.4948459067145964E-16</v>
      </c>
      <c r="AG55" s="7">
        <f t="shared" si="5"/>
        <v>-4.9815582854709823E-16</v>
      </c>
      <c r="AH55" s="7">
        <f t="shared" si="6"/>
        <v>-2.1729888641137348E-3</v>
      </c>
      <c r="AI55" s="7">
        <f t="shared" si="0"/>
        <v>-0.77965849860095071</v>
      </c>
      <c r="AJ55" s="8">
        <f t="shared" si="7"/>
        <v>-0.11418530206375271</v>
      </c>
      <c r="AK55" s="8">
        <f t="shared" si="8"/>
        <v>-0.64689274156965382</v>
      </c>
      <c r="AL55" s="8">
        <f t="shared" si="9"/>
        <v>-1.6407466103429996E-2</v>
      </c>
      <c r="AM55" s="8">
        <f t="shared" si="10"/>
        <v>-2.1729888641137348E-3</v>
      </c>
      <c r="AN55" s="8">
        <f t="shared" si="11"/>
        <v>-0.77965849860095038</v>
      </c>
      <c r="AO55" s="9">
        <f t="shared" si="13"/>
        <v>0.54239108753056664</v>
      </c>
      <c r="AP55" s="9">
        <f t="shared" si="13"/>
        <v>0.45489340588472804</v>
      </c>
      <c r="AQ55" s="9">
        <f t="shared" si="13"/>
        <v>2.5592114113568293E-3</v>
      </c>
      <c r="AR55" s="9">
        <f t="shared" si="13"/>
        <v>1.5629517334890989E-4</v>
      </c>
      <c r="AS55" s="9">
        <f t="shared" si="13"/>
        <v>1</v>
      </c>
      <c r="AT55" s="7"/>
      <c r="AU55" s="7"/>
      <c r="AV55" s="7"/>
      <c r="AW55" s="7"/>
      <c r="AX55" s="7"/>
    </row>
    <row r="56" spans="1:87" x14ac:dyDescent="0.25">
      <c r="A56" s="1">
        <v>44104</v>
      </c>
      <c r="B56">
        <f>'DSGE HVD wFG'!B56-'DSGE HVD woFG'!B56</f>
        <v>-1.7669337172751015E-2</v>
      </c>
      <c r="C56">
        <f>'DSGE HVD wFG'!C56-'DSGE HVD woFG'!C56</f>
        <v>-4.4611856657670979E-2</v>
      </c>
      <c r="D56">
        <f>'DSGE HVD wFG'!D56-'DSGE HVD woFG'!D56</f>
        <v>-0.68596645727874106</v>
      </c>
      <c r="E56">
        <f>'DSGE HVD wFG'!E56-'DSGE HVD woFG'!E56</f>
        <v>-6.3081246995632398E-3</v>
      </c>
      <c r="F56">
        <f>'DSGE HVD wFG'!F56-'DSGE HVD woFG'!F56</f>
        <v>-3.8086178028372997E-2</v>
      </c>
      <c r="G56">
        <f>'DSGE HVD wFG'!G56-'DSGE HVD woFG'!G56</f>
        <v>2.1761417169527948E-16</v>
      </c>
      <c r="H56">
        <f>'DSGE HVD wFG'!H56-'DSGE HVD woFG'!H56</f>
        <v>-4.6825738123580259E-16</v>
      </c>
      <c r="I56">
        <f>'DSGE HVD wFG'!I56-'DSGE HVD woFG'!I56</f>
        <v>-8.8868799580799494E-15</v>
      </c>
      <c r="J56">
        <f>'DSGE HVD wFG'!J56-'DSGE HVD woFG'!J56</f>
        <v>2.6596625623974499E-15</v>
      </c>
      <c r="K56">
        <f>'DSGE HVD wFG'!K56-'DSGE HVD woFG'!K56</f>
        <v>4.0341919969426897E-15</v>
      </c>
      <c r="L56">
        <f>'DSGE HVD wFG'!L56-'DSGE HVD woFG'!L56</f>
        <v>5.1576391979851696E-15</v>
      </c>
      <c r="M56">
        <f>'DSGE HVD wFG'!M56-'DSGE HVD woFG'!M56</f>
        <v>6.6042509404694099E-15</v>
      </c>
      <c r="N56">
        <f>'DSGE HVD wFG'!N56-'DSGE HVD woFG'!N56</f>
        <v>6.7108490306898596E-15</v>
      </c>
      <c r="O56">
        <f>'DSGE HVD wFG'!O56-'DSGE HVD woFG'!O56</f>
        <v>2.8566417148656699E-15</v>
      </c>
      <c r="P56">
        <f>'DSGE HVD wFG'!P56-'DSGE HVD woFG'!P56</f>
        <v>-4.7162103749830924E-16</v>
      </c>
      <c r="Q56">
        <f>'DSGE HVD wFG'!Q56-'DSGE HVD woFG'!Q56</f>
        <v>-4.1132730434179201E-3</v>
      </c>
      <c r="R56">
        <f>'DSGE HVD wFG'!R56-'DSGE HVD woFG'!R56</f>
        <v>0</v>
      </c>
      <c r="S56">
        <f>'DSGE HVD wFG'!S56-'DSGE HVD woFG'!S56</f>
        <v>-0.16536700103906599</v>
      </c>
      <c r="T56">
        <f>'DSGE HVD wFG'!T56-'DSGE HVD woFG'!T56</f>
        <v>-2.1505750837479999E-3</v>
      </c>
      <c r="U56">
        <f>'DSGE HVD wFG'!U56-'DSGE HVD woFG'!U56</f>
        <v>-0.96427280300330986</v>
      </c>
      <c r="Y56" s="1">
        <f t="shared" si="14"/>
        <v>44104</v>
      </c>
      <c r="Z56" s="7">
        <f t="shared" si="14"/>
        <v>-1.7669337172751015E-2</v>
      </c>
      <c r="AA56" s="7">
        <f t="shared" si="14"/>
        <v>-4.4611856657670979E-2</v>
      </c>
      <c r="AB56" s="7">
        <f t="shared" si="14"/>
        <v>-0.68596645727874106</v>
      </c>
      <c r="AC56" s="7">
        <f t="shared" si="2"/>
        <v>-0.20345317906743898</v>
      </c>
      <c r="AD56" s="7">
        <f t="shared" si="3"/>
        <v>-6.3081246995632398E-3</v>
      </c>
      <c r="AE56" s="7">
        <f t="shared" si="4"/>
        <v>-4.1132730434179201E-3</v>
      </c>
      <c r="AF56" s="7">
        <f t="shared" si="5"/>
        <v>2.1761417169527948E-16</v>
      </c>
      <c r="AG56" s="7">
        <f t="shared" si="5"/>
        <v>-4.6825738123580259E-16</v>
      </c>
      <c r="AH56" s="7">
        <f t="shared" si="6"/>
        <v>-2.1505750837293352E-3</v>
      </c>
      <c r="AI56" s="7">
        <f t="shared" si="0"/>
        <v>-0.96427280300331264</v>
      </c>
      <c r="AJ56" s="8">
        <f t="shared" si="7"/>
        <v>-0.20756645211085689</v>
      </c>
      <c r="AK56" s="8">
        <f t="shared" si="8"/>
        <v>-0.73688643863597525</v>
      </c>
      <c r="AL56" s="8">
        <f t="shared" si="9"/>
        <v>-1.7669337172751015E-2</v>
      </c>
      <c r="AM56" s="8">
        <f t="shared" si="10"/>
        <v>-2.1505750837293352E-3</v>
      </c>
      <c r="AN56" s="8">
        <f t="shared" si="11"/>
        <v>-0.96427280300331242</v>
      </c>
      <c r="AO56" s="9">
        <f t="shared" si="13"/>
        <v>0.50581752237130229</v>
      </c>
      <c r="AP56" s="9">
        <f t="shared" si="13"/>
        <v>0.4874687113636792</v>
      </c>
      <c r="AQ56" s="9">
        <f t="shared" si="13"/>
        <v>6.8351749524825766E-3</v>
      </c>
      <c r="AR56" s="9">
        <f t="shared" si="13"/>
        <v>-1.2140868746307666E-4</v>
      </c>
      <c r="AS56" s="9">
        <f t="shared" si="13"/>
        <v>1</v>
      </c>
      <c r="AT56" s="7"/>
      <c r="AU56" s="7"/>
      <c r="AV56" s="7"/>
      <c r="AW56" s="7"/>
      <c r="AX56" s="7"/>
    </row>
    <row r="57" spans="1:87" x14ac:dyDescent="0.25">
      <c r="A57" s="1">
        <v>44196</v>
      </c>
      <c r="B57">
        <f>'DSGE HVD wFG'!B57-'DSGE HVD woFG'!B57</f>
        <v>-1.8039264662635002E-2</v>
      </c>
      <c r="C57">
        <f>'DSGE HVD wFG'!C57-'DSGE HVD woFG'!C57</f>
        <v>-9.0071786366931916E-2</v>
      </c>
      <c r="D57">
        <f>'DSGE HVD wFG'!D57-'DSGE HVD woFG'!D57</f>
        <v>-0.74218045255665233</v>
      </c>
      <c r="E57">
        <f>'DSGE HVD wFG'!E57-'DSGE HVD woFG'!E57</f>
        <v>-9.8520793494208947E-3</v>
      </c>
      <c r="F57">
        <f>'DSGE HVD wFG'!F57-'DSGE HVD woFG'!F57</f>
        <v>-4.1639474522795011E-2</v>
      </c>
      <c r="G57">
        <f>'DSGE HVD wFG'!G57-'DSGE HVD woFG'!G57</f>
        <v>2.9813317894997978E-16</v>
      </c>
      <c r="H57">
        <f>'DSGE HVD wFG'!H57-'DSGE HVD woFG'!H57</f>
        <v>-5.5155102342990083E-16</v>
      </c>
      <c r="I57">
        <f>'DSGE HVD wFG'!I57-'DSGE HVD woFG'!I57</f>
        <v>-9.1466219061570404E-15</v>
      </c>
      <c r="J57">
        <f>'DSGE HVD wFG'!J57-'DSGE HVD woFG'!J57</f>
        <v>3.524671676167684E-15</v>
      </c>
      <c r="K57">
        <f>'DSGE HVD wFG'!K57-'DSGE HVD woFG'!K57</f>
        <v>4.6695754499056401E-15</v>
      </c>
      <c r="L57">
        <f>'DSGE HVD wFG'!L57-'DSGE HVD woFG'!L57</f>
        <v>5.7603471751370247E-15</v>
      </c>
      <c r="M57">
        <f>'DSGE HVD wFG'!M57-'DSGE HVD woFG'!M57</f>
        <v>7.0207733388432799E-15</v>
      </c>
      <c r="N57">
        <f>'DSGE HVD wFG'!N57-'DSGE HVD woFG'!N57</f>
        <v>7.2067090188423096E-15</v>
      </c>
      <c r="O57">
        <f>'DSGE HVD wFG'!O57-'DSGE HVD woFG'!O57</f>
        <v>4.8911537954776E-15</v>
      </c>
      <c r="P57">
        <f>'DSGE HVD wFG'!P57-'DSGE HVD woFG'!P57</f>
        <v>-2.1531476763035085E-15</v>
      </c>
      <c r="Q57">
        <f>'DSGE HVD wFG'!Q57-'DSGE HVD woFG'!Q57</f>
        <v>-1.4222200295816501E-2</v>
      </c>
      <c r="R57">
        <f>'DSGE HVD wFG'!R57-'DSGE HVD woFG'!R57</f>
        <v>0</v>
      </c>
      <c r="S57">
        <f>'DSGE HVD wFG'!S57-'DSGE HVD woFG'!S57</f>
        <v>-0.21482359951304403</v>
      </c>
      <c r="T57">
        <f>'DSGE HVD wFG'!T57-'DSGE HVD woFG'!T57</f>
        <v>-2.1284017738914997E-3</v>
      </c>
      <c r="U57">
        <f>'DSGE HVD wFG'!U57-'DSGE HVD woFG'!U57</f>
        <v>-1.1329572590411698</v>
      </c>
      <c r="Y57" s="1">
        <f t="shared" si="14"/>
        <v>44196</v>
      </c>
      <c r="Z57" s="7">
        <f t="shared" si="14"/>
        <v>-1.8039264662635002E-2</v>
      </c>
      <c r="AA57" s="7">
        <f t="shared" si="14"/>
        <v>-9.0071786366931916E-2</v>
      </c>
      <c r="AB57" s="7">
        <f t="shared" si="14"/>
        <v>-0.74218045255665233</v>
      </c>
      <c r="AC57" s="7">
        <f t="shared" si="2"/>
        <v>-0.25646307403583901</v>
      </c>
      <c r="AD57" s="7">
        <f t="shared" si="3"/>
        <v>-9.8520793494208947E-3</v>
      </c>
      <c r="AE57" s="7">
        <f t="shared" si="4"/>
        <v>-1.4222200295816501E-2</v>
      </c>
      <c r="AF57" s="7">
        <f t="shared" si="5"/>
        <v>2.9813317894997978E-16</v>
      </c>
      <c r="AG57" s="7">
        <f t="shared" si="5"/>
        <v>-5.5155102342990083E-16</v>
      </c>
      <c r="AH57" s="7">
        <f t="shared" si="6"/>
        <v>-2.1284017738697268E-3</v>
      </c>
      <c r="AI57" s="7">
        <f t="shared" si="0"/>
        <v>-1.1329572590411654</v>
      </c>
      <c r="AJ57" s="8">
        <f t="shared" si="7"/>
        <v>-0.27068527433165551</v>
      </c>
      <c r="AK57" s="8">
        <f t="shared" si="8"/>
        <v>-0.84210431827300514</v>
      </c>
      <c r="AL57" s="8">
        <f t="shared" si="9"/>
        <v>-1.8039264662635002E-2</v>
      </c>
      <c r="AM57" s="8">
        <f t="shared" si="10"/>
        <v>-2.1284017738697268E-3</v>
      </c>
      <c r="AN57" s="8">
        <f t="shared" si="11"/>
        <v>-1.1329572590411654</v>
      </c>
      <c r="AO57" s="9">
        <f t="shared" si="13"/>
        <v>0.37418280085412664</v>
      </c>
      <c r="AP57" s="9">
        <f t="shared" si="13"/>
        <v>0.62375563290442648</v>
      </c>
      <c r="AQ57" s="9">
        <f t="shared" si="13"/>
        <v>2.1930146889229348E-3</v>
      </c>
      <c r="AR57" s="9">
        <f t="shared" si="13"/>
        <v>-1.3144844747658695E-4</v>
      </c>
      <c r="AS57" s="9">
        <f t="shared" si="13"/>
        <v>1</v>
      </c>
      <c r="AT57" s="7"/>
      <c r="AU57" s="7"/>
      <c r="AV57" s="7"/>
      <c r="AW57" s="7"/>
      <c r="AX57" s="7"/>
    </row>
    <row r="58" spans="1:87" x14ac:dyDescent="0.25">
      <c r="A58" s="1">
        <v>44286</v>
      </c>
      <c r="B58">
        <f>'DSGE HVD wFG'!B58-'DSGE HVD woFG'!B58</f>
        <v>-1.8730055891249014E-2</v>
      </c>
      <c r="C58">
        <f>'DSGE HVD wFG'!C58-'DSGE HVD woFG'!C58</f>
        <v>-0.11019594795074705</v>
      </c>
      <c r="D58">
        <f>'DSGE HVD wFG'!D58-'DSGE HVD woFG'!D58</f>
        <v>-0.76096695766454514</v>
      </c>
      <c r="E58">
        <f>'DSGE HVD wFG'!E58-'DSGE HVD woFG'!E58</f>
        <v>-1.223749505980402E-2</v>
      </c>
      <c r="F58">
        <f>'DSGE HVD wFG'!F58-'DSGE HVD woFG'!F58</f>
        <v>-4.6255041826021998E-2</v>
      </c>
      <c r="G58">
        <f>'DSGE HVD wFG'!G58-'DSGE HVD woFG'!G58</f>
        <v>3.6033646034522022E-16</v>
      </c>
      <c r="H58">
        <f>'DSGE HVD wFG'!H58-'DSGE HVD woFG'!H58</f>
        <v>-6.5894301765660177E-16</v>
      </c>
      <c r="I58">
        <f>'DSGE HVD wFG'!I58-'DSGE HVD woFG'!I58</f>
        <v>-9.4299882054926992E-15</v>
      </c>
      <c r="J58">
        <f>'DSGE HVD wFG'!J58-'DSGE HVD woFG'!J58</f>
        <v>4.1307546333362847E-15</v>
      </c>
      <c r="K58">
        <f>'DSGE HVD wFG'!K58-'DSGE HVD woFG'!K58</f>
        <v>5.1993815767572691E-15</v>
      </c>
      <c r="L58">
        <f>'DSGE HVD wFG'!L58-'DSGE HVD woFG'!L58</f>
        <v>6.0317398680527983E-15</v>
      </c>
      <c r="M58">
        <f>'DSGE HVD wFG'!M58-'DSGE HVD woFG'!M58</f>
        <v>7.0272037984937344E-15</v>
      </c>
      <c r="N58">
        <f>'DSGE HVD wFG'!N58-'DSGE HVD woFG'!N58</f>
        <v>7.523566882839141E-15</v>
      </c>
      <c r="O58">
        <f>'DSGE HVD wFG'!O58-'DSGE HVD woFG'!O58</f>
        <v>6.8445653185248798E-15</v>
      </c>
      <c r="P58">
        <f>'DSGE HVD wFG'!P58-'DSGE HVD woFG'!P58</f>
        <v>-3.3159488966765976E-15</v>
      </c>
      <c r="Q58">
        <f>'DSGE HVD wFG'!Q58-'DSGE HVD woFG'!Q58</f>
        <v>-1.6168011729645201E-2</v>
      </c>
      <c r="R58">
        <f>'DSGE HVD wFG'!R58-'DSGE HVD woFG'!R58</f>
        <v>0</v>
      </c>
      <c r="S58">
        <f>'DSGE HVD wFG'!S58-'DSGE HVD woFG'!S58</f>
        <v>-0.23559665405025501</v>
      </c>
      <c r="T58">
        <f>'DSGE HVD wFG'!T58-'DSGE HVD woFG'!T58</f>
        <v>-2.1064662138264006E-3</v>
      </c>
      <c r="U58">
        <f>'DSGE HVD wFG'!U58-'DSGE HVD woFG'!U58</f>
        <v>-1.2022566303860678</v>
      </c>
      <c r="Y58" s="1">
        <f t="shared" si="14"/>
        <v>44286</v>
      </c>
      <c r="Z58" s="7">
        <f t="shared" si="14"/>
        <v>-1.8730055891249014E-2</v>
      </c>
      <c r="AA58" s="7">
        <f t="shared" si="14"/>
        <v>-0.11019594795074705</v>
      </c>
      <c r="AB58" s="7">
        <f t="shared" si="14"/>
        <v>-0.76096695766454514</v>
      </c>
      <c r="AC58" s="7">
        <f t="shared" si="2"/>
        <v>-0.28185169587627701</v>
      </c>
      <c r="AD58" s="7">
        <f t="shared" si="3"/>
        <v>-1.223749505980402E-2</v>
      </c>
      <c r="AE58" s="7">
        <f t="shared" si="4"/>
        <v>-1.6168011729645201E-2</v>
      </c>
      <c r="AF58" s="7">
        <f t="shared" si="5"/>
        <v>3.6033646034522022E-16</v>
      </c>
      <c r="AG58" s="7">
        <f t="shared" si="5"/>
        <v>-6.5894301765660177E-16</v>
      </c>
      <c r="AH58" s="7">
        <f t="shared" si="6"/>
        <v>-2.1064662138023894E-3</v>
      </c>
      <c r="AI58" s="7">
        <f t="shared" si="0"/>
        <v>-1.2022566303860702</v>
      </c>
      <c r="AJ58" s="8">
        <f t="shared" si="7"/>
        <v>-0.29801970760592222</v>
      </c>
      <c r="AK58" s="8">
        <f t="shared" si="8"/>
        <v>-0.88340040067509618</v>
      </c>
      <c r="AL58" s="8">
        <f t="shared" si="9"/>
        <v>-1.8730055891249014E-2</v>
      </c>
      <c r="AM58" s="8">
        <f t="shared" si="10"/>
        <v>-2.1064662138023894E-3</v>
      </c>
      <c r="AN58" s="8">
        <f t="shared" si="11"/>
        <v>-1.20225663038607</v>
      </c>
      <c r="AO58" s="9">
        <f t="shared" si="13"/>
        <v>0.39443984474581439</v>
      </c>
      <c r="AP58" s="9">
        <f t="shared" si="13"/>
        <v>0.59590847075018127</v>
      </c>
      <c r="AQ58" s="9">
        <f t="shared" si="13"/>
        <v>9.9682178237365041E-3</v>
      </c>
      <c r="AR58" s="9">
        <f t="shared" si="13"/>
        <v>-3.16533319734801E-4</v>
      </c>
      <c r="AS58" s="9">
        <f t="shared" si="13"/>
        <v>1</v>
      </c>
      <c r="AT58" s="7"/>
      <c r="AU58" s="7"/>
      <c r="AV58" s="7"/>
      <c r="AW58" s="7"/>
      <c r="AX58" s="7"/>
    </row>
    <row r="59" spans="1:87" x14ac:dyDescent="0.25">
      <c r="A59" s="1">
        <v>44377</v>
      </c>
      <c r="B59">
        <f>'DSGE HVD wFG'!B59-'DSGE HVD woFG'!B59</f>
        <v>-1.9341073909204004E-2</v>
      </c>
      <c r="C59">
        <f>'DSGE HVD wFG'!C59-'DSGE HVD woFG'!C59</f>
        <v>-0.12834458145253202</v>
      </c>
      <c r="D59">
        <f>'DSGE HVD wFG'!D59-'DSGE HVD woFG'!D59</f>
        <v>-0.76286188551486644</v>
      </c>
      <c r="E59">
        <f>'DSGE HVD wFG'!E59-'DSGE HVD woFG'!E59</f>
        <v>-1.4670696769230003E-2</v>
      </c>
      <c r="F59">
        <f>'DSGE HVD wFG'!F59-'DSGE HVD woFG'!F59</f>
        <v>-5.1460567070006985E-2</v>
      </c>
      <c r="G59">
        <f>'DSGE HVD wFG'!G59-'DSGE HVD woFG'!G59</f>
        <v>4.287103864544013E-16</v>
      </c>
      <c r="H59">
        <f>'DSGE HVD wFG'!H59-'DSGE HVD woFG'!H59</f>
        <v>-7.8275348568609729E-16</v>
      </c>
      <c r="I59">
        <f>'DSGE HVD wFG'!I59-'DSGE HVD woFG'!I59</f>
        <v>-9.8118785130094593E-15</v>
      </c>
      <c r="J59">
        <f>'DSGE HVD wFG'!J59-'DSGE HVD woFG'!J59</f>
        <v>5.0124105621720374E-15</v>
      </c>
      <c r="K59">
        <f>'DSGE HVD wFG'!K59-'DSGE HVD woFG'!K59</f>
        <v>5.4506380423259951E-15</v>
      </c>
      <c r="L59">
        <f>'DSGE HVD wFG'!L59-'DSGE HVD woFG'!L59</f>
        <v>5.9971556826814193E-15</v>
      </c>
      <c r="M59">
        <f>'DSGE HVD wFG'!M59-'DSGE HVD woFG'!M59</f>
        <v>7.0723279793373464E-15</v>
      </c>
      <c r="N59">
        <f>'DSGE HVD wFG'!N59-'DSGE HVD woFG'!N59</f>
        <v>7.9635136500203795E-15</v>
      </c>
      <c r="O59">
        <f>'DSGE HVD wFG'!O59-'DSGE HVD woFG'!O59</f>
        <v>8.18919268382358E-15</v>
      </c>
      <c r="P59">
        <f>'DSGE HVD wFG'!P59-'DSGE HVD woFG'!P59</f>
        <v>-4.2098185312642929E-15</v>
      </c>
      <c r="Q59">
        <f>'DSGE HVD wFG'!Q59-'DSGE HVD woFG'!Q59</f>
        <v>-1.44786236293847E-2</v>
      </c>
      <c r="R59">
        <f>'DSGE HVD wFG'!R59-'DSGE HVD woFG'!R59</f>
        <v>0</v>
      </c>
      <c r="S59">
        <f>'DSGE HVD wFG'!S59-'DSGE HVD woFG'!S59</f>
        <v>-0.2456762624629312</v>
      </c>
      <c r="T59">
        <f>'DSGE HVD wFG'!T59-'DSGE HVD woFG'!T59</f>
        <v>-2.0847657159993992E-3</v>
      </c>
      <c r="U59">
        <f>'DSGE HVD wFG'!U59-'DSGE HVD woFG'!U59</f>
        <v>-1.23891845652413</v>
      </c>
      <c r="Y59" s="1">
        <f t="shared" si="14"/>
        <v>44377</v>
      </c>
      <c r="Z59" s="7">
        <f t="shared" si="14"/>
        <v>-1.9341073909204004E-2</v>
      </c>
      <c r="AA59" s="7">
        <f t="shared" si="14"/>
        <v>-0.12834458145253202</v>
      </c>
      <c r="AB59" s="7">
        <f t="shared" si="14"/>
        <v>-0.76286188551486644</v>
      </c>
      <c r="AC59" s="7">
        <f t="shared" si="2"/>
        <v>-0.29713682953293818</v>
      </c>
      <c r="AD59" s="7">
        <f t="shared" si="3"/>
        <v>-1.4670696769230003E-2</v>
      </c>
      <c r="AE59" s="7">
        <f t="shared" si="4"/>
        <v>-1.44786236293847E-2</v>
      </c>
      <c r="AF59" s="7">
        <f t="shared" si="5"/>
        <v>4.287103864544013E-16</v>
      </c>
      <c r="AG59" s="7">
        <f t="shared" si="5"/>
        <v>-7.8275348568609729E-16</v>
      </c>
      <c r="AH59" s="7">
        <f t="shared" si="6"/>
        <v>-2.0847657159737357E-3</v>
      </c>
      <c r="AI59" s="7">
        <f t="shared" si="0"/>
        <v>-1.2389184565241298</v>
      </c>
      <c r="AJ59" s="8">
        <f t="shared" si="7"/>
        <v>-0.31161545316232286</v>
      </c>
      <c r="AK59" s="8">
        <f t="shared" si="8"/>
        <v>-0.90587716373662852</v>
      </c>
      <c r="AL59" s="8">
        <f t="shared" si="9"/>
        <v>-1.9341073909204004E-2</v>
      </c>
      <c r="AM59" s="8">
        <f t="shared" si="10"/>
        <v>-2.0847657159737357E-3</v>
      </c>
      <c r="AN59" s="8">
        <f t="shared" si="11"/>
        <v>-1.2389184565241291</v>
      </c>
      <c r="AO59" s="9">
        <f t="shared" si="13"/>
        <v>0.37084201712163806</v>
      </c>
      <c r="AP59" s="9">
        <f t="shared" si="13"/>
        <v>0.61308356482000004</v>
      </c>
      <c r="AQ59" s="9">
        <f t="shared" si="13"/>
        <v>1.6666327957970527E-2</v>
      </c>
      <c r="AR59" s="9">
        <f t="shared" si="13"/>
        <v>-5.9190989960333947E-4</v>
      </c>
      <c r="AS59" s="9">
        <f t="shared" si="13"/>
        <v>1</v>
      </c>
      <c r="AT59" s="7"/>
      <c r="AU59" s="7"/>
      <c r="AV59" s="7"/>
      <c r="AW59" s="7"/>
      <c r="AX59" s="7"/>
    </row>
    <row r="60" spans="1:87" x14ac:dyDescent="0.25">
      <c r="A60" s="1">
        <v>44469</v>
      </c>
      <c r="B60">
        <f>'DSGE HVD wFG'!B60-'DSGE HVD woFG'!B60</f>
        <v>-2.1002265945899018E-2</v>
      </c>
      <c r="C60">
        <f>'DSGE HVD wFG'!C60-'DSGE HVD woFG'!C60</f>
        <v>-2.9666576486962026E-2</v>
      </c>
      <c r="D60">
        <f>'DSGE HVD wFG'!D60-'DSGE HVD woFG'!D60</f>
        <v>-0.59794380763685606</v>
      </c>
      <c r="E60">
        <f>'DSGE HVD wFG'!E60-'DSGE HVD woFG'!E60</f>
        <v>-1.3763194030502801E-2</v>
      </c>
      <c r="F60">
        <f>'DSGE HVD wFG'!F60-'DSGE HVD woFG'!F60</f>
        <v>-5.2653946271352003E-2</v>
      </c>
      <c r="G60">
        <f>'DSGE HVD wFG'!G60-'DSGE HVD woFG'!G60</f>
        <v>2.2163034912279885E-16</v>
      </c>
      <c r="H60">
        <f>'DSGE HVD wFG'!H60-'DSGE HVD woFG'!H60</f>
        <v>-9.2035222111800567E-16</v>
      </c>
      <c r="I60">
        <f>'DSGE HVD wFG'!I60-'DSGE HVD woFG'!I60</f>
        <v>-1.130796189053659E-14</v>
      </c>
      <c r="J60">
        <f>'DSGE HVD wFG'!J60-'DSGE HVD woFG'!J60</f>
        <v>3.951462221303678E-15</v>
      </c>
      <c r="K60">
        <f>'DSGE HVD wFG'!K60-'DSGE HVD woFG'!K60</f>
        <v>3.8167807090629353E-15</v>
      </c>
      <c r="L60">
        <f>'DSGE HVD wFG'!L60-'DSGE HVD woFG'!L60</f>
        <v>5.4847401487941946E-15</v>
      </c>
      <c r="M60">
        <f>'DSGE HVD wFG'!M60-'DSGE HVD woFG'!M60</f>
        <v>6.53693922553892E-15</v>
      </c>
      <c r="N60">
        <f>'DSGE HVD wFG'!N60-'DSGE HVD woFG'!N60</f>
        <v>7.8169371081099201E-15</v>
      </c>
      <c r="O60">
        <f>'DSGE HVD wFG'!O60-'DSGE HVD woFG'!O60</f>
        <v>7.7767399933532499E-15</v>
      </c>
      <c r="P60">
        <f>'DSGE HVD wFG'!P60-'DSGE HVD woFG'!P60</f>
        <v>-9.2369529049869229E-16</v>
      </c>
      <c r="Q60">
        <f>'DSGE HVD wFG'!Q60-'DSGE HVD woFG'!Q60</f>
        <v>3.5606655468497589E-2</v>
      </c>
      <c r="R60">
        <f>'DSGE HVD wFG'!R60-'DSGE HVD woFG'!R60</f>
        <v>0</v>
      </c>
      <c r="S60">
        <f>'DSGE HVD wFG'!S60-'DSGE HVD woFG'!S60</f>
        <v>-0.110744698938847</v>
      </c>
      <c r="T60">
        <f>'DSGE HVD wFG'!T60-'DSGE HVD woFG'!T60</f>
        <v>-2.063297625594299E-3</v>
      </c>
      <c r="U60">
        <f>'DSGE HVD wFG'!U60-'DSGE HVD woFG'!U60</f>
        <v>-0.79223113146748603</v>
      </c>
      <c r="Y60" s="1">
        <f t="shared" si="14"/>
        <v>44469</v>
      </c>
      <c r="Z60" s="7">
        <f t="shared" si="14"/>
        <v>-2.1002265945899018E-2</v>
      </c>
      <c r="AA60" s="7">
        <f t="shared" si="14"/>
        <v>-2.9666576486962026E-2</v>
      </c>
      <c r="AB60" s="7">
        <f t="shared" si="14"/>
        <v>-0.59794380763685606</v>
      </c>
      <c r="AC60" s="7">
        <f t="shared" si="2"/>
        <v>-0.16339864521019901</v>
      </c>
      <c r="AD60" s="7">
        <f t="shared" si="3"/>
        <v>-1.3763194030502801E-2</v>
      </c>
      <c r="AE60" s="7">
        <f t="shared" si="4"/>
        <v>3.5606655468497589E-2</v>
      </c>
      <c r="AF60" s="7">
        <f t="shared" si="5"/>
        <v>2.2163034912279885E-16</v>
      </c>
      <c r="AG60" s="7">
        <f t="shared" si="5"/>
        <v>-9.2035222111800567E-16</v>
      </c>
      <c r="AH60" s="7">
        <f t="shared" si="6"/>
        <v>-2.0632976255711469E-3</v>
      </c>
      <c r="AI60" s="7">
        <f t="shared" si="0"/>
        <v>-0.79223113146749302</v>
      </c>
      <c r="AJ60" s="8">
        <f t="shared" si="7"/>
        <v>-0.12779198974170142</v>
      </c>
      <c r="AK60" s="8">
        <f t="shared" si="8"/>
        <v>-0.64137357815432083</v>
      </c>
      <c r="AL60" s="8">
        <f t="shared" si="9"/>
        <v>-2.1002265945899018E-2</v>
      </c>
      <c r="AM60" s="8">
        <f t="shared" si="10"/>
        <v>-2.0632976255711469E-3</v>
      </c>
      <c r="AN60" s="8">
        <f t="shared" si="11"/>
        <v>-0.79223113146749247</v>
      </c>
      <c r="AO60" s="9">
        <f t="shared" si="13"/>
        <v>0.41152603422833633</v>
      </c>
      <c r="AP60" s="9">
        <f t="shared" si="13"/>
        <v>0.59214481975455779</v>
      </c>
      <c r="AQ60" s="9">
        <f t="shared" si="13"/>
        <v>-3.7189146490431242E-3</v>
      </c>
      <c r="AR60" s="9">
        <f t="shared" si="13"/>
        <v>4.8060666149116301E-5</v>
      </c>
      <c r="AS60" s="9">
        <f t="shared" si="13"/>
        <v>1</v>
      </c>
      <c r="AT60" s="7"/>
      <c r="AU60" s="7"/>
      <c r="AV60" s="7"/>
      <c r="AW60" s="7"/>
      <c r="AX60" s="7"/>
    </row>
    <row r="61" spans="1:87" x14ac:dyDescent="0.25">
      <c r="A61" s="1">
        <v>44561</v>
      </c>
      <c r="B61">
        <f>'DSGE HVD wFG'!B61-'DSGE HVD woFG'!B61</f>
        <v>-2.0761906245319012E-2</v>
      </c>
      <c r="C61">
        <f>'DSGE HVD wFG'!C61-'DSGE HVD woFG'!C61</f>
        <v>-8.7338447164553967E-2</v>
      </c>
      <c r="D61">
        <f>'DSGE HVD wFG'!D61-'DSGE HVD woFG'!D61</f>
        <v>-0.625865322965521</v>
      </c>
      <c r="E61">
        <f>'DSGE HVD wFG'!E61-'DSGE HVD woFG'!E61</f>
        <v>-1.7851546693959906E-2</v>
      </c>
      <c r="F61">
        <f>'DSGE HVD wFG'!F61-'DSGE HVD woFG'!F61</f>
        <v>-5.7259783742782983E-2</v>
      </c>
      <c r="G61">
        <f>'DSGE HVD wFG'!G61-'DSGE HVD woFG'!G61</f>
        <v>3.7934255448750222E-16</v>
      </c>
      <c r="H61">
        <f>'DSGE HVD wFG'!H61-'DSGE HVD woFG'!H61</f>
        <v>-1.0364461717401029E-15</v>
      </c>
      <c r="I61">
        <f>'DSGE HVD wFG'!I61-'DSGE HVD woFG'!I61</f>
        <v>-1.1232171465162003E-14</v>
      </c>
      <c r="J61">
        <f>'DSGE HVD wFG'!J61-'DSGE HVD woFG'!J61</f>
        <v>4.9612023999759561E-15</v>
      </c>
      <c r="K61">
        <f>'DSGE HVD wFG'!K61-'DSGE HVD woFG'!K61</f>
        <v>4.0053843312818828E-15</v>
      </c>
      <c r="L61">
        <f>'DSGE HVD wFG'!L61-'DSGE HVD woFG'!L61</f>
        <v>6.4960772651790432E-15</v>
      </c>
      <c r="M61">
        <f>'DSGE HVD wFG'!M61-'DSGE HVD woFG'!M61</f>
        <v>7.4612611765845501E-15</v>
      </c>
      <c r="N61">
        <f>'DSGE HVD wFG'!N61-'DSGE HVD woFG'!N61</f>
        <v>7.8201467074401894E-15</v>
      </c>
      <c r="O61">
        <f>'DSGE HVD wFG'!O61-'DSGE HVD woFG'!O61</f>
        <v>7.81525820750832E-15</v>
      </c>
      <c r="P61">
        <f>'DSGE HVD wFG'!P61-'DSGE HVD woFG'!P61</f>
        <v>-1.9834845130069993E-15</v>
      </c>
      <c r="Q61">
        <f>'DSGE HVD wFG'!Q61-'DSGE HVD woFG'!Q61</f>
        <v>2.4412758791721802E-2</v>
      </c>
      <c r="R61">
        <f>'DSGE HVD wFG'!R61-'DSGE HVD woFG'!R61</f>
        <v>0</v>
      </c>
      <c r="S61">
        <f>'DSGE HVD wFG'!S61-'DSGE HVD woFG'!S61</f>
        <v>-0.148420606575002</v>
      </c>
      <c r="T61">
        <f>'DSGE HVD wFG'!T61-'DSGE HVD woFG'!T61</f>
        <v>-2.0420593200964014E-3</v>
      </c>
      <c r="U61">
        <f>'DSGE HVD wFG'!U61-'DSGE HVD woFG'!U61</f>
        <v>-0.93512691391548108</v>
      </c>
      <c r="Y61" s="1">
        <f t="shared" si="14"/>
        <v>44561</v>
      </c>
      <c r="Z61" s="7">
        <f t="shared" si="14"/>
        <v>-2.0761906245319012E-2</v>
      </c>
      <c r="AA61" s="7">
        <f t="shared" si="14"/>
        <v>-8.7338447164553967E-2</v>
      </c>
      <c r="AB61" s="7">
        <f t="shared" si="14"/>
        <v>-0.625865322965521</v>
      </c>
      <c r="AC61" s="7">
        <f t="shared" si="2"/>
        <v>-0.20568039031778498</v>
      </c>
      <c r="AD61" s="7">
        <f t="shared" si="3"/>
        <v>-1.7851546693959906E-2</v>
      </c>
      <c r="AE61" s="7">
        <f t="shared" si="4"/>
        <v>2.4412758791721802E-2</v>
      </c>
      <c r="AF61" s="7">
        <f t="shared" si="5"/>
        <v>3.7934255448750222E-16</v>
      </c>
      <c r="AG61" s="7">
        <f t="shared" si="5"/>
        <v>-1.0364461717401029E-15</v>
      </c>
      <c r="AH61" s="7">
        <f t="shared" si="6"/>
        <v>-2.0420593200710579E-3</v>
      </c>
      <c r="AI61" s="7">
        <f t="shared" si="0"/>
        <v>-0.93512691391548886</v>
      </c>
      <c r="AJ61" s="8">
        <f t="shared" si="7"/>
        <v>-0.18126763152606318</v>
      </c>
      <c r="AK61" s="8">
        <f t="shared" si="8"/>
        <v>-0.73105531682403491</v>
      </c>
      <c r="AL61" s="8">
        <f t="shared" si="9"/>
        <v>-2.0761906245319012E-2</v>
      </c>
      <c r="AM61" s="8">
        <f t="shared" si="10"/>
        <v>-2.0420593200710579E-3</v>
      </c>
      <c r="AN61" s="8">
        <f t="shared" si="11"/>
        <v>-0.93512691391548819</v>
      </c>
      <c r="AO61" s="9">
        <f t="shared" si="13"/>
        <v>0.37422827229924183</v>
      </c>
      <c r="AP61" s="9">
        <f t="shared" si="13"/>
        <v>0.62760241858329224</v>
      </c>
      <c r="AQ61" s="9">
        <f t="shared" si="13"/>
        <v>-1.6820629444922958E-3</v>
      </c>
      <c r="AR61" s="9">
        <f t="shared" si="13"/>
        <v>-1.4862793804161647E-4</v>
      </c>
      <c r="AS61" s="9">
        <f t="shared" si="13"/>
        <v>1</v>
      </c>
      <c r="AT61" s="7"/>
      <c r="AU61" s="7"/>
      <c r="AV61" s="7"/>
      <c r="AW61" s="7"/>
      <c r="AX61" s="7"/>
    </row>
    <row r="62" spans="1:87" x14ac:dyDescent="0.25">
      <c r="A62" s="1">
        <v>44651</v>
      </c>
      <c r="B62">
        <f>'DSGE HVD wFG'!B62-'DSGE HVD woFG'!B62</f>
        <v>-2.128912674455799E-2</v>
      </c>
      <c r="C62">
        <f>'DSGE HVD wFG'!C62-'DSGE HVD woFG'!C62</f>
        <v>-6.5197287944781024E-2</v>
      </c>
      <c r="D62">
        <f>'DSGE HVD wFG'!D62-'DSGE HVD woFG'!D62</f>
        <v>-0.54561080147335894</v>
      </c>
      <c r="E62">
        <f>'DSGE HVD wFG'!E62-'DSGE HVD woFG'!E62</f>
        <v>-1.8788108210664536E-2</v>
      </c>
      <c r="F62">
        <f>'DSGE HVD wFG'!F62-'DSGE HVD woFG'!F62</f>
        <v>-5.9798181388138999E-2</v>
      </c>
      <c r="G62">
        <f>'DSGE HVD wFG'!G62-'DSGE HVD woFG'!G62</f>
        <v>3.5713740785659924E-16</v>
      </c>
      <c r="H62">
        <f>'DSGE HVD wFG'!H62-'DSGE HVD woFG'!H62</f>
        <v>-1.1645173443039012E-15</v>
      </c>
      <c r="I62">
        <f>'DSGE HVD wFG'!I62-'DSGE HVD woFG'!I62</f>
        <v>-1.1583004946677761E-14</v>
      </c>
      <c r="J62">
        <f>'DSGE HVD wFG'!J62-'DSGE HVD woFG'!J62</f>
        <v>4.076463584824006E-15</v>
      </c>
      <c r="K62">
        <f>'DSGE HVD wFG'!K62-'DSGE HVD woFG'!K62</f>
        <v>4.3205758196502314E-15</v>
      </c>
      <c r="L62">
        <f>'DSGE HVD wFG'!L62-'DSGE HVD woFG'!L62</f>
        <v>6.3726860578404599E-15</v>
      </c>
      <c r="M62">
        <f>'DSGE HVD wFG'!M62-'DSGE HVD woFG'!M62</f>
        <v>6.9987180778704296E-15</v>
      </c>
      <c r="N62">
        <f>'DSGE HVD wFG'!N62-'DSGE HVD woFG'!N62</f>
        <v>8.3142149588411899E-15</v>
      </c>
      <c r="O62">
        <f>'DSGE HVD wFG'!O62-'DSGE HVD woFG'!O62</f>
        <v>7.7558498696259103E-15</v>
      </c>
      <c r="P62">
        <f>'DSGE HVD wFG'!P62-'DSGE HVD woFG'!P62</f>
        <v>-6.0926185746309948E-16</v>
      </c>
      <c r="Q62">
        <f>'DSGE HVD wFG'!Q62-'DSGE HVD woFG'!Q62</f>
        <v>4.5075728184547095E-2</v>
      </c>
      <c r="R62">
        <f>'DSGE HVD wFG'!R62-'DSGE HVD woFG'!R62</f>
        <v>0</v>
      </c>
      <c r="S62">
        <f>'DSGE HVD wFG'!S62-'DSGE HVD woFG'!S62</f>
        <v>-9.1943973911520038E-2</v>
      </c>
      <c r="T62">
        <f>'DSGE HVD wFG'!T62-'DSGE HVD woFG'!T62</f>
        <v>-2.0210482088609E-3</v>
      </c>
      <c r="U62">
        <f>'DSGE HVD wFG'!U62-'DSGE HVD woFG'!U62</f>
        <v>-0.75957279969730496</v>
      </c>
      <c r="Y62" s="1">
        <f t="shared" si="14"/>
        <v>44651</v>
      </c>
      <c r="Z62" s="7">
        <f t="shared" si="14"/>
        <v>-2.128912674455799E-2</v>
      </c>
      <c r="AA62" s="7">
        <f t="shared" si="14"/>
        <v>-6.5197287944781024E-2</v>
      </c>
      <c r="AB62" s="7">
        <f t="shared" si="14"/>
        <v>-0.54561080147335894</v>
      </c>
      <c r="AC62" s="7">
        <f t="shared" si="2"/>
        <v>-0.15174215529965904</v>
      </c>
      <c r="AD62" s="7">
        <f t="shared" si="3"/>
        <v>-1.8788108210664536E-2</v>
      </c>
      <c r="AE62" s="7">
        <f t="shared" si="4"/>
        <v>4.5075728184547095E-2</v>
      </c>
      <c r="AF62" s="7">
        <f t="shared" si="5"/>
        <v>3.5713740785659924E-16</v>
      </c>
      <c r="AG62" s="7">
        <f t="shared" si="5"/>
        <v>-1.1645173443039012E-15</v>
      </c>
      <c r="AH62" s="7">
        <f t="shared" si="6"/>
        <v>-2.0210482088352539E-3</v>
      </c>
      <c r="AI62" s="7">
        <f t="shared" si="0"/>
        <v>-0.75957279969731062</v>
      </c>
      <c r="AJ62" s="8">
        <f t="shared" si="7"/>
        <v>-0.10666642711511194</v>
      </c>
      <c r="AK62" s="8">
        <f t="shared" si="8"/>
        <v>-0.62959619762880459</v>
      </c>
      <c r="AL62" s="8">
        <f t="shared" si="9"/>
        <v>-2.128912674455799E-2</v>
      </c>
      <c r="AM62" s="8">
        <f t="shared" si="10"/>
        <v>-2.0210482088352539E-3</v>
      </c>
      <c r="AN62" s="8">
        <f t="shared" si="11"/>
        <v>-0.75957279969730984</v>
      </c>
      <c r="AO62" s="9">
        <f t="shared" si="13"/>
        <v>0.42494705830839707</v>
      </c>
      <c r="AP62" s="9">
        <f t="shared" si="13"/>
        <v>0.57793643656301386</v>
      </c>
      <c r="AQ62" s="9">
        <f t="shared" si="13"/>
        <v>-3.0031793990527027E-3</v>
      </c>
      <c r="AR62" s="9">
        <f t="shared" si="13"/>
        <v>1.1968452764195232E-4</v>
      </c>
      <c r="AS62" s="9">
        <f t="shared" si="13"/>
        <v>1</v>
      </c>
      <c r="AT62" s="7"/>
      <c r="AU62" s="7"/>
      <c r="AV62" s="7"/>
      <c r="AW62" s="7"/>
      <c r="AX62" s="7"/>
    </row>
    <row r="63" spans="1:87" x14ac:dyDescent="0.25">
      <c r="A63" s="1">
        <v>44742</v>
      </c>
      <c r="B63">
        <f>'DSGE HVD wFG'!B63-'DSGE HVD woFG'!B63</f>
        <v>-2.2339284340530979E-2</v>
      </c>
      <c r="C63">
        <f>'DSGE HVD wFG'!C63-'DSGE HVD woFG'!C63</f>
        <v>7.3137789072588999E-2</v>
      </c>
      <c r="D63">
        <f>'DSGE HVD wFG'!D63-'DSGE HVD woFG'!D63</f>
        <v>-0.3046942794459237</v>
      </c>
      <c r="E63">
        <f>'DSGE HVD wFG'!E63-'DSGE HVD woFG'!E63</f>
        <v>-1.5260651148940395E-2</v>
      </c>
      <c r="F63">
        <f>'DSGE HVD wFG'!F63-'DSGE HVD woFG'!F63</f>
        <v>-5.7760599263197016E-2</v>
      </c>
      <c r="G63">
        <f>'DSGE HVD wFG'!G63-'DSGE HVD woFG'!G63</f>
        <v>1.4916486301659794E-16</v>
      </c>
      <c r="H63">
        <f>'DSGE HVD wFG'!H63-'DSGE HVD woFG'!H63</f>
        <v>-1.2760213489767026E-15</v>
      </c>
      <c r="I63">
        <f>'DSGE HVD wFG'!I63-'DSGE HVD woFG'!I63</f>
        <v>-1.1691069049756182E-14</v>
      </c>
      <c r="J63">
        <f>'DSGE HVD wFG'!J63-'DSGE HVD woFG'!J63</f>
        <v>3.2684803745600986E-15</v>
      </c>
      <c r="K63">
        <f>'DSGE HVD wFG'!K63-'DSGE HVD woFG'!K63</f>
        <v>2.1404503950019148E-15</v>
      </c>
      <c r="L63">
        <f>'DSGE HVD wFG'!L63-'DSGE HVD woFG'!L63</f>
        <v>4.0638625031233939E-15</v>
      </c>
      <c r="M63">
        <f>'DSGE HVD wFG'!M63-'DSGE HVD woFG'!M63</f>
        <v>3.6644577959399301E-15</v>
      </c>
      <c r="N63">
        <f>'DSGE HVD wFG'!N63-'DSGE HVD woFG'!N63</f>
        <v>7.3791328203718508E-15</v>
      </c>
      <c r="O63">
        <f>'DSGE HVD wFG'!O63-'DSGE HVD woFG'!O63</f>
        <v>7.0518170270958906E-15</v>
      </c>
      <c r="P63">
        <f>'DSGE HVD wFG'!P63-'DSGE HVD woFG'!P63</f>
        <v>5.1122463610194947E-15</v>
      </c>
      <c r="Q63">
        <f>'DSGE HVD wFG'!Q63-'DSGE HVD woFG'!Q63</f>
        <v>0.10486626276044692</v>
      </c>
      <c r="R63">
        <f>'DSGE HVD wFG'!R63-'DSGE HVD woFG'!R63</f>
        <v>0</v>
      </c>
      <c r="S63">
        <f>'DSGE HVD wFG'!S63-'DSGE HVD woFG'!S63</f>
        <v>0.10357212379067893</v>
      </c>
      <c r="T63">
        <f>'DSGE HVD wFG'!T63-'DSGE HVD woFG'!T63</f>
        <v>-2.0002617326900004E-3</v>
      </c>
      <c r="U63">
        <f>'DSGE HVD wFG'!U63-'DSGE HVD woFG'!U63</f>
        <v>-0.12047890030754993</v>
      </c>
      <c r="Y63" s="1">
        <f t="shared" si="14"/>
        <v>44742</v>
      </c>
      <c r="Z63" s="7">
        <f t="shared" si="14"/>
        <v>-2.2339284340530979E-2</v>
      </c>
      <c r="AA63" s="7">
        <f t="shared" si="14"/>
        <v>7.3137789072588999E-2</v>
      </c>
      <c r="AB63" s="7">
        <f t="shared" si="14"/>
        <v>-0.3046942794459237</v>
      </c>
      <c r="AC63" s="7">
        <f t="shared" si="2"/>
        <v>4.5811524527481912E-2</v>
      </c>
      <c r="AD63" s="7">
        <f t="shared" si="3"/>
        <v>-1.5260651148940395E-2</v>
      </c>
      <c r="AE63" s="7">
        <f t="shared" si="4"/>
        <v>0.10486626276044692</v>
      </c>
      <c r="AF63" s="7">
        <f t="shared" si="5"/>
        <v>1.4916486301659794E-16</v>
      </c>
      <c r="AG63" s="7">
        <f t="shared" si="5"/>
        <v>-1.2760213489767026E-15</v>
      </c>
      <c r="AH63" s="7">
        <f t="shared" si="6"/>
        <v>-2.0002617326690107E-3</v>
      </c>
      <c r="AI63" s="7">
        <f t="shared" si="0"/>
        <v>-0.12047890030754742</v>
      </c>
      <c r="AJ63" s="8">
        <f t="shared" si="7"/>
        <v>0.15067778728792883</v>
      </c>
      <c r="AK63" s="8">
        <f t="shared" si="8"/>
        <v>-0.2468171415222751</v>
      </c>
      <c r="AL63" s="8">
        <f t="shared" si="9"/>
        <v>-2.2339284340530979E-2</v>
      </c>
      <c r="AM63" s="8">
        <f t="shared" si="10"/>
        <v>-2.0002617326690107E-3</v>
      </c>
      <c r="AN63" s="8">
        <f t="shared" si="11"/>
        <v>-0.12047890030754627</v>
      </c>
      <c r="AO63" s="9">
        <f t="shared" si="13"/>
        <v>0.40267042863148111</v>
      </c>
      <c r="AP63" s="9">
        <f t="shared" si="13"/>
        <v>0.59894024410501279</v>
      </c>
      <c r="AQ63" s="9">
        <f t="shared" si="13"/>
        <v>-1.6431976537027318E-3</v>
      </c>
      <c r="AR63" s="9">
        <f t="shared" si="13"/>
        <v>3.2524917208709254E-5</v>
      </c>
      <c r="AS63" s="9">
        <f t="shared" si="13"/>
        <v>1</v>
      </c>
      <c r="AT63" s="7"/>
      <c r="AU63" s="7"/>
      <c r="AV63" s="7"/>
      <c r="AW63" s="7"/>
      <c r="AX63" s="7"/>
    </row>
    <row r="64" spans="1:87" x14ac:dyDescent="0.25">
      <c r="A64" s="1">
        <v>44834</v>
      </c>
      <c r="B64">
        <f>'DSGE HVD wFG'!B64-'DSGE HVD woFG'!B64</f>
        <v>-2.1795387375831005E-2</v>
      </c>
      <c r="C64">
        <f>'DSGE HVD wFG'!C64-'DSGE HVD woFG'!C64</f>
        <v>2.8204562758399332E-4</v>
      </c>
      <c r="D64">
        <f>'DSGE HVD wFG'!D64-'DSGE HVD woFG'!D64</f>
        <v>-0.33235755639872011</v>
      </c>
      <c r="E64">
        <f>'DSGE HVD wFG'!E64-'DSGE HVD woFG'!E64</f>
        <v>-1.6153738699060005E-2</v>
      </c>
      <c r="F64">
        <f>'DSGE HVD wFG'!F64-'DSGE HVD woFG'!F64</f>
        <v>-5.8215238623812005E-2</v>
      </c>
      <c r="G64">
        <f>'DSGE HVD wFG'!G64-'DSGE HVD woFG'!G64</f>
        <v>2.4978855605030196E-16</v>
      </c>
      <c r="H64">
        <f>'DSGE HVD wFG'!H64-'DSGE HVD woFG'!H64</f>
        <v>-1.3585614554694995E-15</v>
      </c>
      <c r="I64">
        <f>'DSGE HVD wFG'!I64-'DSGE HVD woFG'!I64</f>
        <v>-1.240793191687319E-14</v>
      </c>
      <c r="J64">
        <f>'DSGE HVD wFG'!J64-'DSGE HVD woFG'!J64</f>
        <v>4.2773440645400541E-15</v>
      </c>
      <c r="K64">
        <f>'DSGE HVD wFG'!K64-'DSGE HVD woFG'!K64</f>
        <v>1.344221424291678E-15</v>
      </c>
      <c r="L64">
        <f>'DSGE HVD wFG'!L64-'DSGE HVD woFG'!L64</f>
        <v>6.1123831638133098E-15</v>
      </c>
      <c r="M64">
        <f>'DSGE HVD wFG'!M64-'DSGE HVD woFG'!M64</f>
        <v>3.7872132234878795E-15</v>
      </c>
      <c r="N64">
        <f>'DSGE HVD wFG'!N64-'DSGE HVD woFG'!N64</f>
        <v>7.9081127647043895E-15</v>
      </c>
      <c r="O64">
        <f>'DSGE HVD wFG'!O64-'DSGE HVD woFG'!O64</f>
        <v>7.1837053928315099E-15</v>
      </c>
      <c r="P64">
        <f>'DSGE HVD wFG'!P64-'DSGE HVD woFG'!P64</f>
        <v>4.7806947414498923E-15</v>
      </c>
      <c r="Q64">
        <f>'DSGE HVD wFG'!Q64-'DSGE HVD woFG'!Q64</f>
        <v>9.4613176068432697E-2</v>
      </c>
      <c r="R64">
        <f>'DSGE HVD wFG'!R64-'DSGE HVD woFG'!R64</f>
        <v>0</v>
      </c>
      <c r="S64">
        <f>'DSGE HVD wFG'!S64-'DSGE HVD woFG'!S64</f>
        <v>6.2764583349427028E-2</v>
      </c>
      <c r="T64">
        <f>'DSGE HVD wFG'!T64-'DSGE HVD woFG'!T64</f>
        <v>-1.9796973634139004E-3</v>
      </c>
      <c r="U64">
        <f>'DSGE HVD wFG'!U64-'DSGE HVD woFG'!U64</f>
        <v>-0.27284181341536606</v>
      </c>
      <c r="Y64" s="1">
        <f t="shared" si="14"/>
        <v>44834</v>
      </c>
      <c r="Z64" s="7">
        <f t="shared" si="14"/>
        <v>-2.1795387375831005E-2</v>
      </c>
      <c r="AA64" s="7">
        <f t="shared" si="14"/>
        <v>2.8204562758399332E-4</v>
      </c>
      <c r="AB64" s="7">
        <f t="shared" si="14"/>
        <v>-0.33235755639872011</v>
      </c>
      <c r="AC64" s="7">
        <f t="shared" si="2"/>
        <v>4.5493447256150232E-3</v>
      </c>
      <c r="AD64" s="7">
        <f t="shared" si="3"/>
        <v>-1.6153738699060005E-2</v>
      </c>
      <c r="AE64" s="7">
        <f t="shared" si="4"/>
        <v>9.4613176068432697E-2</v>
      </c>
      <c r="AF64" s="7">
        <f t="shared" si="5"/>
        <v>2.4978855605030196E-16</v>
      </c>
      <c r="AG64" s="7">
        <f t="shared" si="5"/>
        <v>-1.3585614554694995E-15</v>
      </c>
      <c r="AH64" s="7">
        <f t="shared" si="6"/>
        <v>-1.9796973633909145E-3</v>
      </c>
      <c r="AI64" s="7">
        <f t="shared" si="0"/>
        <v>-0.27284181341537145</v>
      </c>
      <c r="AJ64" s="8">
        <f t="shared" si="7"/>
        <v>9.916252079404772E-2</v>
      </c>
      <c r="AK64" s="8">
        <f t="shared" si="8"/>
        <v>-0.34822924947019612</v>
      </c>
      <c r="AL64" s="8">
        <f t="shared" si="9"/>
        <v>-2.1795387375831005E-2</v>
      </c>
      <c r="AM64" s="8">
        <f t="shared" si="10"/>
        <v>-1.9796973633909145E-3</v>
      </c>
      <c r="AN64" s="8">
        <f t="shared" si="11"/>
        <v>-0.27284181341537034</v>
      </c>
      <c r="AO64" s="9">
        <f t="shared" si="13"/>
        <v>0.33810896262809587</v>
      </c>
      <c r="AP64" s="9">
        <f t="shared" si="13"/>
        <v>0.66559575345053801</v>
      </c>
      <c r="AQ64" s="9">
        <f t="shared" si="13"/>
        <v>-3.5697464271706994E-3</v>
      </c>
      <c r="AR64" s="9">
        <f t="shared" si="13"/>
        <v>-1.3496965146330087E-4</v>
      </c>
      <c r="AS64" s="9">
        <f t="shared" si="13"/>
        <v>1</v>
      </c>
      <c r="AT64" s="7"/>
      <c r="AU64" s="7"/>
      <c r="AV64" s="7"/>
      <c r="AW64" s="7"/>
      <c r="AX64" s="7"/>
    </row>
    <row r="65" spans="1:50" x14ac:dyDescent="0.25">
      <c r="A65" s="1">
        <v>44926</v>
      </c>
      <c r="B65">
        <f>'DSGE HVD wFG'!B65-'DSGE HVD woFG'!B65</f>
        <v>-2.2290428557551006E-2</v>
      </c>
      <c r="C65">
        <f>'DSGE HVD wFG'!C65-'DSGE HVD woFG'!C65</f>
        <v>6.7867671524094009E-2</v>
      </c>
      <c r="D65">
        <f>'DSGE HVD wFG'!D65-'DSGE HVD woFG'!D65</f>
        <v>-0.19141690000411199</v>
      </c>
      <c r="E65">
        <f>'DSGE HVD wFG'!E65-'DSGE HVD woFG'!E65</f>
        <v>-1.3611460532764796E-2</v>
      </c>
      <c r="F65">
        <f>'DSGE HVD wFG'!F65-'DSGE HVD woFG'!F65</f>
        <v>-5.4822988014451013E-2</v>
      </c>
      <c r="G65">
        <f>'DSGE HVD wFG'!G65-'DSGE HVD woFG'!G65</f>
        <v>1.0439023195640114E-16</v>
      </c>
      <c r="H65">
        <f>'DSGE HVD wFG'!H65-'DSGE HVD woFG'!H65</f>
        <v>-1.4372661494865017E-15</v>
      </c>
      <c r="I65">
        <f>'DSGE HVD wFG'!I65-'DSGE HVD woFG'!I65</f>
        <v>-1.27853543167155E-14</v>
      </c>
      <c r="J65">
        <f>'DSGE HVD wFG'!J65-'DSGE HVD woFG'!J65</f>
        <v>3.3889453643241707E-15</v>
      </c>
      <c r="K65">
        <f>'DSGE HVD wFG'!K65-'DSGE HVD woFG'!K65</f>
        <v>-2.9353866683611022E-17</v>
      </c>
      <c r="L65">
        <f>'DSGE HVD wFG'!L65-'DSGE HVD woFG'!L65</f>
        <v>4.3640559170723259E-15</v>
      </c>
      <c r="M65">
        <f>'DSGE HVD wFG'!M65-'DSGE HVD woFG'!M65</f>
        <v>4.0749956611803901E-15</v>
      </c>
      <c r="N65">
        <f>'DSGE HVD wFG'!N65-'DSGE HVD woFG'!N65</f>
        <v>7.8408995933860704E-15</v>
      </c>
      <c r="O65">
        <f>'DSGE HVD wFG'!O65-'DSGE HVD woFG'!O65</f>
        <v>7.9992021739462206E-15</v>
      </c>
      <c r="P65">
        <f>'DSGE HVD wFG'!P65-'DSGE HVD woFG'!P65</f>
        <v>8.4704006841467937E-15</v>
      </c>
      <c r="Q65">
        <f>'DSGE HVD wFG'!Q65-'DSGE HVD woFG'!Q65</f>
        <v>0.12768373640026298</v>
      </c>
      <c r="R65">
        <f>'DSGE HVD wFG'!R65-'DSGE HVD woFG'!R65</f>
        <v>0</v>
      </c>
      <c r="S65">
        <f>'DSGE HVD wFG'!S65-'DSGE HVD woFG'!S65</f>
        <v>0.17587175817525691</v>
      </c>
      <c r="T65">
        <f>'DSGE HVD wFG'!T65-'DSGE HVD woFG'!T65</f>
        <v>-1.9593526034794011E-3</v>
      </c>
      <c r="U65">
        <f>'DSGE HVD wFG'!U65-'DSGE HVD woFG'!U65</f>
        <v>8.7322036387279867E-2</v>
      </c>
      <c r="Y65" s="1">
        <f t="shared" si="14"/>
        <v>44926</v>
      </c>
      <c r="Z65" s="7">
        <f t="shared" si="14"/>
        <v>-2.2290428557551006E-2</v>
      </c>
      <c r="AA65" s="7">
        <f t="shared" si="14"/>
        <v>6.7867671524094009E-2</v>
      </c>
      <c r="AB65" s="7">
        <f t="shared" si="14"/>
        <v>-0.19141690000411199</v>
      </c>
      <c r="AC65" s="7">
        <f t="shared" si="2"/>
        <v>0.1210487701608059</v>
      </c>
      <c r="AD65" s="7">
        <f t="shared" si="3"/>
        <v>-1.3611460532764796E-2</v>
      </c>
      <c r="AE65" s="7">
        <f t="shared" si="4"/>
        <v>0.12768373640026298</v>
      </c>
      <c r="AF65" s="7">
        <f t="shared" si="5"/>
        <v>1.0439023195640114E-16</v>
      </c>
      <c r="AG65" s="7">
        <f t="shared" si="5"/>
        <v>-1.4372661494865017E-15</v>
      </c>
      <c r="AH65" s="7">
        <f t="shared" si="6"/>
        <v>-1.9593526034560778E-3</v>
      </c>
      <c r="AI65" s="7">
        <f t="shared" si="0"/>
        <v>8.7322036387277688E-2</v>
      </c>
      <c r="AJ65" s="8">
        <f t="shared" si="7"/>
        <v>0.24873250656106888</v>
      </c>
      <c r="AK65" s="8">
        <f t="shared" si="8"/>
        <v>-0.13716068901278278</v>
      </c>
      <c r="AL65" s="8">
        <f t="shared" si="9"/>
        <v>-2.2290428557551006E-2</v>
      </c>
      <c r="AM65" s="8">
        <f t="shared" si="10"/>
        <v>-1.9593526034560778E-3</v>
      </c>
      <c r="AN65" s="8">
        <f t="shared" si="11"/>
        <v>8.732203638727902E-2</v>
      </c>
      <c r="AO65" s="9">
        <f t="shared" si="13"/>
        <v>0.41528317139262466</v>
      </c>
      <c r="AP65" s="9">
        <f t="shared" si="13"/>
        <v>0.58603482990607658</v>
      </c>
      <c r="AQ65" s="9">
        <f t="shared" si="13"/>
        <v>-1.3744888111098823E-3</v>
      </c>
      <c r="AR65" s="9">
        <f t="shared" si="13"/>
        <v>5.6487512408545509E-5</v>
      </c>
      <c r="AS65" s="9">
        <f t="shared" si="13"/>
        <v>1</v>
      </c>
      <c r="AT65" s="7"/>
      <c r="AU65" s="7"/>
      <c r="AV65" s="7"/>
      <c r="AW65" s="7"/>
      <c r="AX65" s="7"/>
    </row>
    <row r="66" spans="1:50" x14ac:dyDescent="0.25">
      <c r="A66" s="1">
        <v>45016</v>
      </c>
      <c r="B66">
        <f>'DSGE HVD wFG'!B66-'DSGE HVD woFG'!B66</f>
        <v>-2.1445651157606993E-2</v>
      </c>
      <c r="C66">
        <f>'DSGE HVD wFG'!C66-'DSGE HVD woFG'!C66</f>
        <v>7.9352153779264994E-2</v>
      </c>
      <c r="D66">
        <f>'DSGE HVD wFG'!D66-'DSGE HVD woFG'!D66</f>
        <v>-0.13392499796966101</v>
      </c>
      <c r="E66">
        <f>'DSGE HVD wFG'!E66-'DSGE HVD woFG'!E66</f>
        <v>-1.4390331394893395E-2</v>
      </c>
      <c r="F66">
        <f>'DSGE HVD wFG'!F66-'DSGE HVD woFG'!F66</f>
        <v>-5.2419562978064022E-2</v>
      </c>
      <c r="G66">
        <f>'DSGE HVD wFG'!G66-'DSGE HVD woFG'!G66</f>
        <v>1.895868789081997E-16</v>
      </c>
      <c r="H66">
        <f>'DSGE HVD wFG'!H66-'DSGE HVD woFG'!H66</f>
        <v>-1.4759699004111987E-15</v>
      </c>
      <c r="I66">
        <f>'DSGE HVD wFG'!I66-'DSGE HVD woFG'!I66</f>
        <v>-1.0552025887616299E-14</v>
      </c>
      <c r="J66">
        <f>'DSGE HVD wFG'!J66-'DSGE HVD woFG'!J66</f>
        <v>3.5984919399465084E-15</v>
      </c>
      <c r="K66">
        <f>'DSGE HVD wFG'!K66-'DSGE HVD woFG'!K66</f>
        <v>-4.6551996782861907E-16</v>
      </c>
      <c r="L66">
        <f>'DSGE HVD wFG'!L66-'DSGE HVD woFG'!L66</f>
        <v>3.0653440958674862E-15</v>
      </c>
      <c r="M66">
        <f>'DSGE HVD wFG'!M66-'DSGE HVD woFG'!M66</f>
        <v>2.9541905219664601E-15</v>
      </c>
      <c r="N66">
        <f>'DSGE HVD wFG'!N66-'DSGE HVD woFG'!N66</f>
        <v>7.3602411667512504E-15</v>
      </c>
      <c r="O66">
        <f>'DSGE HVD wFG'!O66-'DSGE HVD woFG'!O66</f>
        <v>8.1892574263056797E-15</v>
      </c>
      <c r="P66">
        <f>'DSGE HVD wFG'!P66-'DSGE HVD woFG'!P66</f>
        <v>1.0343193897530896E-14</v>
      </c>
      <c r="Q66">
        <f>'DSGE HVD wFG'!Q66-'DSGE HVD woFG'!Q66</f>
        <v>0.12404646031507319</v>
      </c>
      <c r="R66">
        <f>'DSGE HVD wFG'!R66-'DSGE HVD woFG'!R66</f>
        <v>0</v>
      </c>
      <c r="S66">
        <f>'DSGE HVD wFG'!S66-'DSGE HVD woFG'!S66</f>
        <v>0.21441895198675198</v>
      </c>
      <c r="T66">
        <f>'DSGE HVD wFG'!T66-'DSGE HVD woFG'!T66</f>
        <v>-1.9392249855435008E-3</v>
      </c>
      <c r="U66">
        <f>'DSGE HVD wFG'!U66-'DSGE HVD woFG'!U66</f>
        <v>0.193697797595347</v>
      </c>
      <c r="Y66" s="1">
        <f t="shared" si="14"/>
        <v>45016</v>
      </c>
      <c r="Z66" s="7">
        <f t="shared" si="14"/>
        <v>-2.1445651157606993E-2</v>
      </c>
      <c r="AA66" s="7">
        <f t="shared" si="14"/>
        <v>7.9352153779264994E-2</v>
      </c>
      <c r="AB66" s="7">
        <f t="shared" si="14"/>
        <v>-0.13392499796966101</v>
      </c>
      <c r="AC66" s="7">
        <f t="shared" si="2"/>
        <v>0.16199938900868796</v>
      </c>
      <c r="AD66" s="7">
        <f t="shared" si="3"/>
        <v>-1.4390331394893395E-2</v>
      </c>
      <c r="AE66" s="7">
        <f t="shared" si="4"/>
        <v>0.12404646031507319</v>
      </c>
      <c r="AF66" s="7">
        <f t="shared" si="5"/>
        <v>1.895868789081997E-16</v>
      </c>
      <c r="AG66" s="7">
        <f t="shared" si="5"/>
        <v>-1.4759699004111987E-15</v>
      </c>
      <c r="AH66" s="7">
        <f t="shared" si="6"/>
        <v>-1.9392249855190078E-3</v>
      </c>
      <c r="AI66" s="7">
        <f t="shared" ref="AI66:AI129" si="15">+SUM(Z66:AH66)</f>
        <v>0.19369779759534445</v>
      </c>
      <c r="AJ66" s="8">
        <f t="shared" si="7"/>
        <v>0.28604584932376115</v>
      </c>
      <c r="AK66" s="8">
        <f t="shared" si="8"/>
        <v>-6.8963175585289416E-2</v>
      </c>
      <c r="AL66" s="8">
        <f t="shared" si="9"/>
        <v>-2.1445651157606993E-2</v>
      </c>
      <c r="AM66" s="8">
        <f t="shared" si="10"/>
        <v>-1.9392249855190078E-3</v>
      </c>
      <c r="AN66" s="8">
        <f t="shared" si="11"/>
        <v>0.19369779759534572</v>
      </c>
      <c r="AO66" s="9">
        <f t="shared" si="13"/>
        <v>0.35076921978221032</v>
      </c>
      <c r="AP66" s="9">
        <f t="shared" si="13"/>
        <v>0.64110012142805517</v>
      </c>
      <c r="AQ66" s="9">
        <f t="shared" si="13"/>
        <v>7.9414463440751586E-3</v>
      </c>
      <c r="AR66" s="9">
        <f t="shared" si="13"/>
        <v>1.8921244565950682E-4</v>
      </c>
      <c r="AS66" s="9">
        <f t="shared" si="13"/>
        <v>1</v>
      </c>
      <c r="AT66" s="7"/>
      <c r="AU66" s="7"/>
      <c r="AV66" s="7"/>
      <c r="AW66" s="7"/>
      <c r="AX66" s="7"/>
    </row>
    <row r="67" spans="1:50" x14ac:dyDescent="0.25">
      <c r="A67" s="1">
        <v>45107</v>
      </c>
      <c r="B67">
        <f>'DSGE HVD wFG'!B67-'DSGE HVD woFG'!B67</f>
        <v>-2.1070831370755994E-2</v>
      </c>
      <c r="C67">
        <f>'DSGE HVD wFG'!C67-'DSGE HVD woFG'!C67</f>
        <v>6.6613600878418E-2</v>
      </c>
      <c r="D67">
        <f>'DSGE HVD wFG'!D67-'DSGE HVD woFG'!D67</f>
        <v>-0.11294758027805002</v>
      </c>
      <c r="E67">
        <f>'DSGE HVD wFG'!E67-'DSGE HVD woFG'!E67</f>
        <v>-1.4490322453917504E-2</v>
      </c>
      <c r="F67">
        <f>'DSGE HVD wFG'!F67-'DSGE HVD woFG'!F67</f>
        <v>-4.8786547154204024E-2</v>
      </c>
      <c r="G67">
        <f>'DSGE HVD wFG'!G67-'DSGE HVD woFG'!G67</f>
        <v>1.9924847507209766E-16</v>
      </c>
      <c r="H67">
        <f>'DSGE HVD wFG'!H67-'DSGE HVD woFG'!H67</f>
        <v>-1.5064575954772002E-15</v>
      </c>
      <c r="I67">
        <f>'DSGE HVD wFG'!I67-'DSGE HVD woFG'!I67</f>
        <v>-1.0070260254805773E-14</v>
      </c>
      <c r="J67">
        <f>'DSGE HVD wFG'!J67-'DSGE HVD woFG'!J67</f>
        <v>3.160400070255829E-15</v>
      </c>
      <c r="K67">
        <f>'DSGE HVD wFG'!K67-'DSGE HVD woFG'!K67</f>
        <v>-5.1573661309137707E-16</v>
      </c>
      <c r="L67">
        <f>'DSGE HVD wFG'!L67-'DSGE HVD woFG'!L67</f>
        <v>3.0658076942862099E-15</v>
      </c>
      <c r="M67">
        <f>'DSGE HVD wFG'!M67-'DSGE HVD woFG'!M67</f>
        <v>2.7066848975556103E-15</v>
      </c>
      <c r="N67">
        <f>'DSGE HVD wFG'!N67-'DSGE HVD woFG'!N67</f>
        <v>7.6812818849230108E-15</v>
      </c>
      <c r="O67">
        <f>'DSGE HVD wFG'!O67-'DSGE HVD woFG'!O67</f>
        <v>8.6305807091783696E-15</v>
      </c>
      <c r="P67">
        <f>'DSGE HVD wFG'!P67-'DSGE HVD woFG'!P67</f>
        <v>1.12804873938241E-14</v>
      </c>
      <c r="Q67">
        <f>'DSGE HVD wFG'!Q67-'DSGE HVD woFG'!Q67</f>
        <v>0.1194060540991768</v>
      </c>
      <c r="R67">
        <f>'DSGE HVD wFG'!R67-'DSGE HVD woFG'!R67</f>
        <v>0</v>
      </c>
      <c r="S67">
        <f>'DSGE HVD wFG'!S67-'DSGE HVD woFG'!S67</f>
        <v>0.22194135121738801</v>
      </c>
      <c r="T67">
        <f>'DSGE HVD wFG'!T67-'DSGE HVD woFG'!T67</f>
        <v>-1.9193120720731992E-3</v>
      </c>
      <c r="U67">
        <f>'DSGE HVD wFG'!U67-'DSGE HVD woFG'!U67</f>
        <v>0.20874641286600903</v>
      </c>
      <c r="Y67" s="1">
        <f t="shared" ref="Y67:AB98" si="16">+A67</f>
        <v>45107</v>
      </c>
      <c r="Z67" s="7">
        <f t="shared" si="16"/>
        <v>-2.1070831370755994E-2</v>
      </c>
      <c r="AA67" s="7">
        <f t="shared" si="16"/>
        <v>6.6613600878418E-2</v>
      </c>
      <c r="AB67" s="7">
        <f t="shared" si="16"/>
        <v>-0.11294758027805002</v>
      </c>
      <c r="AC67" s="7">
        <f t="shared" ref="AC67:AC130" si="17">+F67+S67</f>
        <v>0.17315480406318398</v>
      </c>
      <c r="AD67" s="7">
        <f t="shared" ref="AD67:AD130" si="18">+E67</f>
        <v>-1.4490322453917504E-2</v>
      </c>
      <c r="AE67" s="7">
        <f t="shared" ref="AE67:AE130" si="19">+Q67</f>
        <v>0.1194060540991768</v>
      </c>
      <c r="AF67" s="7">
        <f t="shared" ref="AF67:AG130" si="20">+G67</f>
        <v>1.9924847507209766E-16</v>
      </c>
      <c r="AG67" s="7">
        <f t="shared" si="20"/>
        <v>-1.5064575954772002E-15</v>
      </c>
      <c r="AH67" s="7">
        <f t="shared" ref="AH67:AH130" si="21">+SUM(T67,I67:P67)</f>
        <v>-1.9193120720472597E-3</v>
      </c>
      <c r="AI67" s="7">
        <f t="shared" si="15"/>
        <v>0.2087464128660067</v>
      </c>
      <c r="AJ67" s="8">
        <f t="shared" ref="AJ67:AJ130" si="22">SUM(AC67+AE67)</f>
        <v>0.29256085816236077</v>
      </c>
      <c r="AK67" s="8">
        <f t="shared" ref="AK67:AK130" si="23">AB67+AA67+AD67</f>
        <v>-6.082430185354952E-2</v>
      </c>
      <c r="AL67" s="8">
        <f t="shared" ref="AL67:AL130" si="24">Z67</f>
        <v>-2.1070831370755994E-2</v>
      </c>
      <c r="AM67" s="8">
        <f t="shared" ref="AM67:AM130" si="25">AH67</f>
        <v>-1.9193120720472597E-3</v>
      </c>
      <c r="AN67" s="8">
        <f t="shared" ref="AN67:AN130" si="26">SUM(AJ67:AM67)</f>
        <v>0.20874641286600798</v>
      </c>
      <c r="AO67" s="9">
        <f t="shared" ref="AO67:AS130" si="27">(AJ67-AJ66)/($AN67-$AN66)</f>
        <v>0.43293078608374252</v>
      </c>
      <c r="AP67" s="9">
        <f t="shared" si="27"/>
        <v>0.54083871408466944</v>
      </c>
      <c r="AQ67" s="9">
        <f t="shared" si="27"/>
        <v>2.490726090803333E-2</v>
      </c>
      <c r="AR67" s="9">
        <f t="shared" si="27"/>
        <v>1.3232389235552405E-3</v>
      </c>
      <c r="AS67" s="9">
        <f t="shared" si="27"/>
        <v>1</v>
      </c>
      <c r="AT67" s="7"/>
      <c r="AU67" s="7"/>
      <c r="AV67" s="7"/>
      <c r="AW67" s="7"/>
      <c r="AX67" s="7"/>
    </row>
    <row r="68" spans="1:50" x14ac:dyDescent="0.25">
      <c r="A68" s="1">
        <v>45199</v>
      </c>
      <c r="B68">
        <f>'DSGE HVD wFG'!B68-'DSGE HVD woFG'!B68</f>
        <v>-2.0763541571895E-2</v>
      </c>
      <c r="C68">
        <f>'DSGE HVD wFG'!C68-'DSGE HVD woFG'!C68</f>
        <v>0.10672018622072019</v>
      </c>
      <c r="D68">
        <f>'DSGE HVD wFG'!D68-'DSGE HVD woFG'!D68</f>
        <v>-3.6661739612871003E-2</v>
      </c>
      <c r="E68">
        <f>'DSGE HVD wFG'!E68-'DSGE HVD woFG'!E68</f>
        <v>-1.4565197740616299E-2</v>
      </c>
      <c r="F68">
        <f>'DSGE HVD wFG'!F68-'DSGE HVD woFG'!F68</f>
        <v>-4.3792198611253996E-2</v>
      </c>
      <c r="G68">
        <f>'DSGE HVD wFG'!G68-'DSGE HVD woFG'!G68</f>
        <v>1.689980699098992E-16</v>
      </c>
      <c r="H68">
        <f>'DSGE HVD wFG'!H68-'DSGE HVD woFG'!H68</f>
        <v>-1.5172806847071961E-15</v>
      </c>
      <c r="I68">
        <f>'DSGE HVD wFG'!I68-'DSGE HVD woFG'!I68</f>
        <v>-8.6390929402201971E-15</v>
      </c>
      <c r="J68">
        <f>'DSGE HVD wFG'!J68-'DSGE HVD woFG'!J68</f>
        <v>2.8921925223730665E-15</v>
      </c>
      <c r="K68">
        <f>'DSGE HVD wFG'!K68-'DSGE HVD woFG'!K68</f>
        <v>-1.6359022538184781E-15</v>
      </c>
      <c r="L68">
        <f>'DSGE HVD wFG'!L68-'DSGE HVD woFG'!L68</f>
        <v>2.2134700246638972E-15</v>
      </c>
      <c r="M68">
        <f>'DSGE HVD wFG'!M68-'DSGE HVD woFG'!M68</f>
        <v>1.763884742559369E-15</v>
      </c>
      <c r="N68">
        <f>'DSGE HVD wFG'!N68-'DSGE HVD woFG'!N68</f>
        <v>6.0723539309592101E-15</v>
      </c>
      <c r="O68">
        <f>'DSGE HVD wFG'!O68-'DSGE HVD woFG'!O68</f>
        <v>7.9039322831640803E-15</v>
      </c>
      <c r="P68">
        <f>'DSGE HVD wFG'!P68-'DSGE HVD woFG'!P68</f>
        <v>1.3649324123360509E-14</v>
      </c>
      <c r="Q68">
        <f>'DSGE HVD wFG'!Q68-'DSGE HVD woFG'!Q68</f>
        <v>0.1244148708935164</v>
      </c>
      <c r="R68">
        <f>'DSGE HVD wFG'!R68-'DSGE HVD woFG'!R68</f>
        <v>0</v>
      </c>
      <c r="S68">
        <f>'DSGE HVD wFG'!S68-'DSGE HVD woFG'!S68</f>
        <v>0.27952462923939303</v>
      </c>
      <c r="T68">
        <f>'DSGE HVD wFG'!T68-'DSGE HVD woFG'!T68</f>
        <v>-1.8996114549514002E-3</v>
      </c>
      <c r="U68">
        <f>'DSGE HVD wFG'!U68-'DSGE HVD woFG'!U68</f>
        <v>0.39297739736206405</v>
      </c>
      <c r="Y68" s="1">
        <f t="shared" si="16"/>
        <v>45199</v>
      </c>
      <c r="Z68" s="7">
        <f t="shared" si="16"/>
        <v>-2.0763541571895E-2</v>
      </c>
      <c r="AA68" s="7">
        <f t="shared" si="16"/>
        <v>0.10672018622072019</v>
      </c>
      <c r="AB68" s="7">
        <f t="shared" si="16"/>
        <v>-3.6661739612871003E-2</v>
      </c>
      <c r="AC68" s="7">
        <f t="shared" si="17"/>
        <v>0.23573243062813903</v>
      </c>
      <c r="AD68" s="7">
        <f t="shared" si="18"/>
        <v>-1.4565197740616299E-2</v>
      </c>
      <c r="AE68" s="7">
        <f t="shared" si="19"/>
        <v>0.1244148708935164</v>
      </c>
      <c r="AF68" s="7">
        <f t="shared" si="20"/>
        <v>1.689980699098992E-16</v>
      </c>
      <c r="AG68" s="7">
        <f t="shared" si="20"/>
        <v>-1.5172806847071961E-15</v>
      </c>
      <c r="AH68" s="7">
        <f t="shared" si="21"/>
        <v>-1.8996114549271802E-3</v>
      </c>
      <c r="AI68" s="7">
        <f t="shared" si="15"/>
        <v>0.39297739736206477</v>
      </c>
      <c r="AJ68" s="8">
        <f t="shared" si="22"/>
        <v>0.36014730152165542</v>
      </c>
      <c r="AK68" s="8">
        <f t="shared" si="23"/>
        <v>5.5493248867232885E-2</v>
      </c>
      <c r="AL68" s="8">
        <f t="shared" si="24"/>
        <v>-2.0763541571895E-2</v>
      </c>
      <c r="AM68" s="8">
        <f t="shared" si="25"/>
        <v>-1.8996114549271802E-3</v>
      </c>
      <c r="AN68" s="8">
        <f t="shared" si="26"/>
        <v>0.39297739736206611</v>
      </c>
      <c r="AO68" s="9">
        <f t="shared" si="27"/>
        <v>0.36685709270983541</v>
      </c>
      <c r="AP68" s="9">
        <f t="shared" si="27"/>
        <v>0.63136801357792871</v>
      </c>
      <c r="AQ68" s="9">
        <f t="shared" si="27"/>
        <v>1.6679593809996081E-3</v>
      </c>
      <c r="AR68" s="9">
        <f t="shared" si="27"/>
        <v>1.0693433123623704E-4</v>
      </c>
      <c r="AS68" s="9">
        <f t="shared" si="27"/>
        <v>1</v>
      </c>
      <c r="AT68" s="7"/>
      <c r="AU68" s="7"/>
      <c r="AV68" s="7"/>
      <c r="AW68" s="7"/>
      <c r="AX68" s="7"/>
    </row>
    <row r="69" spans="1:50" x14ac:dyDescent="0.25">
      <c r="A69" s="1">
        <v>45291</v>
      </c>
      <c r="B69">
        <f>'DSGE HVD wFG'!B69-'DSGE HVD woFG'!B69</f>
        <v>-2.0151924224507012E-2</v>
      </c>
      <c r="C69">
        <f>'DSGE HVD wFG'!C69-'DSGE HVD woFG'!C69</f>
        <v>7.3256597619366898E-2</v>
      </c>
      <c r="D69">
        <f>'DSGE HVD wFG'!D69-'DSGE HVD woFG'!D69</f>
        <v>-6.4476718442623981E-2</v>
      </c>
      <c r="E69">
        <f>'DSGE HVD wFG'!E69-'DSGE HVD woFG'!E69</f>
        <v>-1.4428399627839296E-2</v>
      </c>
      <c r="F69">
        <f>'DSGE HVD wFG'!F69-'DSGE HVD woFG'!F69</f>
        <v>-3.9483502058706016E-2</v>
      </c>
      <c r="G69">
        <f>'DSGE HVD wFG'!G69-'DSGE HVD woFG'!G69</f>
        <v>2.0611846873569871E-16</v>
      </c>
      <c r="H69">
        <f>'DSGE HVD wFG'!H69-'DSGE HVD woFG'!H69</f>
        <v>-1.5128228393764034E-15</v>
      </c>
      <c r="I69">
        <f>'DSGE HVD wFG'!I69-'DSGE HVD woFG'!I69</f>
        <v>-8.0635872428497413E-15</v>
      </c>
      <c r="J69">
        <f>'DSGE HVD wFG'!J69-'DSGE HVD woFG'!J69</f>
        <v>2.8740214069557884E-15</v>
      </c>
      <c r="K69">
        <f>'DSGE HVD wFG'!K69-'DSGE HVD woFG'!K69</f>
        <v>-1.7095696156404647E-15</v>
      </c>
      <c r="L69">
        <f>'DSGE HVD wFG'!L69-'DSGE HVD woFG'!L69</f>
        <v>2.274539619249853E-15</v>
      </c>
      <c r="M69">
        <f>'DSGE HVD wFG'!M69-'DSGE HVD woFG'!M69</f>
        <v>2.0495899298754549E-15</v>
      </c>
      <c r="N69">
        <f>'DSGE HVD wFG'!N69-'DSGE HVD woFG'!N69</f>
        <v>6.4491366212693398E-15</v>
      </c>
      <c r="O69">
        <f>'DSGE HVD wFG'!O69-'DSGE HVD woFG'!O69</f>
        <v>8.1385054437350401E-15</v>
      </c>
      <c r="P69">
        <f>'DSGE HVD wFG'!P69-'DSGE HVD woFG'!P69</f>
        <v>1.35100212634285E-14</v>
      </c>
      <c r="Q69">
        <f>'DSGE HVD wFG'!Q69-'DSGE HVD woFG'!Q69</f>
        <v>0.1076444246518258</v>
      </c>
      <c r="R69">
        <f>'DSGE HVD wFG'!R69-'DSGE HVD woFG'!R69</f>
        <v>0</v>
      </c>
      <c r="S69">
        <f>'DSGE HVD wFG'!S69-'DSGE HVD woFG'!S69</f>
        <v>0.24632096894362401</v>
      </c>
      <c r="T69">
        <f>'DSGE HVD wFG'!T69-'DSGE HVD woFG'!T69</f>
        <v>-1.8801207550880987E-3</v>
      </c>
      <c r="U69">
        <f>'DSGE HVD wFG'!U69-'DSGE HVD woFG'!U69</f>
        <v>0.286801326106078</v>
      </c>
      <c r="Y69" s="1">
        <f t="shared" si="16"/>
        <v>45291</v>
      </c>
      <c r="Z69" s="7">
        <f t="shared" si="16"/>
        <v>-2.0151924224507012E-2</v>
      </c>
      <c r="AA69" s="7">
        <f t="shared" si="16"/>
        <v>7.3256597619366898E-2</v>
      </c>
      <c r="AB69" s="7">
        <f t="shared" si="16"/>
        <v>-6.4476718442623981E-2</v>
      </c>
      <c r="AC69" s="7">
        <f t="shared" si="17"/>
        <v>0.206837466884918</v>
      </c>
      <c r="AD69" s="7">
        <f t="shared" si="18"/>
        <v>-1.4428399627839296E-2</v>
      </c>
      <c r="AE69" s="7">
        <f t="shared" si="19"/>
        <v>0.1076444246518258</v>
      </c>
      <c r="AF69" s="7">
        <f t="shared" si="20"/>
        <v>2.0611846873569871E-16</v>
      </c>
      <c r="AG69" s="7">
        <f t="shared" si="20"/>
        <v>-1.5128228393764034E-15</v>
      </c>
      <c r="AH69" s="7">
        <f t="shared" si="21"/>
        <v>-1.8801207550625764E-3</v>
      </c>
      <c r="AI69" s="7">
        <f t="shared" si="15"/>
        <v>0.28680132610607656</v>
      </c>
      <c r="AJ69" s="8">
        <f t="shared" si="22"/>
        <v>0.31448189153674377</v>
      </c>
      <c r="AK69" s="8">
        <f t="shared" si="23"/>
        <v>-5.6485204510963796E-3</v>
      </c>
      <c r="AL69" s="8">
        <f t="shared" si="24"/>
        <v>-2.0151924224507012E-2</v>
      </c>
      <c r="AM69" s="8">
        <f t="shared" si="25"/>
        <v>-1.8801207550625764E-3</v>
      </c>
      <c r="AN69" s="8">
        <f t="shared" si="26"/>
        <v>0.28680132610607784</v>
      </c>
      <c r="AO69" s="9">
        <f t="shared" si="27"/>
        <v>0.43009135151378225</v>
      </c>
      <c r="AP69" s="9">
        <f t="shared" si="27"/>
        <v>0.57585262474929733</v>
      </c>
      <c r="AQ69" s="9">
        <f t="shared" si="27"/>
        <v>-5.7604066542770423E-3</v>
      </c>
      <c r="AR69" s="9">
        <f t="shared" si="27"/>
        <v>-1.8356960880208263E-4</v>
      </c>
      <c r="AS69" s="9">
        <f t="shared" si="27"/>
        <v>1</v>
      </c>
      <c r="AT69" s="7"/>
      <c r="AU69" s="7"/>
      <c r="AV69" s="7"/>
      <c r="AW69" s="7"/>
      <c r="AX69" s="7"/>
    </row>
    <row r="70" spans="1:50" x14ac:dyDescent="0.25">
      <c r="A70" s="1">
        <v>45382</v>
      </c>
      <c r="B70">
        <f>'DSGE HVD wFG'!B70-'DSGE HVD woFG'!B70</f>
        <v>-1.9759879274894004E-2</v>
      </c>
      <c r="C70">
        <f>'DSGE HVD wFG'!C70-'DSGE HVD woFG'!C70</f>
        <v>7.3606394679453291E-2</v>
      </c>
      <c r="D70">
        <f>'DSGE HVD wFG'!D70-'DSGE HVD woFG'!D70</f>
        <v>-6.0555051104310975E-2</v>
      </c>
      <c r="E70">
        <f>'DSGE HVD wFG'!E70-'DSGE HVD woFG'!E70</f>
        <v>-1.4479993483141208E-2</v>
      </c>
      <c r="F70">
        <f>'DSGE HVD wFG'!F70-'DSGE HVD woFG'!F70</f>
        <v>-3.4775180144349993E-2</v>
      </c>
      <c r="G70">
        <f>'DSGE HVD wFG'!G70-'DSGE HVD woFG'!G70</f>
        <v>2.1396514554559976E-16</v>
      </c>
      <c r="H70">
        <f>'DSGE HVD wFG'!H70-'DSGE HVD woFG'!H70</f>
        <v>-1.4997647527986005E-15</v>
      </c>
      <c r="I70">
        <f>'DSGE HVD wFG'!I70-'DSGE HVD woFG'!I70</f>
        <v>-7.2527470393344474E-15</v>
      </c>
      <c r="J70">
        <f>'DSGE HVD wFG'!J70-'DSGE HVD woFG'!J70</f>
        <v>2.923791590149048E-15</v>
      </c>
      <c r="K70">
        <f>'DSGE HVD wFG'!K70-'DSGE HVD woFG'!K70</f>
        <v>-1.650518302745058E-15</v>
      </c>
      <c r="L70">
        <f>'DSGE HVD wFG'!L70-'DSGE HVD woFG'!L70</f>
        <v>1.641600010447459E-15</v>
      </c>
      <c r="M70">
        <f>'DSGE HVD wFG'!M70-'DSGE HVD woFG'!M70</f>
        <v>1.2531315852105801E-15</v>
      </c>
      <c r="N70">
        <f>'DSGE HVD wFG'!N70-'DSGE HVD woFG'!N70</f>
        <v>5.6388152489976596E-15</v>
      </c>
      <c r="O70">
        <f>'DSGE HVD wFG'!O70-'DSGE HVD woFG'!O70</f>
        <v>7.9807728856839803E-15</v>
      </c>
      <c r="P70">
        <f>'DSGE HVD wFG'!P70-'DSGE HVD woFG'!P70</f>
        <v>1.4115639075000708E-14</v>
      </c>
      <c r="Q70">
        <f>'DSGE HVD wFG'!Q70-'DSGE HVD woFG'!Q70</f>
        <v>9.83014543183508E-2</v>
      </c>
      <c r="R70">
        <f>'DSGE HVD wFG'!R70-'DSGE HVD woFG'!R70</f>
        <v>0</v>
      </c>
      <c r="S70">
        <f>'DSGE HVD wFG'!S70-'DSGE HVD woFG'!S70</f>
        <v>0.24316329740738338</v>
      </c>
      <c r="T70">
        <f>'DSGE HVD wFG'!T70-'DSGE HVD woFG'!T70</f>
        <v>-1.8608376220364004E-3</v>
      </c>
      <c r="U70">
        <f>'DSGE HVD wFG'!U70-'DSGE HVD woFG'!U70</f>
        <v>0.2836402047764795</v>
      </c>
      <c r="Y70" s="1">
        <f t="shared" si="16"/>
        <v>45382</v>
      </c>
      <c r="Z70" s="7">
        <f t="shared" si="16"/>
        <v>-1.9759879274894004E-2</v>
      </c>
      <c r="AA70" s="7">
        <f t="shared" si="16"/>
        <v>7.3606394679453291E-2</v>
      </c>
      <c r="AB70" s="7">
        <f t="shared" si="16"/>
        <v>-6.0555051104310975E-2</v>
      </c>
      <c r="AC70" s="7">
        <f t="shared" si="17"/>
        <v>0.20838811726303338</v>
      </c>
      <c r="AD70" s="7">
        <f t="shared" si="18"/>
        <v>-1.4479993483141208E-2</v>
      </c>
      <c r="AE70" s="7">
        <f t="shared" si="19"/>
        <v>9.83014543183508E-2</v>
      </c>
      <c r="AF70" s="7">
        <f t="shared" si="20"/>
        <v>2.1396514554559976E-16</v>
      </c>
      <c r="AG70" s="7">
        <f t="shared" si="20"/>
        <v>-1.4997647527986005E-15</v>
      </c>
      <c r="AH70" s="7">
        <f t="shared" si="21"/>
        <v>-1.8608376220117498E-3</v>
      </c>
      <c r="AI70" s="7">
        <f t="shared" si="15"/>
        <v>0.28364020477647828</v>
      </c>
      <c r="AJ70" s="8">
        <f t="shared" si="22"/>
        <v>0.30668957158138421</v>
      </c>
      <c r="AK70" s="8">
        <f t="shared" si="23"/>
        <v>-1.4286499079988919E-3</v>
      </c>
      <c r="AL70" s="8">
        <f t="shared" si="24"/>
        <v>-1.9759879274894004E-2</v>
      </c>
      <c r="AM70" s="8">
        <f t="shared" si="25"/>
        <v>-1.8608376220117498E-3</v>
      </c>
      <c r="AN70" s="8">
        <f t="shared" si="26"/>
        <v>0.28364020477647955</v>
      </c>
      <c r="AO70" s="9">
        <f t="shared" si="27"/>
        <v>2.4650493109512555</v>
      </c>
      <c r="AP70" s="9">
        <f t="shared" si="27"/>
        <v>-1.3349283697483869</v>
      </c>
      <c r="AQ70" s="9">
        <f t="shared" si="27"/>
        <v>-0.12402084853314656</v>
      </c>
      <c r="AR70" s="9">
        <f t="shared" si="27"/>
        <v>-6.1000926697353615E-3</v>
      </c>
      <c r="AS70" s="9">
        <f t="shared" si="27"/>
        <v>1</v>
      </c>
      <c r="AT70" s="7"/>
      <c r="AU70" s="7"/>
      <c r="AV70" s="7"/>
      <c r="AW70" s="7"/>
      <c r="AX70" s="7"/>
    </row>
    <row r="71" spans="1:50" x14ac:dyDescent="0.25">
      <c r="A71" s="1">
        <v>45473</v>
      </c>
      <c r="B71">
        <f>'DSGE HVD wFG'!B71-'DSGE HVD woFG'!B71</f>
        <v>-1.896964238717902E-2</v>
      </c>
      <c r="C71">
        <f>'DSGE HVD wFG'!C71-'DSGE HVD woFG'!C71</f>
        <v>-4.6295782787361961E-3</v>
      </c>
      <c r="D71">
        <f>'DSGE HVD wFG'!D71-'DSGE HVD woFG'!D71</f>
        <v>-0.16648145137735698</v>
      </c>
      <c r="E71">
        <f>'DSGE HVD wFG'!E71-'DSGE HVD woFG'!E71</f>
        <v>-1.601197924206E-2</v>
      </c>
      <c r="F71">
        <f>'DSGE HVD wFG'!F71-'DSGE HVD woFG'!F71</f>
        <v>-3.2353961077260962E-2</v>
      </c>
      <c r="G71">
        <f>'DSGE HVD wFG'!G71-'DSGE HVD woFG'!G71</f>
        <v>3.3204656008420081E-16</v>
      </c>
      <c r="H71">
        <f>'DSGE HVD wFG'!H71-'DSGE HVD woFG'!H71</f>
        <v>-1.4833854634635E-15</v>
      </c>
      <c r="I71">
        <f>'DSGE HVD wFG'!I71-'DSGE HVD woFG'!I71</f>
        <v>-6.9419090678680429E-15</v>
      </c>
      <c r="J71">
        <f>'DSGE HVD wFG'!J71-'DSGE HVD woFG'!J71</f>
        <v>3.376395316629891E-15</v>
      </c>
      <c r="K71">
        <f>'DSGE HVD wFG'!K71-'DSGE HVD woFG'!K71</f>
        <v>-6.7487534624470909E-16</v>
      </c>
      <c r="L71">
        <f>'DSGE HVD wFG'!L71-'DSGE HVD woFG'!L71</f>
        <v>2.6000999132897998E-15</v>
      </c>
      <c r="M71">
        <f>'DSGE HVD wFG'!M71-'DSGE HVD woFG'!M71</f>
        <v>2.1739237535107002E-15</v>
      </c>
      <c r="N71">
        <f>'DSGE HVD wFG'!N71-'DSGE HVD woFG'!N71</f>
        <v>6.0388322990404903E-15</v>
      </c>
      <c r="O71">
        <f>'DSGE HVD wFG'!O71-'DSGE HVD woFG'!O71</f>
        <v>8.1121444750371294E-15</v>
      </c>
      <c r="P71">
        <f>'DSGE HVD wFG'!P71-'DSGE HVD woFG'!P71</f>
        <v>1.19038888166927E-14</v>
      </c>
      <c r="Q71">
        <f>'DSGE HVD wFG'!Q71-'DSGE HVD woFG'!Q71</f>
        <v>6.4245088960350194E-2</v>
      </c>
      <c r="R71">
        <f>'DSGE HVD wFG'!R71-'DSGE HVD woFG'!R71</f>
        <v>0</v>
      </c>
      <c r="S71">
        <f>'DSGE HVD wFG'!S71-'DSGE HVD woFG'!S71</f>
        <v>0.14397137183731401</v>
      </c>
      <c r="T71">
        <f>'DSGE HVD wFG'!T71-'DSGE HVD woFG'!T71</f>
        <v>-1.8417597336165999E-3</v>
      </c>
      <c r="U71">
        <f>'DSGE HVD wFG'!U71-'DSGE HVD woFG'!U71</f>
        <v>-3.2071911298517997E-2</v>
      </c>
      <c r="Y71" s="1">
        <f t="shared" si="16"/>
        <v>45473</v>
      </c>
      <c r="Z71" s="7">
        <f t="shared" si="16"/>
        <v>-1.896964238717902E-2</v>
      </c>
      <c r="AA71" s="7">
        <f t="shared" si="16"/>
        <v>-4.6295782787361961E-3</v>
      </c>
      <c r="AB71" s="7">
        <f t="shared" si="16"/>
        <v>-0.16648145137735698</v>
      </c>
      <c r="AC71" s="7">
        <f t="shared" si="17"/>
        <v>0.11161741076005305</v>
      </c>
      <c r="AD71" s="7">
        <f t="shared" si="18"/>
        <v>-1.601197924206E-2</v>
      </c>
      <c r="AE71" s="7">
        <f t="shared" si="19"/>
        <v>6.4245088960350194E-2</v>
      </c>
      <c r="AF71" s="7">
        <f t="shared" si="20"/>
        <v>3.3204656008420081E-16</v>
      </c>
      <c r="AG71" s="7">
        <f t="shared" si="20"/>
        <v>-1.4833854634635E-15</v>
      </c>
      <c r="AH71" s="7">
        <f t="shared" si="21"/>
        <v>-1.8417597335900113E-3</v>
      </c>
      <c r="AI71" s="7">
        <f t="shared" si="15"/>
        <v>-3.2071911298520113E-2</v>
      </c>
      <c r="AJ71" s="8">
        <f t="shared" si="22"/>
        <v>0.17586249972040324</v>
      </c>
      <c r="AK71" s="8">
        <f t="shared" si="23"/>
        <v>-0.18712300889815317</v>
      </c>
      <c r="AL71" s="8">
        <f t="shared" si="24"/>
        <v>-1.896964238717902E-2</v>
      </c>
      <c r="AM71" s="8">
        <f t="shared" si="25"/>
        <v>-1.8417597335900113E-3</v>
      </c>
      <c r="AN71" s="8">
        <f t="shared" si="26"/>
        <v>-3.2071911298518961E-2</v>
      </c>
      <c r="AO71" s="9">
        <f t="shared" si="27"/>
        <v>0.41438723824556212</v>
      </c>
      <c r="AP71" s="9">
        <f t="shared" si="27"/>
        <v>0.58817621983833501</v>
      </c>
      <c r="AQ71" s="9">
        <f t="shared" si="27"/>
        <v>-2.5030299677420713E-3</v>
      </c>
      <c r="AR71" s="9">
        <f t="shared" si="27"/>
        <v>-6.0428116155055773E-5</v>
      </c>
      <c r="AS71" s="9">
        <f t="shared" si="27"/>
        <v>1</v>
      </c>
      <c r="AT71" s="7"/>
      <c r="AU71" s="7"/>
      <c r="AV71" s="7"/>
      <c r="AW71" s="7"/>
      <c r="AX71" s="7"/>
    </row>
    <row r="72" spans="1:50" x14ac:dyDescent="0.25">
      <c r="A72" s="1">
        <v>45565</v>
      </c>
      <c r="B72">
        <f>'DSGE HVD wFG'!B72-'DSGE HVD woFG'!B72</f>
        <v>-1.8819528090713994E-2</v>
      </c>
      <c r="C72">
        <f>'DSGE HVD wFG'!C72-'DSGE HVD woFG'!C72</f>
        <v>-2.6651975335077016E-2</v>
      </c>
      <c r="D72">
        <f>'DSGE HVD wFG'!D72-'DSGE HVD woFG'!D72</f>
        <v>-0.204175285361548</v>
      </c>
      <c r="E72">
        <f>'DSGE HVD wFG'!E72-'DSGE HVD woFG'!E72</f>
        <v>-1.63259880332258E-2</v>
      </c>
      <c r="F72">
        <f>'DSGE HVD wFG'!F72-'DSGE HVD woFG'!F72</f>
        <v>-2.9778331862628959E-2</v>
      </c>
      <c r="G72">
        <f>'DSGE HVD wFG'!G72-'DSGE HVD woFG'!G72</f>
        <v>3.37266636039601E-16</v>
      </c>
      <c r="H72">
        <f>'DSGE HVD wFG'!H72-'DSGE HVD woFG'!H72</f>
        <v>-1.4785769887315963E-15</v>
      </c>
      <c r="I72">
        <f>'DSGE HVD wFG'!I72-'DSGE HVD woFG'!I72</f>
        <v>-7.1980895283047492E-15</v>
      </c>
      <c r="J72">
        <f>'DSGE HVD wFG'!J72-'DSGE HVD woFG'!J72</f>
        <v>3.3508524916397799E-15</v>
      </c>
      <c r="K72">
        <f>'DSGE HVD wFG'!K72-'DSGE HVD woFG'!K72</f>
        <v>-5.7750785579959107E-16</v>
      </c>
      <c r="L72">
        <f>'DSGE HVD wFG'!L72-'DSGE HVD woFG'!L72</f>
        <v>3.2884597541498298E-15</v>
      </c>
      <c r="M72">
        <f>'DSGE HVD wFG'!M72-'DSGE HVD woFG'!M72</f>
        <v>2.7963112621955301E-15</v>
      </c>
      <c r="N72">
        <f>'DSGE HVD wFG'!N72-'DSGE HVD woFG'!N72</f>
        <v>6.3203524711817907E-15</v>
      </c>
      <c r="O72">
        <f>'DSGE HVD wFG'!O72-'DSGE HVD woFG'!O72</f>
        <v>8.2837951666330505E-15</v>
      </c>
      <c r="P72">
        <f>'DSGE HVD wFG'!P72-'DSGE HVD woFG'!P72</f>
        <v>1.1102404937040191E-14</v>
      </c>
      <c r="Q72">
        <f>'DSGE HVD wFG'!Q72-'DSGE HVD woFG'!Q72</f>
        <v>5.2187860564151409E-2</v>
      </c>
      <c r="R72">
        <f>'DSGE HVD wFG'!R72-'DSGE HVD woFG'!R72</f>
        <v>0</v>
      </c>
      <c r="S72">
        <f>'DSGE HVD wFG'!S72-'DSGE HVD woFG'!S72</f>
        <v>0.10667191440542301</v>
      </c>
      <c r="T72">
        <f>'DSGE HVD wFG'!T72-'DSGE HVD woFG'!T72</f>
        <v>-1.8228847955423007E-3</v>
      </c>
      <c r="U72">
        <f>'DSGE HVD wFG'!U72-'DSGE HVD woFG'!U72</f>
        <v>-0.13871421850913407</v>
      </c>
      <c r="Y72" s="1">
        <f t="shared" si="16"/>
        <v>45565</v>
      </c>
      <c r="Z72" s="7">
        <f t="shared" si="16"/>
        <v>-1.8819528090713994E-2</v>
      </c>
      <c r="AA72" s="7">
        <f t="shared" si="16"/>
        <v>-2.6651975335077016E-2</v>
      </c>
      <c r="AB72" s="7">
        <f t="shared" si="16"/>
        <v>-0.204175285361548</v>
      </c>
      <c r="AC72" s="7">
        <f t="shared" si="17"/>
        <v>7.6893582542794048E-2</v>
      </c>
      <c r="AD72" s="7">
        <f t="shared" si="18"/>
        <v>-1.63259880332258E-2</v>
      </c>
      <c r="AE72" s="7">
        <f t="shared" si="19"/>
        <v>5.2187860564151409E-2</v>
      </c>
      <c r="AF72" s="7">
        <f t="shared" si="20"/>
        <v>3.37266636039601E-16</v>
      </c>
      <c r="AG72" s="7">
        <f t="shared" si="20"/>
        <v>-1.4785769887315963E-15</v>
      </c>
      <c r="AH72" s="7">
        <f t="shared" si="21"/>
        <v>-1.8228847955149342E-3</v>
      </c>
      <c r="AI72" s="7">
        <f t="shared" si="15"/>
        <v>-0.1387142185091354</v>
      </c>
      <c r="AJ72" s="8">
        <f t="shared" si="22"/>
        <v>0.12908144310694547</v>
      </c>
      <c r="AK72" s="8">
        <f t="shared" si="23"/>
        <v>-0.24715324872985081</v>
      </c>
      <c r="AL72" s="8">
        <f t="shared" si="24"/>
        <v>-1.8819528090713994E-2</v>
      </c>
      <c r="AM72" s="8">
        <f t="shared" si="25"/>
        <v>-1.8228847955149342E-3</v>
      </c>
      <c r="AN72" s="8">
        <f t="shared" si="26"/>
        <v>-0.13871421850913426</v>
      </c>
      <c r="AO72" s="9">
        <f t="shared" si="27"/>
        <v>0.43867258536583065</v>
      </c>
      <c r="AP72" s="9">
        <f t="shared" si="27"/>
        <v>0.5629120505911388</v>
      </c>
      <c r="AQ72" s="9">
        <f t="shared" si="27"/>
        <v>-1.4076429926497633E-3</v>
      </c>
      <c r="AR72" s="9">
        <f t="shared" si="27"/>
        <v>-1.7699296431949579E-4</v>
      </c>
      <c r="AS72" s="9">
        <f t="shared" si="27"/>
        <v>1</v>
      </c>
      <c r="AT72" s="7"/>
      <c r="AU72" s="7"/>
      <c r="AV72" s="7"/>
      <c r="AW72" s="7"/>
      <c r="AX72" s="7"/>
    </row>
    <row r="73" spans="1:50" x14ac:dyDescent="0.25">
      <c r="A73" s="1">
        <v>45657</v>
      </c>
      <c r="B73">
        <f>'DSGE HVD wFG'!B73-'DSGE HVD woFG'!B73</f>
        <v>-1.8587132993711009E-2</v>
      </c>
      <c r="C73">
        <f>'DSGE HVD wFG'!C73-'DSGE HVD woFG'!C73</f>
        <v>-2.6385746646271996E-2</v>
      </c>
      <c r="D73">
        <f>'DSGE HVD wFG'!D73-'DSGE HVD woFG'!D73</f>
        <v>-0.20198478633878902</v>
      </c>
      <c r="E73">
        <f>'DSGE HVD wFG'!E73-'DSGE HVD woFG'!E73</f>
        <v>-1.6443458896655997E-2</v>
      </c>
      <c r="F73">
        <f>'DSGE HVD wFG'!F73-'DSGE HVD woFG'!F73</f>
        <v>-2.8160935442769985E-2</v>
      </c>
      <c r="G73">
        <f>'DSGE HVD wFG'!G73-'DSGE HVD woFG'!G73</f>
        <v>3.316060147716017E-16</v>
      </c>
      <c r="H73">
        <f>'DSGE HVD wFG'!H73-'DSGE HVD woFG'!H73</f>
        <v>-1.4959390445215036E-15</v>
      </c>
      <c r="I73">
        <f>'DSGE HVD wFG'!I73-'DSGE HVD woFG'!I73</f>
        <v>-7.0739442881324096E-15</v>
      </c>
      <c r="J73">
        <f>'DSGE HVD wFG'!J73-'DSGE HVD woFG'!J73</f>
        <v>3.3088919874383608E-15</v>
      </c>
      <c r="K73">
        <f>'DSGE HVD wFG'!K73-'DSGE HVD woFG'!K73</f>
        <v>-5.9353827296296707E-16</v>
      </c>
      <c r="L73">
        <f>'DSGE HVD wFG'!L73-'DSGE HVD woFG'!L73</f>
        <v>3.2404562611746798E-15</v>
      </c>
      <c r="M73">
        <f>'DSGE HVD wFG'!M73-'DSGE HVD woFG'!M73</f>
        <v>2.74988452837841E-15</v>
      </c>
      <c r="N73">
        <f>'DSGE HVD wFG'!N73-'DSGE HVD woFG'!N73</f>
        <v>6.2529287786514406E-15</v>
      </c>
      <c r="O73">
        <f>'DSGE HVD wFG'!O73-'DSGE HVD woFG'!O73</f>
        <v>8.2187488847385611E-15</v>
      </c>
      <c r="P73">
        <f>'DSGE HVD wFG'!P73-'DSGE HVD woFG'!P73</f>
        <v>1.1351200783857907E-14</v>
      </c>
      <c r="Q73">
        <f>'DSGE HVD wFG'!Q73-'DSGE HVD woFG'!Q73</f>
        <v>5.0805598673874096E-2</v>
      </c>
      <c r="R73">
        <f>'DSGE HVD wFG'!R73-'DSGE HVD woFG'!R73</f>
        <v>0</v>
      </c>
      <c r="S73">
        <f>'DSGE HVD wFG'!S73-'DSGE HVD woFG'!S73</f>
        <v>0.10617980514728798</v>
      </c>
      <c r="T73">
        <f>'DSGE HVD wFG'!T73-'DSGE HVD woFG'!T73</f>
        <v>-1.8042105410543009E-3</v>
      </c>
      <c r="U73">
        <f>'DSGE HVD wFG'!U73-'DSGE HVD woFG'!U73</f>
        <v>-0.13638086703806296</v>
      </c>
      <c r="Y73" s="1">
        <f t="shared" si="16"/>
        <v>45657</v>
      </c>
      <c r="Z73" s="7">
        <f t="shared" si="16"/>
        <v>-1.8587132993711009E-2</v>
      </c>
      <c r="AA73" s="7">
        <f t="shared" si="16"/>
        <v>-2.6385746646271996E-2</v>
      </c>
      <c r="AB73" s="7">
        <f t="shared" si="16"/>
        <v>-0.20198478633878902</v>
      </c>
      <c r="AC73" s="7">
        <f t="shared" si="17"/>
        <v>7.801886970451799E-2</v>
      </c>
      <c r="AD73" s="7">
        <f t="shared" si="18"/>
        <v>-1.6443458896655997E-2</v>
      </c>
      <c r="AE73" s="7">
        <f t="shared" si="19"/>
        <v>5.0805598673874096E-2</v>
      </c>
      <c r="AF73" s="7">
        <f t="shared" si="20"/>
        <v>3.316060147716017E-16</v>
      </c>
      <c r="AG73" s="7">
        <f t="shared" si="20"/>
        <v>-1.4959390445215036E-15</v>
      </c>
      <c r="AH73" s="7">
        <f t="shared" si="21"/>
        <v>-1.804210541026846E-3</v>
      </c>
      <c r="AI73" s="7">
        <f t="shared" si="15"/>
        <v>-0.13638086703806393</v>
      </c>
      <c r="AJ73" s="8">
        <f t="shared" si="22"/>
        <v>0.12882446837839209</v>
      </c>
      <c r="AK73" s="8">
        <f t="shared" si="23"/>
        <v>-0.24481399188171701</v>
      </c>
      <c r="AL73" s="8">
        <f t="shared" si="24"/>
        <v>-1.8587132993711009E-2</v>
      </c>
      <c r="AM73" s="8">
        <f t="shared" si="25"/>
        <v>-1.804210541026846E-3</v>
      </c>
      <c r="AN73" s="8">
        <f t="shared" si="26"/>
        <v>-0.13638086703806276</v>
      </c>
      <c r="AO73" s="9">
        <f t="shared" si="27"/>
        <v>-0.11013117043844751</v>
      </c>
      <c r="AP73" s="9">
        <f t="shared" si="27"/>
        <v>1.0025308562106963</v>
      </c>
      <c r="AQ73" s="9">
        <f t="shared" si="27"/>
        <v>9.9597124515608079E-2</v>
      </c>
      <c r="AR73" s="9">
        <f t="shared" si="27"/>
        <v>8.0031897121408541E-3</v>
      </c>
      <c r="AS73" s="9">
        <f t="shared" si="27"/>
        <v>1</v>
      </c>
      <c r="AT73" s="7"/>
      <c r="AU73" s="7"/>
      <c r="AV73" s="7"/>
      <c r="AW73" s="7"/>
      <c r="AX73" s="7"/>
    </row>
    <row r="74" spans="1:50" x14ac:dyDescent="0.25">
      <c r="A74" s="1">
        <v>45747</v>
      </c>
      <c r="B74">
        <f>'DSGE HVD wFG'!B74-'DSGE HVD woFG'!B74</f>
        <v>-1.8357848372594993E-2</v>
      </c>
      <c r="C74">
        <f>'DSGE HVD wFG'!C74-'DSGE HVD woFG'!C74</f>
        <v>-2.6122040272077013E-2</v>
      </c>
      <c r="D74">
        <f>'DSGE HVD wFG'!D74-'DSGE HVD woFG'!D74</f>
        <v>-0.19986132325363198</v>
      </c>
      <c r="E74">
        <f>'DSGE HVD wFG'!E74-'DSGE HVD woFG'!E74</f>
        <v>-1.6504032424387603E-2</v>
      </c>
      <c r="F74">
        <f>'DSGE HVD wFG'!F74-'DSGE HVD woFG'!F74</f>
        <v>-2.6623231358804955E-2</v>
      </c>
      <c r="G74">
        <f>'DSGE HVD wFG'!G74-'DSGE HVD woFG'!G74</f>
        <v>3.2565746855870174E-16</v>
      </c>
      <c r="H74">
        <f>'DSGE HVD wFG'!H74-'DSGE HVD woFG'!H74</f>
        <v>-1.512634260638498E-15</v>
      </c>
      <c r="I74">
        <f>'DSGE HVD wFG'!I74-'DSGE HVD woFG'!I74</f>
        <v>-6.9482435265571503E-15</v>
      </c>
      <c r="J74">
        <f>'DSGE HVD wFG'!J74-'DSGE HVD woFG'!J74</f>
        <v>3.2671201807776769E-15</v>
      </c>
      <c r="K74">
        <f>'DSGE HVD wFG'!K74-'DSGE HVD woFG'!K74</f>
        <v>-6.0813186731035995E-16</v>
      </c>
      <c r="L74">
        <f>'DSGE HVD wFG'!L74-'DSGE HVD woFG'!L74</f>
        <v>3.19329295233622E-15</v>
      </c>
      <c r="M74">
        <f>'DSGE HVD wFG'!M74-'DSGE HVD woFG'!M74</f>
        <v>2.7045352825615099E-15</v>
      </c>
      <c r="N74">
        <f>'DSGE HVD wFG'!N74-'DSGE HVD woFG'!N74</f>
        <v>6.1852360752693694E-15</v>
      </c>
      <c r="O74">
        <f>'DSGE HVD wFG'!O74-'DSGE HVD woFG'!O74</f>
        <v>8.1515814050457401E-15</v>
      </c>
      <c r="P74">
        <f>'DSGE HVD wFG'!P74-'DSGE HVD woFG'!P74</f>
        <v>1.1593678775197403E-14</v>
      </c>
      <c r="Q74">
        <f>'DSGE HVD wFG'!Q74-'DSGE HVD woFG'!Q74</f>
        <v>4.9564767770715799E-2</v>
      </c>
      <c r="R74">
        <f>'DSGE HVD wFG'!R74-'DSGE HVD woFG'!R74</f>
        <v>0</v>
      </c>
      <c r="S74">
        <f>'DSGE HVD wFG'!S74-'DSGE HVD woFG'!S74</f>
        <v>0.10561401977581297</v>
      </c>
      <c r="T74">
        <f>'DSGE HVD wFG'!T74-'DSGE HVD woFG'!T74</f>
        <v>-1.7857347305591E-3</v>
      </c>
      <c r="U74">
        <f>'DSGE HVD wFG'!U74-'DSGE HVD woFG'!U74</f>
        <v>-0.13407542286549895</v>
      </c>
      <c r="Y74" s="1">
        <f t="shared" si="16"/>
        <v>45747</v>
      </c>
      <c r="Z74" s="7">
        <f t="shared" si="16"/>
        <v>-1.8357848372594993E-2</v>
      </c>
      <c r="AA74" s="7">
        <f t="shared" si="16"/>
        <v>-2.6122040272077013E-2</v>
      </c>
      <c r="AB74" s="7">
        <f t="shared" si="16"/>
        <v>-0.19986132325363198</v>
      </c>
      <c r="AC74" s="7">
        <f t="shared" si="17"/>
        <v>7.8990788417008018E-2</v>
      </c>
      <c r="AD74" s="7">
        <f t="shared" si="18"/>
        <v>-1.6504032424387603E-2</v>
      </c>
      <c r="AE74" s="7">
        <f t="shared" si="19"/>
        <v>4.9564767770715799E-2</v>
      </c>
      <c r="AF74" s="7">
        <f t="shared" si="20"/>
        <v>3.2565746855870174E-16</v>
      </c>
      <c r="AG74" s="7">
        <f t="shared" si="20"/>
        <v>-1.512634260638498E-15</v>
      </c>
      <c r="AH74" s="7">
        <f t="shared" si="21"/>
        <v>-1.7857347305315612E-3</v>
      </c>
      <c r="AI74" s="7">
        <f t="shared" si="15"/>
        <v>-0.1340754228655005</v>
      </c>
      <c r="AJ74" s="8">
        <f t="shared" si="22"/>
        <v>0.12855555618772382</v>
      </c>
      <c r="AK74" s="8">
        <f t="shared" si="23"/>
        <v>-0.24248739595009661</v>
      </c>
      <c r="AL74" s="8">
        <f t="shared" si="24"/>
        <v>-1.8357848372594993E-2</v>
      </c>
      <c r="AM74" s="8">
        <f t="shared" si="25"/>
        <v>-1.7857347305315612E-3</v>
      </c>
      <c r="AN74" s="8">
        <f t="shared" si="26"/>
        <v>-0.13407542286549934</v>
      </c>
      <c r="AO74" s="9">
        <f t="shared" si="27"/>
        <v>-0.11664224788807845</v>
      </c>
      <c r="AP74" s="9">
        <f t="shared" si="27"/>
        <v>1.0091747001765228</v>
      </c>
      <c r="AQ74" s="9">
        <f t="shared" si="27"/>
        <v>9.9453555997877058E-2</v>
      </c>
      <c r="AR74" s="9">
        <f t="shared" si="27"/>
        <v>8.0139917136842001E-3</v>
      </c>
      <c r="AS74" s="9">
        <f t="shared" si="27"/>
        <v>1</v>
      </c>
      <c r="AT74" s="7"/>
      <c r="AU74" s="7"/>
      <c r="AV74" s="7"/>
      <c r="AW74" s="7"/>
      <c r="AX74" s="7"/>
    </row>
    <row r="75" spans="1:50" x14ac:dyDescent="0.25">
      <c r="A75" s="1">
        <v>45838</v>
      </c>
      <c r="B75">
        <f>'DSGE HVD wFG'!B75-'DSGE HVD woFG'!B75</f>
        <v>-1.8131623655599005E-2</v>
      </c>
      <c r="C75">
        <f>'DSGE HVD wFG'!C75-'DSGE HVD woFG'!C75</f>
        <v>-2.5860898301694996E-2</v>
      </c>
      <c r="D75">
        <f>'DSGE HVD wFG'!D75-'DSGE HVD woFG'!D75</f>
        <v>-0.197790532604734</v>
      </c>
      <c r="E75">
        <f>'DSGE HVD wFG'!E75-'DSGE HVD woFG'!E75</f>
        <v>-1.6514786830295298E-2</v>
      </c>
      <c r="F75">
        <f>'DSGE HVD wFG'!F75-'DSGE HVD woFG'!F75</f>
        <v>-2.5164057728827016E-2</v>
      </c>
      <c r="G75">
        <f>'DSGE HVD wFG'!G75-'DSGE HVD woFG'!G75</f>
        <v>3.1950019823340017E-16</v>
      </c>
      <c r="H75">
        <f>'DSGE HVD wFG'!H75-'DSGE HVD woFG'!H75</f>
        <v>-1.5286223973376981E-15</v>
      </c>
      <c r="I75">
        <f>'DSGE HVD wFG'!I75-'DSGE HVD woFG'!I75</f>
        <v>-6.8217447370636004E-15</v>
      </c>
      <c r="J75">
        <f>'DSGE HVD wFG'!J75-'DSGE HVD woFG'!J75</f>
        <v>3.225603046634069E-15</v>
      </c>
      <c r="K75">
        <f>'DSGE HVD wFG'!K75-'DSGE HVD woFG'!K75</f>
        <v>-6.2096627982727811E-16</v>
      </c>
      <c r="L75">
        <f>'DSGE HVD wFG'!L75-'DSGE HVD woFG'!L75</f>
        <v>3.1472474880398799E-15</v>
      </c>
      <c r="M75">
        <f>'DSGE HVD wFG'!M75-'DSGE HVD woFG'!M75</f>
        <v>2.6605817806324101E-15</v>
      </c>
      <c r="N75">
        <f>'DSGE HVD wFG'!N75-'DSGE HVD woFG'!N75</f>
        <v>6.1174490524521601E-15</v>
      </c>
      <c r="O75">
        <f>'DSGE HVD wFG'!O75-'DSGE HVD woFG'!O75</f>
        <v>8.0823848267752803E-15</v>
      </c>
      <c r="P75">
        <f>'DSGE HVD wFG'!P75-'DSGE HVD woFG'!P75</f>
        <v>1.1829827763365298E-14</v>
      </c>
      <c r="Q75">
        <f>'DSGE HVD wFG'!Q75-'DSGE HVD woFG'!Q75</f>
        <v>4.8440065990279203E-2</v>
      </c>
      <c r="R75">
        <f>'DSGE HVD wFG'!R75-'DSGE HVD woFG'!R75</f>
        <v>0</v>
      </c>
      <c r="S75">
        <f>'DSGE HVD wFG'!S75-'DSGE HVD woFG'!S75</f>
        <v>0.10499040636462098</v>
      </c>
      <c r="T75">
        <f>'DSGE HVD wFG'!T75-'DSGE HVD woFG'!T75</f>
        <v>-1.7674551512725997E-3</v>
      </c>
      <c r="U75">
        <f>'DSGE HVD wFG'!U75-'DSGE HVD woFG'!U75</f>
        <v>-0.13179888191749595</v>
      </c>
      <c r="Y75" s="1">
        <f t="shared" si="16"/>
        <v>45838</v>
      </c>
      <c r="Z75" s="7">
        <f t="shared" si="16"/>
        <v>-1.8131623655599005E-2</v>
      </c>
      <c r="AA75" s="7">
        <f t="shared" si="16"/>
        <v>-2.5860898301694996E-2</v>
      </c>
      <c r="AB75" s="7">
        <f t="shared" si="16"/>
        <v>-0.197790532604734</v>
      </c>
      <c r="AC75" s="7">
        <f t="shared" si="17"/>
        <v>7.9826348635793964E-2</v>
      </c>
      <c r="AD75" s="7">
        <f t="shared" si="18"/>
        <v>-1.6514786830295298E-2</v>
      </c>
      <c r="AE75" s="7">
        <f t="shared" si="19"/>
        <v>4.8440065990279203E-2</v>
      </c>
      <c r="AF75" s="7">
        <f t="shared" si="20"/>
        <v>3.1950019823340017E-16</v>
      </c>
      <c r="AG75" s="7">
        <f t="shared" si="20"/>
        <v>-1.5286223973376981E-15</v>
      </c>
      <c r="AH75" s="7">
        <f t="shared" si="21"/>
        <v>-1.7674551512449797E-3</v>
      </c>
      <c r="AI75" s="7">
        <f t="shared" si="15"/>
        <v>-0.13179888191749634</v>
      </c>
      <c r="AJ75" s="8">
        <f t="shared" si="22"/>
        <v>0.12826641462607316</v>
      </c>
      <c r="AK75" s="8">
        <f t="shared" si="23"/>
        <v>-0.24016621773672431</v>
      </c>
      <c r="AL75" s="8">
        <f t="shared" si="24"/>
        <v>-1.8131623655599005E-2</v>
      </c>
      <c r="AM75" s="8">
        <f t="shared" si="25"/>
        <v>-1.7674551512449797E-3</v>
      </c>
      <c r="AN75" s="8">
        <f t="shared" si="26"/>
        <v>-0.13179888191749514</v>
      </c>
      <c r="AO75" s="9">
        <f t="shared" si="27"/>
        <v>-0.12700916357518124</v>
      </c>
      <c r="AP75" s="9">
        <f t="shared" si="27"/>
        <v>1.0196074950495555</v>
      </c>
      <c r="AQ75" s="9">
        <f t="shared" si="27"/>
        <v>9.9372127347111719E-2</v>
      </c>
      <c r="AR75" s="9">
        <f t="shared" si="27"/>
        <v>8.0295411785177555E-3</v>
      </c>
      <c r="AS75" s="9">
        <f t="shared" si="27"/>
        <v>1</v>
      </c>
      <c r="AT75" s="7"/>
      <c r="AU75" s="7"/>
      <c r="AV75" s="7"/>
      <c r="AW75" s="7"/>
      <c r="AX75" s="7"/>
    </row>
    <row r="76" spans="1:50" x14ac:dyDescent="0.25">
      <c r="A76" s="1">
        <v>45930</v>
      </c>
      <c r="B76">
        <f>'DSGE HVD wFG'!B76-'DSGE HVD woFG'!B76</f>
        <v>-1.7908411625456006E-2</v>
      </c>
      <c r="C76">
        <f>'DSGE HVD wFG'!C76-'DSGE HVD woFG'!C76</f>
        <v>-2.5602330033082987E-2</v>
      </c>
      <c r="D76">
        <f>'DSGE HVD wFG'!D76-'DSGE HVD woFG'!D76</f>
        <v>-0.19576234915020796</v>
      </c>
      <c r="E76">
        <f>'DSGE HVD wFG'!E76-'DSGE HVD woFG'!E76</f>
        <v>-1.6482084110589795E-2</v>
      </c>
      <c r="F76">
        <f>'DSGE HVD wFG'!F76-'DSGE HVD woFG'!F76</f>
        <v>-2.3781477686315999E-2</v>
      </c>
      <c r="G76">
        <f>'DSGE HVD wFG'!G76-'DSGE HVD woFG'!G76</f>
        <v>3.1319590661650102E-16</v>
      </c>
      <c r="H76">
        <f>'DSGE HVD wFG'!H76-'DSGE HVD woFG'!H76</f>
        <v>-1.5438621131453015E-15</v>
      </c>
      <c r="I76">
        <f>'DSGE HVD wFG'!I76-'DSGE HVD woFG'!I76</f>
        <v>-6.6951720573858498E-15</v>
      </c>
      <c r="J76">
        <f>'DSGE HVD wFG'!J76-'DSGE HVD woFG'!J76</f>
        <v>3.1843909930376867E-15</v>
      </c>
      <c r="K76">
        <f>'DSGE HVD wFG'!K76-'DSGE HVD woFG'!K76</f>
        <v>-6.3182537429870808E-16</v>
      </c>
      <c r="L76">
        <f>'DSGE HVD wFG'!L76-'DSGE HVD woFG'!L76</f>
        <v>3.1025059521607302E-15</v>
      </c>
      <c r="M76">
        <f>'DSGE HVD wFG'!M76-'DSGE HVD woFG'!M76</f>
        <v>2.6182437040876901E-15</v>
      </c>
      <c r="N76">
        <f>'DSGE HVD wFG'!N76-'DSGE HVD woFG'!N76</f>
        <v>6.0497289215178496E-15</v>
      </c>
      <c r="O76">
        <f>'DSGE HVD wFG'!O76-'DSGE HVD woFG'!O76</f>
        <v>8.0112635839262697E-15</v>
      </c>
      <c r="P76">
        <f>'DSGE HVD wFG'!P76-'DSGE HVD woFG'!P76</f>
        <v>1.2059641144252111E-14</v>
      </c>
      <c r="Q76">
        <f>'DSGE HVD wFG'!Q76-'DSGE HVD woFG'!Q76</f>
        <v>4.7410994306561698E-2</v>
      </c>
      <c r="R76">
        <f>'DSGE HVD wFG'!R76-'DSGE HVD woFG'!R76</f>
        <v>0</v>
      </c>
      <c r="S76">
        <f>'DSGE HVD wFG'!S76-'DSGE HVD woFG'!S76</f>
        <v>0.104321607889587</v>
      </c>
      <c r="T76">
        <f>'DSGE HVD wFG'!T76-'DSGE HVD woFG'!T76</f>
        <v>-1.7493696168678005E-3</v>
      </c>
      <c r="U76">
        <f>'DSGE HVD wFG'!U76-'DSGE HVD woFG'!U76</f>
        <v>-0.12955342002634607</v>
      </c>
      <c r="Y76" s="1">
        <f t="shared" si="16"/>
        <v>45930</v>
      </c>
      <c r="Z76" s="7">
        <f t="shared" si="16"/>
        <v>-1.7908411625456006E-2</v>
      </c>
      <c r="AA76" s="7">
        <f t="shared" si="16"/>
        <v>-2.5602330033082987E-2</v>
      </c>
      <c r="AB76" s="7">
        <f t="shared" si="16"/>
        <v>-0.19576234915020796</v>
      </c>
      <c r="AC76" s="7">
        <f t="shared" si="17"/>
        <v>8.0540130203270999E-2</v>
      </c>
      <c r="AD76" s="7">
        <f t="shared" si="18"/>
        <v>-1.6482084110589795E-2</v>
      </c>
      <c r="AE76" s="7">
        <f t="shared" si="19"/>
        <v>4.7410994306561698E-2</v>
      </c>
      <c r="AF76" s="7">
        <f t="shared" si="20"/>
        <v>3.1319590661650102E-16</v>
      </c>
      <c r="AG76" s="7">
        <f t="shared" si="20"/>
        <v>-1.5438621131453015E-15</v>
      </c>
      <c r="AH76" s="7">
        <f t="shared" si="21"/>
        <v>-1.749369616840102E-3</v>
      </c>
      <c r="AI76" s="7">
        <f t="shared" si="15"/>
        <v>-0.1295534200263454</v>
      </c>
      <c r="AJ76" s="8">
        <f t="shared" si="22"/>
        <v>0.1279511245098327</v>
      </c>
      <c r="AK76" s="8">
        <f t="shared" si="23"/>
        <v>-0.23784676329388074</v>
      </c>
      <c r="AL76" s="8">
        <f t="shared" si="24"/>
        <v>-1.7908411625456006E-2</v>
      </c>
      <c r="AM76" s="8">
        <f t="shared" si="25"/>
        <v>-1.749369616840102E-3</v>
      </c>
      <c r="AN76" s="8">
        <f t="shared" si="26"/>
        <v>-0.12955342002634415</v>
      </c>
      <c r="AO76" s="9">
        <f t="shared" si="27"/>
        <v>-0.14041214303523294</v>
      </c>
      <c r="AP76" s="9">
        <f t="shared" si="27"/>
        <v>1.0329520407289781</v>
      </c>
      <c r="AQ76" s="9">
        <f t="shared" si="27"/>
        <v>9.9405842077588957E-2</v>
      </c>
      <c r="AR76" s="9">
        <f t="shared" si="27"/>
        <v>8.054260228663835E-3</v>
      </c>
      <c r="AS76" s="9">
        <f t="shared" si="27"/>
        <v>1</v>
      </c>
      <c r="AT76" s="7"/>
      <c r="AU76" s="7"/>
      <c r="AV76" s="7"/>
      <c r="AW76" s="7"/>
      <c r="AX76" s="7"/>
    </row>
    <row r="77" spans="1:50" x14ac:dyDescent="0.25">
      <c r="A77" s="1">
        <v>46022</v>
      </c>
      <c r="B77">
        <f>'DSGE HVD wFG'!B77-'DSGE HVD woFG'!B77</f>
        <v>-1.7688167620450002E-2</v>
      </c>
      <c r="C77">
        <f>'DSGE HVD wFG'!C77-'DSGE HVD woFG'!C77</f>
        <v>-2.5346327867693016E-2</v>
      </c>
      <c r="D77">
        <f>'DSGE HVD wFG'!D77-'DSGE HVD woFG'!D77</f>
        <v>-0.193769702373988</v>
      </c>
      <c r="E77">
        <f>'DSGE HVD wFG'!E77-'DSGE HVD woFG'!E77</f>
        <v>-1.64116263359694E-2</v>
      </c>
      <c r="F77">
        <f>'DSGE HVD wFG'!F77-'DSGE HVD woFG'!F77</f>
        <v>-2.247301426154899E-2</v>
      </c>
      <c r="G77">
        <f>'DSGE HVD wFG'!G77-'DSGE HVD woFG'!G77</f>
        <v>3.0679184518640158E-16</v>
      </c>
      <c r="H77">
        <f>'DSGE HVD wFG'!H77-'DSGE HVD woFG'!H77</f>
        <v>-1.5583150599814008E-15</v>
      </c>
      <c r="I77">
        <f>'DSGE HVD wFG'!I77-'DSGE HVD woFG'!I77</f>
        <v>-6.5691919934337405E-15</v>
      </c>
      <c r="J77">
        <f>'DSGE HVD wFG'!J77-'DSGE HVD woFG'!J77</f>
        <v>3.1435231321710332E-15</v>
      </c>
      <c r="K77">
        <f>'DSGE HVD wFG'!K77-'DSGE HVD woFG'!K77</f>
        <v>-6.4058382056057605E-16</v>
      </c>
      <c r="L77">
        <f>'DSGE HVD wFG'!L77-'DSGE HVD woFG'!L77</f>
        <v>3.0591807702894804E-15</v>
      </c>
      <c r="M77">
        <f>'DSGE HVD wFG'!M77-'DSGE HVD woFG'!M77</f>
        <v>2.5776582497456102E-15</v>
      </c>
      <c r="N77">
        <f>'DSGE HVD wFG'!N77-'DSGE HVD woFG'!N77</f>
        <v>5.9822214029948995E-15</v>
      </c>
      <c r="O77">
        <f>'DSGE HVD wFG'!O77-'DSGE HVD woFG'!O77</f>
        <v>7.9383377711856705E-15</v>
      </c>
      <c r="P77">
        <f>'DSGE HVD wFG'!P77-'DSGE HVD woFG'!P77</f>
        <v>1.2283119076650799E-14</v>
      </c>
      <c r="Q77">
        <f>'DSGE HVD wFG'!Q77-'DSGE HVD woFG'!Q77</f>
        <v>4.6460926948616095E-2</v>
      </c>
      <c r="R77">
        <f>'DSGE HVD wFG'!R77-'DSGE HVD woFG'!R77</f>
        <v>0</v>
      </c>
      <c r="S77">
        <f>'DSGE HVD wFG'!S77-'DSGE HVD woFG'!S77</f>
        <v>0.10361771055292701</v>
      </c>
      <c r="T77">
        <f>'DSGE HVD wFG'!T77-'DSGE HVD woFG'!T77</f>
        <v>-1.7314759671303998E-3</v>
      </c>
      <c r="U77">
        <f>'DSGE HVD wFG'!U77-'DSGE HVD woFG'!U77</f>
        <v>-0.12734167692520992</v>
      </c>
      <c r="Y77" s="1">
        <f t="shared" si="16"/>
        <v>46022</v>
      </c>
      <c r="Z77" s="7">
        <f t="shared" si="16"/>
        <v>-1.7688167620450002E-2</v>
      </c>
      <c r="AA77" s="7">
        <f t="shared" si="16"/>
        <v>-2.5346327867693016E-2</v>
      </c>
      <c r="AB77" s="7">
        <f t="shared" si="16"/>
        <v>-0.193769702373988</v>
      </c>
      <c r="AC77" s="7">
        <f t="shared" si="17"/>
        <v>8.1144696291378021E-2</v>
      </c>
      <c r="AD77" s="7">
        <f t="shared" si="18"/>
        <v>-1.64116263359694E-2</v>
      </c>
      <c r="AE77" s="7">
        <f t="shared" si="19"/>
        <v>4.6460926948616095E-2</v>
      </c>
      <c r="AF77" s="7">
        <f t="shared" si="20"/>
        <v>3.0679184518640158E-16</v>
      </c>
      <c r="AG77" s="7">
        <f t="shared" si="20"/>
        <v>-1.5583150599814008E-15</v>
      </c>
      <c r="AH77" s="7">
        <f t="shared" si="21"/>
        <v>-1.7314759671026255E-3</v>
      </c>
      <c r="AI77" s="7">
        <f t="shared" si="15"/>
        <v>-0.1273416769252102</v>
      </c>
      <c r="AJ77" s="8">
        <f t="shared" si="22"/>
        <v>0.12760562323999411</v>
      </c>
      <c r="AK77" s="8">
        <f t="shared" si="23"/>
        <v>-0.23552765657765043</v>
      </c>
      <c r="AL77" s="8">
        <f t="shared" si="24"/>
        <v>-1.7688167620450002E-2</v>
      </c>
      <c r="AM77" s="8">
        <f t="shared" si="25"/>
        <v>-1.7314759671026255E-3</v>
      </c>
      <c r="AN77" s="8">
        <f t="shared" si="26"/>
        <v>-0.12734167692520895</v>
      </c>
      <c r="AO77" s="9">
        <f t="shared" si="27"/>
        <v>-0.15621220640917199</v>
      </c>
      <c r="AP77" s="9">
        <f t="shared" si="27"/>
        <v>1.0485425341849184</v>
      </c>
      <c r="AQ77" s="9">
        <f t="shared" si="27"/>
        <v>9.9579379220381195E-2</v>
      </c>
      <c r="AR77" s="9">
        <f t="shared" si="27"/>
        <v>8.0902930038720781E-3</v>
      </c>
      <c r="AS77" s="9">
        <f t="shared" si="27"/>
        <v>1</v>
      </c>
      <c r="AT77" s="7"/>
      <c r="AU77" s="7"/>
      <c r="AV77" s="7"/>
      <c r="AW77" s="7"/>
      <c r="AX77" s="7"/>
    </row>
    <row r="78" spans="1:50" x14ac:dyDescent="0.25">
      <c r="A78" s="1">
        <v>46112</v>
      </c>
      <c r="B78">
        <f>'DSGE HVD wFG'!B78-'DSGE HVD woFG'!B78</f>
        <v>-1.7470848927252008E-2</v>
      </c>
      <c r="C78">
        <f>'DSGE HVD wFG'!C78-'DSGE HVD woFG'!C78</f>
        <v>-2.5092875560211003E-2</v>
      </c>
      <c r="D78">
        <f>'DSGE HVD wFG'!D78-'DSGE HVD woFG'!D78</f>
        <v>-0.19180760845025396</v>
      </c>
      <c r="E78">
        <f>'DSGE HVD wFG'!E78-'DSGE HVD woFG'!E78</f>
        <v>-1.6308511052617599E-2</v>
      </c>
      <c r="F78">
        <f>'DSGE HVD wFG'!F78-'DSGE HVD woFG'!F78</f>
        <v>-2.1235830843997022E-2</v>
      </c>
      <c r="G78">
        <f>'DSGE HVD wFG'!G78-'DSGE HVD woFG'!G78</f>
        <v>3.0032362246940073E-16</v>
      </c>
      <c r="H78">
        <f>'DSGE HVD wFG'!H78-'DSGE HVD woFG'!H78</f>
        <v>-1.5719485479838018E-15</v>
      </c>
      <c r="I78">
        <f>'DSGE HVD wFG'!I78-'DSGE HVD woFG'!I78</f>
        <v>-6.4443986712063298E-15</v>
      </c>
      <c r="J78">
        <f>'DSGE HVD wFG'!J78-'DSGE HVD woFG'!J78</f>
        <v>3.1030304654438701E-15</v>
      </c>
      <c r="K78">
        <f>'DSGE HVD wFG'!K78-'DSGE HVD woFG'!K78</f>
        <v>-6.4719218345717293E-16</v>
      </c>
      <c r="L78">
        <f>'DSGE HVD wFG'!L78-'DSGE HVD woFG'!L78</f>
        <v>3.0173262630936698E-15</v>
      </c>
      <c r="M78">
        <f>'DSGE HVD wFG'!M78-'DSGE HVD woFG'!M78</f>
        <v>2.538895012066046E-15</v>
      </c>
      <c r="N78">
        <f>'DSGE HVD wFG'!N78-'DSGE HVD woFG'!N78</f>
        <v>5.9150558366871797E-15</v>
      </c>
      <c r="O78">
        <f>'DSGE HVD wFG'!O78-'DSGE HVD woFG'!O78</f>
        <v>7.8637438912851605E-15</v>
      </c>
      <c r="P78">
        <f>'DSGE HVD wFG'!P78-'DSGE HVD woFG'!P78</f>
        <v>1.25002699913027E-14</v>
      </c>
      <c r="Q78">
        <f>'DSGE HVD wFG'!Q78-'DSGE HVD woFG'!Q78</f>
        <v>4.55763644583983E-2</v>
      </c>
      <c r="R78">
        <f>'DSGE HVD wFG'!R78-'DSGE HVD woFG'!R78</f>
        <v>0</v>
      </c>
      <c r="S78">
        <f>'DSGE HVD wFG'!S78-'DSGE HVD woFG'!S78</f>
        <v>0.10288676108973899</v>
      </c>
      <c r="T78">
        <f>'DSGE HVD wFG'!T78-'DSGE HVD woFG'!T78</f>
        <v>-1.7137720676155994E-3</v>
      </c>
      <c r="U78">
        <f>'DSGE HVD wFG'!U78-'DSGE HVD woFG'!U78</f>
        <v>-0.12516632135378303</v>
      </c>
      <c r="Y78" s="1">
        <f t="shared" si="16"/>
        <v>46112</v>
      </c>
      <c r="Z78" s="7">
        <f t="shared" si="16"/>
        <v>-1.7470848927252008E-2</v>
      </c>
      <c r="AA78" s="7">
        <f t="shared" si="16"/>
        <v>-2.5092875560211003E-2</v>
      </c>
      <c r="AB78" s="7">
        <f t="shared" si="16"/>
        <v>-0.19180760845025396</v>
      </c>
      <c r="AC78" s="7">
        <f t="shared" si="17"/>
        <v>8.1650930245741965E-2</v>
      </c>
      <c r="AD78" s="7">
        <f t="shared" si="18"/>
        <v>-1.6308511052617599E-2</v>
      </c>
      <c r="AE78" s="7">
        <f t="shared" si="19"/>
        <v>4.55763644583983E-2</v>
      </c>
      <c r="AF78" s="7">
        <f t="shared" si="20"/>
        <v>3.0032362246940073E-16</v>
      </c>
      <c r="AG78" s="7">
        <f t="shared" si="20"/>
        <v>-1.5719485479838018E-15</v>
      </c>
      <c r="AH78" s="7">
        <f t="shared" si="21"/>
        <v>-1.713772067587753E-3</v>
      </c>
      <c r="AI78" s="7">
        <f t="shared" si="15"/>
        <v>-0.12516632135378333</v>
      </c>
      <c r="AJ78" s="8">
        <f t="shared" si="22"/>
        <v>0.12722729470414026</v>
      </c>
      <c r="AK78" s="8">
        <f t="shared" si="23"/>
        <v>-0.23320899506308257</v>
      </c>
      <c r="AL78" s="8">
        <f t="shared" si="24"/>
        <v>-1.7470848927252008E-2</v>
      </c>
      <c r="AM78" s="8">
        <f t="shared" si="25"/>
        <v>-1.713772067587753E-3</v>
      </c>
      <c r="AN78" s="8">
        <f t="shared" si="26"/>
        <v>-0.12516632135378206</v>
      </c>
      <c r="AO78" s="9">
        <f t="shared" si="27"/>
        <v>-0.17391572247919224</v>
      </c>
      <c r="AP78" s="9">
        <f t="shared" si="27"/>
        <v>1.0658770203010834</v>
      </c>
      <c r="AQ78" s="9">
        <f t="shared" si="27"/>
        <v>9.9900308736858956E-2</v>
      </c>
      <c r="AR78" s="9">
        <f t="shared" si="27"/>
        <v>8.1383934412432076E-3</v>
      </c>
      <c r="AS78" s="9">
        <f t="shared" si="27"/>
        <v>1</v>
      </c>
      <c r="AT78" s="7"/>
      <c r="AU78" s="7"/>
      <c r="AV78" s="7"/>
      <c r="AW78" s="7"/>
      <c r="AX78" s="7"/>
    </row>
    <row r="79" spans="1:50" x14ac:dyDescent="0.25">
      <c r="A79" s="1">
        <v>46203</v>
      </c>
      <c r="B79">
        <f>'DSGE HVD wFG'!B79-'DSGE HVD woFG'!B79</f>
        <v>-1.7256414322940977E-2</v>
      </c>
      <c r="C79">
        <f>'DSGE HVD wFG'!C79-'DSGE HVD woFG'!C79</f>
        <v>-2.4841952499782008E-2</v>
      </c>
      <c r="D79">
        <f>'DSGE HVD wFG'!D79-'DSGE HVD woFG'!D79</f>
        <v>-0.18987253770822199</v>
      </c>
      <c r="E79">
        <f>'DSGE HVD wFG'!E79-'DSGE HVD woFG'!E79</f>
        <v>-1.6177284740772201E-2</v>
      </c>
      <c r="F79">
        <f>'DSGE HVD wFG'!F79-'DSGE HVD woFG'!F79</f>
        <v>-2.0066868908033025E-2</v>
      </c>
      <c r="G79">
        <f>'DSGE HVD wFG'!G79-'DSGE HVD woFG'!G79</f>
        <v>2.9381769862950103E-16</v>
      </c>
      <c r="H79">
        <f>'DSGE HVD wFG'!H79-'DSGE HVD woFG'!H79</f>
        <v>-1.5847371049878037E-15</v>
      </c>
      <c r="I79">
        <f>'DSGE HVD wFG'!I79-'DSGE HVD woFG'!I79</f>
        <v>-6.3213063131472995E-15</v>
      </c>
      <c r="J79">
        <f>'DSGE HVD wFG'!J79-'DSGE HVD woFG'!J79</f>
        <v>3.0629382042350648E-15</v>
      </c>
      <c r="K79">
        <f>'DSGE HVD wFG'!K79-'DSGE HVD woFG'!K79</f>
        <v>-6.5166297397641401E-16</v>
      </c>
      <c r="L79">
        <f>'DSGE HVD wFG'!L79-'DSGE HVD woFG'!L79</f>
        <v>2.97695189952121E-15</v>
      </c>
      <c r="M79">
        <f>'DSGE HVD wFG'!M79-'DSGE HVD woFG'!M79</f>
        <v>2.5019693719882301E-15</v>
      </c>
      <c r="N79">
        <f>'DSGE HVD wFG'!N79-'DSGE HVD woFG'!N79</f>
        <v>5.8483450853620798E-15</v>
      </c>
      <c r="O79">
        <f>'DSGE HVD wFG'!O79-'DSGE HVD woFG'!O79</f>
        <v>7.7876337722891899E-15</v>
      </c>
      <c r="P79">
        <f>'DSGE HVD wFG'!P79-'DSGE HVD woFG'!P79</f>
        <v>1.2711111514010405E-14</v>
      </c>
      <c r="Q79">
        <f>'DSGE HVD wFG'!Q79-'DSGE HVD woFG'!Q79</f>
        <v>4.4746333136980405E-2</v>
      </c>
      <c r="R79">
        <f>'DSGE HVD wFG'!R79-'DSGE HVD woFG'!R79</f>
        <v>0</v>
      </c>
      <c r="S79">
        <f>'DSGE HVD wFG'!S79-'DSGE HVD woFG'!S79</f>
        <v>0.10213517950922699</v>
      </c>
      <c r="T79">
        <f>'DSGE HVD wFG'!T79-'DSGE HVD woFG'!T79</f>
        <v>-1.6962558093130999E-3</v>
      </c>
      <c r="U79">
        <f>'DSGE HVD wFG'!U79-'DSGE HVD woFG'!U79</f>
        <v>-0.12302980134282798</v>
      </c>
      <c r="Y79" s="1">
        <f t="shared" si="16"/>
        <v>46203</v>
      </c>
      <c r="Z79" s="7">
        <f t="shared" si="16"/>
        <v>-1.7256414322940977E-2</v>
      </c>
      <c r="AA79" s="7">
        <f t="shared" si="16"/>
        <v>-2.4841952499782008E-2</v>
      </c>
      <c r="AB79" s="7">
        <f t="shared" si="16"/>
        <v>-0.18987253770822199</v>
      </c>
      <c r="AC79" s="7">
        <f t="shared" si="17"/>
        <v>8.2068310601193961E-2</v>
      </c>
      <c r="AD79" s="7">
        <f t="shared" si="18"/>
        <v>-1.6177284740772201E-2</v>
      </c>
      <c r="AE79" s="7">
        <f t="shared" si="19"/>
        <v>4.4746333136980405E-2</v>
      </c>
      <c r="AF79" s="7">
        <f t="shared" si="20"/>
        <v>2.9381769862950103E-16</v>
      </c>
      <c r="AG79" s="7">
        <f t="shared" si="20"/>
        <v>-1.5847371049878037E-15</v>
      </c>
      <c r="AH79" s="7">
        <f t="shared" si="21"/>
        <v>-1.6962558092851838E-3</v>
      </c>
      <c r="AI79" s="7">
        <f t="shared" si="15"/>
        <v>-0.12302980134282931</v>
      </c>
      <c r="AJ79" s="8">
        <f t="shared" si="22"/>
        <v>0.12681464373817436</v>
      </c>
      <c r="AK79" s="8">
        <f t="shared" si="23"/>
        <v>-0.23089177494877619</v>
      </c>
      <c r="AL79" s="8">
        <f t="shared" si="24"/>
        <v>-1.7256414322940977E-2</v>
      </c>
      <c r="AM79" s="8">
        <f t="shared" si="25"/>
        <v>-1.6962558092851838E-3</v>
      </c>
      <c r="AN79" s="8">
        <f t="shared" si="26"/>
        <v>-0.123029801342828</v>
      </c>
      <c r="AO79" s="9">
        <f t="shared" si="27"/>
        <v>-0.19314163398901951</v>
      </c>
      <c r="AP79" s="9">
        <f t="shared" si="27"/>
        <v>1.0845768363628043</v>
      </c>
      <c r="AQ79" s="9">
        <f t="shared" si="27"/>
        <v>0.10036629809766011</v>
      </c>
      <c r="AR79" s="9">
        <f t="shared" si="27"/>
        <v>8.1984995285615571E-3</v>
      </c>
      <c r="AS79" s="9">
        <f t="shared" si="27"/>
        <v>1</v>
      </c>
      <c r="AT79" s="7"/>
      <c r="AU79" s="7"/>
      <c r="AV79" s="7"/>
      <c r="AW79" s="7"/>
      <c r="AX79" s="7"/>
    </row>
    <row r="80" spans="1:50" x14ac:dyDescent="0.25">
      <c r="A80" s="1">
        <v>46295</v>
      </c>
      <c r="B80">
        <f>'DSGE HVD wFG'!B80-'DSGE HVD woFG'!B80</f>
        <v>-1.7044823732670994E-2</v>
      </c>
      <c r="C80">
        <f>'DSGE HVD wFG'!C80-'DSGE HVD woFG'!C80</f>
        <v>-2.4593535931161009E-2</v>
      </c>
      <c r="D80">
        <f>'DSGE HVD wFG'!D80-'DSGE HVD woFG'!D80</f>
        <v>-0.18796197400805004</v>
      </c>
      <c r="E80">
        <f>'DSGE HVD wFG'!E80-'DSGE HVD woFG'!E80</f>
        <v>-1.6021993636176998E-2</v>
      </c>
      <c r="F80">
        <f>'DSGE HVD wFG'!F80-'DSGE HVD woFG'!F80</f>
        <v>-1.896295225198999E-2</v>
      </c>
      <c r="G80">
        <f>'DSGE HVD wFG'!G80-'DSGE HVD woFG'!G80</f>
        <v>2.8729353442989982E-16</v>
      </c>
      <c r="H80">
        <f>'DSGE HVD wFG'!H80-'DSGE HVD woFG'!H80</f>
        <v>-1.5966632024210035E-15</v>
      </c>
      <c r="I80">
        <f>'DSGE HVD wFG'!I80-'DSGE HVD woFG'!I80</f>
        <v>-6.2003470632215695E-15</v>
      </c>
      <c r="J80">
        <f>'DSGE HVD wFG'!J80-'DSGE HVD woFG'!J80</f>
        <v>3.0232674166338489E-15</v>
      </c>
      <c r="K80">
        <f>'DSGE HVD wFG'!K80-'DSGE HVD woFG'!K80</f>
        <v>-6.5405793481840698E-16</v>
      </c>
      <c r="L80">
        <f>'DSGE HVD wFG'!L80-'DSGE HVD woFG'!L80</f>
        <v>2.9380334102600002E-15</v>
      </c>
      <c r="M80">
        <f>'DSGE HVD wFG'!M80-'DSGE HVD woFG'!M80</f>
        <v>2.4668542819622369E-15</v>
      </c>
      <c r="N80">
        <f>'DSGE HVD wFG'!N80-'DSGE HVD woFG'!N80</f>
        <v>5.7821859889899899E-15</v>
      </c>
      <c r="O80">
        <f>'DSGE HVD wFG'!O80-'DSGE HVD woFG'!O80</f>
        <v>7.7101722750901408E-15</v>
      </c>
      <c r="P80">
        <f>'DSGE HVD wFG'!P80-'DSGE HVD woFG'!P80</f>
        <v>1.2915670914427297E-14</v>
      </c>
      <c r="Q80">
        <f>'DSGE HVD wFG'!Q80-'DSGE HVD woFG'!Q80</f>
        <v>4.3961901868003896E-2</v>
      </c>
      <c r="R80">
        <f>'DSGE HVD wFG'!R80-'DSGE HVD woFG'!R80</f>
        <v>0</v>
      </c>
      <c r="S80">
        <f>'DSGE HVD wFG'!S80-'DSGE HVD woFG'!S80</f>
        <v>0.10136808838533201</v>
      </c>
      <c r="T80">
        <f>'DSGE HVD wFG'!T80-'DSGE HVD woFG'!T80</f>
        <v>-1.6789251083146987E-3</v>
      </c>
      <c r="U80">
        <f>'DSGE HVD wFG'!U80-'DSGE HVD woFG'!U80</f>
        <v>-0.12093421441500002</v>
      </c>
      <c r="Y80" s="1">
        <f t="shared" si="16"/>
        <v>46295</v>
      </c>
      <c r="Z80" s="7">
        <f t="shared" si="16"/>
        <v>-1.7044823732670994E-2</v>
      </c>
      <c r="AA80" s="7">
        <f t="shared" si="16"/>
        <v>-2.4593535931161009E-2</v>
      </c>
      <c r="AB80" s="7">
        <f t="shared" si="16"/>
        <v>-0.18796197400805004</v>
      </c>
      <c r="AC80" s="7">
        <f t="shared" si="17"/>
        <v>8.2405136133342022E-2</v>
      </c>
      <c r="AD80" s="7">
        <f t="shared" si="18"/>
        <v>-1.6021993636176998E-2</v>
      </c>
      <c r="AE80" s="7">
        <f t="shared" si="19"/>
        <v>4.3961901868003896E-2</v>
      </c>
      <c r="AF80" s="7">
        <f t="shared" si="20"/>
        <v>2.8729353442989982E-16</v>
      </c>
      <c r="AG80" s="7">
        <f t="shared" si="20"/>
        <v>-1.5966632024210035E-15</v>
      </c>
      <c r="AH80" s="7">
        <f t="shared" si="21"/>
        <v>-1.678925108286717E-3</v>
      </c>
      <c r="AI80" s="7">
        <f t="shared" si="15"/>
        <v>-0.12093421441500113</v>
      </c>
      <c r="AJ80" s="8">
        <f t="shared" si="22"/>
        <v>0.12636703800134591</v>
      </c>
      <c r="AK80" s="8">
        <f t="shared" si="23"/>
        <v>-0.22857750357538803</v>
      </c>
      <c r="AL80" s="8">
        <f t="shared" si="24"/>
        <v>-1.7044823732670994E-2</v>
      </c>
      <c r="AM80" s="8">
        <f t="shared" si="25"/>
        <v>-1.678925108286717E-3</v>
      </c>
      <c r="AN80" s="8">
        <f t="shared" si="26"/>
        <v>-0.12093421441499982</v>
      </c>
      <c r="AO80" s="9">
        <f t="shared" si="27"/>
        <v>-0.21359444978612249</v>
      </c>
      <c r="AP80" s="9">
        <f t="shared" si="27"/>
        <v>1.104354747901882</v>
      </c>
      <c r="AQ80" s="9">
        <f t="shared" si="27"/>
        <v>0.10096960782689741</v>
      </c>
      <c r="AR80" s="9">
        <f t="shared" si="27"/>
        <v>8.2700940573379317E-3</v>
      </c>
      <c r="AS80" s="9">
        <f t="shared" si="27"/>
        <v>1</v>
      </c>
      <c r="AT80" s="7"/>
      <c r="AU80" s="7"/>
      <c r="AV80" s="7"/>
      <c r="AW80" s="7"/>
      <c r="AX80" s="7"/>
    </row>
    <row r="81" spans="1:50" x14ac:dyDescent="0.25">
      <c r="A81" s="1">
        <v>46387</v>
      </c>
      <c r="B81">
        <f>'DSGE HVD wFG'!B81-'DSGE HVD woFG'!B81</f>
        <v>-1.6836037976628027E-2</v>
      </c>
      <c r="C81">
        <f>'DSGE HVD wFG'!C81-'DSGE HVD woFG'!C81</f>
        <v>-2.4347602106512004E-2</v>
      </c>
      <c r="D81">
        <f>'DSGE HVD wFG'!D81-'DSGE HVD woFG'!D81</f>
        <v>-0.18607410780031597</v>
      </c>
      <c r="E81">
        <f>'DSGE HVD wFG'!E81-'DSGE HVD woFG'!E81</f>
        <v>-1.5846231487432097E-2</v>
      </c>
      <c r="F81">
        <f>'DSGE HVD wFG'!F81-'DSGE HVD woFG'!F81</f>
        <v>-1.7920865067428987E-2</v>
      </c>
      <c r="G81">
        <f>'DSGE HVD wFG'!G81-'DSGE HVD woFG'!G81</f>
        <v>2.8076539262280086E-16</v>
      </c>
      <c r="H81">
        <f>'DSGE HVD wFG'!H81-'DSGE HVD woFG'!H81</f>
        <v>-1.6077173706613034E-15</v>
      </c>
      <c r="I81">
        <f>'DSGE HVD wFG'!I81-'DSGE HVD woFG'!I81</f>
        <v>-6.0818726535271697E-15</v>
      </c>
      <c r="J81">
        <f>'DSGE HVD wFG'!J81-'DSGE HVD woFG'!J81</f>
        <v>2.9840361594793808E-15</v>
      </c>
      <c r="K81">
        <f>'DSGE HVD wFG'!K81-'DSGE HVD woFG'!K81</f>
        <v>-6.54476698611863E-16</v>
      </c>
      <c r="L81">
        <f>'DSGE HVD wFG'!L81-'DSGE HVD woFG'!L81</f>
        <v>2.9005219704596898E-15</v>
      </c>
      <c r="M81">
        <f>'DSGE HVD wFG'!M81-'DSGE HVD woFG'!M81</f>
        <v>2.4334904502369201E-15</v>
      </c>
      <c r="N81">
        <f>'DSGE HVD wFG'!N81-'DSGE HVD woFG'!N81</f>
        <v>5.7166601883336103E-15</v>
      </c>
      <c r="O81">
        <f>'DSGE HVD wFG'!O81-'DSGE HVD woFG'!O81</f>
        <v>7.63153428632715E-15</v>
      </c>
      <c r="P81">
        <f>'DSGE HVD wFG'!P81-'DSGE HVD woFG'!P81</f>
        <v>1.3113985178756401E-14</v>
      </c>
      <c r="Q81">
        <f>'DSGE HVD wFG'!Q81-'DSGE HVD woFG'!Q81</f>
        <v>4.3215793096857399E-2</v>
      </c>
      <c r="R81">
        <f>'DSGE HVD wFG'!R81-'DSGE HVD woFG'!R81</f>
        <v>0</v>
      </c>
      <c r="S81">
        <f>'DSGE HVD wFG'!S81-'DSGE HVD woFG'!S81</f>
        <v>0.10058957555066397</v>
      </c>
      <c r="T81">
        <f>'DSGE HVD wFG'!T81-'DSGE HVD woFG'!T81</f>
        <v>-1.6617779054878008E-3</v>
      </c>
      <c r="U81">
        <f>'DSGE HVD wFG'!U81-'DSGE HVD woFG'!U81</f>
        <v>-0.11888125369625502</v>
      </c>
      <c r="Y81" s="1">
        <f t="shared" si="16"/>
        <v>46387</v>
      </c>
      <c r="Z81" s="7">
        <f t="shared" si="16"/>
        <v>-1.6836037976628027E-2</v>
      </c>
      <c r="AA81" s="7">
        <f t="shared" si="16"/>
        <v>-2.4347602106512004E-2</v>
      </c>
      <c r="AB81" s="7">
        <f t="shared" si="16"/>
        <v>-0.18607410780031597</v>
      </c>
      <c r="AC81" s="7">
        <f t="shared" si="17"/>
        <v>8.2668710483234986E-2</v>
      </c>
      <c r="AD81" s="7">
        <f t="shared" si="18"/>
        <v>-1.5846231487432097E-2</v>
      </c>
      <c r="AE81" s="7">
        <f t="shared" si="19"/>
        <v>4.3215793096857399E-2</v>
      </c>
      <c r="AF81" s="7">
        <f t="shared" si="20"/>
        <v>2.8076539262280086E-16</v>
      </c>
      <c r="AG81" s="7">
        <f t="shared" si="20"/>
        <v>-1.6077173706613034E-15</v>
      </c>
      <c r="AH81" s="7">
        <f t="shared" si="21"/>
        <v>-1.6617779054597572E-3</v>
      </c>
      <c r="AI81" s="7">
        <f t="shared" si="15"/>
        <v>-0.11888125369625677</v>
      </c>
      <c r="AJ81" s="8">
        <f t="shared" si="22"/>
        <v>0.1258845035800924</v>
      </c>
      <c r="AK81" s="8">
        <f t="shared" si="23"/>
        <v>-0.22626794139426004</v>
      </c>
      <c r="AL81" s="8">
        <f t="shared" si="24"/>
        <v>-1.6836037976628027E-2</v>
      </c>
      <c r="AM81" s="8">
        <f t="shared" si="25"/>
        <v>-1.6617779054597572E-3</v>
      </c>
      <c r="AN81" s="8">
        <f t="shared" si="26"/>
        <v>-0.11888125369625542</v>
      </c>
      <c r="AO81" s="9">
        <f t="shared" si="27"/>
        <v>-0.23504318268136679</v>
      </c>
      <c r="AP81" s="9">
        <f t="shared" si="27"/>
        <v>1.124990926538781</v>
      </c>
      <c r="AQ81" s="9">
        <f t="shared" si="27"/>
        <v>0.10169982997563698</v>
      </c>
      <c r="AR81" s="9">
        <f t="shared" si="27"/>
        <v>8.3524261669492908E-3</v>
      </c>
      <c r="AS81" s="9">
        <f t="shared" si="27"/>
        <v>1</v>
      </c>
      <c r="AT81" s="7"/>
      <c r="AU81" s="7"/>
      <c r="AV81" s="7"/>
      <c r="AW81" s="7"/>
      <c r="AX81" s="7"/>
    </row>
    <row r="82" spans="1:50" x14ac:dyDescent="0.25">
      <c r="A82" s="1">
        <v>46477</v>
      </c>
      <c r="B82">
        <f>'DSGE HVD wFG'!B82-'DSGE HVD woFG'!B82</f>
        <v>-1.6630018585570006E-2</v>
      </c>
      <c r="C82">
        <f>'DSGE HVD wFG'!C82-'DSGE HVD woFG'!C82</f>
        <v>-2.4104126882092985E-2</v>
      </c>
      <c r="D82">
        <f>'DSGE HVD wFG'!D82-'DSGE HVD woFG'!D82</f>
        <v>-0.18420762230832402</v>
      </c>
      <c r="E82">
        <f>'DSGE HVD wFG'!E82-'DSGE HVD woFG'!E82</f>
        <v>-1.5653184021008106E-2</v>
      </c>
      <c r="F82">
        <f>'DSGE HVD wFG'!F82-'DSGE HVD woFG'!F82</f>
        <v>-1.6937409619755983E-2</v>
      </c>
      <c r="G82">
        <f>'DSGE HVD wFG'!G82-'DSGE HVD woFG'!G82</f>
        <v>2.7424380929899887E-16</v>
      </c>
      <c r="H82">
        <f>'DSGE HVD wFG'!H82-'DSGE HVD woFG'!H82</f>
        <v>-1.6178978837416021E-15</v>
      </c>
      <c r="I82">
        <f>'DSGE HVD wFG'!I82-'DSGE HVD woFG'!I82</f>
        <v>-5.9661587178720699E-15</v>
      </c>
      <c r="J82">
        <f>'DSGE HVD wFG'!J82-'DSGE HVD woFG'!J82</f>
        <v>2.9452602261766263E-15</v>
      </c>
      <c r="K82">
        <f>'DSGE HVD wFG'!K82-'DSGE HVD woFG'!K82</f>
        <v>-6.53046861192389E-16</v>
      </c>
      <c r="L82">
        <f>'DSGE HVD wFG'!L82-'DSGE HVD woFG'!L82</f>
        <v>2.8643516792570656E-15</v>
      </c>
      <c r="M82">
        <f>'DSGE HVD wFG'!M82-'DSGE HVD woFG'!M82</f>
        <v>2.4017949981103798E-15</v>
      </c>
      <c r="N82">
        <f>'DSGE HVD wFG'!N82-'DSGE HVD woFG'!N82</f>
        <v>5.6518351828950998E-15</v>
      </c>
      <c r="O82">
        <f>'DSGE HVD wFG'!O82-'DSGE HVD woFG'!O82</f>
        <v>7.5519013785091097E-15</v>
      </c>
      <c r="P82">
        <f>'DSGE HVD wFG'!P82-'DSGE HVD woFG'!P82</f>
        <v>1.3306100791378991E-14</v>
      </c>
      <c r="Q82">
        <f>'DSGE HVD wFG'!Q82-'DSGE HVD woFG'!Q82</f>
        <v>4.2502069373414997E-2</v>
      </c>
      <c r="R82">
        <f>'DSGE HVD wFG'!R82-'DSGE HVD woFG'!R82</f>
        <v>0</v>
      </c>
      <c r="S82">
        <f>'DSGE HVD wFG'!S82-'DSGE HVD woFG'!S82</f>
        <v>9.9802903646243002E-2</v>
      </c>
      <c r="T82">
        <f>'DSGE HVD wFG'!T82-'DSGE HVD woFG'!T82</f>
        <v>-1.6448121661533002E-3</v>
      </c>
      <c r="U82">
        <f>'DSGE HVD wFG'!U82-'DSGE HVD woFG'!U82</f>
        <v>-0.11687220056322001</v>
      </c>
      <c r="Y82" s="1">
        <f t="shared" si="16"/>
        <v>46477</v>
      </c>
      <c r="Z82" s="7">
        <f t="shared" si="16"/>
        <v>-1.6630018585570006E-2</v>
      </c>
      <c r="AA82" s="7">
        <f t="shared" si="16"/>
        <v>-2.4104126882092985E-2</v>
      </c>
      <c r="AB82" s="7">
        <f t="shared" si="16"/>
        <v>-0.18420762230832402</v>
      </c>
      <c r="AC82" s="7">
        <f t="shared" si="17"/>
        <v>8.2865494026487019E-2</v>
      </c>
      <c r="AD82" s="7">
        <f t="shared" si="18"/>
        <v>-1.5653184021008106E-2</v>
      </c>
      <c r="AE82" s="7">
        <f t="shared" si="19"/>
        <v>4.2502069373414997E-2</v>
      </c>
      <c r="AF82" s="7">
        <f t="shared" si="20"/>
        <v>2.7424380929899887E-16</v>
      </c>
      <c r="AG82" s="7">
        <f t="shared" si="20"/>
        <v>-1.6178978837416021E-15</v>
      </c>
      <c r="AH82" s="7">
        <f t="shared" si="21"/>
        <v>-1.6448121661251983E-3</v>
      </c>
      <c r="AI82" s="7">
        <f t="shared" si="15"/>
        <v>-0.11687220056321963</v>
      </c>
      <c r="AJ82" s="8">
        <f t="shared" si="22"/>
        <v>0.12536756339990202</v>
      </c>
      <c r="AK82" s="8">
        <f t="shared" si="23"/>
        <v>-0.2239649332114251</v>
      </c>
      <c r="AL82" s="8">
        <f t="shared" si="24"/>
        <v>-1.6630018585570006E-2</v>
      </c>
      <c r="AM82" s="8">
        <f t="shared" si="25"/>
        <v>-1.6448121661251983E-3</v>
      </c>
      <c r="AN82" s="8">
        <f t="shared" si="26"/>
        <v>-0.11687220056321829</v>
      </c>
      <c r="AO82" s="9">
        <f t="shared" si="27"/>
        <v>-0.25730538017623911</v>
      </c>
      <c r="AP82" s="9">
        <f t="shared" si="27"/>
        <v>1.146315219325944</v>
      </c>
      <c r="AQ82" s="9">
        <f t="shared" si="27"/>
        <v>0.10254551642771965</v>
      </c>
      <c r="AR82" s="9">
        <f t="shared" si="27"/>
        <v>8.4446444225750351E-3</v>
      </c>
      <c r="AS82" s="9">
        <f t="shared" si="27"/>
        <v>1</v>
      </c>
      <c r="AT82" s="7"/>
      <c r="AU82" s="7"/>
      <c r="AV82" s="7"/>
      <c r="AW82" s="7"/>
      <c r="AX82" s="7"/>
    </row>
    <row r="83" spans="1:50" x14ac:dyDescent="0.25">
      <c r="A83" s="1">
        <v>46568</v>
      </c>
      <c r="B83">
        <f>'DSGE HVD wFG'!B83-'DSGE HVD woFG'!B83</f>
        <v>-1.6426727668791996E-2</v>
      </c>
      <c r="C83">
        <f>'DSGE HVD wFG'!C83-'DSGE HVD woFG'!C83</f>
        <v>-2.3863086026813987E-2</v>
      </c>
      <c r="D83">
        <f>'DSGE HVD wFG'!D83-'DSGE HVD woFG'!D83</f>
        <v>-0.182361544578966</v>
      </c>
      <c r="E83">
        <f>'DSGE HVD wFG'!E83-'DSGE HVD woFG'!E83</f>
        <v>-1.5445670031120302E-2</v>
      </c>
      <c r="F83">
        <f>'DSGE HVD wFG'!F83-'DSGE HVD woFG'!F83</f>
        <v>-1.6009448101941021E-2</v>
      </c>
      <c r="G83">
        <f>'DSGE HVD wFG'!G83-'DSGE HVD woFG'!G83</f>
        <v>2.6773676446929982E-16</v>
      </c>
      <c r="H83">
        <f>'DSGE HVD wFG'!H83-'DSGE HVD woFG'!H83</f>
        <v>-1.6272101559451025E-15</v>
      </c>
      <c r="I83">
        <f>'DSGE HVD wFG'!I83-'DSGE HVD woFG'!I83</f>
        <v>-5.85341081939178E-15</v>
      </c>
      <c r="J83">
        <f>'DSGE HVD wFG'!J83-'DSGE HVD woFG'!J83</f>
        <v>2.906953615087505E-15</v>
      </c>
      <c r="K83">
        <f>'DSGE HVD wFG'!K83-'DSGE HVD woFG'!K83</f>
        <v>-6.4991544563380107E-16</v>
      </c>
      <c r="L83">
        <f>'DSGE HVD wFG'!L83-'DSGE HVD woFG'!L83</f>
        <v>2.8294455634491668E-15</v>
      </c>
      <c r="M83">
        <f>'DSGE HVD wFG'!M83-'DSGE HVD woFG'!M83</f>
        <v>2.3716687052107012E-15</v>
      </c>
      <c r="N83">
        <f>'DSGE HVD wFG'!N83-'DSGE HVD woFG'!N83</f>
        <v>5.5877655231158693E-15</v>
      </c>
      <c r="O83">
        <f>'DSGE HVD wFG'!O83-'DSGE HVD woFG'!O83</f>
        <v>7.4714584209467005E-15</v>
      </c>
      <c r="P83">
        <f>'DSGE HVD wFG'!P83-'DSGE HVD woFG'!P83</f>
        <v>1.3492073297892306E-14</v>
      </c>
      <c r="Q83">
        <f>'DSGE HVD wFG'!Q83-'DSGE HVD woFG'!Q83</f>
        <v>4.1815880568366603E-2</v>
      </c>
      <c r="R83">
        <f>'DSGE HVD wFG'!R83-'DSGE HVD woFG'!R83</f>
        <v>0</v>
      </c>
      <c r="S83">
        <f>'DSGE HVD wFG'!S83-'DSGE HVD woFG'!S83</f>
        <v>9.9010677264328995E-2</v>
      </c>
      <c r="T83">
        <f>'DSGE HVD wFG'!T83-'DSGE HVD woFG'!T83</f>
        <v>-1.6280258797676007E-3</v>
      </c>
      <c r="U83">
        <f>'DSGE HVD wFG'!U83-'DSGE HVD woFG'!U83</f>
        <v>-0.114907944454676</v>
      </c>
      <c r="Y83" s="1">
        <f t="shared" si="16"/>
        <v>46568</v>
      </c>
      <c r="Z83" s="7">
        <f t="shared" si="16"/>
        <v>-1.6426727668791996E-2</v>
      </c>
      <c r="AA83" s="7">
        <f t="shared" si="16"/>
        <v>-2.3863086026813987E-2</v>
      </c>
      <c r="AB83" s="7">
        <f t="shared" si="16"/>
        <v>-0.182361544578966</v>
      </c>
      <c r="AC83" s="7">
        <f t="shared" si="17"/>
        <v>8.3001229162387974E-2</v>
      </c>
      <c r="AD83" s="7">
        <f t="shared" si="18"/>
        <v>-1.5445670031120302E-2</v>
      </c>
      <c r="AE83" s="7">
        <f t="shared" si="19"/>
        <v>4.1815880568366603E-2</v>
      </c>
      <c r="AF83" s="7">
        <f t="shared" si="20"/>
        <v>2.6773676446929982E-16</v>
      </c>
      <c r="AG83" s="7">
        <f t="shared" si="20"/>
        <v>-1.6272101559451025E-15</v>
      </c>
      <c r="AH83" s="7">
        <f t="shared" si="21"/>
        <v>-1.6280258797394447E-3</v>
      </c>
      <c r="AI83" s="7">
        <f t="shared" si="15"/>
        <v>-0.11490794445467852</v>
      </c>
      <c r="AJ83" s="8">
        <f t="shared" si="22"/>
        <v>0.12481710973075458</v>
      </c>
      <c r="AK83" s="8">
        <f t="shared" si="23"/>
        <v>-0.2216703006369003</v>
      </c>
      <c r="AL83" s="8">
        <f t="shared" si="24"/>
        <v>-1.6426727668791996E-2</v>
      </c>
      <c r="AM83" s="8">
        <f t="shared" si="25"/>
        <v>-1.6280258797394447E-3</v>
      </c>
      <c r="AN83" s="8">
        <f t="shared" si="26"/>
        <v>-0.11490794445467716</v>
      </c>
      <c r="AO83" s="9">
        <f t="shared" si="27"/>
        <v>-0.28023518254768942</v>
      </c>
      <c r="AP83" s="9">
        <f t="shared" si="27"/>
        <v>1.1681941904353037</v>
      </c>
      <c r="AQ83" s="9">
        <f t="shared" si="27"/>
        <v>0.10349511751244862</v>
      </c>
      <c r="AR83" s="9">
        <f t="shared" si="27"/>
        <v>8.5458745999374437E-3</v>
      </c>
      <c r="AS83" s="9">
        <f t="shared" si="27"/>
        <v>1</v>
      </c>
      <c r="AT83" s="7"/>
      <c r="AU83" s="7"/>
      <c r="AV83" s="7"/>
      <c r="AW83" s="7"/>
      <c r="AX83" s="7"/>
    </row>
    <row r="84" spans="1:50" x14ac:dyDescent="0.25">
      <c r="A84" s="1">
        <v>46660</v>
      </c>
      <c r="B84">
        <f>'DSGE HVD wFG'!B84-'DSGE HVD woFG'!B84</f>
        <v>-1.6226127821834996E-2</v>
      </c>
      <c r="C84">
        <f>'DSGE HVD wFG'!C84-'DSGE HVD woFG'!C84</f>
        <v>-2.3624455381216006E-2</v>
      </c>
      <c r="D84">
        <f>'DSGE HVD wFG'!D84-'DSGE HVD woFG'!D84</f>
        <v>-0.18053514172048102</v>
      </c>
      <c r="E84">
        <f>'DSGE HVD wFG'!E84-'DSGE HVD woFG'!E84</f>
        <v>-1.5226179116098401E-2</v>
      </c>
      <c r="F84">
        <f>'DSGE HVD wFG'!F84-'DSGE HVD woFG'!F84</f>
        <v>-1.5133932255639998E-2</v>
      </c>
      <c r="G84">
        <f>'DSGE HVD wFG'!G84-'DSGE HVD woFG'!G84</f>
        <v>2.6125058730870078E-16</v>
      </c>
      <c r="H84">
        <f>'DSGE HVD wFG'!H84-'DSGE HVD woFG'!H84</f>
        <v>-1.6356659611776975E-15</v>
      </c>
      <c r="I84">
        <f>'DSGE HVD wFG'!I84-'DSGE HVD woFG'!I84</f>
        <v>-5.7437714756068797E-15</v>
      </c>
      <c r="J84">
        <f>'DSGE HVD wFG'!J84-'DSGE HVD woFG'!J84</f>
        <v>2.8691288010945259E-15</v>
      </c>
      <c r="K84">
        <f>'DSGE HVD wFG'!K84-'DSGE HVD woFG'!K84</f>
        <v>-6.4524168799459804E-16</v>
      </c>
      <c r="L84">
        <f>'DSGE HVD wFG'!L84-'DSGE HVD woFG'!L84</f>
        <v>2.7957203212677393E-15</v>
      </c>
      <c r="M84">
        <f>'DSGE HVD wFG'!M84-'DSGE HVD woFG'!M84</f>
        <v>2.3430019792914673E-15</v>
      </c>
      <c r="N84">
        <f>'DSGE HVD wFG'!N84-'DSGE HVD woFG'!N84</f>
        <v>5.52449406325607E-15</v>
      </c>
      <c r="O84">
        <f>'DSGE HVD wFG'!O84-'DSGE HVD woFG'!O84</f>
        <v>7.3903903430321396E-15</v>
      </c>
      <c r="P84">
        <f>'DSGE HVD wFG'!P84-'DSGE HVD woFG'!P84</f>
        <v>1.3671966710479401E-14</v>
      </c>
      <c r="Q84">
        <f>'DSGE HVD wFG'!Q84-'DSGE HVD woFG'!Q84</f>
        <v>4.1153259834402003E-2</v>
      </c>
      <c r="R84">
        <f>'DSGE HVD wFG'!R84-'DSGE HVD woFG'!R84</f>
        <v>0</v>
      </c>
      <c r="S84">
        <f>'DSGE HVD wFG'!S84-'DSGE HVD woFG'!S84</f>
        <v>9.8214976254188985E-2</v>
      </c>
      <c r="T84">
        <f>'DSGE HVD wFG'!T84-'DSGE HVD woFG'!T84</f>
        <v>-1.6114170596098001E-3</v>
      </c>
      <c r="U84">
        <f>'DSGE HVD wFG'!U84-'DSGE HVD woFG'!U84</f>
        <v>-0.11298901726626098</v>
      </c>
      <c r="Y84" s="1">
        <f t="shared" si="16"/>
        <v>46660</v>
      </c>
      <c r="Z84" s="7">
        <f t="shared" si="16"/>
        <v>-1.6226127821834996E-2</v>
      </c>
      <c r="AA84" s="7">
        <f t="shared" si="16"/>
        <v>-2.3624455381216006E-2</v>
      </c>
      <c r="AB84" s="7">
        <f t="shared" si="16"/>
        <v>-0.18053514172048102</v>
      </c>
      <c r="AC84" s="7">
        <f t="shared" si="17"/>
        <v>8.3081043998548987E-2</v>
      </c>
      <c r="AD84" s="7">
        <f t="shared" si="18"/>
        <v>-1.5226179116098401E-2</v>
      </c>
      <c r="AE84" s="7">
        <f t="shared" si="19"/>
        <v>4.1153259834402003E-2</v>
      </c>
      <c r="AF84" s="7">
        <f t="shared" si="20"/>
        <v>2.6125058730870078E-16</v>
      </c>
      <c r="AG84" s="7">
        <f t="shared" si="20"/>
        <v>-1.6356659611776975E-15</v>
      </c>
      <c r="AH84" s="7">
        <f t="shared" si="21"/>
        <v>-1.6114170595815944E-3</v>
      </c>
      <c r="AI84" s="7">
        <f t="shared" si="15"/>
        <v>-0.11298901726626243</v>
      </c>
      <c r="AJ84" s="8">
        <f t="shared" si="22"/>
        <v>0.12423430383295099</v>
      </c>
      <c r="AK84" s="8">
        <f t="shared" si="23"/>
        <v>-0.21938577621779543</v>
      </c>
      <c r="AL84" s="8">
        <f t="shared" si="24"/>
        <v>-1.6226127821834996E-2</v>
      </c>
      <c r="AM84" s="8">
        <f t="shared" si="25"/>
        <v>-1.6114170595815944E-3</v>
      </c>
      <c r="AN84" s="8">
        <f t="shared" si="26"/>
        <v>-0.11298901726626102</v>
      </c>
      <c r="AO84" s="9">
        <f t="shared" si="27"/>
        <v>-0.30371444071550791</v>
      </c>
      <c r="AP84" s="9">
        <f t="shared" si="27"/>
        <v>1.190521679454916</v>
      </c>
      <c r="AQ84" s="9">
        <f t="shared" si="27"/>
        <v>0.10453749791443312</v>
      </c>
      <c r="AR84" s="9">
        <f t="shared" si="27"/>
        <v>8.655263346161176E-3</v>
      </c>
      <c r="AS84" s="9">
        <f t="shared" si="27"/>
        <v>1</v>
      </c>
      <c r="AT84" s="7"/>
      <c r="AU84" s="7"/>
      <c r="AV84" s="7"/>
      <c r="AW84" s="7"/>
      <c r="AX84" s="7"/>
    </row>
    <row r="85" spans="1:50" x14ac:dyDescent="0.25">
      <c r="A85" s="1">
        <v>46752</v>
      </c>
      <c r="B85">
        <f>'DSGE HVD wFG'!B85-'DSGE HVD woFG'!B85</f>
        <v>-1.6028182064126012E-2</v>
      </c>
      <c r="C85">
        <f>'DSGE HVD wFG'!C85-'DSGE HVD woFG'!C85</f>
        <v>-2.3388210938839013E-2</v>
      </c>
      <c r="D85">
        <f>'DSGE HVD wFG'!D85-'DSGE HVD woFG'!D85</f>
        <v>-0.17872784861707197</v>
      </c>
      <c r="E85">
        <f>'DSGE HVD wFG'!E85-'DSGE HVD woFG'!E85</f>
        <v>-1.4996906155972101E-2</v>
      </c>
      <c r="F85">
        <f>'DSGE HVD wFG'!F85-'DSGE HVD woFG'!F85</f>
        <v>-1.4307923586895005E-2</v>
      </c>
      <c r="G85">
        <f>'DSGE HVD wFG'!G85-'DSGE HVD woFG'!G85</f>
        <v>2.5479063369139831E-16</v>
      </c>
      <c r="H85">
        <f>'DSGE HVD wFG'!H85-'DSGE HVD woFG'!H85</f>
        <v>-1.643282559612198E-15</v>
      </c>
      <c r="I85">
        <f>'DSGE HVD wFG'!I85-'DSGE HVD woFG'!I85</f>
        <v>-5.6373276411033404E-15</v>
      </c>
      <c r="J85">
        <f>'DSGE HVD wFG'!J85-'DSGE HVD woFG'!J85</f>
        <v>2.8317968741874537E-15</v>
      </c>
      <c r="K85">
        <f>'DSGE HVD wFG'!K85-'DSGE HVD woFG'!K85</f>
        <v>-6.3919104751374398E-16</v>
      </c>
      <c r="L85">
        <f>'DSGE HVD wFG'!L85-'DSGE HVD woFG'!L85</f>
        <v>2.7630900046192292E-15</v>
      </c>
      <c r="M85">
        <f>'DSGE HVD wFG'!M85-'DSGE HVD woFG'!M85</f>
        <v>2.3156796950277401E-15</v>
      </c>
      <c r="N85">
        <f>'DSGE HVD wFG'!N85-'DSGE HVD woFG'!N85</f>
        <v>5.4620532216428004E-15</v>
      </c>
      <c r="O85">
        <f>'DSGE HVD wFG'!O85-'DSGE HVD woFG'!O85</f>
        <v>7.3088791847568493E-15</v>
      </c>
      <c r="P85">
        <f>'DSGE HVD wFG'!P85-'DSGE HVD woFG'!P85</f>
        <v>1.3845852806093201E-14</v>
      </c>
      <c r="Q85">
        <f>'DSGE HVD wFG'!Q85-'DSGE HVD woFG'!Q85</f>
        <v>4.0510958752530496E-2</v>
      </c>
      <c r="R85">
        <f>'DSGE HVD wFG'!R85-'DSGE HVD woFG'!R85</f>
        <v>0</v>
      </c>
      <c r="S85">
        <f>'DSGE HVD wFG'!S85-'DSGE HVD woFG'!S85</f>
        <v>9.7417462030467E-2</v>
      </c>
      <c r="T85">
        <f>'DSGE HVD wFG'!T85-'DSGE HVD woFG'!T85</f>
        <v>-1.5949837424733011E-3</v>
      </c>
      <c r="U85">
        <f>'DSGE HVD wFG'!U85-'DSGE HVD woFG'!U85</f>
        <v>-0.111115634322354</v>
      </c>
      <c r="Y85" s="1">
        <f t="shared" si="16"/>
        <v>46752</v>
      </c>
      <c r="Z85" s="7">
        <f t="shared" si="16"/>
        <v>-1.6028182064126012E-2</v>
      </c>
      <c r="AA85" s="7">
        <f t="shared" si="16"/>
        <v>-2.3388210938839013E-2</v>
      </c>
      <c r="AB85" s="7">
        <f t="shared" si="16"/>
        <v>-0.17872784861707197</v>
      </c>
      <c r="AC85" s="7">
        <f t="shared" si="17"/>
        <v>8.3109538443571995E-2</v>
      </c>
      <c r="AD85" s="7">
        <f t="shared" si="18"/>
        <v>-1.4996906155972101E-2</v>
      </c>
      <c r="AE85" s="7">
        <f t="shared" si="19"/>
        <v>4.0510958752530496E-2</v>
      </c>
      <c r="AF85" s="7">
        <f t="shared" si="20"/>
        <v>2.5479063369139831E-16</v>
      </c>
      <c r="AG85" s="7">
        <f t="shared" si="20"/>
        <v>-1.643282559612198E-15</v>
      </c>
      <c r="AH85" s="7">
        <f t="shared" si="21"/>
        <v>-1.5949837424450504E-3</v>
      </c>
      <c r="AI85" s="7">
        <f t="shared" si="15"/>
        <v>-0.11111563432235302</v>
      </c>
      <c r="AJ85" s="8">
        <f t="shared" si="22"/>
        <v>0.12362049719610249</v>
      </c>
      <c r="AK85" s="8">
        <f t="shared" si="23"/>
        <v>-0.2171129657118831</v>
      </c>
      <c r="AL85" s="8">
        <f t="shared" si="24"/>
        <v>-1.6028182064126012E-2</v>
      </c>
      <c r="AM85" s="8">
        <f t="shared" si="25"/>
        <v>-1.5949837424450504E-3</v>
      </c>
      <c r="AN85" s="8">
        <f t="shared" si="26"/>
        <v>-0.11111563432235166</v>
      </c>
      <c r="AO85" s="9">
        <f t="shared" si="27"/>
        <v>-0.32764611146059242</v>
      </c>
      <c r="AP85" s="9">
        <f t="shared" si="27"/>
        <v>1.2132119134006012</v>
      </c>
      <c r="AQ85" s="9">
        <f t="shared" si="27"/>
        <v>0.10566219701771824</v>
      </c>
      <c r="AR85" s="9">
        <f t="shared" si="27"/>
        <v>8.772001042270116E-3</v>
      </c>
      <c r="AS85" s="9">
        <f t="shared" si="27"/>
        <v>1</v>
      </c>
      <c r="AT85" s="7"/>
      <c r="AU85" s="7"/>
      <c r="AV85" s="7"/>
      <c r="AW85" s="7"/>
      <c r="AX85" s="7"/>
    </row>
    <row r="86" spans="1:50" x14ac:dyDescent="0.25">
      <c r="A86" s="1">
        <v>46843</v>
      </c>
      <c r="B86">
        <f>'DSGE HVD wFG'!B86-'DSGE HVD woFG'!B86</f>
        <v>-1.5832853798888991E-2</v>
      </c>
      <c r="C86">
        <f>'DSGE HVD wFG'!C86-'DSGE HVD woFG'!C86</f>
        <v>-2.3154328887296988E-2</v>
      </c>
      <c r="D86">
        <f>'DSGE HVD wFG'!D86-'DSGE HVD woFG'!D86</f>
        <v>-0.17693921757004</v>
      </c>
      <c r="E86">
        <f>'DSGE HVD wFG'!E86-'DSGE HVD woFG'!E86</f>
        <v>-1.4759782675225902E-2</v>
      </c>
      <c r="F86">
        <f>'DSGE HVD wFG'!F86-'DSGE HVD woFG'!F86</f>
        <v>-1.3528606395854986E-2</v>
      </c>
      <c r="G86">
        <f>'DSGE HVD wFG'!G86-'DSGE HVD woFG'!G86</f>
        <v>2.4836177316710183E-16</v>
      </c>
      <c r="H86">
        <f>'DSGE HVD wFG'!H86-'DSGE HVD woFG'!H86</f>
        <v>-1.6500817944360022E-15</v>
      </c>
      <c r="I86">
        <f>'DSGE HVD wFG'!I86-'DSGE HVD woFG'!I86</f>
        <v>-5.5341182508413E-15</v>
      </c>
      <c r="J86">
        <f>'DSGE HVD wFG'!J86-'DSGE HVD woFG'!J86</f>
        <v>2.794967593407378E-15</v>
      </c>
      <c r="K86">
        <f>'DSGE HVD wFG'!K86-'DSGE HVD woFG'!K86</f>
        <v>-6.3193032800104701E-16</v>
      </c>
      <c r="L86">
        <f>'DSGE HVD wFG'!L86-'DSGE HVD woFG'!L86</f>
        <v>2.7314688176439979E-15</v>
      </c>
      <c r="M86">
        <f>'DSGE HVD wFG'!M86-'DSGE HVD woFG'!M86</f>
        <v>2.28958504546672E-15</v>
      </c>
      <c r="N86">
        <f>'DSGE HVD wFG'!N86-'DSGE HVD woFG'!N86</f>
        <v>5.40046621047238E-15</v>
      </c>
      <c r="O86">
        <f>'DSGE HVD wFG'!O86-'DSGE HVD woFG'!O86</f>
        <v>7.2271015166463905E-15</v>
      </c>
      <c r="P86">
        <f>'DSGE HVD wFG'!P86-'DSGE HVD woFG'!P86</f>
        <v>1.4013810358686298E-14</v>
      </c>
      <c r="Q86">
        <f>'DSGE HVD wFG'!Q86-'DSGE HVD woFG'!Q86</f>
        <v>3.9886313999446102E-2</v>
      </c>
      <c r="R86">
        <f>'DSGE HVD wFG'!R86-'DSGE HVD woFG'!R86</f>
        <v>0</v>
      </c>
      <c r="S86">
        <f>'DSGE HVD wFG'!S86-'DSGE HVD woFG'!S86</f>
        <v>9.6619462342780987E-2</v>
      </c>
      <c r="T86">
        <f>'DSGE HVD wFG'!T86-'DSGE HVD woFG'!T86</f>
        <v>-1.5787239883611991E-3</v>
      </c>
      <c r="U86">
        <f>'DSGE HVD wFG'!U86-'DSGE HVD woFG'!U86</f>
        <v>-0.10928773697341299</v>
      </c>
      <c r="Y86" s="1">
        <f t="shared" si="16"/>
        <v>46843</v>
      </c>
      <c r="Z86" s="7">
        <f t="shared" si="16"/>
        <v>-1.5832853798888991E-2</v>
      </c>
      <c r="AA86" s="7">
        <f t="shared" si="16"/>
        <v>-2.3154328887296988E-2</v>
      </c>
      <c r="AB86" s="7">
        <f t="shared" si="16"/>
        <v>-0.17693921757004</v>
      </c>
      <c r="AC86" s="7">
        <f t="shared" si="17"/>
        <v>8.3090855946926001E-2</v>
      </c>
      <c r="AD86" s="7">
        <f t="shared" si="18"/>
        <v>-1.4759782675225902E-2</v>
      </c>
      <c r="AE86" s="7">
        <f t="shared" si="19"/>
        <v>3.9886313999446102E-2</v>
      </c>
      <c r="AF86" s="7">
        <f t="shared" si="20"/>
        <v>2.4836177316710183E-16</v>
      </c>
      <c r="AG86" s="7">
        <f t="shared" si="20"/>
        <v>-1.6500817944360022E-15</v>
      </c>
      <c r="AH86" s="7">
        <f t="shared" si="21"/>
        <v>-1.5787239883329077E-3</v>
      </c>
      <c r="AI86" s="7">
        <f t="shared" si="15"/>
        <v>-0.10928773697341408</v>
      </c>
      <c r="AJ86" s="8">
        <f t="shared" si="22"/>
        <v>0.1229771699463721</v>
      </c>
      <c r="AK86" s="8">
        <f t="shared" si="23"/>
        <v>-0.21485332913256289</v>
      </c>
      <c r="AL86" s="8">
        <f t="shared" si="24"/>
        <v>-1.5832853798888991E-2</v>
      </c>
      <c r="AM86" s="8">
        <f t="shared" si="25"/>
        <v>-1.5787239883329077E-3</v>
      </c>
      <c r="AN86" s="8">
        <f t="shared" si="26"/>
        <v>-0.10928773697341268</v>
      </c>
      <c r="AO86" s="9">
        <f t="shared" si="27"/>
        <v>-0.35194933134719636</v>
      </c>
      <c r="AP86" s="9">
        <f t="shared" si="27"/>
        <v>1.2361944617031337</v>
      </c>
      <c r="AQ86" s="9">
        <f t="shared" si="27"/>
        <v>0.10685953746275802</v>
      </c>
      <c r="AR86" s="9">
        <f t="shared" si="27"/>
        <v>8.8953321813070377E-3</v>
      </c>
      <c r="AS86" s="9">
        <f t="shared" si="27"/>
        <v>1</v>
      </c>
      <c r="AT86" s="7"/>
      <c r="AU86" s="7"/>
      <c r="AV86" s="7"/>
      <c r="AW86" s="7"/>
      <c r="AX86" s="7"/>
    </row>
    <row r="87" spans="1:50" x14ac:dyDescent="0.25">
      <c r="A87" s="1">
        <v>46934</v>
      </c>
      <c r="B87">
        <f>'DSGE HVD wFG'!B87-'DSGE HVD woFG'!B87</f>
        <v>-1.5640106789422986E-2</v>
      </c>
      <c r="C87">
        <f>'DSGE HVD wFG'!C87-'DSGE HVD woFG'!C87</f>
        <v>-2.2922785628452E-2</v>
      </c>
      <c r="D87">
        <f>'DSGE HVD wFG'!D87-'DSGE HVD woFG'!D87</f>
        <v>-0.17516888321280799</v>
      </c>
      <c r="E87">
        <f>'DSGE HVD wFG'!E87-'DSGE HVD woFG'!E87</f>
        <v>-1.4516505265971105E-2</v>
      </c>
      <c r="F87">
        <f>'DSGE HVD wFG'!F87-'DSGE HVD woFG'!F87</f>
        <v>-1.2793295358923013E-2</v>
      </c>
      <c r="G87">
        <f>'DSGE HVD wFG'!G87-'DSGE HVD woFG'!G87</f>
        <v>2.4196872031520012E-16</v>
      </c>
      <c r="H87">
        <f>'DSGE HVD wFG'!H87-'DSGE HVD woFG'!H87</f>
        <v>-1.6560892040118056E-15</v>
      </c>
      <c r="I87">
        <f>'DSGE HVD wFG'!I87-'DSGE HVD woFG'!I87</f>
        <v>-5.4341415411296402E-15</v>
      </c>
      <c r="J87">
        <f>'DSGE HVD wFG'!J87-'DSGE HVD woFG'!J87</f>
        <v>2.7586493918681927E-15</v>
      </c>
      <c r="K87">
        <f>'DSGE HVD wFG'!K87-'DSGE HVD woFG'!K87</f>
        <v>-6.2362379011547609E-16</v>
      </c>
      <c r="L87">
        <f>'DSGE HVD wFG'!L87-'DSGE HVD woFG'!L87</f>
        <v>2.7007731881262772E-15</v>
      </c>
      <c r="M87">
        <f>'DSGE HVD wFG'!M87-'DSGE HVD woFG'!M87</f>
        <v>2.2646025433450733E-15</v>
      </c>
      <c r="N87">
        <f>'DSGE HVD wFG'!N87-'DSGE HVD woFG'!N87</f>
        <v>5.3397482091881599E-15</v>
      </c>
      <c r="O87">
        <f>'DSGE HVD wFG'!O87-'DSGE HVD woFG'!O87</f>
        <v>7.1452262707075509E-15</v>
      </c>
      <c r="P87">
        <f>'DSGE HVD wFG'!P87-'DSGE HVD woFG'!P87</f>
        <v>1.4175924338618693E-14</v>
      </c>
      <c r="Q87">
        <f>'DSGE HVD wFG'!Q87-'DSGE HVD woFG'!Q87</f>
        <v>3.9277139389044501E-2</v>
      </c>
      <c r="R87">
        <f>'DSGE HVD wFG'!R87-'DSGE HVD woFG'!R87</f>
        <v>0</v>
      </c>
      <c r="S87">
        <f>'DSGE HVD wFG'!S87-'DSGE HVD woFG'!S87</f>
        <v>9.5822038862792003E-2</v>
      </c>
      <c r="T87">
        <f>'DSGE HVD wFG'!T87-'DSGE HVD woFG'!T87</f>
        <v>-1.5626358801865709E-3</v>
      </c>
      <c r="U87">
        <f>'DSGE HVD wFG'!U87-'DSGE HVD woFG'!U87</f>
        <v>-0.10750503388389798</v>
      </c>
      <c r="Y87" s="1">
        <f t="shared" si="16"/>
        <v>46934</v>
      </c>
      <c r="Z87" s="7">
        <f t="shared" si="16"/>
        <v>-1.5640106789422986E-2</v>
      </c>
      <c r="AA87" s="7">
        <f t="shared" si="16"/>
        <v>-2.2922785628452E-2</v>
      </c>
      <c r="AB87" s="7">
        <f t="shared" si="16"/>
        <v>-0.17516888321280799</v>
      </c>
      <c r="AC87" s="7">
        <f t="shared" si="17"/>
        <v>8.302874350386899E-2</v>
      </c>
      <c r="AD87" s="7">
        <f t="shared" si="18"/>
        <v>-1.4516505265971105E-2</v>
      </c>
      <c r="AE87" s="7">
        <f t="shared" si="19"/>
        <v>3.9277139389044501E-2</v>
      </c>
      <c r="AF87" s="7">
        <f t="shared" si="20"/>
        <v>2.4196872031520012E-16</v>
      </c>
      <c r="AG87" s="7">
        <f t="shared" si="20"/>
        <v>-1.6560892040118056E-15</v>
      </c>
      <c r="AH87" s="7">
        <f t="shared" si="21"/>
        <v>-1.5626358801582437E-3</v>
      </c>
      <c r="AI87" s="7">
        <f t="shared" si="15"/>
        <v>-0.10750503388390024</v>
      </c>
      <c r="AJ87" s="8">
        <f t="shared" si="22"/>
        <v>0.1223058828929135</v>
      </c>
      <c r="AK87" s="8">
        <f t="shared" si="23"/>
        <v>-0.2126081741072311</v>
      </c>
      <c r="AL87" s="8">
        <f t="shared" si="24"/>
        <v>-1.5640106789422986E-2</v>
      </c>
      <c r="AM87" s="8">
        <f t="shared" si="25"/>
        <v>-1.5626358801582437E-3</v>
      </c>
      <c r="AN87" s="8">
        <f t="shared" si="26"/>
        <v>-0.10750503388389883</v>
      </c>
      <c r="AO87" s="9">
        <f t="shared" si="27"/>
        <v>-0.37655572451028135</v>
      </c>
      <c r="AP87" s="9">
        <f t="shared" si="27"/>
        <v>1.2594105202028072</v>
      </c>
      <c r="AQ87" s="9">
        <f t="shared" si="27"/>
        <v>0.10812064588869207</v>
      </c>
      <c r="AR87" s="9">
        <f t="shared" si="27"/>
        <v>9.0245584187836937E-3</v>
      </c>
      <c r="AS87" s="9">
        <f t="shared" si="27"/>
        <v>1</v>
      </c>
      <c r="AT87" s="7"/>
      <c r="AU87" s="7"/>
      <c r="AV87" s="7"/>
      <c r="AW87" s="7"/>
      <c r="AX87" s="7"/>
    </row>
    <row r="88" spans="1:50" x14ac:dyDescent="0.25">
      <c r="A88" s="1">
        <v>47026</v>
      </c>
      <c r="B88">
        <f>'DSGE HVD wFG'!B88-'DSGE HVD woFG'!B88</f>
        <v>-1.544990514723199E-2</v>
      </c>
      <c r="C88">
        <f>'DSGE HVD wFG'!C88-'DSGE HVD woFG'!C88</f>
        <v>-2.2693557787756002E-2</v>
      </c>
      <c r="D88">
        <f>'DSGE HVD wFG'!D88-'DSGE HVD woFG'!D88</f>
        <v>-0.17341653806563598</v>
      </c>
      <c r="E88">
        <f>'DSGE HVD wFG'!E88-'DSGE HVD woFG'!E88</f>
        <v>-1.4268561264683295E-2</v>
      </c>
      <c r="F88">
        <f>'DSGE HVD wFG'!F88-'DSGE HVD woFG'!F88</f>
        <v>-1.209943902140001E-2</v>
      </c>
      <c r="G88">
        <f>'DSGE HVD wFG'!G88-'DSGE HVD woFG'!G88</f>
        <v>2.3561624217539868E-16</v>
      </c>
      <c r="H88">
        <f>'DSGE HVD wFG'!H88-'DSGE HVD woFG'!H88</f>
        <v>-1.6613331807999988E-15</v>
      </c>
      <c r="I88">
        <f>'DSGE HVD wFG'!I88-'DSGE HVD woFG'!I88</f>
        <v>-5.33736195521277E-15</v>
      </c>
      <c r="J88">
        <f>'DSGE HVD wFG'!J88-'DSGE HVD woFG'!J88</f>
        <v>2.7228493584936332E-15</v>
      </c>
      <c r="K88">
        <f>'DSGE HVD wFG'!K88-'DSGE HVD woFG'!K88</f>
        <v>-6.1443013356036403E-16</v>
      </c>
      <c r="L88">
        <f>'DSGE HVD wFG'!L88-'DSGE HVD woFG'!L88</f>
        <v>2.6709232474694039E-15</v>
      </c>
      <c r="M88">
        <f>'DSGE HVD wFG'!M88-'DSGE HVD woFG'!M88</f>
        <v>2.2406202996877898E-15</v>
      </c>
      <c r="N88">
        <f>'DSGE HVD wFG'!N88-'DSGE HVD woFG'!N88</f>
        <v>5.2799074644619699E-15</v>
      </c>
      <c r="O88">
        <f>'DSGE HVD wFG'!O88-'DSGE HVD woFG'!O88</f>
        <v>7.0634129936495194E-15</v>
      </c>
      <c r="P88">
        <f>'DSGE HVD wFG'!P88-'DSGE HVD woFG'!P88</f>
        <v>1.4332285105401005E-14</v>
      </c>
      <c r="Q88">
        <f>'DSGE HVD wFG'!Q88-'DSGE HVD woFG'!Q88</f>
        <v>3.8681638355793302E-2</v>
      </c>
      <c r="R88">
        <f>'DSGE HVD wFG'!R88-'DSGE HVD woFG'!R88</f>
        <v>0</v>
      </c>
      <c r="S88">
        <f>'DSGE HVD wFG'!S88-'DSGE HVD woFG'!S88</f>
        <v>9.5026041065059991E-2</v>
      </c>
      <c r="T88">
        <f>'DSGE HVD wFG'!T88-'DSGE HVD woFG'!T88</f>
        <v>-1.5467175234768413E-3</v>
      </c>
      <c r="U88">
        <f>'DSGE HVD wFG'!U88-'DSGE HVD woFG'!U88</f>
        <v>-0.10576703938930504</v>
      </c>
      <c r="Y88" s="1">
        <f t="shared" si="16"/>
        <v>47026</v>
      </c>
      <c r="Z88" s="7">
        <f t="shared" si="16"/>
        <v>-1.544990514723199E-2</v>
      </c>
      <c r="AA88" s="7">
        <f t="shared" si="16"/>
        <v>-2.2693557787756002E-2</v>
      </c>
      <c r="AB88" s="7">
        <f t="shared" si="16"/>
        <v>-0.17341653806563598</v>
      </c>
      <c r="AC88" s="7">
        <f t="shared" si="17"/>
        <v>8.292660204365998E-2</v>
      </c>
      <c r="AD88" s="7">
        <f t="shared" si="18"/>
        <v>-1.4268561264683295E-2</v>
      </c>
      <c r="AE88" s="7">
        <f t="shared" si="19"/>
        <v>3.8681638355793302E-2</v>
      </c>
      <c r="AF88" s="7">
        <f t="shared" si="20"/>
        <v>2.3561624217539868E-16</v>
      </c>
      <c r="AG88" s="7">
        <f t="shared" si="20"/>
        <v>-1.6613331807999988E-15</v>
      </c>
      <c r="AH88" s="7">
        <f t="shared" si="21"/>
        <v>-1.5467175234484833E-3</v>
      </c>
      <c r="AI88" s="7">
        <f t="shared" si="15"/>
        <v>-0.10576703938930389</v>
      </c>
      <c r="AJ88" s="8">
        <f t="shared" si="22"/>
        <v>0.12160824039945328</v>
      </c>
      <c r="AK88" s="8">
        <f t="shared" si="23"/>
        <v>-0.21037865711807527</v>
      </c>
      <c r="AL88" s="8">
        <f t="shared" si="24"/>
        <v>-1.544990514723199E-2</v>
      </c>
      <c r="AM88" s="8">
        <f t="shared" si="25"/>
        <v>-1.5467175234484833E-3</v>
      </c>
      <c r="AN88" s="8">
        <f t="shared" si="26"/>
        <v>-0.10576703938930246</v>
      </c>
      <c r="AO88" s="9">
        <f t="shared" si="27"/>
        <v>-0.40140661873744027</v>
      </c>
      <c r="AP88" s="9">
        <f t="shared" si="27"/>
        <v>1.2828101562390781</v>
      </c>
      <c r="AQ88" s="9">
        <f t="shared" si="27"/>
        <v>0.10943742502197509</v>
      </c>
      <c r="AR88" s="9">
        <f t="shared" si="27"/>
        <v>9.1590374763858475E-3</v>
      </c>
      <c r="AS88" s="9">
        <f t="shared" si="27"/>
        <v>1</v>
      </c>
      <c r="AT88" s="7"/>
      <c r="AU88" s="7"/>
      <c r="AV88" s="7"/>
      <c r="AW88" s="7"/>
      <c r="AX88" s="7"/>
    </row>
    <row r="89" spans="1:50" x14ac:dyDescent="0.25">
      <c r="A89" s="1">
        <v>47118</v>
      </c>
      <c r="B89">
        <f>'DSGE HVD wFG'!B89-'DSGE HVD woFG'!B89</f>
        <v>-1.5262213328495977E-2</v>
      </c>
      <c r="C89">
        <f>'DSGE HVD wFG'!C89-'DSGE HVD woFG'!C89</f>
        <v>-2.2466622217968996E-2</v>
      </c>
      <c r="D89">
        <f>'DSGE HVD wFG'!D89-'DSGE HVD woFG'!D89</f>
        <v>-0.17168191550192</v>
      </c>
      <c r="E89">
        <f>'DSGE HVD wFG'!E89-'DSGE HVD woFG'!E89</f>
        <v>-1.4017251883680096E-2</v>
      </c>
      <c r="F89">
        <f>'DSGE HVD wFG'!F89-'DSGE HVD woFG'!F89</f>
        <v>-1.1444620258295013E-2</v>
      </c>
      <c r="G89">
        <f>'DSGE HVD wFG'!G89-'DSGE HVD woFG'!G89</f>
        <v>2.2930926969069938E-16</v>
      </c>
      <c r="H89">
        <f>'DSGE HVD wFG'!H89-'DSGE HVD woFG'!H89</f>
        <v>-1.6658441974411035E-15</v>
      </c>
      <c r="I89">
        <f>'DSGE HVD wFG'!I89-'DSGE HVD woFG'!I89</f>
        <v>-5.2437165103274496E-15</v>
      </c>
      <c r="J89">
        <f>'DSGE HVD wFG'!J89-'DSGE HVD woFG'!J89</f>
        <v>2.6875732141867142E-15</v>
      </c>
      <c r="K89">
        <f>'DSGE HVD wFG'!K89-'DSGE HVD woFG'!K89</f>
        <v>-6.0450023199117192E-16</v>
      </c>
      <c r="L89">
        <f>'DSGE HVD wFG'!L89-'DSGE HVD woFG'!L89</f>
        <v>2.641843835419803E-15</v>
      </c>
      <c r="M89">
        <f>'DSGE HVD wFG'!M89-'DSGE HVD woFG'!M89</f>
        <v>2.2175316955192898E-15</v>
      </c>
      <c r="N89">
        <f>'DSGE HVD wFG'!N89-'DSGE HVD woFG'!N89</f>
        <v>5.2209463066158597E-15</v>
      </c>
      <c r="O89">
        <f>'DSGE HVD wFG'!O89-'DSGE HVD woFG'!O89</f>
        <v>6.9818105117658498E-15</v>
      </c>
      <c r="P89">
        <f>'DSGE HVD wFG'!P89-'DSGE HVD woFG'!P89</f>
        <v>1.4482987613974207E-14</v>
      </c>
      <c r="Q89">
        <f>'DSGE HVD wFG'!Q89-'DSGE HVD woFG'!Q89</f>
        <v>3.8098332920298829E-2</v>
      </c>
      <c r="R89">
        <f>'DSGE HVD wFG'!R89-'DSGE HVD woFG'!R89</f>
        <v>0</v>
      </c>
      <c r="S89">
        <f>'DSGE HVD wFG'!S89-'DSGE HVD woFG'!S89</f>
        <v>9.4232149175703994E-2</v>
      </c>
      <c r="T89">
        <f>'DSGE HVD wFG'!T89-'DSGE HVD woFG'!T89</f>
        <v>-1.530967046082481E-3</v>
      </c>
      <c r="U89">
        <f>'DSGE HVD wFG'!U89-'DSGE HVD woFG'!U89</f>
        <v>-0.10407310814041404</v>
      </c>
      <c r="Y89" s="1">
        <f t="shared" si="16"/>
        <v>47118</v>
      </c>
      <c r="Z89" s="7">
        <f t="shared" si="16"/>
        <v>-1.5262213328495977E-2</v>
      </c>
      <c r="AA89" s="7">
        <f t="shared" si="16"/>
        <v>-2.2466622217968996E-2</v>
      </c>
      <c r="AB89" s="7">
        <f t="shared" si="16"/>
        <v>-0.17168191550192</v>
      </c>
      <c r="AC89" s="7">
        <f t="shared" si="17"/>
        <v>8.2787528917408981E-2</v>
      </c>
      <c r="AD89" s="7">
        <f t="shared" si="18"/>
        <v>-1.4017251883680096E-2</v>
      </c>
      <c r="AE89" s="7">
        <f t="shared" si="19"/>
        <v>3.8098332920298829E-2</v>
      </c>
      <c r="AF89" s="7">
        <f t="shared" si="20"/>
        <v>2.2930926969069938E-16</v>
      </c>
      <c r="AG89" s="7">
        <f t="shared" si="20"/>
        <v>-1.6658441974411035E-15</v>
      </c>
      <c r="AH89" s="7">
        <f t="shared" si="21"/>
        <v>-1.5309670460540966E-3</v>
      </c>
      <c r="AI89" s="7">
        <f t="shared" si="15"/>
        <v>-0.10407310814041278</v>
      </c>
      <c r="AJ89" s="8">
        <f t="shared" si="22"/>
        <v>0.1208858618377078</v>
      </c>
      <c r="AK89" s="8">
        <f t="shared" si="23"/>
        <v>-0.20816578960356907</v>
      </c>
      <c r="AL89" s="8">
        <f t="shared" si="24"/>
        <v>-1.5262213328495977E-2</v>
      </c>
      <c r="AM89" s="8">
        <f t="shared" si="25"/>
        <v>-1.5309670460540966E-3</v>
      </c>
      <c r="AN89" s="8">
        <f t="shared" si="26"/>
        <v>-0.10407310814041135</v>
      </c>
      <c r="AO89" s="9">
        <f t="shared" si="27"/>
        <v>-0.42645093312870025</v>
      </c>
      <c r="AP89" s="9">
        <f t="shared" si="27"/>
        <v>1.3063502523817252</v>
      </c>
      <c r="AQ89" s="9">
        <f t="shared" si="27"/>
        <v>0.11080250090367058</v>
      </c>
      <c r="AR89" s="9">
        <f t="shared" si="27"/>
        <v>9.2981798433067406E-3</v>
      </c>
      <c r="AS89" s="9">
        <f t="shared" si="27"/>
        <v>1</v>
      </c>
      <c r="AT89" s="7"/>
      <c r="AU89" s="7"/>
      <c r="AV89" s="7"/>
      <c r="AW89" s="7"/>
      <c r="AX89" s="7"/>
    </row>
    <row r="90" spans="1:50" x14ac:dyDescent="0.25">
      <c r="A90" s="1">
        <v>47208</v>
      </c>
      <c r="B90">
        <f>'DSGE HVD wFG'!B90-'DSGE HVD woFG'!B90</f>
        <v>-1.5076996136258985E-2</v>
      </c>
      <c r="C90">
        <f>'DSGE HVD wFG'!C90-'DSGE HVD woFG'!C90</f>
        <v>-2.2241955999990001E-2</v>
      </c>
      <c r="D90">
        <f>'DSGE HVD wFG'!D90-'DSGE HVD woFG'!D90</f>
        <v>-0.169964777877361</v>
      </c>
      <c r="E90">
        <f>'DSGE HVD wFG'!E90-'DSGE HVD woFG'!E90</f>
        <v>-1.3763712999412897E-2</v>
      </c>
      <c r="F90">
        <f>'DSGE HVD wFG'!F90-'DSGE HVD woFG'!F90</f>
        <v>-1.0826554524044019E-2</v>
      </c>
      <c r="G90">
        <f>'DSGE HVD wFG'!G90-'DSGE HVD woFG'!G90</f>
        <v>2.2305293718839936E-16</v>
      </c>
      <c r="H90">
        <f>'DSGE HVD wFG'!H90-'DSGE HVD woFG'!H90</f>
        <v>-1.6696541119530002E-15</v>
      </c>
      <c r="I90">
        <f>'DSGE HVD wFG'!I90-'DSGE HVD woFG'!I90</f>
        <v>-5.1531205565888506E-15</v>
      </c>
      <c r="J90">
        <f>'DSGE HVD wFG'!J90-'DSGE HVD woFG'!J90</f>
        <v>2.652825294036706E-15</v>
      </c>
      <c r="K90">
        <f>'DSGE HVD wFG'!K90-'DSGE HVD woFG'!K90</f>
        <v>-5.9397551013884895E-16</v>
      </c>
      <c r="L90">
        <f>'DSGE HVD wFG'!L90-'DSGE HVD woFG'!L90</f>
        <v>2.6134651278972671E-15</v>
      </c>
      <c r="M90">
        <f>'DSGE HVD wFG'!M90-'DSGE HVD woFG'!M90</f>
        <v>2.1952365502200689E-15</v>
      </c>
      <c r="N90">
        <f>'DSGE HVD wFG'!N90-'DSGE HVD woFG'!N90</f>
        <v>5.1628620774178501E-15</v>
      </c>
      <c r="O90">
        <f>'DSGE HVD wFG'!O90-'DSGE HVD woFG'!O90</f>
        <v>6.9005559818257493E-15</v>
      </c>
      <c r="P90">
        <f>'DSGE HVD wFG'!P90-'DSGE HVD woFG'!P90</f>
        <v>1.46281306497075E-14</v>
      </c>
      <c r="Q90">
        <f>'DSGE HVD wFG'!Q90-'DSGE HVD woFG'!Q90</f>
        <v>3.7526005956517144E-2</v>
      </c>
      <c r="R90">
        <f>'DSGE HVD wFG'!R90-'DSGE HVD woFG'!R90</f>
        <v>0</v>
      </c>
      <c r="S90">
        <f>'DSGE HVD wFG'!S90-'DSGE HVD woFG'!S90</f>
        <v>9.3440908402322997E-2</v>
      </c>
      <c r="T90">
        <f>'DSGE HVD wFG'!T90-'DSGE HVD woFG'!T90</f>
        <v>-1.5153825978891401E-3</v>
      </c>
      <c r="U90">
        <f>'DSGE HVD wFG'!U90-'DSGE HVD woFG'!U90</f>
        <v>-0.10242246577608699</v>
      </c>
      <c r="Y90" s="1">
        <f t="shared" si="16"/>
        <v>47208</v>
      </c>
      <c r="Z90" s="7">
        <f t="shared" si="16"/>
        <v>-1.5076996136258985E-2</v>
      </c>
      <c r="AA90" s="7">
        <f t="shared" si="16"/>
        <v>-2.2241955999990001E-2</v>
      </c>
      <c r="AB90" s="7">
        <f t="shared" si="16"/>
        <v>-0.169964777877361</v>
      </c>
      <c r="AC90" s="7">
        <f t="shared" si="17"/>
        <v>8.2614353878278979E-2</v>
      </c>
      <c r="AD90" s="7">
        <f t="shared" si="18"/>
        <v>-1.3763712999412897E-2</v>
      </c>
      <c r="AE90" s="7">
        <f t="shared" si="19"/>
        <v>3.7526005956517144E-2</v>
      </c>
      <c r="AF90" s="7">
        <f t="shared" si="20"/>
        <v>2.2305293718839936E-16</v>
      </c>
      <c r="AG90" s="7">
        <f t="shared" si="20"/>
        <v>-1.6696541119530002E-15</v>
      </c>
      <c r="AH90" s="7">
        <f t="shared" si="21"/>
        <v>-1.5153825978607345E-3</v>
      </c>
      <c r="AI90" s="7">
        <f t="shared" si="15"/>
        <v>-0.10242246577608895</v>
      </c>
      <c r="AJ90" s="8">
        <f t="shared" si="22"/>
        <v>0.12014035983479612</v>
      </c>
      <c r="AK90" s="8">
        <f t="shared" si="23"/>
        <v>-0.20597044687676389</v>
      </c>
      <c r="AL90" s="8">
        <f t="shared" si="24"/>
        <v>-1.5076996136258985E-2</v>
      </c>
      <c r="AM90" s="8">
        <f t="shared" si="25"/>
        <v>-1.5153825978607345E-3</v>
      </c>
      <c r="AN90" s="8">
        <f t="shared" si="26"/>
        <v>-0.10242246577608748</v>
      </c>
      <c r="AO90" s="9">
        <f t="shared" si="27"/>
        <v>-0.45164356557457525</v>
      </c>
      <c r="AP90" s="9">
        <f t="shared" si="27"/>
        <v>1.3299929616821848</v>
      </c>
      <c r="AQ90" s="9">
        <f t="shared" si="27"/>
        <v>0.11220915944009444</v>
      </c>
      <c r="AR90" s="9">
        <f t="shared" si="27"/>
        <v>9.4414444522910018E-3</v>
      </c>
      <c r="AS90" s="9">
        <f t="shared" si="27"/>
        <v>1</v>
      </c>
      <c r="AT90" s="7"/>
      <c r="AU90" s="7"/>
      <c r="AV90" s="7"/>
      <c r="AW90" s="7"/>
      <c r="AX90" s="7"/>
    </row>
    <row r="91" spans="1:50" x14ac:dyDescent="0.25">
      <c r="A91" s="1">
        <v>47299</v>
      </c>
      <c r="B91">
        <f>'DSGE HVD wFG'!B91-'DSGE HVD woFG'!B91</f>
        <v>-1.4894218726349995E-2</v>
      </c>
      <c r="C91">
        <f>'DSGE HVD wFG'!C91-'DSGE HVD woFG'!C91</f>
        <v>-2.2019536442171E-2</v>
      </c>
      <c r="D91">
        <f>'DSGE HVD wFG'!D91-'DSGE HVD woFG'!D91</f>
        <v>-0.16826490825561602</v>
      </c>
      <c r="E91">
        <f>'DSGE HVD wFG'!E91-'DSGE HVD woFG'!E91</f>
        <v>-1.35089337954978E-2</v>
      </c>
      <c r="F91">
        <f>'DSGE HVD wFG'!F91-'DSGE HVD woFG'!F91</f>
        <v>-1.024308652532302E-2</v>
      </c>
      <c r="G91">
        <f>'DSGE HVD wFG'!G91-'DSGE HVD woFG'!G91</f>
        <v>2.1685257008399938E-16</v>
      </c>
      <c r="H91">
        <f>'DSGE HVD wFG'!H91-'DSGE HVD woFG'!H91</f>
        <v>-1.6727955576192011E-15</v>
      </c>
      <c r="I91">
        <f>'DSGE HVD wFG'!I91-'DSGE HVD woFG'!I91</f>
        <v>-5.0654728982352102E-15</v>
      </c>
      <c r="J91">
        <f>'DSGE HVD wFG'!J91-'DSGE HVD woFG'!J91</f>
        <v>2.618608542546585E-15</v>
      </c>
      <c r="K91">
        <f>'DSGE HVD wFG'!K91-'DSGE HVD woFG'!K91</f>
        <v>-5.8298686117567491E-16</v>
      </c>
      <c r="L91">
        <f>'DSGE HVD wFG'!L91-'DSGE HVD woFG'!L91</f>
        <v>2.5857229703501659E-15</v>
      </c>
      <c r="M91">
        <f>'DSGE HVD wFG'!M91-'DSGE HVD woFG'!M91</f>
        <v>2.173641877773756E-15</v>
      </c>
      <c r="N91">
        <f>'DSGE HVD wFG'!N91-'DSGE HVD woFG'!N91</f>
        <v>5.1056479679479101E-15</v>
      </c>
      <c r="O91">
        <f>'DSGE HVD wFG'!O91-'DSGE HVD woFG'!O91</f>
        <v>6.8197742926907399E-15</v>
      </c>
      <c r="P91">
        <f>'DSGE HVD wFG'!P91-'DSGE HVD woFG'!P91</f>
        <v>1.4767816103119694E-14</v>
      </c>
      <c r="Q91">
        <f>'DSGE HVD wFG'!Q91-'DSGE HVD woFG'!Q91</f>
        <v>3.696365420434905E-2</v>
      </c>
      <c r="R91">
        <f>'DSGE HVD wFG'!R91-'DSGE HVD woFG'!R91</f>
        <v>0</v>
      </c>
      <c r="S91">
        <f>'DSGE HVD wFG'!S91-'DSGE HVD woFG'!S91</f>
        <v>9.2652756211239001E-2</v>
      </c>
      <c r="T91">
        <f>'DSGE HVD wFG'!T91-'DSGE HVD woFG'!T91</f>
        <v>-1.4999623505350095E-3</v>
      </c>
      <c r="U91">
        <f>'DSGE HVD wFG'!U91-'DSGE HVD woFG'!U91</f>
        <v>-0.10081423567987896</v>
      </c>
      <c r="Y91" s="1">
        <f t="shared" si="16"/>
        <v>47299</v>
      </c>
      <c r="Z91" s="7">
        <f t="shared" si="16"/>
        <v>-1.4894218726349995E-2</v>
      </c>
      <c r="AA91" s="7">
        <f t="shared" si="16"/>
        <v>-2.2019536442171E-2</v>
      </c>
      <c r="AB91" s="7">
        <f t="shared" si="16"/>
        <v>-0.16826490825561602</v>
      </c>
      <c r="AC91" s="7">
        <f t="shared" si="17"/>
        <v>8.2409669685915982E-2</v>
      </c>
      <c r="AD91" s="7">
        <f t="shared" si="18"/>
        <v>-1.35089337954978E-2</v>
      </c>
      <c r="AE91" s="7">
        <f t="shared" si="19"/>
        <v>3.696365420434905E-2</v>
      </c>
      <c r="AF91" s="7">
        <f t="shared" si="20"/>
        <v>2.1685257008399938E-16</v>
      </c>
      <c r="AG91" s="7">
        <f t="shared" si="20"/>
        <v>-1.6727955576192011E-15</v>
      </c>
      <c r="AH91" s="7">
        <f t="shared" si="21"/>
        <v>-1.4999623505065865E-3</v>
      </c>
      <c r="AI91" s="7">
        <f t="shared" si="15"/>
        <v>-0.10081423567987784</v>
      </c>
      <c r="AJ91" s="8">
        <f t="shared" si="22"/>
        <v>0.11937332389026503</v>
      </c>
      <c r="AK91" s="8">
        <f t="shared" si="23"/>
        <v>-0.20379337849328483</v>
      </c>
      <c r="AL91" s="8">
        <f t="shared" si="24"/>
        <v>-1.4894218726349995E-2</v>
      </c>
      <c r="AM91" s="8">
        <f t="shared" si="25"/>
        <v>-1.4999623505065865E-3</v>
      </c>
      <c r="AN91" s="8">
        <f t="shared" si="26"/>
        <v>-0.10081423567987638</v>
      </c>
      <c r="AO91" s="9">
        <f t="shared" si="27"/>
        <v>-0.47694415515428218</v>
      </c>
      <c r="AP91" s="9">
        <f t="shared" si="27"/>
        <v>1.3537045405431187</v>
      </c>
      <c r="AQ91" s="9">
        <f t="shared" si="27"/>
        <v>0.11365128058454099</v>
      </c>
      <c r="AR91" s="9">
        <f t="shared" si="27"/>
        <v>9.5883340266279156E-3</v>
      </c>
      <c r="AS91" s="9">
        <f t="shared" si="27"/>
        <v>1</v>
      </c>
      <c r="AT91" s="7"/>
      <c r="AU91" s="7"/>
      <c r="AV91" s="7"/>
      <c r="AW91" s="7"/>
      <c r="AX91" s="7"/>
    </row>
    <row r="92" spans="1:50" x14ac:dyDescent="0.25">
      <c r="A92" s="1">
        <v>47391</v>
      </c>
      <c r="B92">
        <f>'DSGE HVD wFG'!B92-'DSGE HVD woFG'!B92</f>
        <v>-1.4713846615544007E-2</v>
      </c>
      <c r="C92">
        <f>'DSGE HVD wFG'!C92-'DSGE HVD woFG'!C92</f>
        <v>-2.1799341078882012E-2</v>
      </c>
      <c r="D92">
        <f>'DSGE HVD wFG'!D92-'DSGE HVD woFG'!D92</f>
        <v>-0.166582104639275</v>
      </c>
      <c r="E92">
        <f>'DSGE HVD wFG'!E92-'DSGE HVD woFG'!E92</f>
        <v>-1.3253773450784399E-2</v>
      </c>
      <c r="F92">
        <f>'DSGE HVD wFG'!F92-'DSGE HVD woFG'!F92</f>
        <v>-9.6921858044690112E-3</v>
      </c>
      <c r="G92">
        <f>'DSGE HVD wFG'!G92-'DSGE HVD woFG'!G92</f>
        <v>2.1071363740989903E-16</v>
      </c>
      <c r="H92">
        <f>'DSGE HVD wFG'!H92-'DSGE HVD woFG'!H92</f>
        <v>-1.6753014184466027E-15</v>
      </c>
      <c r="I92">
        <f>'DSGE HVD wFG'!I92-'DSGE HVD woFG'!I92</f>
        <v>-4.9806602772109301E-15</v>
      </c>
      <c r="J92">
        <f>'DSGE HVD wFG'!J92-'DSGE HVD woFG'!J92</f>
        <v>2.5849245254503593E-15</v>
      </c>
      <c r="K92">
        <f>'DSGE HVD wFG'!K92-'DSGE HVD woFG'!K92</f>
        <v>-5.7165401185493493E-16</v>
      </c>
      <c r="L92">
        <f>'DSGE HVD wFG'!L92-'DSGE HVD woFG'!L92</f>
        <v>2.558558985029612E-15</v>
      </c>
      <c r="M92">
        <f>'DSGE HVD wFG'!M92-'DSGE HVD woFG'!M92</f>
        <v>2.1526623103379359E-15</v>
      </c>
      <c r="N92">
        <f>'DSGE HVD wFG'!N92-'DSGE HVD woFG'!N92</f>
        <v>5.0492937679552502E-15</v>
      </c>
      <c r="O92">
        <f>'DSGE HVD wFG'!O92-'DSGE HVD woFG'!O92</f>
        <v>6.7395777769293299E-15</v>
      </c>
      <c r="P92">
        <f>'DSGE HVD wFG'!P92-'DSGE HVD woFG'!P92</f>
        <v>1.4902148291881801E-14</v>
      </c>
      <c r="Q92">
        <f>'DSGE HVD wFG'!Q92-'DSGE HVD woFG'!Q92</f>
        <v>3.6410449971791541E-2</v>
      </c>
      <c r="R92">
        <f>'DSGE HVD wFG'!R92-'DSGE HVD woFG'!R92</f>
        <v>0</v>
      </c>
      <c r="S92">
        <f>'DSGE HVD wFG'!S92-'DSGE HVD woFG'!S92</f>
        <v>9.1868044061065024E-2</v>
      </c>
      <c r="T92">
        <f>'DSGE HVD wFG'!T92-'DSGE HVD woFG'!T92</f>
        <v>-1.4847044971314192E-3</v>
      </c>
      <c r="U92">
        <f>'DSGE HVD wFG'!U92-'DSGE HVD woFG'!U92</f>
        <v>-9.9247462053199953E-2</v>
      </c>
      <c r="Y92" s="1">
        <f t="shared" si="16"/>
        <v>47391</v>
      </c>
      <c r="Z92" s="7">
        <f t="shared" si="16"/>
        <v>-1.4713846615544007E-2</v>
      </c>
      <c r="AA92" s="7">
        <f t="shared" si="16"/>
        <v>-2.1799341078882012E-2</v>
      </c>
      <c r="AB92" s="7">
        <f t="shared" si="16"/>
        <v>-0.166582104639275</v>
      </c>
      <c r="AC92" s="7">
        <f t="shared" si="17"/>
        <v>8.2175858256596013E-2</v>
      </c>
      <c r="AD92" s="7">
        <f t="shared" si="18"/>
        <v>-1.3253773450784399E-2</v>
      </c>
      <c r="AE92" s="7">
        <f t="shared" si="19"/>
        <v>3.6410449971791541E-2</v>
      </c>
      <c r="AF92" s="7">
        <f t="shared" si="20"/>
        <v>2.1071363740989903E-16</v>
      </c>
      <c r="AG92" s="7">
        <f t="shared" si="20"/>
        <v>-1.6753014184466027E-15</v>
      </c>
      <c r="AH92" s="7">
        <f t="shared" si="21"/>
        <v>-1.4847044971029843E-3</v>
      </c>
      <c r="AI92" s="7">
        <f t="shared" si="15"/>
        <v>-9.9247462053202326E-2</v>
      </c>
      <c r="AJ92" s="8">
        <f t="shared" si="22"/>
        <v>0.11858630822838756</v>
      </c>
      <c r="AK92" s="8">
        <f t="shared" si="23"/>
        <v>-0.20163521916894142</v>
      </c>
      <c r="AL92" s="8">
        <f t="shared" si="24"/>
        <v>-1.4713846615544007E-2</v>
      </c>
      <c r="AM92" s="8">
        <f t="shared" si="25"/>
        <v>-1.4847044971029843E-3</v>
      </c>
      <c r="AN92" s="8">
        <f t="shared" si="26"/>
        <v>-9.9247462053200855E-2</v>
      </c>
      <c r="AO92" s="9">
        <f t="shared" si="27"/>
        <v>-0.50231612817443783</v>
      </c>
      <c r="AP92" s="9">
        <f t="shared" si="27"/>
        <v>1.3774544628522498</v>
      </c>
      <c r="AQ92" s="9">
        <f t="shared" si="27"/>
        <v>0.1151232748209529</v>
      </c>
      <c r="AR92" s="9">
        <f t="shared" si="27"/>
        <v>9.7383905012348483E-3</v>
      </c>
      <c r="AS92" s="9">
        <f t="shared" si="27"/>
        <v>1</v>
      </c>
      <c r="AT92" s="7"/>
      <c r="AU92" s="7"/>
      <c r="AV92" s="7"/>
      <c r="AW92" s="7"/>
      <c r="AX92" s="7"/>
    </row>
    <row r="93" spans="1:50" x14ac:dyDescent="0.25">
      <c r="A93" s="1">
        <v>47483</v>
      </c>
      <c r="B93">
        <f>'DSGE HVD wFG'!B93-'DSGE HVD woFG'!B93</f>
        <v>-1.4535845690858001E-2</v>
      </c>
      <c r="C93">
        <f>'DSGE HVD wFG'!C93-'DSGE HVD woFG'!C93</f>
        <v>-2.1581347668680001E-2</v>
      </c>
      <c r="D93">
        <f>'DSGE HVD wFG'!D93-'DSGE HVD woFG'!D93</f>
        <v>-0.16491617594605903</v>
      </c>
      <c r="E93">
        <f>'DSGE HVD wFG'!E93-'DSGE HVD woFG'!E93</f>
        <v>-1.29989760528944E-2</v>
      </c>
      <c r="F93">
        <f>'DSGE HVD wFG'!F93-'DSGE HVD woFG'!F93</f>
        <v>-9.1719416059009851E-3</v>
      </c>
      <c r="G93">
        <f>'DSGE HVD wFG'!G93-'DSGE HVD woFG'!G93</f>
        <v>2.0464168250389875E-16</v>
      </c>
      <c r="H93">
        <f>'DSGE HVD wFG'!H93-'DSGE HVD woFG'!H93</f>
        <v>-1.6772043877106993E-15</v>
      </c>
      <c r="I93">
        <f>'DSGE HVD wFG'!I93-'DSGE HVD woFG'!I93</f>
        <v>-4.8985612399903051E-15</v>
      </c>
      <c r="J93">
        <f>'DSGE HVD wFG'!J93-'DSGE HVD woFG'!J93</f>
        <v>2.551773459241417E-15</v>
      </c>
      <c r="K93">
        <f>'DSGE HVD wFG'!K93-'DSGE HVD woFG'!K93</f>
        <v>-5.600852528290299E-16</v>
      </c>
      <c r="L93">
        <f>'DSGE HVD wFG'!L93-'DSGE HVD woFG'!L93</f>
        <v>2.5319205083968499E-15</v>
      </c>
      <c r="M93">
        <f>'DSGE HVD wFG'!M93-'DSGE HVD woFG'!M93</f>
        <v>2.1322202575249119E-15</v>
      </c>
      <c r="N93">
        <f>'DSGE HVD wFG'!N93-'DSGE HVD woFG'!N93</f>
        <v>4.9937865300469799E-15</v>
      </c>
      <c r="O93">
        <f>'DSGE HVD wFG'!O93-'DSGE HVD woFG'!O93</f>
        <v>6.6600661894249907E-15</v>
      </c>
      <c r="P93">
        <f>'DSGE HVD wFG'!P93-'DSGE HVD woFG'!P93</f>
        <v>1.5031233334861798E-14</v>
      </c>
      <c r="Q93">
        <f>'DSGE HVD wFG'!Q93-'DSGE HVD woFG'!Q93</f>
        <v>3.586570987211167E-2</v>
      </c>
      <c r="R93">
        <f>'DSGE HVD wFG'!R93-'DSGE HVD woFG'!R93</f>
        <v>0</v>
      </c>
      <c r="S93">
        <f>'DSGE HVD wFG'!S93-'DSGE HVD woFG'!S93</f>
        <v>9.108705471666298E-2</v>
      </c>
      <c r="T93">
        <f>'DSGE HVD wFG'!T93-'DSGE HVD woFG'!T93</f>
        <v>-1.4696072519873697E-3</v>
      </c>
      <c r="U93">
        <f>'DSGE HVD wFG'!U93-'DSGE HVD woFG'!U93</f>
        <v>-9.7721129627576009E-2</v>
      </c>
      <c r="Y93" s="1">
        <f t="shared" si="16"/>
        <v>47483</v>
      </c>
      <c r="Z93" s="7">
        <f t="shared" si="16"/>
        <v>-1.4535845690858001E-2</v>
      </c>
      <c r="AA93" s="7">
        <f t="shared" si="16"/>
        <v>-2.1581347668680001E-2</v>
      </c>
      <c r="AB93" s="7">
        <f t="shared" si="16"/>
        <v>-0.16491617594605903</v>
      </c>
      <c r="AC93" s="7">
        <f t="shared" si="17"/>
        <v>8.1915113110761995E-2</v>
      </c>
      <c r="AD93" s="7">
        <f t="shared" si="18"/>
        <v>-1.29989760528944E-2</v>
      </c>
      <c r="AE93" s="7">
        <f t="shared" si="19"/>
        <v>3.586570987211167E-2</v>
      </c>
      <c r="AF93" s="7">
        <f t="shared" si="20"/>
        <v>2.0464168250389875E-16</v>
      </c>
      <c r="AG93" s="7">
        <f t="shared" si="20"/>
        <v>-1.6772043877106993E-15</v>
      </c>
      <c r="AH93" s="7">
        <f t="shared" si="21"/>
        <v>-1.4696072519589276E-3</v>
      </c>
      <c r="AI93" s="7">
        <f t="shared" si="15"/>
        <v>-9.7721129627578174E-2</v>
      </c>
      <c r="AJ93" s="8">
        <f t="shared" si="22"/>
        <v>0.11778082298287366</v>
      </c>
      <c r="AK93" s="8">
        <f t="shared" si="23"/>
        <v>-0.19949649966763344</v>
      </c>
      <c r="AL93" s="8">
        <f t="shared" si="24"/>
        <v>-1.4535845690858001E-2</v>
      </c>
      <c r="AM93" s="8">
        <f t="shared" si="25"/>
        <v>-1.4696072519589276E-3</v>
      </c>
      <c r="AN93" s="8">
        <f t="shared" si="26"/>
        <v>-9.7721129627576703E-2</v>
      </c>
      <c r="AO93" s="9">
        <f t="shared" si="27"/>
        <v>-0.52772596060423349</v>
      </c>
      <c r="AP93" s="9">
        <f t="shared" si="27"/>
        <v>1.4012147454925536</v>
      </c>
      <c r="AQ93" s="9">
        <f t="shared" si="27"/>
        <v>0.11662002437851457</v>
      </c>
      <c r="AR93" s="9">
        <f t="shared" si="27"/>
        <v>9.891190733160948E-3</v>
      </c>
      <c r="AS93" s="9">
        <f t="shared" si="27"/>
        <v>1</v>
      </c>
      <c r="AT93" s="7"/>
      <c r="AU93" s="7"/>
      <c r="AV93" s="7"/>
      <c r="AW93" s="7"/>
      <c r="AX93" s="7"/>
    </row>
    <row r="94" spans="1:50" x14ac:dyDescent="0.25">
      <c r="A94" s="1">
        <v>47573</v>
      </c>
      <c r="B94">
        <f>'DSGE HVD wFG'!B94-'DSGE HVD woFG'!B94</f>
        <v>-1.4360182219214007E-2</v>
      </c>
      <c r="C94">
        <f>'DSGE HVD wFG'!C94-'DSGE HVD woFG'!C94</f>
        <v>-2.1365534192299002E-2</v>
      </c>
      <c r="D94">
        <f>'DSGE HVD wFG'!D94-'DSGE HVD woFG'!D94</f>
        <v>-0.16326693920080598</v>
      </c>
      <c r="E94">
        <f>'DSGE HVD wFG'!E94-'DSGE HVD woFG'!E94</f>
        <v>-1.2745183906432506E-2</v>
      </c>
      <c r="F94">
        <f>'DSGE HVD wFG'!F94-'DSGE HVD woFG'!F94</f>
        <v>-8.6805573079340032E-3</v>
      </c>
      <c r="G94">
        <f>'DSGE HVD wFG'!G94-'DSGE HVD woFG'!G94</f>
        <v>1.9864224231830127E-16</v>
      </c>
      <c r="H94">
        <f>'DSGE HVD wFG'!H94-'DSGE HVD woFG'!H94</f>
        <v>-1.6785366048149014E-15</v>
      </c>
      <c r="I94">
        <f>'DSGE HVD wFG'!I94-'DSGE HVD woFG'!I94</f>
        <v>-4.8190494227613486E-15</v>
      </c>
      <c r="J94">
        <f>'DSGE HVD wFG'!J94-'DSGE HVD woFG'!J94</f>
        <v>2.5191542578437228E-15</v>
      </c>
      <c r="K94">
        <f>'DSGE HVD wFG'!K94-'DSGE HVD woFG'!K94</f>
        <v>-5.4837746135581998E-16</v>
      </c>
      <c r="L94">
        <f>'DSGE HVD wFG'!L94-'DSGE HVD woFG'!L94</f>
        <v>2.5057604044182441E-15</v>
      </c>
      <c r="M94">
        <f>'DSGE HVD wFG'!M94-'DSGE HVD woFG'!M94</f>
        <v>2.1122458596578461E-15</v>
      </c>
      <c r="N94">
        <f>'DSGE HVD wFG'!N94-'DSGE HVD woFG'!N94</f>
        <v>4.9391111533441199E-15</v>
      </c>
      <c r="O94">
        <f>'DSGE HVD wFG'!O94-'DSGE HVD woFG'!O94</f>
        <v>6.58132691002001E-15</v>
      </c>
      <c r="P94">
        <f>'DSGE HVD wFG'!P94-'DSGE HVD woFG'!P94</f>
        <v>1.5155178580723798E-14</v>
      </c>
      <c r="Q94">
        <f>'DSGE HVD wFG'!Q94-'DSGE HVD woFG'!Q94</f>
        <v>3.5328869263457817E-2</v>
      </c>
      <c r="R94">
        <f>'DSGE HVD wFG'!R94-'DSGE HVD woFG'!R94</f>
        <v>0</v>
      </c>
      <c r="S94">
        <f>'DSGE HVD wFG'!S94-'DSGE HVD woFG'!S94</f>
        <v>9.0310016040134E-2</v>
      </c>
      <c r="T94">
        <f>'DSGE HVD wFG'!T94-'DSGE HVD woFG'!T94</f>
        <v>-1.4546688503383198E-3</v>
      </c>
      <c r="U94">
        <f>'DSGE HVD wFG'!U94-'DSGE HVD woFG'!U94</f>
        <v>-9.6234180373403977E-2</v>
      </c>
      <c r="Y94" s="1">
        <f t="shared" si="16"/>
        <v>47573</v>
      </c>
      <c r="Z94" s="7">
        <f t="shared" si="16"/>
        <v>-1.4360182219214007E-2</v>
      </c>
      <c r="AA94" s="7">
        <f t="shared" si="16"/>
        <v>-2.1365534192299002E-2</v>
      </c>
      <c r="AB94" s="7">
        <f t="shared" si="16"/>
        <v>-0.16326693920080598</v>
      </c>
      <c r="AC94" s="7">
        <f t="shared" si="17"/>
        <v>8.1629458732199997E-2</v>
      </c>
      <c r="AD94" s="7">
        <f t="shared" si="18"/>
        <v>-1.2745183906432506E-2</v>
      </c>
      <c r="AE94" s="7">
        <f t="shared" si="19"/>
        <v>3.5328869263457817E-2</v>
      </c>
      <c r="AF94" s="7">
        <f t="shared" si="20"/>
        <v>1.9864224231830127E-16</v>
      </c>
      <c r="AG94" s="7">
        <f t="shared" si="20"/>
        <v>-1.6785366048149014E-15</v>
      </c>
      <c r="AH94" s="7">
        <f t="shared" si="21"/>
        <v>-1.4546688503098743E-3</v>
      </c>
      <c r="AI94" s="7">
        <f t="shared" si="15"/>
        <v>-9.6234180373405045E-2</v>
      </c>
      <c r="AJ94" s="8">
        <f t="shared" si="22"/>
        <v>0.11695832799565781</v>
      </c>
      <c r="AK94" s="8">
        <f t="shared" si="23"/>
        <v>-0.19737765729953749</v>
      </c>
      <c r="AL94" s="8">
        <f t="shared" si="24"/>
        <v>-1.4360182219214007E-2</v>
      </c>
      <c r="AM94" s="8">
        <f t="shared" si="25"/>
        <v>-1.4546688503098743E-3</v>
      </c>
      <c r="AN94" s="8">
        <f t="shared" si="26"/>
        <v>-9.6234180373403561E-2</v>
      </c>
      <c r="AO94" s="9">
        <f t="shared" si="27"/>
        <v>-0.55314260719221919</v>
      </c>
      <c r="AP94" s="9">
        <f t="shared" si="27"/>
        <v>1.4249594343246039</v>
      </c>
      <c r="AQ94" s="9">
        <f t="shared" si="27"/>
        <v>0.11813683025899668</v>
      </c>
      <c r="AR94" s="9">
        <f t="shared" si="27"/>
        <v>1.0046342608618647E-2</v>
      </c>
      <c r="AS94" s="9">
        <f t="shared" si="27"/>
        <v>1</v>
      </c>
      <c r="AT94" s="7"/>
      <c r="AU94" s="7"/>
      <c r="AV94" s="7"/>
      <c r="AW94" s="7"/>
      <c r="AX94" s="7"/>
    </row>
    <row r="95" spans="1:50" x14ac:dyDescent="0.25">
      <c r="A95" s="1">
        <v>47664</v>
      </c>
      <c r="B95">
        <f>'DSGE HVD wFG'!B95-'DSGE HVD woFG'!B95</f>
        <v>-1.4186822856884995E-2</v>
      </c>
      <c r="C95">
        <f>'DSGE HVD wFG'!C95-'DSGE HVD woFG'!C95</f>
        <v>-2.115187885053299E-2</v>
      </c>
      <c r="D95">
        <f>'DSGE HVD wFG'!D95-'DSGE HVD woFG'!D95</f>
        <v>-0.16163421757437998</v>
      </c>
      <c r="E95">
        <f>'DSGE HVD wFG'!E95-'DSGE HVD woFG'!E95</f>
        <v>-1.2492949393146102E-2</v>
      </c>
      <c r="F95">
        <f>'DSGE HVD wFG'!F95-'DSGE HVD woFG'!F95</f>
        <v>-8.2163446319939992E-3</v>
      </c>
      <c r="G95">
        <f>'DSGE HVD wFG'!G95-'DSGE HVD woFG'!G95</f>
        <v>1.9272076331759986E-16</v>
      </c>
      <c r="H95">
        <f>'DSGE HVD wFG'!H95-'DSGE HVD woFG'!H95</f>
        <v>-1.6793293642270005E-15</v>
      </c>
      <c r="I95">
        <f>'DSGE HVD wFG'!I95-'DSGE HVD woFG'!I95</f>
        <v>-4.7419962991037215E-15</v>
      </c>
      <c r="J95">
        <f>'DSGE HVD wFG'!J95-'DSGE HVD woFG'!J95</f>
        <v>2.4870645947566157E-15</v>
      </c>
      <c r="K95">
        <f>'DSGE HVD wFG'!K95-'DSGE HVD woFG'!K95</f>
        <v>-5.3661635303729701E-16</v>
      </c>
      <c r="L95">
        <f>'DSGE HVD wFG'!L95-'DSGE HVD woFG'!L95</f>
        <v>2.4800367906074069E-15</v>
      </c>
      <c r="M95">
        <f>'DSGE HVD wFG'!M95-'DSGE HVD woFG'!M95</f>
        <v>2.0926767841438821E-15</v>
      </c>
      <c r="N95">
        <f>'DSGE HVD wFG'!N95-'DSGE HVD woFG'!N95</f>
        <v>4.8852508920601703E-15</v>
      </c>
      <c r="O95">
        <f>'DSGE HVD wFG'!O95-'DSGE HVD woFG'!O95</f>
        <v>6.5034353289328407E-15</v>
      </c>
      <c r="P95">
        <f>'DSGE HVD wFG'!P95-'DSGE HVD woFG'!P95</f>
        <v>1.5274092091827893E-14</v>
      </c>
      <c r="Q95">
        <f>'DSGE HVD wFG'!Q95-'DSGE HVD woFG'!Q95</f>
        <v>3.4799461316733768E-2</v>
      </c>
      <c r="R95">
        <f>'DSGE HVD wFG'!R95-'DSGE HVD woFG'!R95</f>
        <v>0</v>
      </c>
      <c r="S95">
        <f>'DSGE HVD wFG'!S95-'DSGE HVD woFG'!S95</f>
        <v>8.9537111974028971E-2</v>
      </c>
      <c r="T95">
        <f>'DSGE HVD wFG'!T95-'DSGE HVD woFG'!T95</f>
        <v>-1.4398875480785105E-3</v>
      </c>
      <c r="U95">
        <f>'DSGE HVD wFG'!U95-'DSGE HVD woFG'!U95</f>
        <v>-9.4785527564227978E-2</v>
      </c>
      <c r="Y95" s="1">
        <f t="shared" si="16"/>
        <v>47664</v>
      </c>
      <c r="Z95" s="7">
        <f t="shared" si="16"/>
        <v>-1.4186822856884995E-2</v>
      </c>
      <c r="AA95" s="7">
        <f t="shared" si="16"/>
        <v>-2.115187885053299E-2</v>
      </c>
      <c r="AB95" s="7">
        <f t="shared" si="16"/>
        <v>-0.16163421757437998</v>
      </c>
      <c r="AC95" s="7">
        <f t="shared" si="17"/>
        <v>8.1320767342034972E-2</v>
      </c>
      <c r="AD95" s="7">
        <f t="shared" si="18"/>
        <v>-1.2492949393146102E-2</v>
      </c>
      <c r="AE95" s="7">
        <f t="shared" si="19"/>
        <v>3.4799461316733768E-2</v>
      </c>
      <c r="AF95" s="7">
        <f t="shared" si="20"/>
        <v>1.9272076331759986E-16</v>
      </c>
      <c r="AG95" s="7">
        <f t="shared" si="20"/>
        <v>-1.6793293642270005E-15</v>
      </c>
      <c r="AH95" s="7">
        <f t="shared" si="21"/>
        <v>-1.4398875480500666E-3</v>
      </c>
      <c r="AI95" s="7">
        <f t="shared" si="15"/>
        <v>-9.4785527564226882E-2</v>
      </c>
      <c r="AJ95" s="8">
        <f t="shared" si="22"/>
        <v>0.11612022865876874</v>
      </c>
      <c r="AK95" s="8">
        <f t="shared" si="23"/>
        <v>-0.19527904581805908</v>
      </c>
      <c r="AL95" s="8">
        <f t="shared" si="24"/>
        <v>-1.4186822856884995E-2</v>
      </c>
      <c r="AM95" s="8">
        <f t="shared" si="25"/>
        <v>-1.4398875480500666E-3</v>
      </c>
      <c r="AN95" s="8">
        <f t="shared" si="26"/>
        <v>-9.4785527564225397E-2</v>
      </c>
      <c r="AO95" s="9">
        <f t="shared" si="27"/>
        <v>-0.57853705979732295</v>
      </c>
      <c r="AP95" s="9">
        <f t="shared" si="27"/>
        <v>1.4486642128343905</v>
      </c>
      <c r="AQ95" s="9">
        <f t="shared" si="27"/>
        <v>0.11966936537910736</v>
      </c>
      <c r="AR95" s="9">
        <f t="shared" si="27"/>
        <v>1.0203481583826302E-2</v>
      </c>
      <c r="AS95" s="9">
        <f t="shared" si="27"/>
        <v>1</v>
      </c>
      <c r="AT95" s="7"/>
      <c r="AU95" s="7"/>
      <c r="AV95" s="7"/>
      <c r="AW95" s="7"/>
      <c r="AX95" s="7"/>
    </row>
    <row r="96" spans="1:50" x14ac:dyDescent="0.25">
      <c r="A96" s="1">
        <v>47756</v>
      </c>
      <c r="B96">
        <f>'DSGE HVD wFG'!B96-'DSGE HVD woFG'!B96</f>
        <v>-1.4015734658342993E-2</v>
      </c>
      <c r="C96">
        <f>'DSGE HVD wFG'!C96-'DSGE HVD woFG'!C96</f>
        <v>-2.0940360062109989E-2</v>
      </c>
      <c r="D96">
        <f>'DSGE HVD wFG'!D96-'DSGE HVD woFG'!D96</f>
        <v>-0.16001783901261898</v>
      </c>
      <c r="E96">
        <f>'DSGE HVD wFG'!E96-'DSGE HVD woFG'!E96</f>
        <v>-1.2242745529186194E-2</v>
      </c>
      <c r="F96">
        <f>'DSGE HVD wFG'!F96-'DSGE HVD woFG'!F96</f>
        <v>-7.7777177865629987E-3</v>
      </c>
      <c r="G96">
        <f>'DSGE HVD wFG'!G96-'DSGE HVD woFG'!G96</f>
        <v>1.8688251983039957E-16</v>
      </c>
      <c r="H96">
        <f>'DSGE HVD wFG'!H96-'DSGE HVD woFG'!H96</f>
        <v>-1.6796128894292031E-15</v>
      </c>
      <c r="I96">
        <f>'DSGE HVD wFG'!I96-'DSGE HVD woFG'!I96</f>
        <v>-4.6672734393331056E-15</v>
      </c>
      <c r="J96">
        <f>'DSGE HVD wFG'!J96-'DSGE HVD woFG'!J96</f>
        <v>2.4555009783486451E-15</v>
      </c>
      <c r="K96">
        <f>'DSGE HVD wFG'!K96-'DSGE HVD woFG'!K96</f>
        <v>-5.2487690809994413E-16</v>
      </c>
      <c r="L96">
        <f>'DSGE HVD wFG'!L96-'DSGE HVD woFG'!L96</f>
        <v>2.4547127061767291E-15</v>
      </c>
      <c r="M96">
        <f>'DSGE HVD wFG'!M96-'DSGE HVD woFG'!M96</f>
        <v>2.073457905991761E-15</v>
      </c>
      <c r="N96">
        <f>'DSGE HVD wFG'!N96-'DSGE HVD woFG'!N96</f>
        <v>4.8321877949127501E-15</v>
      </c>
      <c r="O96">
        <f>'DSGE HVD wFG'!O96-'DSGE HVD woFG'!O96</f>
        <v>6.4264553764868797E-15</v>
      </c>
      <c r="P96">
        <f>'DSGE HVD wFG'!P96-'DSGE HVD woFG'!P96</f>
        <v>1.5388082182802601E-14</v>
      </c>
      <c r="Q96">
        <f>'DSGE HVD wFG'!Q96-'DSGE HVD woFG'!Q96</f>
        <v>3.4277099845084605E-2</v>
      </c>
      <c r="R96">
        <f>'DSGE HVD wFG'!R96-'DSGE HVD woFG'!R96</f>
        <v>0</v>
      </c>
      <c r="S96">
        <f>'DSGE HVD wFG'!S96-'DSGE HVD woFG'!S96</f>
        <v>8.8768491287182005E-2</v>
      </c>
      <c r="T96">
        <f>'DSGE HVD wFG'!T96-'DSGE HVD woFG'!T96</f>
        <v>-1.4252616214969187E-3</v>
      </c>
      <c r="U96">
        <f>'DSGE HVD wFG'!U96-'DSGE HVD woFG'!U96</f>
        <v>-9.3374067538023964E-2</v>
      </c>
      <c r="Y96" s="1">
        <f t="shared" si="16"/>
        <v>47756</v>
      </c>
      <c r="Z96" s="7">
        <f t="shared" si="16"/>
        <v>-1.4015734658342993E-2</v>
      </c>
      <c r="AA96" s="7">
        <f t="shared" si="16"/>
        <v>-2.0940360062109989E-2</v>
      </c>
      <c r="AB96" s="7">
        <f t="shared" si="16"/>
        <v>-0.16001783901261898</v>
      </c>
      <c r="AC96" s="7">
        <f t="shared" si="17"/>
        <v>8.0990773500619007E-2</v>
      </c>
      <c r="AD96" s="7">
        <f t="shared" si="18"/>
        <v>-1.2242745529186194E-2</v>
      </c>
      <c r="AE96" s="7">
        <f t="shared" si="19"/>
        <v>3.4277099845084605E-2</v>
      </c>
      <c r="AF96" s="7">
        <f t="shared" si="20"/>
        <v>1.8688251983039957E-16</v>
      </c>
      <c r="AG96" s="7">
        <f t="shared" si="20"/>
        <v>-1.6796128894292031E-15</v>
      </c>
      <c r="AH96" s="7">
        <f t="shared" si="21"/>
        <v>-1.4252616214684806E-3</v>
      </c>
      <c r="AI96" s="7">
        <f t="shared" si="15"/>
        <v>-9.3374067538024547E-2</v>
      </c>
      <c r="AJ96" s="8">
        <f t="shared" si="22"/>
        <v>0.11526787334570361</v>
      </c>
      <c r="AK96" s="8">
        <f t="shared" si="23"/>
        <v>-0.19320094460391518</v>
      </c>
      <c r="AL96" s="8">
        <f t="shared" si="24"/>
        <v>-1.4015734658342993E-2</v>
      </c>
      <c r="AM96" s="8">
        <f t="shared" si="25"/>
        <v>-1.4252616214684806E-3</v>
      </c>
      <c r="AN96" s="8">
        <f t="shared" si="26"/>
        <v>-9.3374067538023048E-2</v>
      </c>
      <c r="AO96" s="9">
        <f t="shared" si="27"/>
        <v>-0.60388200674620696</v>
      </c>
      <c r="AP96" s="9">
        <f t="shared" si="27"/>
        <v>1.472306105427017</v>
      </c>
      <c r="AQ96" s="9">
        <f t="shared" si="27"/>
        <v>0.12121363366012507</v>
      </c>
      <c r="AR96" s="9">
        <f t="shared" si="27"/>
        <v>1.0362267659069562E-2</v>
      </c>
      <c r="AS96" s="9">
        <f t="shared" si="27"/>
        <v>1</v>
      </c>
      <c r="AT96" s="7"/>
      <c r="AU96" s="7"/>
      <c r="AV96" s="7"/>
      <c r="AW96" s="7"/>
      <c r="AX96" s="7"/>
    </row>
    <row r="97" spans="1:50" x14ac:dyDescent="0.25">
      <c r="A97" s="1">
        <v>47848</v>
      </c>
      <c r="B97">
        <f>'DSGE HVD wFG'!B97-'DSGE HVD woFG'!B97</f>
        <v>-1.3846885084256993E-2</v>
      </c>
      <c r="C97">
        <f>'DSGE HVD wFG'!C97-'DSGE HVD woFG'!C97</f>
        <v>-2.07309564615311E-2</v>
      </c>
      <c r="D97">
        <f>'DSGE HVD wFG'!D97-'DSGE HVD woFG'!D97</f>
        <v>-0.15841763527632499</v>
      </c>
      <c r="E97">
        <f>'DSGE HVD wFG'!E97-'DSGE HVD woFG'!E97</f>
        <v>-1.1994975352642899E-2</v>
      </c>
      <c r="F97">
        <f>'DSGE HVD wFG'!F97-'DSGE HVD woFG'!F97</f>
        <v>-7.3631876607290064E-3</v>
      </c>
      <c r="G97">
        <f>'DSGE HVD wFG'!G97-'DSGE HVD woFG'!G97</f>
        <v>1.8113253896660028E-16</v>
      </c>
      <c r="H97">
        <f>'DSGE HVD wFG'!H97-'DSGE HVD woFG'!H97</f>
        <v>-1.679416164467802E-15</v>
      </c>
      <c r="I97">
        <f>'DSGE HVD wFG'!I97-'DSGE HVD woFG'!I97</f>
        <v>-4.594754332740341E-15</v>
      </c>
      <c r="J97">
        <f>'DSGE HVD wFG'!J97-'DSGE HVD woFG'!J97</f>
        <v>2.4244588376523773E-15</v>
      </c>
      <c r="K97">
        <f>'DSGE HVD wFG'!K97-'DSGE HVD woFG'!K97</f>
        <v>-5.1322392589942999E-16</v>
      </c>
      <c r="L97">
        <f>'DSGE HVD wFG'!L97-'DSGE HVD woFG'!L97</f>
        <v>2.4297557453948949E-15</v>
      </c>
      <c r="M97">
        <f>'DSGE HVD wFG'!M97-'DSGE HVD woFG'!M97</f>
        <v>2.0545409063667452E-15</v>
      </c>
      <c r="N97">
        <f>'DSGE HVD wFG'!N97-'DSGE HVD woFG'!N97</f>
        <v>4.7799030814621399E-15</v>
      </c>
      <c r="O97">
        <f>'DSGE HVD wFG'!O97-'DSGE HVD woFG'!O97</f>
        <v>6.35044016217482E-15</v>
      </c>
      <c r="P97">
        <f>'DSGE HVD wFG'!P97-'DSGE HVD woFG'!P97</f>
        <v>1.5497257012129896E-14</v>
      </c>
      <c r="Q97">
        <f>'DSGE HVD wFG'!Q97-'DSGE HVD woFG'!Q97</f>
        <v>3.3761465195093862E-2</v>
      </c>
      <c r="R97">
        <f>'DSGE HVD wFG'!R97-'DSGE HVD woFG'!R97</f>
        <v>0</v>
      </c>
      <c r="S97">
        <f>'DSGE HVD wFG'!S97-'DSGE HVD woFG'!S97</f>
        <v>8.8004274538024008E-2</v>
      </c>
      <c r="T97">
        <f>'DSGE HVD wFG'!T97-'DSGE HVD woFG'!T97</f>
        <v>-1.4107893670176602E-3</v>
      </c>
      <c r="U97">
        <f>'DSGE HVD wFG'!U97-'DSGE HVD woFG'!U97</f>
        <v>-9.1998689469359018E-2</v>
      </c>
      <c r="Y97" s="1">
        <f t="shared" si="16"/>
        <v>47848</v>
      </c>
      <c r="Z97" s="7">
        <f t="shared" si="16"/>
        <v>-1.3846885084256993E-2</v>
      </c>
      <c r="AA97" s="7">
        <f t="shared" si="16"/>
        <v>-2.07309564615311E-2</v>
      </c>
      <c r="AB97" s="7">
        <f t="shared" si="16"/>
        <v>-0.15841763527632499</v>
      </c>
      <c r="AC97" s="7">
        <f t="shared" si="17"/>
        <v>8.0641086877295001E-2</v>
      </c>
      <c r="AD97" s="7">
        <f t="shared" si="18"/>
        <v>-1.1994975352642899E-2</v>
      </c>
      <c r="AE97" s="7">
        <f t="shared" si="19"/>
        <v>3.3761465195093862E-2</v>
      </c>
      <c r="AF97" s="7">
        <f t="shared" si="20"/>
        <v>1.8113253896660028E-16</v>
      </c>
      <c r="AG97" s="7">
        <f t="shared" si="20"/>
        <v>-1.679416164467802E-15</v>
      </c>
      <c r="AH97" s="7">
        <f t="shared" si="21"/>
        <v>-1.4107893669892322E-3</v>
      </c>
      <c r="AI97" s="7">
        <f t="shared" si="15"/>
        <v>-9.1998689469357853E-2</v>
      </c>
      <c r="AJ97" s="8">
        <f t="shared" si="22"/>
        <v>0.11440255207238886</v>
      </c>
      <c r="AK97" s="8">
        <f t="shared" si="23"/>
        <v>-0.19114356709049898</v>
      </c>
      <c r="AL97" s="8">
        <f t="shared" si="24"/>
        <v>-1.3846885084256993E-2</v>
      </c>
      <c r="AM97" s="8">
        <f t="shared" si="25"/>
        <v>-1.4107893669892322E-3</v>
      </c>
      <c r="AN97" s="8">
        <f t="shared" si="26"/>
        <v>-9.199868946935634E-2</v>
      </c>
      <c r="AO97" s="9">
        <f t="shared" si="27"/>
        <v>-0.62915157150469248</v>
      </c>
      <c r="AP97" s="9">
        <f t="shared" si="27"/>
        <v>1.4958632541019214</v>
      </c>
      <c r="AQ97" s="9">
        <f t="shared" si="27"/>
        <v>0.12276593464201631</v>
      </c>
      <c r="AR97" s="9">
        <f t="shared" si="27"/>
        <v>1.0522382760747243E-2</v>
      </c>
      <c r="AS97" s="9">
        <f t="shared" si="27"/>
        <v>1</v>
      </c>
      <c r="AT97" s="7"/>
      <c r="AU97" s="7"/>
      <c r="AV97" s="7"/>
      <c r="AW97" s="7"/>
      <c r="AX97" s="7"/>
    </row>
    <row r="98" spans="1:50" x14ac:dyDescent="0.25">
      <c r="A98" s="1">
        <v>47938</v>
      </c>
      <c r="B98">
        <f>'DSGE HVD wFG'!B98-'DSGE HVD woFG'!B98</f>
        <v>-1.3680242008499988E-2</v>
      </c>
      <c r="C98">
        <f>'DSGE HVD wFG'!C98-'DSGE HVD woFG'!C98</f>
        <v>-2.0523646896938599E-2</v>
      </c>
      <c r="D98">
        <f>'DSGE HVD wFG'!D98-'DSGE HVD woFG'!D98</f>
        <v>-0.15683344126765303</v>
      </c>
      <c r="E98">
        <f>'DSGE HVD wFG'!E98-'DSGE HVD woFG'!E98</f>
        <v>-1.1749980262929505E-2</v>
      </c>
      <c r="F98">
        <f>'DSGE HVD wFG'!F98-'DSGE HVD woFG'!F98</f>
        <v>-6.9713561494950949E-3</v>
      </c>
      <c r="G98">
        <f>'DSGE HVD wFG'!G98-'DSGE HVD woFG'!G98</f>
        <v>1.7547553479450041E-16</v>
      </c>
      <c r="H98">
        <f>'DSGE HVD wFG'!H98-'DSGE HVD woFG'!H98</f>
        <v>-1.6787668156908978E-15</v>
      </c>
      <c r="I98">
        <f>'DSGE HVD wFG'!I98-'DSGE HVD woFG'!I98</f>
        <v>-4.5243158238228831E-15</v>
      </c>
      <c r="J98">
        <f>'DSGE HVD wFG'!J98-'DSGE HVD woFG'!J98</f>
        <v>2.3939326159287742E-15</v>
      </c>
      <c r="K98">
        <f>'DSGE HVD wFG'!K98-'DSGE HVD woFG'!K98</f>
        <v>-5.0171266875199704E-16</v>
      </c>
      <c r="L98">
        <f>'DSGE HVD wFG'!L98-'DSGE HVD woFG'!L98</f>
        <v>2.4051376740531081E-15</v>
      </c>
      <c r="M98">
        <f>'DSGE HVD wFG'!M98-'DSGE HVD woFG'!M98</f>
        <v>2.0358838168667679E-15</v>
      </c>
      <c r="N98">
        <f>'DSGE HVD wFG'!N98-'DSGE HVD woFG'!N98</f>
        <v>4.7283774614523996E-15</v>
      </c>
      <c r="O98">
        <f>'DSGE HVD wFG'!O98-'DSGE HVD woFG'!O98</f>
        <v>6.2754326919306801E-15</v>
      </c>
      <c r="P98">
        <f>'DSGE HVD wFG'!P98-'DSGE HVD woFG'!P98</f>
        <v>1.5601724224326403E-14</v>
      </c>
      <c r="Q98">
        <f>'DSGE HVD wFG'!Q98-'DSGE HVD woFG'!Q98</f>
        <v>3.3252292633868689E-2</v>
      </c>
      <c r="R98">
        <f>'DSGE HVD wFG'!R98-'DSGE HVD woFG'!R98</f>
        <v>0</v>
      </c>
      <c r="S98">
        <f>'DSGE HVD wFG'!S98-'DSGE HVD woFG'!S98</f>
        <v>8.7244559618060991E-2</v>
      </c>
      <c r="T98">
        <f>'DSGE HVD wFG'!T98-'DSGE HVD woFG'!T98</f>
        <v>-1.396469100943161E-3</v>
      </c>
      <c r="U98">
        <f>'DSGE HVD wFG'!U98-'DSGE HVD woFG'!U98</f>
        <v>-9.0658283434503995E-2</v>
      </c>
      <c r="Y98" s="1">
        <f t="shared" si="16"/>
        <v>47938</v>
      </c>
      <c r="Z98" s="7">
        <f t="shared" si="16"/>
        <v>-1.3680242008499988E-2</v>
      </c>
      <c r="AA98" s="7">
        <f t="shared" si="16"/>
        <v>-2.0523646896938599E-2</v>
      </c>
      <c r="AB98" s="7">
        <f t="shared" si="16"/>
        <v>-0.15683344126765303</v>
      </c>
      <c r="AC98" s="7">
        <f t="shared" si="17"/>
        <v>8.0273203468565896E-2</v>
      </c>
      <c r="AD98" s="7">
        <f t="shared" si="18"/>
        <v>-1.1749980262929505E-2</v>
      </c>
      <c r="AE98" s="7">
        <f t="shared" si="19"/>
        <v>3.3252292633868689E-2</v>
      </c>
      <c r="AF98" s="7">
        <f t="shared" si="20"/>
        <v>1.7547553479450041E-16</v>
      </c>
      <c r="AG98" s="7">
        <f t="shared" si="20"/>
        <v>-1.6787668156908978E-15</v>
      </c>
      <c r="AH98" s="7">
        <f t="shared" si="21"/>
        <v>-1.3964691009147466E-3</v>
      </c>
      <c r="AI98" s="7">
        <f t="shared" si="15"/>
        <v>-9.0658283434502759E-2</v>
      </c>
      <c r="AJ98" s="8">
        <f t="shared" si="22"/>
        <v>0.11352549610243459</v>
      </c>
      <c r="AK98" s="8">
        <f t="shared" si="23"/>
        <v>-0.18910706842752112</v>
      </c>
      <c r="AL98" s="8">
        <f t="shared" si="24"/>
        <v>-1.3680242008499988E-2</v>
      </c>
      <c r="AM98" s="8">
        <f t="shared" si="25"/>
        <v>-1.3964691009147466E-3</v>
      </c>
      <c r="AN98" s="8">
        <f t="shared" si="26"/>
        <v>-9.0658283434501261E-2</v>
      </c>
      <c r="AO98" s="9">
        <f t="shared" si="27"/>
        <v>-0.65432111401161797</v>
      </c>
      <c r="AP98" s="9">
        <f t="shared" si="27"/>
        <v>1.5193147524123498</v>
      </c>
      <c r="AQ98" s="9">
        <f t="shared" si="27"/>
        <v>0.12432283309961582</v>
      </c>
      <c r="AR98" s="9">
        <f t="shared" si="27"/>
        <v>1.0683528499656298E-2</v>
      </c>
      <c r="AS98" s="9">
        <f t="shared" si="27"/>
        <v>1</v>
      </c>
      <c r="AT98" s="7"/>
      <c r="AU98" s="7"/>
      <c r="AV98" s="7"/>
      <c r="AW98" s="7"/>
      <c r="AX98" s="7"/>
    </row>
    <row r="99" spans="1:50" x14ac:dyDescent="0.25">
      <c r="A99" s="1">
        <v>48029</v>
      </c>
      <c r="B99">
        <f>'DSGE HVD wFG'!B99-'DSGE HVD woFG'!B99</f>
        <v>-1.3515773724053021E-2</v>
      </c>
      <c r="C99">
        <f>'DSGE HVD wFG'!C99-'DSGE HVD woFG'!C99</f>
        <v>-2.0318410427979994E-2</v>
      </c>
      <c r="D99">
        <f>'DSGE HVD wFG'!D99-'DSGE HVD woFG'!D99</f>
        <v>-0.15526509455603199</v>
      </c>
      <c r="E99">
        <f>'DSGE HVD wFG'!E99-'DSGE HVD woFG'!E99</f>
        <v>-1.1508047422535E-2</v>
      </c>
      <c r="F99">
        <f>'DSGE HVD wFG'!F99-'DSGE HVD woFG'!F99</f>
        <v>-6.6009106678196067E-3</v>
      </c>
      <c r="G99">
        <f>'DSGE HVD wFG'!G99-'DSGE HVD woFG'!G99</f>
        <v>1.6991585333579948E-16</v>
      </c>
      <c r="H99">
        <f>'DSGE HVD wFG'!H99-'DSGE HVD woFG'!H99</f>
        <v>-1.6776910365128037E-15</v>
      </c>
      <c r="I99">
        <f>'DSGE HVD wFG'!I99-'DSGE HVD woFG'!I99</f>
        <v>-4.4558392119225948E-15</v>
      </c>
      <c r="J99">
        <f>'DSGE HVD wFG'!J99-'DSGE HVD woFG'!J99</f>
        <v>2.3639158693535442E-15</v>
      </c>
      <c r="K99">
        <f>'DSGE HVD wFG'!K99-'DSGE HVD woFG'!K99</f>
        <v>-4.9038956283910611E-16</v>
      </c>
      <c r="L99">
        <f>'DSGE HVD wFG'!L99-'DSGE HVD woFG'!L99</f>
        <v>2.380834042671588E-15</v>
      </c>
      <c r="M99">
        <f>'DSGE HVD wFG'!M99-'DSGE HVD woFG'!M99</f>
        <v>2.0174505318501462E-15</v>
      </c>
      <c r="N99">
        <f>'DSGE HVD wFG'!N99-'DSGE HVD woFG'!N99</f>
        <v>4.6775914030673098E-15</v>
      </c>
      <c r="O99">
        <f>'DSGE HVD wFG'!O99-'DSGE HVD woFG'!O99</f>
        <v>6.2014666364501898E-15</v>
      </c>
      <c r="P99">
        <f>'DSGE HVD wFG'!P99-'DSGE HVD woFG'!P99</f>
        <v>1.5701590639780699E-14</v>
      </c>
      <c r="Q99">
        <f>'DSGE HVD wFG'!Q99-'DSGE HVD woFG'!Q99</f>
        <v>3.2749362774063082E-2</v>
      </c>
      <c r="R99">
        <f>'DSGE HVD wFG'!R99-'DSGE HVD woFG'!R99</f>
        <v>0</v>
      </c>
      <c r="S99">
        <f>'DSGE HVD wFG'!S99-'DSGE HVD woFG'!S99</f>
        <v>8.6489426164658018E-2</v>
      </c>
      <c r="T99">
        <f>'DSGE HVD wFG'!T99-'DSGE HVD woFG'!T99</f>
        <v>-1.3822991592013188E-3</v>
      </c>
      <c r="U99">
        <f>'DSGE HVD wFG'!U99-'DSGE HVD woFG'!U99</f>
        <v>-8.9351747018873995E-2</v>
      </c>
      <c r="Y99" s="1">
        <f t="shared" ref="Y99:AB132" si="28">+A99</f>
        <v>48029</v>
      </c>
      <c r="Z99" s="7">
        <f t="shared" si="28"/>
        <v>-1.3515773724053021E-2</v>
      </c>
      <c r="AA99" s="7">
        <f t="shared" si="28"/>
        <v>-2.0318410427979994E-2</v>
      </c>
      <c r="AB99" s="7">
        <f t="shared" si="28"/>
        <v>-0.15526509455603199</v>
      </c>
      <c r="AC99" s="7">
        <f t="shared" si="17"/>
        <v>7.9888515496838411E-2</v>
      </c>
      <c r="AD99" s="7">
        <f t="shared" si="18"/>
        <v>-1.1508047422535E-2</v>
      </c>
      <c r="AE99" s="7">
        <f t="shared" si="19"/>
        <v>3.2749362774063082E-2</v>
      </c>
      <c r="AF99" s="7">
        <f t="shared" si="20"/>
        <v>1.6991585333579948E-16</v>
      </c>
      <c r="AG99" s="7">
        <f t="shared" si="20"/>
        <v>-1.6776910365128037E-15</v>
      </c>
      <c r="AH99" s="7">
        <f t="shared" si="21"/>
        <v>-1.382299159172922E-3</v>
      </c>
      <c r="AI99" s="7">
        <f t="shared" si="15"/>
        <v>-8.9351747018872954E-2</v>
      </c>
      <c r="AJ99" s="8">
        <f t="shared" si="22"/>
        <v>0.11263787827090149</v>
      </c>
      <c r="AK99" s="8">
        <f t="shared" si="23"/>
        <v>-0.18709155240654698</v>
      </c>
      <c r="AL99" s="8">
        <f t="shared" si="24"/>
        <v>-1.3515773724053021E-2</v>
      </c>
      <c r="AM99" s="8">
        <f t="shared" si="25"/>
        <v>-1.382299159172922E-3</v>
      </c>
      <c r="AN99" s="8">
        <f t="shared" si="26"/>
        <v>-8.9351747018871441E-2</v>
      </c>
      <c r="AO99" s="9">
        <f t="shared" si="27"/>
        <v>-0.67936708147948643</v>
      </c>
      <c r="AP99" s="9">
        <f t="shared" si="27"/>
        <v>1.5426405241085832</v>
      </c>
      <c r="AQ99" s="9">
        <f t="shared" si="27"/>
        <v>0.12588113310847487</v>
      </c>
      <c r="AR99" s="9">
        <f t="shared" si="27"/>
        <v>1.0845424262433522E-2</v>
      </c>
      <c r="AS99" s="9">
        <f t="shared" si="27"/>
        <v>1</v>
      </c>
      <c r="AT99" s="7"/>
      <c r="AU99" s="7"/>
      <c r="AV99" s="7"/>
      <c r="AW99" s="7"/>
      <c r="AX99" s="7"/>
    </row>
    <row r="100" spans="1:50" x14ac:dyDescent="0.25">
      <c r="A100" s="1">
        <v>48121</v>
      </c>
      <c r="B100">
        <f>'DSGE HVD wFG'!B100-'DSGE HVD woFG'!B100</f>
        <v>-1.3353448947815996E-2</v>
      </c>
      <c r="C100">
        <f>'DSGE HVD wFG'!C100-'DSGE HVD woFG'!C100</f>
        <v>-2.0115226323707006E-2</v>
      </c>
      <c r="D100">
        <f>'DSGE HVD wFG'!D100-'DSGE HVD woFG'!D100</f>
        <v>-0.15371243504314003</v>
      </c>
      <c r="E100">
        <f>'DSGE HVD wFG'!E100-'DSGE HVD woFG'!E100</f>
        <v>-1.1269416321269606E-2</v>
      </c>
      <c r="F100">
        <f>'DSGE HVD wFG'!F100-'DSGE HVD woFG'!F100</f>
        <v>-6.2506188911695959E-3</v>
      </c>
      <c r="G100">
        <f>'DSGE HVD wFG'!G100-'DSGE HVD woFG'!G100</f>
        <v>1.6445742905499984E-16</v>
      </c>
      <c r="H100">
        <f>'DSGE HVD wFG'!H100-'DSGE HVD woFG'!H100</f>
        <v>-1.6762135484663982E-15</v>
      </c>
      <c r="I100">
        <f>'DSGE HVD wFG'!I100-'DSGE HVD woFG'!I100</f>
        <v>-4.3892110609425886E-15</v>
      </c>
      <c r="J100">
        <f>'DSGE HVD wFG'!J100-'DSGE HVD woFG'!J100</f>
        <v>2.3344013683727839E-15</v>
      </c>
      <c r="K100">
        <f>'DSGE HVD wFG'!K100-'DSGE HVD woFG'!K100</f>
        <v>-4.7929292981182897E-16</v>
      </c>
      <c r="L100">
        <f>'DSGE HVD wFG'!L100-'DSGE HVD woFG'!L100</f>
        <v>2.3568238065958771E-15</v>
      </c>
      <c r="M100">
        <f>'DSGE HVD wFG'!M100-'DSGE HVD woFG'!M100</f>
        <v>1.9992103065703061E-15</v>
      </c>
      <c r="N100">
        <f>'DSGE HVD wFG'!N100-'DSGE HVD woFG'!N100</f>
        <v>4.6275253557488701E-15</v>
      </c>
      <c r="O100">
        <f>'DSGE HVD wFG'!O100-'DSGE HVD woFG'!O100</f>
        <v>6.1285671273146692E-15</v>
      </c>
      <c r="P100">
        <f>'DSGE HVD wFG'!P100-'DSGE HVD woFG'!P100</f>
        <v>1.5796961988960299E-14</v>
      </c>
      <c r="Q100">
        <f>'DSGE HVD wFG'!Q100-'DSGE HVD woFG'!Q100</f>
        <v>3.2252493665753078E-2</v>
      </c>
      <c r="R100">
        <f>'DSGE HVD wFG'!R100-'DSGE HVD woFG'!R100</f>
        <v>0</v>
      </c>
      <c r="S100">
        <f>'DSGE HVD wFG'!S100-'DSGE HVD woFG'!S100</f>
        <v>8.5738939073632031E-2</v>
      </c>
      <c r="T100">
        <f>'DSGE HVD wFG'!T100-'DSGE HVD woFG'!T100</f>
        <v>-1.36827789709623E-3</v>
      </c>
      <c r="U100">
        <f>'DSGE HVD wFG'!U100-'DSGE HVD woFG'!U100</f>
        <v>-8.8077990684787E-2</v>
      </c>
      <c r="Y100" s="1">
        <f t="shared" si="28"/>
        <v>48121</v>
      </c>
      <c r="Z100" s="7">
        <f t="shared" si="28"/>
        <v>-1.3353448947815996E-2</v>
      </c>
      <c r="AA100" s="7">
        <f t="shared" si="28"/>
        <v>-2.0115226323707006E-2</v>
      </c>
      <c r="AB100" s="7">
        <f t="shared" si="28"/>
        <v>-0.15371243504314003</v>
      </c>
      <c r="AC100" s="7">
        <f t="shared" si="17"/>
        <v>7.9488320182462435E-2</v>
      </c>
      <c r="AD100" s="7">
        <f t="shared" si="18"/>
        <v>-1.1269416321269606E-2</v>
      </c>
      <c r="AE100" s="7">
        <f t="shared" si="19"/>
        <v>3.2252493665753078E-2</v>
      </c>
      <c r="AF100" s="7">
        <f t="shared" si="20"/>
        <v>1.6445742905499984E-16</v>
      </c>
      <c r="AG100" s="7">
        <f t="shared" si="20"/>
        <v>-1.6762135484663982E-15</v>
      </c>
      <c r="AH100" s="7">
        <f t="shared" si="21"/>
        <v>-1.3682778970678547E-3</v>
      </c>
      <c r="AI100" s="7">
        <f t="shared" si="15"/>
        <v>-8.8077990684786472E-2</v>
      </c>
      <c r="AJ100" s="8">
        <f t="shared" si="22"/>
        <v>0.11174081384821552</v>
      </c>
      <c r="AK100" s="8">
        <f t="shared" si="23"/>
        <v>-0.18509707768811662</v>
      </c>
      <c r="AL100" s="8">
        <f t="shared" si="24"/>
        <v>-1.3353448947815996E-2</v>
      </c>
      <c r="AM100" s="8">
        <f t="shared" si="25"/>
        <v>-1.3682778970678547E-3</v>
      </c>
      <c r="AN100" s="8">
        <f t="shared" si="26"/>
        <v>-8.8077990684784946E-2</v>
      </c>
      <c r="AO100" s="9">
        <f t="shared" si="27"/>
        <v>-0.70426689836979184</v>
      </c>
      <c r="AP100" s="9">
        <f t="shared" si="27"/>
        <v>1.5658212368072357</v>
      </c>
      <c r="AQ100" s="9">
        <f t="shared" si="27"/>
        <v>0.12743785596437449</v>
      </c>
      <c r="AR100" s="9">
        <f t="shared" si="27"/>
        <v>1.1007805598174363E-2</v>
      </c>
      <c r="AS100" s="9">
        <f t="shared" si="27"/>
        <v>1</v>
      </c>
      <c r="AT100" s="7"/>
      <c r="AU100" s="7"/>
      <c r="AV100" s="7"/>
      <c r="AW100" s="7"/>
      <c r="AX100" s="7"/>
    </row>
    <row r="101" spans="1:50" x14ac:dyDescent="0.25">
      <c r="A101" s="1">
        <v>48213</v>
      </c>
      <c r="B101">
        <f>'DSGE HVD wFG'!B101-'DSGE HVD woFG'!B101</f>
        <v>-1.3193236824313004E-2</v>
      </c>
      <c r="C101">
        <f>'DSGE HVD wFG'!C101-'DSGE HVD woFG'!C101</f>
        <v>-1.9914074060472992E-2</v>
      </c>
      <c r="D101">
        <f>'DSGE HVD wFG'!D101-'DSGE HVD woFG'!D101</f>
        <v>-0.15217530472478299</v>
      </c>
      <c r="E101">
        <f>'DSGE HVD wFG'!E101-'DSGE HVD woFG'!E101</f>
        <v>-1.1034284593406295E-2</v>
      </c>
      <c r="F101">
        <f>'DSGE HVD wFG'!F101-'DSGE HVD woFG'!F101</f>
        <v>-5.9193237458608078E-3</v>
      </c>
      <c r="G101">
        <f>'DSGE HVD wFG'!G101-'DSGE HVD woFG'!G101</f>
        <v>1.5910375285460035E-16</v>
      </c>
      <c r="H101">
        <f>'DSGE HVD wFG'!H101-'DSGE HVD woFG'!H101</f>
        <v>-1.6743575923251962E-15</v>
      </c>
      <c r="I101">
        <f>'DSGE HVD wFG'!I101-'DSGE HVD woFG'!I101</f>
        <v>-4.3243237624039078E-15</v>
      </c>
      <c r="J101">
        <f>'DSGE HVD wFG'!J101-'DSGE HVD woFG'!J101</f>
        <v>2.3053811995380811E-15</v>
      </c>
      <c r="K101">
        <f>'DSGE HVD wFG'!K101-'DSGE HVD woFG'!K101</f>
        <v>-4.6845372786640791E-16</v>
      </c>
      <c r="L101">
        <f>'DSGE HVD wFG'!L101-'DSGE HVD woFG'!L101</f>
        <v>2.333088960318277E-15</v>
      </c>
      <c r="M101">
        <f>'DSGE HVD wFG'!M101-'DSGE HVD woFG'!M101</f>
        <v>1.9811372549961352E-15</v>
      </c>
      <c r="N101">
        <f>'DSGE HVD wFG'!N101-'DSGE HVD woFG'!N101</f>
        <v>4.5781599328938102E-15</v>
      </c>
      <c r="O101">
        <f>'DSGE HVD wFG'!O101-'DSGE HVD woFG'!O101</f>
        <v>6.0567515614094792E-15</v>
      </c>
      <c r="P101">
        <f>'DSGE HVD wFG'!P101-'DSGE HVD woFG'!P101</f>
        <v>1.5887942687519202E-14</v>
      </c>
      <c r="Q101">
        <f>'DSGE HVD wFG'!Q101-'DSGE HVD woFG'!Q101</f>
        <v>3.1761534254067199E-2</v>
      </c>
      <c r="R101">
        <f>'DSGE HVD wFG'!R101-'DSGE HVD woFG'!R101</f>
        <v>0</v>
      </c>
      <c r="S101">
        <f>'DSGE HVD wFG'!S101-'DSGE HVD woFG'!S101</f>
        <v>8.4993151295330027E-2</v>
      </c>
      <c r="T101">
        <f>'DSGE HVD wFG'!T101-'DSGE HVD woFG'!T101</f>
        <v>-1.3544036890625489E-3</v>
      </c>
      <c r="U101">
        <f>'DSGE HVD wFG'!U101-'DSGE HVD woFG'!U101</f>
        <v>-8.6835942088475004E-2</v>
      </c>
      <c r="Y101" s="1">
        <f t="shared" si="28"/>
        <v>48213</v>
      </c>
      <c r="Z101" s="7">
        <f t="shared" si="28"/>
        <v>-1.3193236824313004E-2</v>
      </c>
      <c r="AA101" s="7">
        <f t="shared" si="28"/>
        <v>-1.9914074060472992E-2</v>
      </c>
      <c r="AB101" s="7">
        <f t="shared" si="28"/>
        <v>-0.15217530472478299</v>
      </c>
      <c r="AC101" s="7">
        <f t="shared" si="17"/>
        <v>7.9073827549469219E-2</v>
      </c>
      <c r="AD101" s="7">
        <f t="shared" si="18"/>
        <v>-1.1034284593406295E-2</v>
      </c>
      <c r="AE101" s="7">
        <f t="shared" si="19"/>
        <v>3.1761534254067199E-2</v>
      </c>
      <c r="AF101" s="7">
        <f t="shared" si="20"/>
        <v>1.5910375285460035E-16</v>
      </c>
      <c r="AG101" s="7">
        <f t="shared" si="20"/>
        <v>-1.6743575923251962E-15</v>
      </c>
      <c r="AH101" s="7">
        <f t="shared" si="21"/>
        <v>-1.3544036890341992E-3</v>
      </c>
      <c r="AI101" s="7">
        <f t="shared" si="15"/>
        <v>-8.6835942088474588E-2</v>
      </c>
      <c r="AJ101" s="8">
        <f t="shared" si="22"/>
        <v>0.11083536180353643</v>
      </c>
      <c r="AK101" s="8">
        <f t="shared" si="23"/>
        <v>-0.18312366337866229</v>
      </c>
      <c r="AL101" s="8">
        <f t="shared" si="24"/>
        <v>-1.3193236824313004E-2</v>
      </c>
      <c r="AM101" s="8">
        <f t="shared" si="25"/>
        <v>-1.3544036890341992E-3</v>
      </c>
      <c r="AN101" s="8">
        <f t="shared" si="26"/>
        <v>-8.6835942088473062E-2</v>
      </c>
      <c r="AO101" s="9">
        <f t="shared" si="27"/>
        <v>-0.72899888729613882</v>
      </c>
      <c r="AP101" s="9">
        <f t="shared" si="27"/>
        <v>1.5888382429754755</v>
      </c>
      <c r="AQ101" s="9">
        <f t="shared" si="27"/>
        <v>0.12899022146051553</v>
      </c>
      <c r="AR101" s="9">
        <f t="shared" si="27"/>
        <v>1.1170422860146785E-2</v>
      </c>
      <c r="AS101" s="9">
        <f t="shared" si="27"/>
        <v>1</v>
      </c>
      <c r="AT101" s="7"/>
      <c r="AU101" s="7"/>
      <c r="AV101" s="7"/>
      <c r="AW101" s="7"/>
      <c r="AX101" s="7"/>
    </row>
    <row r="102" spans="1:50" x14ac:dyDescent="0.25">
      <c r="A102" s="1">
        <v>48304</v>
      </c>
      <c r="B102">
        <f>'DSGE HVD wFG'!B102-'DSGE HVD woFG'!B102</f>
        <v>-1.3035106928341006E-2</v>
      </c>
      <c r="C102">
        <f>'DSGE HVD wFG'!C102-'DSGE HVD woFG'!C102</f>
        <v>-1.971493331986951E-2</v>
      </c>
      <c r="D102">
        <f>'DSGE HVD wFG'!D102-'DSGE HVD woFG'!D102</f>
        <v>-0.150653547520333</v>
      </c>
      <c r="E102">
        <f>'DSGE HVD wFG'!E102-'DSGE HVD woFG'!E102</f>
        <v>-1.0802813169165898E-2</v>
      </c>
      <c r="F102">
        <f>'DSGE HVD wFG'!F102-'DSGE HVD woFG'!F102</f>
        <v>-5.6059386615199963E-3</v>
      </c>
      <c r="G102">
        <f>'DSGE HVD wFG'!G102-'DSGE HVD woFG'!G102</f>
        <v>1.5385785109940004E-16</v>
      </c>
      <c r="H102">
        <f>'DSGE HVD wFG'!H102-'DSGE HVD woFG'!H102</f>
        <v>-1.6721449436698972E-15</v>
      </c>
      <c r="I102">
        <f>'DSGE HVD wFG'!I102-'DSGE HVD woFG'!I102</f>
        <v>-4.261075891313269E-15</v>
      </c>
      <c r="J102">
        <f>'DSGE HVD wFG'!J102-'DSGE HVD woFG'!J102</f>
        <v>2.276846865929548E-15</v>
      </c>
      <c r="K102">
        <f>'DSGE HVD wFG'!K102-'DSGE HVD woFG'!K102</f>
        <v>-4.5789628551899108E-16</v>
      </c>
      <c r="L102">
        <f>'DSGE HVD wFG'!L102-'DSGE HVD woFG'!L102</f>
        <v>2.3096141911069191E-15</v>
      </c>
      <c r="M102">
        <f>'DSGE HVD wFG'!M102-'DSGE HVD woFG'!M102</f>
        <v>1.963209857940497E-15</v>
      </c>
      <c r="N102">
        <f>'DSGE HVD wFG'!N102-'DSGE HVD woFG'!N102</f>
        <v>4.5294760593707299E-15</v>
      </c>
      <c r="O102">
        <f>'DSGE HVD wFG'!O102-'DSGE HVD woFG'!O102</f>
        <v>5.9860303976055199E-15</v>
      </c>
      <c r="P102">
        <f>'DSGE HVD wFG'!P102-'DSGE HVD woFG'!P102</f>
        <v>1.5974635648754096E-14</v>
      </c>
      <c r="Q102">
        <f>'DSGE HVD wFG'!Q102-'DSGE HVD woFG'!Q102</f>
        <v>3.1276358957938365E-2</v>
      </c>
      <c r="R102">
        <f>'DSGE HVD wFG'!R102-'DSGE HVD woFG'!R102</f>
        <v>0</v>
      </c>
      <c r="S102">
        <f>'DSGE HVD wFG'!S102-'DSGE HVD woFG'!S102</f>
        <v>8.4252106060579979E-2</v>
      </c>
      <c r="T102">
        <f>'DSGE HVD wFG'!T102-'DSGE HVD woFG'!T102</f>
        <v>-1.3406749284228699E-3</v>
      </c>
      <c r="U102">
        <f>'DSGE HVD wFG'!U102-'DSGE HVD woFG'!U102</f>
        <v>-8.5624549509108E-2</v>
      </c>
      <c r="Y102" s="1">
        <f t="shared" si="28"/>
        <v>48304</v>
      </c>
      <c r="Z102" s="7">
        <f t="shared" si="28"/>
        <v>-1.3035106928341006E-2</v>
      </c>
      <c r="AA102" s="7">
        <f t="shared" si="28"/>
        <v>-1.971493331986951E-2</v>
      </c>
      <c r="AB102" s="7">
        <f t="shared" si="28"/>
        <v>-0.150653547520333</v>
      </c>
      <c r="AC102" s="7">
        <f t="shared" si="17"/>
        <v>7.8646167399059982E-2</v>
      </c>
      <c r="AD102" s="7">
        <f t="shared" si="18"/>
        <v>-1.0802813169165898E-2</v>
      </c>
      <c r="AE102" s="7">
        <f t="shared" si="19"/>
        <v>3.1276358957938365E-2</v>
      </c>
      <c r="AF102" s="7">
        <f t="shared" si="20"/>
        <v>1.5385785109940004E-16</v>
      </c>
      <c r="AG102" s="7">
        <f t="shared" si="20"/>
        <v>-1.6721449436698972E-15</v>
      </c>
      <c r="AH102" s="7">
        <f t="shared" si="21"/>
        <v>-1.340674928394549E-3</v>
      </c>
      <c r="AI102" s="7">
        <f t="shared" si="15"/>
        <v>-8.562454950910714E-2</v>
      </c>
      <c r="AJ102" s="8">
        <f t="shared" si="22"/>
        <v>0.10992252635699834</v>
      </c>
      <c r="AK102" s="8">
        <f t="shared" si="23"/>
        <v>-0.18117129400936841</v>
      </c>
      <c r="AL102" s="8">
        <f t="shared" si="24"/>
        <v>-1.3035106928341006E-2</v>
      </c>
      <c r="AM102" s="8">
        <f t="shared" si="25"/>
        <v>-1.340674928394549E-3</v>
      </c>
      <c r="AN102" s="8">
        <f t="shared" si="26"/>
        <v>-8.5624549509105627E-2</v>
      </c>
      <c r="AO102" s="9">
        <f t="shared" si="27"/>
        <v>-0.75354221421328971</v>
      </c>
      <c r="AP102" s="9">
        <f t="shared" si="27"/>
        <v>1.6116735421256845</v>
      </c>
      <c r="AQ102" s="9">
        <f t="shared" si="27"/>
        <v>0.1305356320199437</v>
      </c>
      <c r="AR102" s="9">
        <f t="shared" si="27"/>
        <v>1.1333040067670774E-2</v>
      </c>
      <c r="AS102" s="9">
        <f t="shared" si="27"/>
        <v>1</v>
      </c>
      <c r="AT102" s="7"/>
      <c r="AU102" s="7"/>
      <c r="AV102" s="7"/>
      <c r="AW102" s="7"/>
      <c r="AX102" s="7"/>
    </row>
    <row r="103" spans="1:50" x14ac:dyDescent="0.25">
      <c r="A103" s="1">
        <v>48395</v>
      </c>
      <c r="B103">
        <f>'DSGE HVD wFG'!B103-'DSGE HVD woFG'!B103</f>
        <v>-1.2879029266617006E-2</v>
      </c>
      <c r="C103">
        <f>'DSGE HVD wFG'!C103-'DSGE HVD woFG'!C103</f>
        <v>-1.9517783986671505E-2</v>
      </c>
      <c r="D103">
        <f>'DSGE HVD wFG'!D103-'DSGE HVD woFG'!D103</f>
        <v>-0.14914700914925996</v>
      </c>
      <c r="E103">
        <f>'DSGE HVD wFG'!E103-'DSGE HVD woFG'!E103</f>
        <v>-1.0575130833715501E-2</v>
      </c>
      <c r="F103">
        <f>'DSGE HVD wFG'!F103-'DSGE HVD woFG'!F103</f>
        <v>-5.3094430899505995E-3</v>
      </c>
      <c r="G103">
        <f>'DSGE HVD wFG'!G103-'DSGE HVD woFG'!G103</f>
        <v>1.4872227485630126E-16</v>
      </c>
      <c r="H103">
        <f>'DSGE HVD wFG'!H103-'DSGE HVD woFG'!H103</f>
        <v>-1.6695959478792004E-15</v>
      </c>
      <c r="I103">
        <f>'DSGE HVD wFG'!I103-'DSGE HVD woFG'!I103</f>
        <v>-4.1993723903678804E-15</v>
      </c>
      <c r="J103">
        <f>'DSGE HVD wFG'!J103-'DSGE HVD woFG'!J103</f>
        <v>2.24878938458529E-15</v>
      </c>
      <c r="K103">
        <f>'DSGE HVD wFG'!K103-'DSGE HVD woFG'!K103</f>
        <v>-4.4763901512766204E-16</v>
      </c>
      <c r="L103">
        <f>'DSGE HVD wFG'!L103-'DSGE HVD woFG'!L103</f>
        <v>2.2863865552418532E-15</v>
      </c>
      <c r="M103">
        <f>'DSGE HVD wFG'!M103-'DSGE HVD woFG'!M103</f>
        <v>1.9454104894075581E-15</v>
      </c>
      <c r="N103">
        <f>'DSGE HVD wFG'!N103-'DSGE HVD woFG'!N103</f>
        <v>4.4814550884059899E-15</v>
      </c>
      <c r="O103">
        <f>'DSGE HVD wFG'!O103-'DSGE HVD woFG'!O103</f>
        <v>5.9164079328413695E-15</v>
      </c>
      <c r="P103">
        <f>'DSGE HVD wFG'!P103-'DSGE HVD woFG'!P103</f>
        <v>1.6057142129882799E-14</v>
      </c>
      <c r="Q103">
        <f>'DSGE HVD wFG'!Q103-'DSGE HVD woFG'!Q103</f>
        <v>3.0796863170910578E-2</v>
      </c>
      <c r="R103">
        <f>'DSGE HVD wFG'!R103-'DSGE HVD woFG'!R103</f>
        <v>0</v>
      </c>
      <c r="S103">
        <f>'DSGE HVD wFG'!S103-'DSGE HVD woFG'!S103</f>
        <v>8.3515838653127006E-2</v>
      </c>
      <c r="T103">
        <f>'DSGE HVD wFG'!T103-'DSGE HVD woFG'!T103</f>
        <v>-1.32709002714884E-3</v>
      </c>
      <c r="U103">
        <f>'DSGE HVD wFG'!U103-'DSGE HVD woFG'!U103</f>
        <v>-8.4442784529300013E-2</v>
      </c>
      <c r="Y103" s="1">
        <f t="shared" si="28"/>
        <v>48395</v>
      </c>
      <c r="Z103" s="7">
        <f t="shared" si="28"/>
        <v>-1.2879029266617006E-2</v>
      </c>
      <c r="AA103" s="7">
        <f t="shared" si="28"/>
        <v>-1.9517783986671505E-2</v>
      </c>
      <c r="AB103" s="7">
        <f t="shared" si="28"/>
        <v>-0.14914700914925996</v>
      </c>
      <c r="AC103" s="7">
        <f t="shared" si="17"/>
        <v>7.8206395563176406E-2</v>
      </c>
      <c r="AD103" s="7">
        <f t="shared" si="18"/>
        <v>-1.0575130833715501E-2</v>
      </c>
      <c r="AE103" s="7">
        <f t="shared" si="19"/>
        <v>3.0796863170910578E-2</v>
      </c>
      <c r="AF103" s="7">
        <f t="shared" si="20"/>
        <v>1.4872227485630126E-16</v>
      </c>
      <c r="AG103" s="7">
        <f t="shared" si="20"/>
        <v>-1.6695959478792004E-15</v>
      </c>
      <c r="AH103" s="7">
        <f t="shared" si="21"/>
        <v>-1.3270900271205512E-3</v>
      </c>
      <c r="AI103" s="7">
        <f t="shared" si="15"/>
        <v>-8.4442784529299042E-2</v>
      </c>
      <c r="AJ103" s="8">
        <f t="shared" si="22"/>
        <v>0.10900325873408698</v>
      </c>
      <c r="AK103" s="8">
        <f t="shared" si="23"/>
        <v>-0.17923992396964697</v>
      </c>
      <c r="AL103" s="8">
        <f t="shared" si="24"/>
        <v>-1.2879029266617006E-2</v>
      </c>
      <c r="AM103" s="8">
        <f t="shared" si="25"/>
        <v>-1.3270900271205512E-3</v>
      </c>
      <c r="AN103" s="8">
        <f t="shared" si="26"/>
        <v>-8.4442784529297543E-2</v>
      </c>
      <c r="AO103" s="9">
        <f t="shared" si="27"/>
        <v>-0.77787685251990635</v>
      </c>
      <c r="AP103" s="9">
        <f t="shared" si="27"/>
        <v>1.6343097593187157</v>
      </c>
      <c r="AQ103" s="9">
        <f t="shared" si="27"/>
        <v>0.13207165924763331</v>
      </c>
      <c r="AR103" s="9">
        <f t="shared" si="27"/>
        <v>1.1495433953546286E-2</v>
      </c>
      <c r="AS103" s="9">
        <f t="shared" si="27"/>
        <v>1</v>
      </c>
      <c r="AT103" s="7"/>
      <c r="AU103" s="7"/>
      <c r="AV103" s="7"/>
      <c r="AW103" s="7"/>
      <c r="AX103" s="7"/>
    </row>
    <row r="104" spans="1:50" x14ac:dyDescent="0.25">
      <c r="A104" s="1">
        <v>48487</v>
      </c>
      <c r="B104">
        <f>'DSGE HVD wFG'!B104-'DSGE HVD woFG'!B104</f>
        <v>-1.2724974278486997E-2</v>
      </c>
      <c r="C104">
        <f>'DSGE HVD wFG'!C104-'DSGE HVD woFG'!C104</f>
        <v>-1.9322606146805199E-2</v>
      </c>
      <c r="D104">
        <f>'DSGE HVD wFG'!D104-'DSGE HVD woFG'!D104</f>
        <v>-0.14765553704053203</v>
      </c>
      <c r="E104">
        <f>'DSGE HVD wFG'!E104-'DSGE HVD woFG'!E104</f>
        <v>-1.0351338259313302E-2</v>
      </c>
      <c r="F104">
        <f>'DSGE HVD wFG'!F104-'DSGE HVD woFG'!F104</f>
        <v>-5.0288782887888128E-3</v>
      </c>
      <c r="G104">
        <f>'DSGE HVD wFG'!G104-'DSGE HVD woFG'!G104</f>
        <v>1.4369909831720006E-16</v>
      </c>
      <c r="H104">
        <f>'DSGE HVD wFG'!H104-'DSGE HVD woFG'!H104</f>
        <v>-1.6667295701295004E-15</v>
      </c>
      <c r="I104">
        <f>'DSGE HVD wFG'!I104-'DSGE HVD woFG'!I104</f>
        <v>-4.1391246140852362E-15</v>
      </c>
      <c r="J104">
        <f>'DSGE HVD wFG'!J104-'DSGE HVD woFG'!J104</f>
        <v>2.2211993796603409E-15</v>
      </c>
      <c r="K104">
        <f>'DSGE HVD wFG'!K104-'DSGE HVD woFG'!K104</f>
        <v>-4.376950964514581E-16</v>
      </c>
      <c r="L104">
        <f>'DSGE HVD wFG'!L104-'DSGE HVD woFG'!L104</f>
        <v>2.263395178762604E-15</v>
      </c>
      <c r="M104">
        <f>'DSGE HVD wFG'!M104-'DSGE HVD woFG'!M104</f>
        <v>1.9277249668330962E-15</v>
      </c>
      <c r="N104">
        <f>'DSGE HVD wFG'!N104-'DSGE HVD woFG'!N104</f>
        <v>4.43407889198644E-15</v>
      </c>
      <c r="O104">
        <f>'DSGE HVD wFG'!O104-'DSGE HVD woFG'!O104</f>
        <v>5.84788304757955E-15</v>
      </c>
      <c r="P104">
        <f>'DSGE HVD wFG'!P104-'DSGE HVD woFG'!P104</f>
        <v>1.6135561608699898E-14</v>
      </c>
      <c r="Q104">
        <f>'DSGE HVD wFG'!Q104-'DSGE HVD woFG'!Q104</f>
        <v>3.0322959521774259E-2</v>
      </c>
      <c r="R104">
        <f>'DSGE HVD wFG'!R104-'DSGE HVD woFG'!R104</f>
        <v>0</v>
      </c>
      <c r="S104">
        <f>'DSGE HVD wFG'!S104-'DSGE HVD woFG'!S104</f>
        <v>8.2784377821433996E-2</v>
      </c>
      <c r="T104">
        <f>'DSGE HVD wFG'!T104-'DSGE HVD woFG'!T104</f>
        <v>-1.3136474156254588E-3</v>
      </c>
      <c r="U104">
        <f>'DSGE HVD wFG'!U104-'DSGE HVD woFG'!U104</f>
        <v>-8.3289644086318032E-2</v>
      </c>
      <c r="Y104" s="1">
        <f t="shared" si="28"/>
        <v>48487</v>
      </c>
      <c r="Z104" s="7">
        <f t="shared" si="28"/>
        <v>-1.2724974278486997E-2</v>
      </c>
      <c r="AA104" s="7">
        <f t="shared" si="28"/>
        <v>-1.9322606146805199E-2</v>
      </c>
      <c r="AB104" s="7">
        <f t="shared" si="28"/>
        <v>-0.14765553704053203</v>
      </c>
      <c r="AC104" s="7">
        <f t="shared" si="17"/>
        <v>7.7755499532645184E-2</v>
      </c>
      <c r="AD104" s="7">
        <f t="shared" si="18"/>
        <v>-1.0351338259313302E-2</v>
      </c>
      <c r="AE104" s="7">
        <f t="shared" si="19"/>
        <v>3.0322959521774259E-2</v>
      </c>
      <c r="AF104" s="7">
        <f t="shared" si="20"/>
        <v>1.4369909831720006E-16</v>
      </c>
      <c r="AG104" s="7">
        <f t="shared" si="20"/>
        <v>-1.6667295701295004E-15</v>
      </c>
      <c r="AH104" s="7">
        <f t="shared" si="21"/>
        <v>-1.3136474155972058E-3</v>
      </c>
      <c r="AI104" s="7">
        <f t="shared" si="15"/>
        <v>-8.3289644086316839E-2</v>
      </c>
      <c r="AJ104" s="8">
        <f t="shared" si="22"/>
        <v>0.10807845905441944</v>
      </c>
      <c r="AK104" s="8">
        <f t="shared" si="23"/>
        <v>-0.17732948144665053</v>
      </c>
      <c r="AL104" s="8">
        <f t="shared" si="24"/>
        <v>-1.2724974278486997E-2</v>
      </c>
      <c r="AM104" s="8">
        <f t="shared" si="25"/>
        <v>-1.3136474155972058E-3</v>
      </c>
      <c r="AN104" s="8">
        <f t="shared" si="26"/>
        <v>-8.3289644086315298E-2</v>
      </c>
      <c r="AO104" s="9">
        <f t="shared" si="27"/>
        <v>-0.80198356175577623</v>
      </c>
      <c r="AP104" s="9">
        <f t="shared" si="27"/>
        <v>1.6567301360584152</v>
      </c>
      <c r="AQ104" s="9">
        <f t="shared" si="27"/>
        <v>0.13359603252800062</v>
      </c>
      <c r="AR104" s="9">
        <f t="shared" si="27"/>
        <v>1.1657393169369921E-2</v>
      </c>
      <c r="AS104" s="9">
        <f t="shared" si="27"/>
        <v>1</v>
      </c>
      <c r="AT104" s="7"/>
      <c r="AU104" s="7"/>
      <c r="AV104" s="7"/>
      <c r="AW104" s="7"/>
      <c r="AX104" s="7"/>
    </row>
    <row r="105" spans="1:50" x14ac:dyDescent="0.25">
      <c r="A105" s="1">
        <v>48579</v>
      </c>
      <c r="B105">
        <f>'DSGE HVD wFG'!B105-'DSGE HVD woFG'!B105</f>
        <v>-1.2572912835783004E-2</v>
      </c>
      <c r="C105">
        <f>'DSGE HVD wFG'!C105-'DSGE HVD woFG'!C105</f>
        <v>-1.9129380085338099E-2</v>
      </c>
      <c r="D105">
        <f>'DSGE HVD wFG'!D105-'DSGE HVD woFG'!D105</f>
        <v>-0.146178980264939</v>
      </c>
      <c r="E105">
        <f>'DSGE HVD wFG'!E105-'DSGE HVD woFG'!E105</f>
        <v>-1.0131511569348804E-2</v>
      </c>
      <c r="F105">
        <f>'DSGE HVD wFG'!F105-'DSGE HVD woFG'!F105</f>
        <v>-4.763343364125705E-3</v>
      </c>
      <c r="G105">
        <f>'DSGE HVD wFG'!G105-'DSGE HVD woFG'!G105</f>
        <v>1.3878992524953016E-16</v>
      </c>
      <c r="H105">
        <f>'DSGE HVD wFG'!H105-'DSGE HVD woFG'!H105</f>
        <v>-1.6635634565801002E-15</v>
      </c>
      <c r="I105">
        <f>'DSGE HVD wFG'!I105-'DSGE HVD woFG'!I105</f>
        <v>-4.080250260628939E-15</v>
      </c>
      <c r="J105">
        <f>'DSGE HVD wFG'!J105-'DSGE HVD woFG'!J105</f>
        <v>2.1940671703265808E-15</v>
      </c>
      <c r="K105">
        <f>'DSGE HVD wFG'!K105-'DSGE HVD woFG'!K105</f>
        <v>-4.2807312325828693E-16</v>
      </c>
      <c r="L105">
        <f>'DSGE HVD wFG'!L105-'DSGE HVD woFG'!L105</f>
        <v>2.240630983556996E-15</v>
      </c>
      <c r="M105">
        <f>'DSGE HVD wFG'!M105-'DSGE HVD woFG'!M105</f>
        <v>1.910142129064982E-15</v>
      </c>
      <c r="N105">
        <f>'DSGE HVD wFG'!N105-'DSGE HVD woFG'!N105</f>
        <v>4.3873299285317897E-15</v>
      </c>
      <c r="O105">
        <f>'DSGE HVD wFG'!O105-'DSGE HVD woFG'!O105</f>
        <v>5.7804499131069495E-15</v>
      </c>
      <c r="P105">
        <f>'DSGE HVD wFG'!P105-'DSGE HVD woFG'!P105</f>
        <v>1.6209991687307594E-14</v>
      </c>
      <c r="Q105">
        <f>'DSGE HVD wFG'!Q105-'DSGE HVD woFG'!Q105</f>
        <v>2.9854574762596203E-2</v>
      </c>
      <c r="R105">
        <f>'DSGE HVD wFG'!R105-'DSGE HVD woFG'!R105</f>
        <v>0</v>
      </c>
      <c r="S105">
        <f>'DSGE HVD wFG'!S105-'DSGE HVD woFG'!S105</f>
        <v>8.2057746903811984E-2</v>
      </c>
      <c r="T105">
        <f>'DSGE HVD wFG'!T105-'DSGE HVD woFG'!T105</f>
        <v>-1.3003455424187415E-3</v>
      </c>
      <c r="U105">
        <f>'DSGE HVD wFG'!U105-'DSGE HVD woFG'!U105</f>
        <v>-8.2164151995518991E-2</v>
      </c>
      <c r="Y105" s="1">
        <f t="shared" si="28"/>
        <v>48579</v>
      </c>
      <c r="Z105" s="7">
        <f t="shared" si="28"/>
        <v>-1.2572912835783004E-2</v>
      </c>
      <c r="AA105" s="7">
        <f t="shared" si="28"/>
        <v>-1.9129380085338099E-2</v>
      </c>
      <c r="AB105" s="7">
        <f t="shared" si="28"/>
        <v>-0.146178980264939</v>
      </c>
      <c r="AC105" s="7">
        <f t="shared" si="17"/>
        <v>7.7294403539686279E-2</v>
      </c>
      <c r="AD105" s="7">
        <f t="shared" si="18"/>
        <v>-1.0131511569348804E-2</v>
      </c>
      <c r="AE105" s="7">
        <f t="shared" si="19"/>
        <v>2.9854574762596203E-2</v>
      </c>
      <c r="AF105" s="7">
        <f t="shared" si="20"/>
        <v>1.3878992524953016E-16</v>
      </c>
      <c r="AG105" s="7">
        <f t="shared" si="20"/>
        <v>-1.6635634565801002E-15</v>
      </c>
      <c r="AH105" s="7">
        <f t="shared" si="21"/>
        <v>-1.3003455423905273E-3</v>
      </c>
      <c r="AI105" s="7">
        <f t="shared" si="15"/>
        <v>-8.2164151995518492E-2</v>
      </c>
      <c r="AJ105" s="8">
        <f t="shared" si="22"/>
        <v>0.10714897830228248</v>
      </c>
      <c r="AK105" s="8">
        <f t="shared" si="23"/>
        <v>-0.1754398719196259</v>
      </c>
      <c r="AL105" s="8">
        <f t="shared" si="24"/>
        <v>-1.2572912835783004E-2</v>
      </c>
      <c r="AM105" s="8">
        <f t="shared" si="25"/>
        <v>-1.3003455423905273E-3</v>
      </c>
      <c r="AN105" s="8">
        <f t="shared" si="26"/>
        <v>-8.2164151995516951E-2</v>
      </c>
      <c r="AO105" s="9">
        <f t="shared" si="27"/>
        <v>-0.82584387730139486</v>
      </c>
      <c r="AP105" s="9">
        <f t="shared" si="27"/>
        <v>1.6789185303685905</v>
      </c>
      <c r="AQ105" s="9">
        <f t="shared" si="27"/>
        <v>0.13510662931103454</v>
      </c>
      <c r="AR105" s="9">
        <f t="shared" si="27"/>
        <v>1.1818717621767593E-2</v>
      </c>
      <c r="AS105" s="9">
        <f t="shared" si="27"/>
        <v>1</v>
      </c>
      <c r="AT105" s="7"/>
      <c r="AU105" s="7"/>
      <c r="AV105" s="7"/>
      <c r="AW105" s="7"/>
      <c r="AX105" s="7"/>
    </row>
    <row r="106" spans="1:50" x14ac:dyDescent="0.25">
      <c r="A106" s="1">
        <v>48669</v>
      </c>
      <c r="B106">
        <f>'DSGE HVD wFG'!B106-'DSGE HVD woFG'!B106</f>
        <v>-1.2422816241884002E-2</v>
      </c>
      <c r="C106">
        <f>'DSGE HVD wFG'!C106-'DSGE HVD woFG'!C106</f>
        <v>-1.8938086284484498E-2</v>
      </c>
      <c r="D106">
        <f>'DSGE HVD wFG'!D106-'DSGE HVD woFG'!D106</f>
        <v>-0.144717189483448</v>
      </c>
      <c r="E106">
        <f>'DSGE HVD wFG'!E106-'DSGE HVD woFG'!E106</f>
        <v>-9.9157054867978003E-3</v>
      </c>
      <c r="F106">
        <f>'DSGE HVD wFG'!F106-'DSGE HVD woFG'!F106</f>
        <v>-4.5119915633689001E-3</v>
      </c>
      <c r="G106">
        <f>'DSGE HVD wFG'!G106-'DSGE HVD woFG'!G106</f>
        <v>1.3399590227258063E-16</v>
      </c>
      <c r="H106">
        <f>'DSGE HVD wFG'!H106-'DSGE HVD woFG'!H106</f>
        <v>-1.6601140034628984E-15</v>
      </c>
      <c r="I106">
        <f>'DSGE HVD wFG'!I106-'DSGE HVD woFG'!I106</f>
        <v>-4.0226732154878298E-15</v>
      </c>
      <c r="J106">
        <f>'DSGE HVD wFG'!J106-'DSGE HVD woFG'!J106</f>
        <v>2.1673828526887113E-15</v>
      </c>
      <c r="K106">
        <f>'DSGE HVD wFG'!K106-'DSGE HVD woFG'!K106</f>
        <v>-4.1877770825375905E-16</v>
      </c>
      <c r="L106">
        <f>'DSGE HVD wFG'!L106-'DSGE HVD woFG'!L106</f>
        <v>2.2180864388084252E-15</v>
      </c>
      <c r="M106">
        <f>'DSGE HVD wFG'!M106-'DSGE HVD woFG'!M106</f>
        <v>1.8926534444565362E-15</v>
      </c>
      <c r="N106">
        <f>'DSGE HVD wFG'!N106-'DSGE HVD woFG'!N106</f>
        <v>4.3411912912071706E-15</v>
      </c>
      <c r="O106">
        <f>'DSGE HVD wFG'!O106-'DSGE HVD woFG'!O106</f>
        <v>5.7140986553131302E-15</v>
      </c>
      <c r="P106">
        <f>'DSGE HVD wFG'!P106-'DSGE HVD woFG'!P106</f>
        <v>1.6280528019790602E-14</v>
      </c>
      <c r="Q106">
        <f>'DSGE HVD wFG'!Q106-'DSGE HVD woFG'!Q106</f>
        <v>2.9391647175851108E-2</v>
      </c>
      <c r="R106">
        <f>'DSGE HVD wFG'!R106-'DSGE HVD woFG'!R106</f>
        <v>0</v>
      </c>
      <c r="S106">
        <f>'DSGE HVD wFG'!S106-'DSGE HVD woFG'!S106</f>
        <v>8.1335964725767984E-2</v>
      </c>
      <c r="T106">
        <f>'DSGE HVD wFG'!T106-'DSGE HVD woFG'!T106</f>
        <v>-1.2871828740466003E-3</v>
      </c>
      <c r="U106">
        <f>'DSGE HVD wFG'!U106-'DSGE HVD woFG'!U106</f>
        <v>-8.1065360032384987E-2</v>
      </c>
      <c r="Y106" s="1">
        <f t="shared" si="28"/>
        <v>48669</v>
      </c>
      <c r="Z106" s="7">
        <f t="shared" si="28"/>
        <v>-1.2422816241884002E-2</v>
      </c>
      <c r="AA106" s="7">
        <f t="shared" si="28"/>
        <v>-1.8938086284484498E-2</v>
      </c>
      <c r="AB106" s="7">
        <f t="shared" si="28"/>
        <v>-0.144717189483448</v>
      </c>
      <c r="AC106" s="7">
        <f t="shared" si="17"/>
        <v>7.6823973162399084E-2</v>
      </c>
      <c r="AD106" s="7">
        <f t="shared" si="18"/>
        <v>-9.9157054867978003E-3</v>
      </c>
      <c r="AE106" s="7">
        <f t="shared" si="19"/>
        <v>2.9391647175851108E-2</v>
      </c>
      <c r="AF106" s="7">
        <f t="shared" si="20"/>
        <v>1.3399590227258063E-16</v>
      </c>
      <c r="AG106" s="7">
        <f t="shared" si="20"/>
        <v>-1.6601140034628984E-15</v>
      </c>
      <c r="AH106" s="7">
        <f t="shared" si="21"/>
        <v>-1.2871828740184277E-3</v>
      </c>
      <c r="AI106" s="7">
        <f t="shared" si="15"/>
        <v>-8.1065360032384057E-2</v>
      </c>
      <c r="AJ106" s="8">
        <f t="shared" si="22"/>
        <v>0.10621562033825019</v>
      </c>
      <c r="AK106" s="8">
        <f t="shared" si="23"/>
        <v>-0.17357098125473028</v>
      </c>
      <c r="AL106" s="8">
        <f t="shared" si="24"/>
        <v>-1.2422816241884002E-2</v>
      </c>
      <c r="AM106" s="8">
        <f t="shared" si="25"/>
        <v>-1.2871828740184277E-3</v>
      </c>
      <c r="AN106" s="8">
        <f t="shared" si="26"/>
        <v>-8.1065360032382516E-2</v>
      </c>
      <c r="AO106" s="9">
        <f t="shared" si="27"/>
        <v>-0.84944010818005922</v>
      </c>
      <c r="AP106" s="9">
        <f t="shared" si="27"/>
        <v>1.7008594234384362</v>
      </c>
      <c r="AQ106" s="9">
        <f t="shared" si="27"/>
        <v>0.13660146682437804</v>
      </c>
      <c r="AR106" s="9">
        <f t="shared" si="27"/>
        <v>1.1979217917240216E-2</v>
      </c>
      <c r="AS106" s="9">
        <f t="shared" si="27"/>
        <v>1</v>
      </c>
      <c r="AT106" s="7"/>
      <c r="AU106" s="7"/>
      <c r="AV106" s="7"/>
      <c r="AW106" s="7"/>
      <c r="AX106" s="7"/>
    </row>
    <row r="107" spans="1:50" x14ac:dyDescent="0.25">
      <c r="A107" s="1">
        <v>48760</v>
      </c>
      <c r="B107">
        <f>'DSGE HVD wFG'!B107-'DSGE HVD woFG'!B107</f>
        <v>-1.2274656230078007E-2</v>
      </c>
      <c r="C107">
        <f>'DSGE HVD wFG'!C107-'DSGE HVD woFG'!C107</f>
        <v>-1.8748705421640102E-2</v>
      </c>
      <c r="D107">
        <f>'DSGE HVD wFG'!D107-'DSGE HVD woFG'!D107</f>
        <v>-0.14327001690676203</v>
      </c>
      <c r="E107">
        <f>'DSGE HVD wFG'!E107-'DSGE HVD woFG'!E107</f>
        <v>-9.7039561139649969E-3</v>
      </c>
      <c r="F107">
        <f>'DSGE HVD wFG'!F107-'DSGE HVD woFG'!F107</f>
        <v>-4.2740268076825044E-3</v>
      </c>
      <c r="G107">
        <f>'DSGE HVD wFG'!G107-'DSGE HVD woFG'!G107</f>
        <v>1.2931773776031967E-16</v>
      </c>
      <c r="H107">
        <f>'DSGE HVD wFG'!H107-'DSGE HVD woFG'!H107</f>
        <v>-1.6563964313132985E-15</v>
      </c>
      <c r="I107">
        <f>'DSGE HVD wFG'!I107-'DSGE HVD woFG'!I107</f>
        <v>-3.9663233278027008E-15</v>
      </c>
      <c r="J107">
        <f>'DSGE HVD wFG'!J107-'DSGE HVD woFG'!J107</f>
        <v>2.1411363752277562E-15</v>
      </c>
      <c r="K107">
        <f>'DSGE HVD wFG'!K107-'DSGE HVD woFG'!K107</f>
        <v>-4.0981004345724104E-16</v>
      </c>
      <c r="L107">
        <f>'DSGE HVD wFG'!L107-'DSGE HVD woFG'!L107</f>
        <v>2.195755337217535E-15</v>
      </c>
      <c r="M107">
        <f>'DSGE HVD wFG'!M107-'DSGE HVD woFG'!M107</f>
        <v>1.8752526502696581E-15</v>
      </c>
      <c r="N107">
        <f>'DSGE HVD wFG'!N107-'DSGE HVD woFG'!N107</f>
        <v>4.29564673988287E-15</v>
      </c>
      <c r="O107">
        <f>'DSGE HVD wFG'!O107-'DSGE HVD woFG'!O107</f>
        <v>5.6488159714268294E-15</v>
      </c>
      <c r="P107">
        <f>'DSGE HVD wFG'!P107-'DSGE HVD woFG'!P107</f>
        <v>1.6347264260904803E-14</v>
      </c>
      <c r="Q107">
        <f>'DSGE HVD wFG'!Q107-'DSGE HVD woFG'!Q107</f>
        <v>2.8934124411933479E-2</v>
      </c>
      <c r="R107">
        <f>'DSGE HVD wFG'!R107-'DSGE HVD woFG'!R107</f>
        <v>0</v>
      </c>
      <c r="S107">
        <f>'DSGE HVD wFG'!S107-'DSGE HVD woFG'!S107</f>
        <v>8.061904631641198E-2</v>
      </c>
      <c r="T107">
        <f>'DSGE HVD wFG'!T107-'DSGE HVD woFG'!T107</f>
        <v>-1.2741578947528011E-3</v>
      </c>
      <c r="U107">
        <f>'DSGE HVD wFG'!U107-'DSGE HVD woFG'!U107</f>
        <v>-7.9992348646508976E-2</v>
      </c>
      <c r="Y107" s="1">
        <f t="shared" si="28"/>
        <v>48760</v>
      </c>
      <c r="Z107" s="7">
        <f t="shared" si="28"/>
        <v>-1.2274656230078007E-2</v>
      </c>
      <c r="AA107" s="7">
        <f t="shared" si="28"/>
        <v>-1.8748705421640102E-2</v>
      </c>
      <c r="AB107" s="7">
        <f t="shared" si="28"/>
        <v>-0.14327001690676203</v>
      </c>
      <c r="AC107" s="7">
        <f t="shared" si="17"/>
        <v>7.6345019508729475E-2</v>
      </c>
      <c r="AD107" s="7">
        <f t="shared" si="18"/>
        <v>-9.7039561139649969E-3</v>
      </c>
      <c r="AE107" s="7">
        <f t="shared" si="19"/>
        <v>2.8934124411933479E-2</v>
      </c>
      <c r="AF107" s="7">
        <f t="shared" si="20"/>
        <v>1.2931773776031967E-16</v>
      </c>
      <c r="AG107" s="7">
        <f t="shared" si="20"/>
        <v>-1.6563964313132985E-15</v>
      </c>
      <c r="AH107" s="7">
        <f t="shared" si="21"/>
        <v>-1.2741578947246734E-3</v>
      </c>
      <c r="AI107" s="7">
        <f t="shared" si="15"/>
        <v>-7.9992348646508393E-2</v>
      </c>
      <c r="AJ107" s="8">
        <f t="shared" si="22"/>
        <v>0.10527914392066295</v>
      </c>
      <c r="AK107" s="8">
        <f t="shared" si="23"/>
        <v>-0.17172267844236713</v>
      </c>
      <c r="AL107" s="8">
        <f t="shared" si="24"/>
        <v>-1.2274656230078007E-2</v>
      </c>
      <c r="AM107" s="8">
        <f t="shared" si="25"/>
        <v>-1.2741578947246734E-3</v>
      </c>
      <c r="AN107" s="8">
        <f t="shared" si="26"/>
        <v>-7.9992348646506853E-2</v>
      </c>
      <c r="AO107" s="9">
        <f t="shared" si="27"/>
        <v>-0.87275534063694415</v>
      </c>
      <c r="AP107" s="9">
        <f t="shared" si="27"/>
        <v>1.7225379308112201</v>
      </c>
      <c r="AQ107" s="9">
        <f t="shared" si="27"/>
        <v>0.13807869492930364</v>
      </c>
      <c r="AR107" s="9">
        <f t="shared" si="27"/>
        <v>1.2138714896417324E-2</v>
      </c>
      <c r="AS107" s="9">
        <f t="shared" si="27"/>
        <v>1</v>
      </c>
      <c r="AT107" s="7"/>
      <c r="AU107" s="7"/>
      <c r="AV107" s="7"/>
      <c r="AW107" s="7"/>
      <c r="AX107" s="7"/>
    </row>
    <row r="108" spans="1:50" x14ac:dyDescent="0.25">
      <c r="A108" s="1">
        <v>48852</v>
      </c>
      <c r="B108">
        <f>'DSGE HVD wFG'!B108-'DSGE HVD woFG'!B108</f>
        <v>-1.2128404961284006E-2</v>
      </c>
      <c r="C108">
        <f>'DSGE HVD wFG'!C108-'DSGE HVD woFG'!C108</f>
        <v>-1.8561218367423402E-2</v>
      </c>
      <c r="D108">
        <f>'DSGE HVD wFG'!D108-'DSGE HVD woFG'!D108</f>
        <v>-0.14183731626272297</v>
      </c>
      <c r="E108">
        <f>'DSGE HVD wFG'!E108-'DSGE HVD woFG'!E108</f>
        <v>-9.4962833853097992E-3</v>
      </c>
      <c r="F108">
        <f>'DSGE HVD wFG'!F108-'DSGE HVD woFG'!F108</f>
        <v>-4.0487004521650993E-3</v>
      </c>
      <c r="G108">
        <f>'DSGE HVD wFG'!G108-'DSGE HVD woFG'!G108</f>
        <v>1.2475572522542022E-16</v>
      </c>
      <c r="H108">
        <f>'DSGE HVD wFG'!H108-'DSGE HVD woFG'!H108</f>
        <v>-1.6524248620372996E-15</v>
      </c>
      <c r="I108">
        <f>'DSGE HVD wFG'!I108-'DSGE HVD woFG'!I108</f>
        <v>-3.9111361370544736E-15</v>
      </c>
      <c r="J108">
        <f>'DSGE HVD wFG'!J108-'DSGE HVD woFG'!J108</f>
        <v>2.1153176074884659E-15</v>
      </c>
      <c r="K108">
        <f>'DSGE HVD wFG'!K108-'DSGE HVD woFG'!K108</f>
        <v>-4.0116841465168405E-16</v>
      </c>
      <c r="L108">
        <f>'DSGE HVD wFG'!L108-'DSGE HVD woFG'!L108</f>
        <v>2.1736325949843933E-15</v>
      </c>
      <c r="M108">
        <f>'DSGE HVD wFG'!M108-'DSGE HVD woFG'!M108</f>
        <v>1.8579354236625179E-15</v>
      </c>
      <c r="N108">
        <f>'DSGE HVD wFG'!N108-'DSGE HVD woFG'!N108</f>
        <v>4.2506807194065799E-15</v>
      </c>
      <c r="O108">
        <f>'DSGE HVD wFG'!O108-'DSGE HVD woFG'!O108</f>
        <v>5.5845856977420697E-15</v>
      </c>
      <c r="P108">
        <f>'DSGE HVD wFG'!P108-'DSGE HVD woFG'!P108</f>
        <v>1.6410292033062903E-14</v>
      </c>
      <c r="Q108">
        <f>'DSGE HVD wFG'!Q108-'DSGE HVD woFG'!Q108</f>
        <v>2.8481961684230048E-2</v>
      </c>
      <c r="R108">
        <f>'DSGE HVD wFG'!R108-'DSGE HVD woFG'!R108</f>
        <v>0</v>
      </c>
      <c r="S108">
        <f>'DSGE HVD wFG'!S108-'DSGE HVD woFG'!S108</f>
        <v>7.9907003481224981E-2</v>
      </c>
      <c r="T108">
        <f>'DSGE HVD wFG'!T108-'DSGE HVD woFG'!T108</f>
        <v>-1.2612691062842806E-3</v>
      </c>
      <c r="U108">
        <f>'DSGE HVD wFG'!U108-'DSGE HVD woFG'!U108</f>
        <v>-7.8944227369709019E-2</v>
      </c>
      <c r="Y108" s="1">
        <f t="shared" si="28"/>
        <v>48852</v>
      </c>
      <c r="Z108" s="7">
        <f t="shared" si="28"/>
        <v>-1.2128404961284006E-2</v>
      </c>
      <c r="AA108" s="7">
        <f t="shared" si="28"/>
        <v>-1.8561218367423402E-2</v>
      </c>
      <c r="AB108" s="7">
        <f t="shared" si="28"/>
        <v>-0.14183731626272297</v>
      </c>
      <c r="AC108" s="7">
        <f t="shared" si="17"/>
        <v>7.5858303029059881E-2</v>
      </c>
      <c r="AD108" s="7">
        <f t="shared" si="18"/>
        <v>-9.4962833853097992E-3</v>
      </c>
      <c r="AE108" s="7">
        <f t="shared" si="19"/>
        <v>2.8481961684230048E-2</v>
      </c>
      <c r="AF108" s="7">
        <f t="shared" si="20"/>
        <v>1.2475572522542022E-16</v>
      </c>
      <c r="AG108" s="7">
        <f t="shared" si="20"/>
        <v>-1.6524248620372996E-15</v>
      </c>
      <c r="AH108" s="7">
        <f t="shared" si="21"/>
        <v>-1.2612691062562006E-3</v>
      </c>
      <c r="AI108" s="7">
        <f t="shared" si="15"/>
        <v>-7.8944227369707992E-2</v>
      </c>
      <c r="AJ108" s="8">
        <f t="shared" si="22"/>
        <v>0.10434026471328993</v>
      </c>
      <c r="AK108" s="8">
        <f t="shared" si="23"/>
        <v>-0.16989481801545617</v>
      </c>
      <c r="AL108" s="8">
        <f t="shared" si="24"/>
        <v>-1.2128404961284006E-2</v>
      </c>
      <c r="AM108" s="8">
        <f t="shared" si="25"/>
        <v>-1.2612691062562006E-3</v>
      </c>
      <c r="AN108" s="8">
        <f t="shared" si="26"/>
        <v>-7.8944227369706438E-2</v>
      </c>
      <c r="AO108" s="9">
        <f t="shared" si="27"/>
        <v>-0.8957734454538776</v>
      </c>
      <c r="AP108" s="9">
        <f t="shared" si="27"/>
        <v>1.743939816288101</v>
      </c>
      <c r="AQ108" s="9">
        <f t="shared" si="27"/>
        <v>0.13953658992636819</v>
      </c>
      <c r="AR108" s="9">
        <f t="shared" si="27"/>
        <v>1.2297039239407665E-2</v>
      </c>
      <c r="AS108" s="9">
        <f t="shared" si="27"/>
        <v>1</v>
      </c>
      <c r="AT108" s="7"/>
      <c r="AU108" s="7"/>
      <c r="AV108" s="7"/>
      <c r="AW108" s="7"/>
      <c r="AX108" s="7"/>
    </row>
    <row r="109" spans="1:50" x14ac:dyDescent="0.25">
      <c r="A109" s="1">
        <v>48944</v>
      </c>
      <c r="B109">
        <f>'DSGE HVD wFG'!B109-'DSGE HVD woFG'!B109</f>
        <v>-1.1984035021215006E-2</v>
      </c>
      <c r="C109">
        <f>'DSGE HVD wFG'!C109-'DSGE HVD woFG'!C109</f>
        <v>-1.8375606183749102E-2</v>
      </c>
      <c r="D109">
        <f>'DSGE HVD wFG'!D109-'DSGE HVD woFG'!D109</f>
        <v>-0.140418942769234</v>
      </c>
      <c r="E109">
        <f>'DSGE HVD wFG'!E109-'DSGE HVD woFG'!E109</f>
        <v>-9.2926932305755043E-3</v>
      </c>
      <c r="F109">
        <f>'DSGE HVD wFG'!F109-'DSGE HVD woFG'!F109</f>
        <v>-3.8353082612967021E-3</v>
      </c>
      <c r="G109">
        <f>'DSGE HVD wFG'!G109-'DSGE HVD woFG'!G109</f>
        <v>1.2030977010901093E-16</v>
      </c>
      <c r="H109">
        <f>'DSGE HVD wFG'!H109-'DSGE HVD woFG'!H109</f>
        <v>-1.6482123969259017E-15</v>
      </c>
      <c r="I109">
        <f>'DSGE HVD wFG'!I109-'DSGE HVD woFG'!I109</f>
        <v>-3.8570525650403788E-15</v>
      </c>
      <c r="J109">
        <f>'DSGE HVD wFG'!J109-'DSGE HVD woFG'!J109</f>
        <v>2.0899164019032359E-15</v>
      </c>
      <c r="K109">
        <f>'DSGE HVD wFG'!K109-'DSGE HVD woFG'!K109</f>
        <v>-3.9284866972841097E-16</v>
      </c>
      <c r="L109">
        <f>'DSGE HVD wFG'!L109-'DSGE HVD woFG'!L109</f>
        <v>2.1517140742427697E-15</v>
      </c>
      <c r="M109">
        <f>'DSGE HVD wFG'!M109-'DSGE HVD woFG'!M109</f>
        <v>1.8406990838256877E-15</v>
      </c>
      <c r="N109">
        <f>'DSGE HVD wFG'!N109-'DSGE HVD woFG'!N109</f>
        <v>4.2062783665365098E-15</v>
      </c>
      <c r="O109">
        <f>'DSGE HVD wFG'!O109-'DSGE HVD woFG'!O109</f>
        <v>5.5213893276470903E-15</v>
      </c>
      <c r="P109">
        <f>'DSGE HVD wFG'!P109-'DSGE HVD woFG'!P109</f>
        <v>1.6469700909115703E-14</v>
      </c>
      <c r="Q109">
        <f>'DSGE HVD wFG'!Q109-'DSGE HVD woFG'!Q109</f>
        <v>2.8035120261860641E-2</v>
      </c>
      <c r="R109">
        <f>'DSGE HVD wFG'!R109-'DSGE HVD woFG'!R109</f>
        <v>0</v>
      </c>
      <c r="S109">
        <f>'DSGE HVD wFG'!S109-'DSGE HVD woFG'!S109</f>
        <v>7.9199845260823021E-2</v>
      </c>
      <c r="T109">
        <f>'DSGE HVD wFG'!T109-'DSGE HVD woFG'!T109</f>
        <v>-1.2485150276711505E-3</v>
      </c>
      <c r="U109">
        <f>'DSGE HVD wFG'!U109-'DSGE HVD woFG'!U109</f>
        <v>-7.7920134971033006E-2</v>
      </c>
      <c r="Y109" s="1">
        <f t="shared" si="28"/>
        <v>48944</v>
      </c>
      <c r="Z109" s="7">
        <f t="shared" si="28"/>
        <v>-1.1984035021215006E-2</v>
      </c>
      <c r="AA109" s="7">
        <f t="shared" si="28"/>
        <v>-1.8375606183749102E-2</v>
      </c>
      <c r="AB109" s="7">
        <f t="shared" si="28"/>
        <v>-0.140418942769234</v>
      </c>
      <c r="AC109" s="7">
        <f t="shared" si="17"/>
        <v>7.5364536999526319E-2</v>
      </c>
      <c r="AD109" s="7">
        <f t="shared" si="18"/>
        <v>-9.2926932305755043E-3</v>
      </c>
      <c r="AE109" s="7">
        <f t="shared" si="19"/>
        <v>2.8035120261860641E-2</v>
      </c>
      <c r="AF109" s="7">
        <f t="shared" si="20"/>
        <v>1.2030977010901093E-16</v>
      </c>
      <c r="AG109" s="7">
        <f t="shared" si="20"/>
        <v>-1.6482123969259017E-15</v>
      </c>
      <c r="AH109" s="7">
        <f t="shared" si="21"/>
        <v>-1.2485150276431208E-3</v>
      </c>
      <c r="AI109" s="7">
        <f t="shared" si="15"/>
        <v>-7.7920134971031285E-2</v>
      </c>
      <c r="AJ109" s="8">
        <f t="shared" si="22"/>
        <v>0.10339965726138696</v>
      </c>
      <c r="AK109" s="8">
        <f t="shared" si="23"/>
        <v>-0.16808724218355861</v>
      </c>
      <c r="AL109" s="8">
        <f t="shared" si="24"/>
        <v>-1.1984035021215006E-2</v>
      </c>
      <c r="AM109" s="8">
        <f t="shared" si="25"/>
        <v>-1.2485150276431208E-3</v>
      </c>
      <c r="AN109" s="8">
        <f t="shared" si="26"/>
        <v>-7.7920134971029772E-2</v>
      </c>
      <c r="AO109" s="9">
        <f t="shared" si="27"/>
        <v>-0.91847908754954599</v>
      </c>
      <c r="AP109" s="9">
        <f t="shared" si="27"/>
        <v>1.7650515072988633</v>
      </c>
      <c r="AQ109" s="9">
        <f t="shared" si="27"/>
        <v>0.14097354912071933</v>
      </c>
      <c r="AR109" s="9">
        <f t="shared" si="27"/>
        <v>1.2454031129965105E-2</v>
      </c>
      <c r="AS109" s="9">
        <f t="shared" si="27"/>
        <v>1</v>
      </c>
      <c r="AT109" s="7"/>
      <c r="AU109" s="7"/>
      <c r="AV109" s="7"/>
      <c r="AW109" s="7"/>
      <c r="AX109" s="7"/>
    </row>
    <row r="110" spans="1:50" x14ac:dyDescent="0.25">
      <c r="A110" s="1">
        <v>49034</v>
      </c>
      <c r="B110">
        <f>'DSGE HVD wFG'!B110-'DSGE HVD woFG'!B110</f>
        <v>-1.1841519417041008E-2</v>
      </c>
      <c r="C110">
        <f>'DSGE HVD wFG'!C110-'DSGE HVD woFG'!C110</f>
        <v>-1.8191850121911199E-2</v>
      </c>
      <c r="D110">
        <f>'DSGE HVD wFG'!D110-'DSGE HVD woFG'!D110</f>
        <v>-0.13901475311106803</v>
      </c>
      <c r="E110">
        <f>'DSGE HVD wFG'!E110-'DSGE HVD woFG'!E110</f>
        <v>-9.0931794813347983E-3</v>
      </c>
      <c r="F110">
        <f>'DSGE HVD wFG'!F110-'DSGE HVD woFG'!F110</f>
        <v>-3.633187586967894E-3</v>
      </c>
      <c r="G110">
        <f>'DSGE HVD wFG'!G110-'DSGE HVD woFG'!G110</f>
        <v>1.1597941900051015E-16</v>
      </c>
      <c r="H110">
        <f>'DSGE HVD wFG'!H110-'DSGE HVD woFG'!H110</f>
        <v>-1.6437711940996952E-15</v>
      </c>
      <c r="I110">
        <f>'DSGE HVD wFG'!I110-'DSGE HVD woFG'!I110</f>
        <v>-3.8040185855720252E-15</v>
      </c>
      <c r="J110">
        <f>'DSGE HVD wFG'!J110-'DSGE HVD woFG'!J110</f>
        <v>2.0649226487907448E-15</v>
      </c>
      <c r="K110">
        <f>'DSGE HVD wFG'!K110-'DSGE HVD woFG'!K110</f>
        <v>-3.8484464168134304E-16</v>
      </c>
      <c r="L110">
        <f>'DSGE HVD wFG'!L110-'DSGE HVD woFG'!L110</f>
        <v>2.1299964264511989E-15</v>
      </c>
      <c r="M110">
        <f>'DSGE HVD wFG'!M110-'DSGE HVD woFG'!M110</f>
        <v>1.8235423242969798E-15</v>
      </c>
      <c r="N110">
        <f>'DSGE HVD wFG'!N110-'DSGE HVD woFG'!N110</f>
        <v>4.1624255075915801E-15</v>
      </c>
      <c r="O110">
        <f>'DSGE HVD wFG'!O110-'DSGE HVD woFG'!O110</f>
        <v>5.4592064803077698E-15</v>
      </c>
      <c r="P110">
        <f>'DSGE HVD wFG'!P110-'DSGE HVD woFG'!P110</f>
        <v>1.65255784086552E-14</v>
      </c>
      <c r="Q110">
        <f>'DSGE HVD wFG'!Q110-'DSGE HVD woFG'!Q110</f>
        <v>2.759356621072875E-2</v>
      </c>
      <c r="R110">
        <f>'DSGE HVD wFG'!R110-'DSGE HVD woFG'!R110</f>
        <v>0</v>
      </c>
      <c r="S110">
        <f>'DSGE HVD wFG'!S110-'DSGE HVD woFG'!S110</f>
        <v>7.8497578299286996E-2</v>
      </c>
      <c r="T110">
        <f>'DSGE HVD wFG'!T110-'DSGE HVD woFG'!T110</f>
        <v>-1.2358941950103893E-3</v>
      </c>
      <c r="U110">
        <f>'DSGE HVD wFG'!U110-'DSGE HVD woFG'!U110</f>
        <v>-7.691923940329401E-2</v>
      </c>
      <c r="Y110" s="1">
        <f t="shared" si="28"/>
        <v>49034</v>
      </c>
      <c r="Z110" s="7">
        <f t="shared" si="28"/>
        <v>-1.1841519417041008E-2</v>
      </c>
      <c r="AA110" s="7">
        <f t="shared" si="28"/>
        <v>-1.8191850121911199E-2</v>
      </c>
      <c r="AB110" s="7">
        <f t="shared" si="28"/>
        <v>-0.13901475311106803</v>
      </c>
      <c r="AC110" s="7">
        <f t="shared" si="17"/>
        <v>7.4864390712319095E-2</v>
      </c>
      <c r="AD110" s="7">
        <f t="shared" si="18"/>
        <v>-9.0931794813347983E-3</v>
      </c>
      <c r="AE110" s="7">
        <f t="shared" si="19"/>
        <v>2.759356621072875E-2</v>
      </c>
      <c r="AF110" s="7">
        <f t="shared" si="20"/>
        <v>1.1597941900051015E-16</v>
      </c>
      <c r="AG110" s="7">
        <f t="shared" si="20"/>
        <v>-1.6437711940996952E-15</v>
      </c>
      <c r="AH110" s="7">
        <f t="shared" si="21"/>
        <v>-1.2358941949824123E-3</v>
      </c>
      <c r="AI110" s="7">
        <f t="shared" si="15"/>
        <v>-7.6919239403291109E-2</v>
      </c>
      <c r="AJ110" s="8">
        <f t="shared" si="22"/>
        <v>0.10245795692304785</v>
      </c>
      <c r="AK110" s="8">
        <f t="shared" si="23"/>
        <v>-0.16629978271431406</v>
      </c>
      <c r="AL110" s="8">
        <f t="shared" si="24"/>
        <v>-1.1841519417041008E-2</v>
      </c>
      <c r="AM110" s="8">
        <f t="shared" si="25"/>
        <v>-1.2358941949824123E-3</v>
      </c>
      <c r="AN110" s="8">
        <f t="shared" si="26"/>
        <v>-7.6919239403289624E-2</v>
      </c>
      <c r="AO110" s="9">
        <f t="shared" si="27"/>
        <v>-0.94085773650223015</v>
      </c>
      <c r="AP110" s="9">
        <f t="shared" si="27"/>
        <v>1.7858601105411329</v>
      </c>
      <c r="AQ110" s="9">
        <f t="shared" si="27"/>
        <v>0.14238808599759745</v>
      </c>
      <c r="AR110" s="9">
        <f t="shared" si="27"/>
        <v>1.2609539963499054E-2</v>
      </c>
      <c r="AS110" s="9">
        <f t="shared" si="27"/>
        <v>1</v>
      </c>
      <c r="AT110" s="7"/>
      <c r="AU110" s="7"/>
      <c r="AV110" s="7"/>
      <c r="AW110" s="7"/>
      <c r="AX110" s="7"/>
    </row>
    <row r="111" spans="1:50" x14ac:dyDescent="0.25">
      <c r="A111" s="1">
        <v>49125</v>
      </c>
      <c r="B111">
        <f>'DSGE HVD wFG'!B111-'DSGE HVD woFG'!B111</f>
        <v>-1.1700831573618994E-2</v>
      </c>
      <c r="C111">
        <f>'DSGE HVD wFG'!C111-'DSGE HVD woFG'!C111</f>
        <v>-1.8009931620692005E-2</v>
      </c>
      <c r="D111">
        <f>'DSGE HVD wFG'!D111-'DSGE HVD woFG'!D111</f>
        <v>-0.13762460541940999</v>
      </c>
      <c r="E111">
        <f>'DSGE HVD wFG'!E111-'DSGE HVD woFG'!E111</f>
        <v>-8.8977255503949991E-3</v>
      </c>
      <c r="F111">
        <f>'DSGE HVD wFG'!F111-'DSGE HVD woFG'!F111</f>
        <v>-3.4417147364922962E-3</v>
      </c>
      <c r="G111">
        <f>'DSGE HVD wFG'!G111-'DSGE HVD woFG'!G111</f>
        <v>1.1176389041413951E-16</v>
      </c>
      <c r="H111">
        <f>'DSGE HVD wFG'!H111-'DSGE HVD woFG'!H111</f>
        <v>-1.6391125441833028E-15</v>
      </c>
      <c r="I111">
        <f>'DSGE HVD wFG'!I111-'DSGE HVD woFG'!I111</f>
        <v>-3.7519848821230028E-15</v>
      </c>
      <c r="J111">
        <f>'DSGE HVD wFG'!J111-'DSGE HVD woFG'!J111</f>
        <v>2.040326324686971E-15</v>
      </c>
      <c r="K111">
        <f>'DSGE HVD wFG'!K111-'DSGE HVD woFG'!K111</f>
        <v>-3.7714852771645495E-16</v>
      </c>
      <c r="L111">
        <f>'DSGE HVD wFG'!L111-'DSGE HVD woFG'!L111</f>
        <v>2.1084769551416179E-15</v>
      </c>
      <c r="M111">
        <f>'DSGE HVD wFG'!M111-'DSGE HVD woFG'!M111</f>
        <v>1.8064649740966151E-15</v>
      </c>
      <c r="N111">
        <f>'DSGE HVD wFG'!N111-'DSGE HVD woFG'!N111</f>
        <v>4.1191086486088196E-15</v>
      </c>
      <c r="O111">
        <f>'DSGE HVD wFG'!O111-'DSGE HVD woFG'!O111</f>
        <v>5.3980153211809699E-15</v>
      </c>
      <c r="P111">
        <f>'DSGE HVD wFG'!P111-'DSGE HVD woFG'!P111</f>
        <v>1.6578010005771996E-14</v>
      </c>
      <c r="Q111">
        <f>'DSGE HVD wFG'!Q111-'DSGE HVD woFG'!Q111</f>
        <v>2.715726934211846E-2</v>
      </c>
      <c r="R111">
        <f>'DSGE HVD wFG'!R111-'DSGE HVD woFG'!R111</f>
        <v>0</v>
      </c>
      <c r="S111">
        <f>'DSGE HVD wFG'!S111-'DSGE HVD woFG'!S111</f>
        <v>7.7800207140791E-2</v>
      </c>
      <c r="T111">
        <f>'DSGE HVD wFG'!T111-'DSGE HVD woFG'!T111</f>
        <v>-1.2234051612519193E-3</v>
      </c>
      <c r="U111">
        <f>'DSGE HVD wFG'!U111-'DSGE HVD woFG'!U111</f>
        <v>-7.594073757892697E-2</v>
      </c>
      <c r="Y111" s="1">
        <f t="shared" si="28"/>
        <v>49125</v>
      </c>
      <c r="Z111" s="7">
        <f t="shared" si="28"/>
        <v>-1.1700831573618994E-2</v>
      </c>
      <c r="AA111" s="7">
        <f t="shared" si="28"/>
        <v>-1.8009931620692005E-2</v>
      </c>
      <c r="AB111" s="7">
        <f t="shared" si="28"/>
        <v>-0.13762460541940999</v>
      </c>
      <c r="AC111" s="7">
        <f t="shared" si="17"/>
        <v>7.4358492404298704E-2</v>
      </c>
      <c r="AD111" s="7">
        <f t="shared" si="18"/>
        <v>-8.8977255503949991E-3</v>
      </c>
      <c r="AE111" s="7">
        <f t="shared" si="19"/>
        <v>2.715726934211846E-2</v>
      </c>
      <c r="AF111" s="7">
        <f t="shared" si="20"/>
        <v>1.1176389041413951E-16</v>
      </c>
      <c r="AG111" s="7">
        <f t="shared" si="20"/>
        <v>-1.6391125441833028E-15</v>
      </c>
      <c r="AH111" s="7">
        <f t="shared" si="21"/>
        <v>-1.2234051612239978E-3</v>
      </c>
      <c r="AI111" s="7">
        <f t="shared" si="15"/>
        <v>-7.5940737578924375E-2</v>
      </c>
      <c r="AJ111" s="8">
        <f t="shared" si="22"/>
        <v>0.10151576174641716</v>
      </c>
      <c r="AK111" s="8">
        <f t="shared" si="23"/>
        <v>-0.164532262590497</v>
      </c>
      <c r="AL111" s="8">
        <f t="shared" si="24"/>
        <v>-1.1700831573618994E-2</v>
      </c>
      <c r="AM111" s="8">
        <f t="shared" si="25"/>
        <v>-1.2234051612239978E-3</v>
      </c>
      <c r="AN111" s="8">
        <f t="shared" si="26"/>
        <v>-7.5940737578922834E-2</v>
      </c>
      <c r="AO111" s="9">
        <f t="shared" si="27"/>
        <v>-0.96289567701154211</v>
      </c>
      <c r="AP111" s="9">
        <f t="shared" si="27"/>
        <v>1.806353427047378</v>
      </c>
      <c r="AQ111" s="9">
        <f t="shared" si="27"/>
        <v>0.14377882587296703</v>
      </c>
      <c r="AR111" s="9">
        <f t="shared" si="27"/>
        <v>1.2763424091208489E-2</v>
      </c>
      <c r="AS111" s="9">
        <f t="shared" si="27"/>
        <v>1</v>
      </c>
      <c r="AT111" s="7"/>
      <c r="AU111" s="7"/>
      <c r="AV111" s="7"/>
      <c r="AW111" s="7"/>
      <c r="AX111" s="7"/>
    </row>
    <row r="112" spans="1:50" x14ac:dyDescent="0.25">
      <c r="A112" s="1">
        <v>49217</v>
      </c>
      <c r="B112">
        <f>'DSGE HVD wFG'!B112-'DSGE HVD woFG'!B112</f>
        <v>-1.1561945329347012E-2</v>
      </c>
      <c r="C112">
        <f>'DSGE HVD wFG'!C112-'DSGE HVD woFG'!C112</f>
        <v>-1.7829832304485899E-2</v>
      </c>
      <c r="D112">
        <f>'DSGE HVD wFG'!D112-'DSGE HVD woFG'!D112</f>
        <v>-0.13624835925338102</v>
      </c>
      <c r="E112">
        <f>'DSGE HVD wFG'!E112-'DSGE HVD woFG'!E112</f>
        <v>-8.7063059102099015E-3</v>
      </c>
      <c r="F112">
        <f>'DSGE HVD wFG'!F112-'DSGE HVD woFG'!F112</f>
        <v>-3.2603025182905976E-3</v>
      </c>
      <c r="G112">
        <f>'DSGE HVD wFG'!G112-'DSGE HVD woFG'!G112</f>
        <v>1.0766210635885026E-16</v>
      </c>
      <c r="H112">
        <f>'DSGE HVD wFG'!H112-'DSGE HVD woFG'!H112</f>
        <v>-1.6342469432906014E-15</v>
      </c>
      <c r="I112">
        <f>'DSGE HVD wFG'!I112-'DSGE HVD woFG'!I112</f>
        <v>-3.7009065017196579E-15</v>
      </c>
      <c r="J112">
        <f>'DSGE HVD wFG'!J112-'DSGE HVD woFG'!J112</f>
        <v>2.016117534259808E-15</v>
      </c>
      <c r="K112">
        <f>'DSGE HVD wFG'!K112-'DSGE HVD woFG'!K112</f>
        <v>-3.6975122646732903E-16</v>
      </c>
      <c r="L112">
        <f>'DSGE HVD wFG'!L112-'DSGE HVD woFG'!L112</f>
        <v>2.0871534963869849E-15</v>
      </c>
      <c r="M112">
        <f>'DSGE HVD wFG'!M112-'DSGE HVD woFG'!M112</f>
        <v>1.789467786054957E-15</v>
      </c>
      <c r="N112">
        <f>'DSGE HVD wFG'!N112-'DSGE HVD woFG'!N112</f>
        <v>4.0763149595564102E-15</v>
      </c>
      <c r="O112">
        <f>'DSGE HVD wFG'!O112-'DSGE HVD woFG'!O112</f>
        <v>5.3377929361689299E-15</v>
      </c>
      <c r="P112">
        <f>'DSGE HVD wFG'!P112-'DSGE HVD woFG'!P112</f>
        <v>1.6627079146417699E-14</v>
      </c>
      <c r="Q112">
        <f>'DSGE HVD wFG'!Q112-'DSGE HVD woFG'!Q112</f>
        <v>2.672620233509437E-2</v>
      </c>
      <c r="R112">
        <f>'DSGE HVD wFG'!R112-'DSGE HVD woFG'!R112</f>
        <v>0</v>
      </c>
      <c r="S112">
        <f>'DSGE HVD wFG'!S112-'DSGE HVD woFG'!S112</f>
        <v>7.710773446940597E-2</v>
      </c>
      <c r="T112">
        <f>'DSGE HVD wFG'!T112-'DSGE HVD woFG'!T112</f>
        <v>-1.2110464959879091E-3</v>
      </c>
      <c r="U112">
        <f>'DSGE HVD wFG'!U112-'DSGE HVD woFG'!U112</f>
        <v>-7.498385500717597E-2</v>
      </c>
      <c r="Y112" s="1">
        <f t="shared" si="28"/>
        <v>49217</v>
      </c>
      <c r="Z112" s="7">
        <f t="shared" si="28"/>
        <v>-1.1561945329347012E-2</v>
      </c>
      <c r="AA112" s="7">
        <f t="shared" si="28"/>
        <v>-1.7829832304485899E-2</v>
      </c>
      <c r="AB112" s="7">
        <f t="shared" si="28"/>
        <v>-0.13624835925338102</v>
      </c>
      <c r="AC112" s="7">
        <f t="shared" si="17"/>
        <v>7.3847431951115372E-2</v>
      </c>
      <c r="AD112" s="7">
        <f t="shared" si="18"/>
        <v>-8.7063059102099015E-3</v>
      </c>
      <c r="AE112" s="7">
        <f t="shared" si="19"/>
        <v>2.672620233509437E-2</v>
      </c>
      <c r="AF112" s="7">
        <f t="shared" si="20"/>
        <v>1.0766210635885026E-16</v>
      </c>
      <c r="AG112" s="7">
        <f t="shared" si="20"/>
        <v>-1.6342469432906014E-15</v>
      </c>
      <c r="AH112" s="7">
        <f t="shared" si="21"/>
        <v>-1.2110464959600457E-3</v>
      </c>
      <c r="AI112" s="7">
        <f t="shared" si="15"/>
        <v>-7.4983855007175665E-2</v>
      </c>
      <c r="AJ112" s="8">
        <f t="shared" si="22"/>
        <v>0.10057363428620975</v>
      </c>
      <c r="AK112" s="8">
        <f t="shared" si="23"/>
        <v>-0.16278449746807683</v>
      </c>
      <c r="AL112" s="8">
        <f t="shared" si="24"/>
        <v>-1.1561945329347012E-2</v>
      </c>
      <c r="AM112" s="8">
        <f t="shared" si="25"/>
        <v>-1.2110464959600457E-3</v>
      </c>
      <c r="AN112" s="8">
        <f t="shared" si="26"/>
        <v>-7.4983855007174138E-2</v>
      </c>
      <c r="AO112" s="9">
        <f t="shared" si="27"/>
        <v>-0.98458001851333066</v>
      </c>
      <c r="AP112" s="9">
        <f t="shared" si="27"/>
        <v>1.8265199660039173</v>
      </c>
      <c r="AQ112" s="9">
        <f t="shared" si="27"/>
        <v>0.14514450191957071</v>
      </c>
      <c r="AR112" s="9">
        <f t="shared" si="27"/>
        <v>1.2915550589835385E-2</v>
      </c>
      <c r="AS112" s="9">
        <f t="shared" si="27"/>
        <v>1</v>
      </c>
      <c r="AT112" s="7"/>
      <c r="AU112" s="7"/>
      <c r="AV112" s="7"/>
      <c r="AW112" s="7"/>
      <c r="AX112" s="7"/>
    </row>
    <row r="113" spans="1:50" x14ac:dyDescent="0.25">
      <c r="A113" s="1">
        <v>49309</v>
      </c>
      <c r="B113">
        <f>'DSGE HVD wFG'!B113-'DSGE HVD woFG'!B113</f>
        <v>-1.1424834931691996E-2</v>
      </c>
      <c r="C113">
        <f>'DSGE HVD wFG'!C113-'DSGE HVD woFG'!C113</f>
        <v>-1.7651533981441203E-2</v>
      </c>
      <c r="D113">
        <f>'DSGE HVD wFG'!D113-'DSGE HVD woFG'!D113</f>
        <v>-0.13488587558294401</v>
      </c>
      <c r="E113">
        <f>'DSGE HVD wFG'!E113-'DSGE HVD woFG'!E113</f>
        <v>-8.5188873935133982E-3</v>
      </c>
      <c r="F113">
        <f>'DSGE HVD wFG'!F113-'DSGE HVD woFG'!F113</f>
        <v>-3.0883979533803951E-3</v>
      </c>
      <c r="G113">
        <f>'DSGE HVD wFG'!G113-'DSGE HVD woFG'!G113</f>
        <v>1.0367272404804986E-16</v>
      </c>
      <c r="H113">
        <f>'DSGE HVD wFG'!H113-'DSGE HVD woFG'!H113</f>
        <v>-1.6291841626402956E-15</v>
      </c>
      <c r="I113">
        <f>'DSGE HVD wFG'!I113-'DSGE HVD woFG'!I113</f>
        <v>-3.6507425116884315E-15</v>
      </c>
      <c r="J113">
        <f>'DSGE HVD wFG'!J113-'DSGE HVD woFG'!J113</f>
        <v>1.9922865461303648E-15</v>
      </c>
      <c r="K113">
        <f>'DSGE HVD wFG'!K113-'DSGE HVD woFG'!K113</f>
        <v>-3.6264263567760601E-16</v>
      </c>
      <c r="L113">
        <f>'DSGE HVD wFG'!L113-'DSGE HVD woFG'!L113</f>
        <v>2.06602431535738E-15</v>
      </c>
      <c r="M113">
        <f>'DSGE HVD wFG'!M113-'DSGE HVD woFG'!M113</f>
        <v>1.7725522505317579E-15</v>
      </c>
      <c r="N113">
        <f>'DSGE HVD wFG'!N113-'DSGE HVD woFG'!N113</f>
        <v>4.0340322539338902E-15</v>
      </c>
      <c r="O113">
        <f>'DSGE HVD wFG'!O113-'DSGE HVD woFG'!O113</f>
        <v>5.2785156616986396E-15</v>
      </c>
      <c r="P113">
        <f>'DSGE HVD wFG'!P113-'DSGE HVD woFG'!P113</f>
        <v>1.6672867273714503E-14</v>
      </c>
      <c r="Q113">
        <f>'DSGE HVD wFG'!Q113-'DSGE HVD woFG'!Q113</f>
        <v>2.630034000471972E-2</v>
      </c>
      <c r="R113">
        <f>'DSGE HVD wFG'!R113-'DSGE HVD woFG'!R113</f>
        <v>0</v>
      </c>
      <c r="S113">
        <f>'DSGE HVD wFG'!S113-'DSGE HVD woFG'!S113</f>
        <v>7.6420161303869999E-2</v>
      </c>
      <c r="T113">
        <f>'DSGE HVD wFG'!T113-'DSGE HVD woFG'!T113</f>
        <v>-1.1988167852450002E-3</v>
      </c>
      <c r="U113">
        <f>'DSGE HVD wFG'!U113-'DSGE HVD woFG'!U113</f>
        <v>-7.4047845319600014E-2</v>
      </c>
      <c r="Y113" s="1">
        <f t="shared" si="28"/>
        <v>49309</v>
      </c>
      <c r="Z113" s="7">
        <f t="shared" si="28"/>
        <v>-1.1424834931691996E-2</v>
      </c>
      <c r="AA113" s="7">
        <f t="shared" si="28"/>
        <v>-1.7651533981441203E-2</v>
      </c>
      <c r="AB113" s="7">
        <f t="shared" si="28"/>
        <v>-0.13488587558294401</v>
      </c>
      <c r="AC113" s="7">
        <f t="shared" si="17"/>
        <v>7.3331763350489604E-2</v>
      </c>
      <c r="AD113" s="7">
        <f t="shared" si="18"/>
        <v>-8.5188873935133982E-3</v>
      </c>
      <c r="AE113" s="7">
        <f t="shared" si="19"/>
        <v>2.630034000471972E-2</v>
      </c>
      <c r="AF113" s="7">
        <f t="shared" si="20"/>
        <v>1.0367272404804986E-16</v>
      </c>
      <c r="AG113" s="7">
        <f t="shared" si="20"/>
        <v>-1.6291841626402956E-15</v>
      </c>
      <c r="AH113" s="7">
        <f t="shared" si="21"/>
        <v>-1.1988167852171972E-3</v>
      </c>
      <c r="AI113" s="7">
        <f t="shared" si="15"/>
        <v>-7.4047845319600014E-2</v>
      </c>
      <c r="AJ113" s="8">
        <f t="shared" si="22"/>
        <v>9.963210335520932E-2</v>
      </c>
      <c r="AK113" s="8">
        <f t="shared" si="23"/>
        <v>-0.16105629695789861</v>
      </c>
      <c r="AL113" s="8">
        <f t="shared" si="24"/>
        <v>-1.1424834931691996E-2</v>
      </c>
      <c r="AM113" s="8">
        <f t="shared" si="25"/>
        <v>-1.1988167852171972E-3</v>
      </c>
      <c r="AN113" s="8">
        <f t="shared" si="26"/>
        <v>-7.4047845319598488E-2</v>
      </c>
      <c r="AO113" s="9">
        <f t="shared" si="27"/>
        <v>-1.0058987032912825</v>
      </c>
      <c r="AP113" s="9">
        <f t="shared" si="27"/>
        <v>1.8463489567660492</v>
      </c>
      <c r="AQ113" s="9">
        <f t="shared" si="27"/>
        <v>0.14648395147505805</v>
      </c>
      <c r="AR113" s="9">
        <f t="shared" si="27"/>
        <v>1.3065795050182254E-2</v>
      </c>
      <c r="AS113" s="9">
        <f t="shared" si="27"/>
        <v>1</v>
      </c>
      <c r="AT113" s="7"/>
      <c r="AU113" s="7"/>
      <c r="AV113" s="7"/>
      <c r="AW113" s="7"/>
      <c r="AX113" s="7"/>
    </row>
    <row r="114" spans="1:50" x14ac:dyDescent="0.25">
      <c r="A114" s="1">
        <v>49399</v>
      </c>
      <c r="B114">
        <f>'DSGE HVD wFG'!B114-'DSGE HVD woFG'!B114</f>
        <v>-1.1289475032449994E-2</v>
      </c>
      <c r="C114">
        <f>'DSGE HVD wFG'!C114-'DSGE HVD woFG'!C114</f>
        <v>-1.7475018641626108E-2</v>
      </c>
      <c r="D114">
        <f>'DSGE HVD wFG'!D114-'DSGE HVD woFG'!D114</f>
        <v>-0.13353701677284799</v>
      </c>
      <c r="E114">
        <f>'DSGE HVD wFG'!E114-'DSGE HVD woFG'!E114</f>
        <v>-8.335430336771598E-3</v>
      </c>
      <c r="F114">
        <f>'DSGE HVD wFG'!F114-'DSGE HVD woFG'!F114</f>
        <v>-2.9254801413386988E-3</v>
      </c>
      <c r="G114">
        <f>'DSGE HVD wFG'!G114-'DSGE HVD woFG'!G114</f>
        <v>9.9794167200189103E-17</v>
      </c>
      <c r="H114">
        <f>'DSGE HVD wFG'!H114-'DSGE HVD woFG'!H114</f>
        <v>-1.6239333143206012E-15</v>
      </c>
      <c r="I114">
        <f>'DSGE HVD wFG'!I114-'DSGE HVD woFG'!I114</f>
        <v>-3.6014556644277247E-15</v>
      </c>
      <c r="J114">
        <f>'DSGE HVD wFG'!J114-'DSGE HVD woFG'!J114</f>
        <v>1.9688238229758251E-15</v>
      </c>
      <c r="K114">
        <f>'DSGE HVD wFG'!K114-'DSGE HVD woFG'!K114</f>
        <v>-3.5581191295354099E-16</v>
      </c>
      <c r="L114">
        <f>'DSGE HVD wFG'!L114-'DSGE HVD woFG'!L114</f>
        <v>2.0450880173783303E-15</v>
      </c>
      <c r="M114">
        <f>'DSGE HVD wFG'!M114-'DSGE HVD woFG'!M114</f>
        <v>1.7557204326296508E-15</v>
      </c>
      <c r="N114">
        <f>'DSGE HVD wFG'!N114-'DSGE HVD woFG'!N114</f>
        <v>3.9922489648965499E-15</v>
      </c>
      <c r="O114">
        <f>'DSGE HVD wFG'!O114-'DSGE HVD woFG'!O114</f>
        <v>5.2201593733448698E-15</v>
      </c>
      <c r="P114">
        <f>'DSGE HVD wFG'!P114-'DSGE HVD woFG'!P114</f>
        <v>1.6715453859744597E-14</v>
      </c>
      <c r="Q114">
        <f>'DSGE HVD wFG'!Q114-'DSGE HVD woFG'!Q114</f>
        <v>2.5879658692818001E-2</v>
      </c>
      <c r="R114">
        <f>'DSGE HVD wFG'!R114-'DSGE HVD woFG'!R114</f>
        <v>0</v>
      </c>
      <c r="S114">
        <f>'DSGE HVD wFG'!S114-'DSGE HVD woFG'!S114</f>
        <v>7.5737487156713995E-2</v>
      </c>
      <c r="T114">
        <f>'DSGE HVD wFG'!T114-'DSGE HVD woFG'!T114</f>
        <v>-1.1867146312792096E-3</v>
      </c>
      <c r="U114">
        <f>'DSGE HVD wFG'!U114-'DSGE HVD woFG'!U114</f>
        <v>-7.3131989706755995E-2</v>
      </c>
      <c r="Y114" s="1">
        <f t="shared" si="28"/>
        <v>49399</v>
      </c>
      <c r="Z114" s="7">
        <f t="shared" si="28"/>
        <v>-1.1289475032449994E-2</v>
      </c>
      <c r="AA114" s="7">
        <f t="shared" si="28"/>
        <v>-1.7475018641626108E-2</v>
      </c>
      <c r="AB114" s="7">
        <f t="shared" si="28"/>
        <v>-0.13353701677284799</v>
      </c>
      <c r="AC114" s="7">
        <f t="shared" si="17"/>
        <v>7.2812007015375296E-2</v>
      </c>
      <c r="AD114" s="7">
        <f t="shared" si="18"/>
        <v>-8.335430336771598E-3</v>
      </c>
      <c r="AE114" s="7">
        <f t="shared" si="19"/>
        <v>2.5879658692818001E-2</v>
      </c>
      <c r="AF114" s="7">
        <f t="shared" si="20"/>
        <v>9.9794167200189103E-17</v>
      </c>
      <c r="AG114" s="7">
        <f t="shared" si="20"/>
        <v>-1.6239333143206012E-15</v>
      </c>
      <c r="AH114" s="7">
        <f t="shared" si="21"/>
        <v>-1.1867146312514695E-3</v>
      </c>
      <c r="AI114" s="7">
        <f t="shared" si="15"/>
        <v>-7.3131989706755399E-2</v>
      </c>
      <c r="AJ114" s="8">
        <f t="shared" si="22"/>
        <v>9.8691665708193294E-2</v>
      </c>
      <c r="AK114" s="8">
        <f t="shared" si="23"/>
        <v>-0.1593474657512457</v>
      </c>
      <c r="AL114" s="8">
        <f t="shared" si="24"/>
        <v>-1.1289475032449994E-2</v>
      </c>
      <c r="AM114" s="8">
        <f t="shared" si="25"/>
        <v>-1.1867146312514695E-3</v>
      </c>
      <c r="AN114" s="8">
        <f t="shared" si="26"/>
        <v>-7.3131989706753872E-2</v>
      </c>
      <c r="AO114" s="9">
        <f t="shared" si="27"/>
        <v>-1.0268405126601343</v>
      </c>
      <c r="AP114" s="9">
        <f t="shared" si="27"/>
        <v>1.8658303587236214</v>
      </c>
      <c r="AQ114" s="9">
        <f t="shared" si="27"/>
        <v>0.14779611255706426</v>
      </c>
      <c r="AR114" s="9">
        <f t="shared" si="27"/>
        <v>1.3214041379447174E-2</v>
      </c>
      <c r="AS114" s="9">
        <f t="shared" si="27"/>
        <v>1</v>
      </c>
      <c r="AT114" s="7"/>
      <c r="AU114" s="7"/>
      <c r="AV114" s="7"/>
      <c r="AW114" s="7"/>
      <c r="AX114" s="7"/>
    </row>
    <row r="115" spans="1:50" x14ac:dyDescent="0.25">
      <c r="A115" s="1">
        <v>49490</v>
      </c>
      <c r="B115">
        <f>'DSGE HVD wFG'!B115-'DSGE HVD woFG'!B115</f>
        <v>-1.1155840682757004E-2</v>
      </c>
      <c r="C115">
        <f>'DSGE HVD wFG'!C115-'DSGE HVD woFG'!C115</f>
        <v>-1.7300268455210099E-2</v>
      </c>
      <c r="D115">
        <f>'DSGE HVD wFG'!D115-'DSGE HVD woFG'!D115</f>
        <v>-0.13220164656731798</v>
      </c>
      <c r="E115">
        <f>'DSGE HVD wFG'!E115-'DSGE HVD woFG'!E115</f>
        <v>-8.1558895847058978E-3</v>
      </c>
      <c r="F115">
        <f>'DSGE HVD wFG'!F115-'DSGE HVD woFG'!F115</f>
        <v>-2.7710582699992936E-3</v>
      </c>
      <c r="G115">
        <f>'DSGE HVD wFG'!G115-'DSGE HVD woFG'!G115</f>
        <v>9.6024656480369551E-17</v>
      </c>
      <c r="H115">
        <f>'DSGE HVD wFG'!H115-'DSGE HVD woFG'!H115</f>
        <v>-1.6185029128942013E-15</v>
      </c>
      <c r="I115">
        <f>'DSGE HVD wFG'!I115-'DSGE HVD woFG'!I115</f>
        <v>-3.5530120741388094E-15</v>
      </c>
      <c r="J115">
        <f>'DSGE HVD wFG'!J115-'DSGE HVD woFG'!J115</f>
        <v>1.9457200463238557E-15</v>
      </c>
      <c r="K115">
        <f>'DSGE HVD wFG'!K115-'DSGE HVD woFG'!K115</f>
        <v>-3.4924770232834507E-16</v>
      </c>
      <c r="L115">
        <f>'DSGE HVD wFG'!L115-'DSGE HVD woFG'!L115</f>
        <v>2.0243434719736399E-15</v>
      </c>
      <c r="M115">
        <f>'DSGE HVD wFG'!M115-'DSGE HVD woFG'!M115</f>
        <v>1.7389748309691569E-15</v>
      </c>
      <c r="N115">
        <f>'DSGE HVD wFG'!N115-'DSGE HVD woFG'!N115</f>
        <v>3.95095411886823E-15</v>
      </c>
      <c r="O115">
        <f>'DSGE HVD wFG'!O115-'DSGE HVD woFG'!O115</f>
        <v>5.1626997358336707E-15</v>
      </c>
      <c r="P115">
        <f>'DSGE HVD wFG'!P115-'DSGE HVD woFG'!P115</f>
        <v>1.6754916442525399E-14</v>
      </c>
      <c r="Q115">
        <f>'DSGE HVD wFG'!Q115-'DSGE HVD woFG'!Q115</f>
        <v>2.5464135761890241E-2</v>
      </c>
      <c r="R115">
        <f>'DSGE HVD wFG'!R115-'DSGE HVD woFG'!R115</f>
        <v>0</v>
      </c>
      <c r="S115">
        <f>'DSGE HVD wFG'!S115-'DSGE HVD woFG'!S115</f>
        <v>7.5059710165144011E-2</v>
      </c>
      <c r="T115">
        <f>'DSGE HVD wFG'!T115-'DSGE HVD woFG'!T115</f>
        <v>-1.1747386523740496E-3</v>
      </c>
      <c r="U115">
        <f>'DSGE HVD wFG'!U115-'DSGE HVD woFG'!U115</f>
        <v>-7.2235596285303988E-2</v>
      </c>
      <c r="Y115" s="1">
        <f t="shared" si="28"/>
        <v>49490</v>
      </c>
      <c r="Z115" s="7">
        <f t="shared" si="28"/>
        <v>-1.1155840682757004E-2</v>
      </c>
      <c r="AA115" s="7">
        <f t="shared" si="28"/>
        <v>-1.7300268455210099E-2</v>
      </c>
      <c r="AB115" s="7">
        <f t="shared" si="28"/>
        <v>-0.13220164656731798</v>
      </c>
      <c r="AC115" s="7">
        <f t="shared" si="17"/>
        <v>7.2288651895144718E-2</v>
      </c>
      <c r="AD115" s="7">
        <f t="shared" si="18"/>
        <v>-8.1558895847058978E-3</v>
      </c>
      <c r="AE115" s="7">
        <f t="shared" si="19"/>
        <v>2.5464135761890241E-2</v>
      </c>
      <c r="AF115" s="7">
        <f t="shared" si="20"/>
        <v>9.6024656480369551E-17</v>
      </c>
      <c r="AG115" s="7">
        <f t="shared" si="20"/>
        <v>-1.6185029128942013E-15</v>
      </c>
      <c r="AH115" s="7">
        <f t="shared" si="21"/>
        <v>-1.174738652346374E-3</v>
      </c>
      <c r="AI115" s="7">
        <f t="shared" si="15"/>
        <v>-7.2235596285303905E-2</v>
      </c>
      <c r="AJ115" s="8">
        <f t="shared" si="22"/>
        <v>9.7752787657034962E-2</v>
      </c>
      <c r="AK115" s="8">
        <f t="shared" si="23"/>
        <v>-0.15765780460723397</v>
      </c>
      <c r="AL115" s="8">
        <f t="shared" si="24"/>
        <v>-1.1155840682757004E-2</v>
      </c>
      <c r="AM115" s="8">
        <f t="shared" si="25"/>
        <v>-1.174738652346374E-3</v>
      </c>
      <c r="AN115" s="8">
        <f t="shared" si="26"/>
        <v>-7.2235596285302392E-2</v>
      </c>
      <c r="AO115" s="9">
        <f t="shared" si="27"/>
        <v>-1.0473950708362614</v>
      </c>
      <c r="AP115" s="9">
        <f t="shared" si="27"/>
        <v>1.8849548686733484</v>
      </c>
      <c r="AQ115" s="9">
        <f t="shared" si="27"/>
        <v>0.1490800205523638</v>
      </c>
      <c r="AR115" s="9">
        <f t="shared" si="27"/>
        <v>1.3360181610551544E-2</v>
      </c>
      <c r="AS115" s="9">
        <f t="shared" si="27"/>
        <v>1</v>
      </c>
      <c r="AT115" s="7"/>
      <c r="AU115" s="7"/>
      <c r="AV115" s="7"/>
      <c r="AW115" s="7"/>
      <c r="AX115" s="7"/>
    </row>
    <row r="116" spans="1:50" x14ac:dyDescent="0.25">
      <c r="A116" s="1">
        <v>49582</v>
      </c>
      <c r="B116">
        <f>'DSGE HVD wFG'!B116-'DSGE HVD woFG'!B116</f>
        <v>-1.1023907327930002E-2</v>
      </c>
      <c r="C116">
        <f>'DSGE HVD wFG'!C116-'DSGE HVD woFG'!C116</f>
        <v>-1.7127265770658498E-2</v>
      </c>
      <c r="D116">
        <f>'DSGE HVD wFG'!D116-'DSGE HVD woFG'!D116</f>
        <v>-0.13087963007531203</v>
      </c>
      <c r="E116">
        <f>'DSGE HVD wFG'!E116-'DSGE HVD woFG'!E116</f>
        <v>-7.9802153720748975E-3</v>
      </c>
      <c r="F116">
        <f>'DSGE HVD wFG'!F116-'DSGE HVD woFG'!F116</f>
        <v>-2.6246697587674964E-3</v>
      </c>
      <c r="G116">
        <f>'DSGE HVD wFG'!G116-'DSGE HVD woFG'!G116</f>
        <v>9.2362238725089722E-17</v>
      </c>
      <c r="H116">
        <f>'DSGE HVD wFG'!H116-'DSGE HVD woFG'!H116</f>
        <v>-1.6129009326659007E-15</v>
      </c>
      <c r="I116">
        <f>'DSGE HVD wFG'!I116-'DSGE HVD woFG'!I116</f>
        <v>-3.5053809084085658E-15</v>
      </c>
      <c r="J116">
        <f>'DSGE HVD wFG'!J116-'DSGE HVD woFG'!J116</f>
        <v>1.9229661364689589E-15</v>
      </c>
      <c r="K116">
        <f>'DSGE HVD wFG'!K116-'DSGE HVD woFG'!K116</f>
        <v>-3.4293832943544303E-16</v>
      </c>
      <c r="L116">
        <f>'DSGE HVD wFG'!L116-'DSGE HVD woFG'!L116</f>
        <v>2.003789748461523E-15</v>
      </c>
      <c r="M116">
        <f>'DSGE HVD wFG'!M116-'DSGE HVD woFG'!M116</f>
        <v>1.7223182561036711E-15</v>
      </c>
      <c r="N116">
        <f>'DSGE HVD wFG'!N116-'DSGE HVD woFG'!N116</f>
        <v>3.9101373074541405E-15</v>
      </c>
      <c r="O116">
        <f>'DSGE HVD wFG'!O116-'DSGE HVD woFG'!O116</f>
        <v>5.1061124173845199E-15</v>
      </c>
      <c r="P116">
        <f>'DSGE HVD wFG'!P116-'DSGE HVD woFG'!P116</f>
        <v>1.6791330667036293E-14</v>
      </c>
      <c r="Q116">
        <f>'DSGE HVD wFG'!Q116-'DSGE HVD woFG'!Q116</f>
        <v>2.5053749175990719E-2</v>
      </c>
      <c r="R116">
        <f>'DSGE HVD wFG'!R116-'DSGE HVD woFG'!R116</f>
        <v>0</v>
      </c>
      <c r="S116">
        <f>'DSGE HVD wFG'!S116-'DSGE HVD woFG'!S116</f>
        <v>7.438682719959E-2</v>
      </c>
      <c r="T116">
        <f>'DSGE HVD wFG'!T116-'DSGE HVD woFG'!T116</f>
        <v>-1.1628874826408696E-3</v>
      </c>
      <c r="U116">
        <f>'DSGE HVD wFG'!U116-'DSGE HVD woFG'!U116</f>
        <v>-7.1357999411776007E-2</v>
      </c>
      <c r="Y116" s="1">
        <f t="shared" si="28"/>
        <v>49582</v>
      </c>
      <c r="Z116" s="7">
        <f t="shared" si="28"/>
        <v>-1.1023907327930002E-2</v>
      </c>
      <c r="AA116" s="7">
        <f t="shared" si="28"/>
        <v>-1.7127265770658498E-2</v>
      </c>
      <c r="AB116" s="7">
        <f t="shared" si="28"/>
        <v>-0.13087963007531203</v>
      </c>
      <c r="AC116" s="7">
        <f t="shared" si="17"/>
        <v>7.176215744082251E-2</v>
      </c>
      <c r="AD116" s="7">
        <f t="shared" si="18"/>
        <v>-7.9802153720748975E-3</v>
      </c>
      <c r="AE116" s="7">
        <f t="shared" si="19"/>
        <v>2.5053749175990719E-2</v>
      </c>
      <c r="AF116" s="7">
        <f t="shared" si="20"/>
        <v>9.2362238725089722E-17</v>
      </c>
      <c r="AG116" s="7">
        <f t="shared" si="20"/>
        <v>-1.6129009326659007E-15</v>
      </c>
      <c r="AH116" s="7">
        <f t="shared" si="21"/>
        <v>-1.1628874826132615E-3</v>
      </c>
      <c r="AI116" s="7">
        <f t="shared" si="15"/>
        <v>-7.1357999411776965E-2</v>
      </c>
      <c r="AJ116" s="8">
        <f t="shared" si="22"/>
        <v>9.6815906616813233E-2</v>
      </c>
      <c r="AK116" s="8">
        <f t="shared" si="23"/>
        <v>-0.15598711121804543</v>
      </c>
      <c r="AL116" s="8">
        <f t="shared" si="24"/>
        <v>-1.1023907327930002E-2</v>
      </c>
      <c r="AM116" s="8">
        <f t="shared" si="25"/>
        <v>-1.1628874826132615E-3</v>
      </c>
      <c r="AN116" s="8">
        <f t="shared" si="26"/>
        <v>-7.1357999411775452E-2</v>
      </c>
      <c r="AO116" s="9">
        <f t="shared" si="27"/>
        <v>-1.0675528462818411</v>
      </c>
      <c r="AP116" s="9">
        <f t="shared" si="27"/>
        <v>1.9037139255912106</v>
      </c>
      <c r="AQ116" s="9">
        <f t="shared" si="27"/>
        <v>0.15033480497347271</v>
      </c>
      <c r="AR116" s="9">
        <f t="shared" si="27"/>
        <v>1.3504115717145109E-2</v>
      </c>
      <c r="AS116" s="9">
        <f t="shared" si="27"/>
        <v>1</v>
      </c>
      <c r="AT116" s="7"/>
      <c r="AU116" s="7"/>
      <c r="AV116" s="7"/>
      <c r="AW116" s="7"/>
      <c r="AX116" s="7"/>
    </row>
    <row r="117" spans="1:50" x14ac:dyDescent="0.25">
      <c r="A117" s="1">
        <v>49674</v>
      </c>
      <c r="B117">
        <f>'DSGE HVD wFG'!B117-'DSGE HVD woFG'!B117</f>
        <v>-1.0893650802132004E-2</v>
      </c>
      <c r="C117">
        <f>'DSGE HVD wFG'!C117-'DSGE HVD woFG'!C117</f>
        <v>-1.6955993112951789E-2</v>
      </c>
      <c r="D117">
        <f>'DSGE HVD wFG'!D117-'DSGE HVD woFG'!D117</f>
        <v>-0.12957083375621598</v>
      </c>
      <c r="E117">
        <f>'DSGE HVD wFG'!E117-'DSGE HVD woFG'!E117</f>
        <v>-7.808354097047502E-3</v>
      </c>
      <c r="F117">
        <f>'DSGE HVD wFG'!F117-'DSGE HVD woFG'!F117</f>
        <v>-2.485878526069206E-3</v>
      </c>
      <c r="G117">
        <f>'DSGE HVD wFG'!G117-'DSGE HVD woFG'!G117</f>
        <v>8.8804814674339388E-17</v>
      </c>
      <c r="H117">
        <f>'DSGE HVD wFG'!H117-'DSGE HVD woFG'!H117</f>
        <v>-1.607134860558697E-15</v>
      </c>
      <c r="I117">
        <f>'DSGE HVD wFG'!I117-'DSGE HVD woFG'!I117</f>
        <v>-3.4585340966652028E-15</v>
      </c>
      <c r="J117">
        <f>'DSGE HVD wFG'!J117-'DSGE HVD woFG'!J117</f>
        <v>1.9005532679498589E-15</v>
      </c>
      <c r="K117">
        <f>'DSGE HVD wFG'!K117-'DSGE HVD woFG'!K117</f>
        <v>-3.3687196807732108E-16</v>
      </c>
      <c r="L117">
        <f>'DSGE HVD wFG'!L117-'DSGE HVD woFG'!L117</f>
        <v>1.983426061768824E-15</v>
      </c>
      <c r="M117">
        <f>'DSGE HVD wFG'!M117-'DSGE HVD woFG'!M117</f>
        <v>1.705753726700442E-15</v>
      </c>
      <c r="N117">
        <f>'DSGE HVD wFG'!N117-'DSGE HVD woFG'!N117</f>
        <v>3.8697886583302698E-15</v>
      </c>
      <c r="O117">
        <f>'DSGE HVD wFG'!O117-'DSGE HVD woFG'!O117</f>
        <v>5.0503732713920297E-15</v>
      </c>
      <c r="P117">
        <f>'DSGE HVD wFG'!P117-'DSGE HVD woFG'!P117</f>
        <v>1.6824770329313491E-14</v>
      </c>
      <c r="Q117">
        <f>'DSGE HVD wFG'!Q117-'DSGE HVD woFG'!Q117</f>
        <v>2.464847715500379E-2</v>
      </c>
      <c r="R117">
        <f>'DSGE HVD wFG'!R117-'DSGE HVD woFG'!R117</f>
        <v>0</v>
      </c>
      <c r="S117">
        <f>'DSGE HVD wFG'!S117-'DSGE HVD woFG'!S117</f>
        <v>7.3718833954547008E-2</v>
      </c>
      <c r="T117">
        <f>'DSGE HVD wFG'!T117-'DSGE HVD woFG'!T117</f>
        <v>-1.1511597718224104E-3</v>
      </c>
      <c r="U117">
        <f>'DSGE HVD wFG'!U117-'DSGE HVD woFG'!U117</f>
        <v>-7.0498558956661017E-2</v>
      </c>
      <c r="Y117" s="1">
        <f t="shared" si="28"/>
        <v>49674</v>
      </c>
      <c r="Z117" s="7">
        <f t="shared" si="28"/>
        <v>-1.0893650802132004E-2</v>
      </c>
      <c r="AA117" s="7">
        <f t="shared" si="28"/>
        <v>-1.6955993112951789E-2</v>
      </c>
      <c r="AB117" s="7">
        <f t="shared" si="28"/>
        <v>-0.12957083375621598</v>
      </c>
      <c r="AC117" s="7">
        <f t="shared" si="17"/>
        <v>7.1232955428477795E-2</v>
      </c>
      <c r="AD117" s="7">
        <f t="shared" si="18"/>
        <v>-7.808354097047502E-3</v>
      </c>
      <c r="AE117" s="7">
        <f t="shared" si="19"/>
        <v>2.464847715500379E-2</v>
      </c>
      <c r="AF117" s="7">
        <f t="shared" si="20"/>
        <v>8.8804814674339388E-17</v>
      </c>
      <c r="AG117" s="7">
        <f t="shared" si="20"/>
        <v>-1.607134860558697E-15</v>
      </c>
      <c r="AH117" s="7">
        <f t="shared" si="21"/>
        <v>-1.1511597717948712E-3</v>
      </c>
      <c r="AI117" s="7">
        <f t="shared" si="15"/>
        <v>-7.0498558956662086E-2</v>
      </c>
      <c r="AJ117" s="8">
        <f t="shared" si="22"/>
        <v>9.5881432583481585E-2</v>
      </c>
      <c r="AK117" s="8">
        <f t="shared" si="23"/>
        <v>-0.15433518096621526</v>
      </c>
      <c r="AL117" s="8">
        <f t="shared" si="24"/>
        <v>-1.0893650802132004E-2</v>
      </c>
      <c r="AM117" s="8">
        <f t="shared" si="25"/>
        <v>-1.1511597717948712E-3</v>
      </c>
      <c r="AN117" s="8">
        <f t="shared" si="26"/>
        <v>-7.0498558956660559E-2</v>
      </c>
      <c r="AO117" s="9">
        <f t="shared" si="27"/>
        <v>-1.0873051504268829</v>
      </c>
      <c r="AP117" s="9">
        <f t="shared" si="27"/>
        <v>1.9220997126663388</v>
      </c>
      <c r="AQ117" s="9">
        <f t="shared" si="27"/>
        <v>0.15155968633171271</v>
      </c>
      <c r="AR117" s="9">
        <f t="shared" si="27"/>
        <v>1.3645751428843852E-2</v>
      </c>
      <c r="AS117" s="9">
        <f t="shared" si="27"/>
        <v>1</v>
      </c>
      <c r="AT117" s="7"/>
      <c r="AU117" s="7"/>
      <c r="AV117" s="7"/>
      <c r="AW117" s="7"/>
      <c r="AX117" s="7"/>
    </row>
    <row r="118" spans="1:50" x14ac:dyDescent="0.25">
      <c r="A118" s="1">
        <v>49765</v>
      </c>
      <c r="B118">
        <f>'DSGE HVD wFG'!B118-'DSGE HVD woFG'!B118</f>
        <v>-1.0765047322919108E-2</v>
      </c>
      <c r="C118">
        <f>'DSGE HVD wFG'!C118-'DSGE HVD woFG'!C118</f>
        <v>-1.6786433181822408E-2</v>
      </c>
      <c r="D118">
        <f>'DSGE HVD wFG'!D118-'DSGE HVD woFG'!D118</f>
        <v>-0.12827512540587596</v>
      </c>
      <c r="E118">
        <f>'DSGE HVD wFG'!E118-'DSGE HVD woFG'!E118</f>
        <v>-7.6402489988554971E-3</v>
      </c>
      <c r="F118">
        <f>'DSGE HVD wFG'!F118-'DSGE HVD woFG'!F118</f>
        <v>-2.3542733720749998E-3</v>
      </c>
      <c r="G118">
        <f>'DSGE HVD wFG'!G118-'DSGE HVD woFG'!G118</f>
        <v>8.5350165008979275E-17</v>
      </c>
      <c r="H118">
        <f>'DSGE HVD wFG'!H118-'DSGE HVD woFG'!H118</f>
        <v>-1.601211744624E-15</v>
      </c>
      <c r="I118">
        <f>'DSGE HVD wFG'!I118-'DSGE HVD woFG'!I118</f>
        <v>-3.4124460568067518E-15</v>
      </c>
      <c r="J118">
        <f>'DSGE HVD wFG'!J118-'DSGE HVD woFG'!J118</f>
        <v>1.8784728810256732E-15</v>
      </c>
      <c r="K118">
        <f>'DSGE HVD wFG'!K118-'DSGE HVD woFG'!K118</f>
        <v>-3.3103678091564499E-16</v>
      </c>
      <c r="L118">
        <f>'DSGE HVD wFG'!L118-'DSGE HVD woFG'!L118</f>
        <v>1.9632517272308759E-15</v>
      </c>
      <c r="M118">
        <f>'DSGE HVD wFG'!M118-'DSGE HVD woFG'!M118</f>
        <v>1.6892843816868851E-15</v>
      </c>
      <c r="N118">
        <f>'DSGE HVD wFG'!N118-'DSGE HVD woFG'!N118</f>
        <v>3.8298988056692203E-15</v>
      </c>
      <c r="O118">
        <f>'DSGE HVD wFG'!O118-'DSGE HVD woFG'!O118</f>
        <v>4.9954584884269999E-15</v>
      </c>
      <c r="P118">
        <f>'DSGE HVD wFG'!P118-'DSGE HVD woFG'!P118</f>
        <v>1.68553074227604E-14</v>
      </c>
      <c r="Q118">
        <f>'DSGE HVD wFG'!Q118-'DSGE HVD woFG'!Q118</f>
        <v>2.424829789094619E-2</v>
      </c>
      <c r="R118">
        <f>'DSGE HVD wFG'!R118-'DSGE HVD woFG'!R118</f>
        <v>0</v>
      </c>
      <c r="S118">
        <f>'DSGE HVD wFG'!S118-'DSGE HVD woFG'!S118</f>
        <v>7.305572502541699E-2</v>
      </c>
      <c r="T118">
        <f>'DSGE HVD wFG'!T118-'DSGE HVD woFG'!T118</f>
        <v>-1.1395541850989501E-3</v>
      </c>
      <c r="U118">
        <f>'DSGE HVD wFG'!U118-'DSGE HVD woFG'!U118</f>
        <v>-6.9656659550258015E-2</v>
      </c>
      <c r="Y118" s="1">
        <f t="shared" si="28"/>
        <v>49765</v>
      </c>
      <c r="Z118" s="7">
        <f t="shared" si="28"/>
        <v>-1.0765047322919108E-2</v>
      </c>
      <c r="AA118" s="7">
        <f t="shared" si="28"/>
        <v>-1.6786433181822408E-2</v>
      </c>
      <c r="AB118" s="7">
        <f t="shared" si="28"/>
        <v>-0.12827512540587596</v>
      </c>
      <c r="AC118" s="7">
        <f t="shared" si="17"/>
        <v>7.070145165334199E-2</v>
      </c>
      <c r="AD118" s="7">
        <f t="shared" si="18"/>
        <v>-7.6402489988554971E-3</v>
      </c>
      <c r="AE118" s="7">
        <f t="shared" si="19"/>
        <v>2.424829789094619E-2</v>
      </c>
      <c r="AF118" s="7">
        <f t="shared" si="20"/>
        <v>8.5350165008979275E-17</v>
      </c>
      <c r="AG118" s="7">
        <f t="shared" si="20"/>
        <v>-1.601211744624E-15</v>
      </c>
      <c r="AH118" s="7">
        <f t="shared" si="21"/>
        <v>-1.1395541850714823E-3</v>
      </c>
      <c r="AI118" s="7">
        <f t="shared" si="15"/>
        <v>-6.9656659550257793E-2</v>
      </c>
      <c r="AJ118" s="8">
        <f t="shared" si="22"/>
        <v>9.4949749544288184E-2</v>
      </c>
      <c r="AK118" s="8">
        <f t="shared" si="23"/>
        <v>-0.15270180758655386</v>
      </c>
      <c r="AL118" s="8">
        <f t="shared" si="24"/>
        <v>-1.0765047322919108E-2</v>
      </c>
      <c r="AM118" s="8">
        <f t="shared" si="25"/>
        <v>-1.1395541850714823E-3</v>
      </c>
      <c r="AN118" s="8">
        <f t="shared" si="26"/>
        <v>-6.9656659550256267E-2</v>
      </c>
      <c r="AO118" s="9">
        <f t="shared" ref="AO118:AS181" si="29">(AJ118-AJ117)/($AN118-$AN117)</f>
        <v>-1.1066441336175423</v>
      </c>
      <c r="AP118" s="9">
        <f t="shared" si="29"/>
        <v>1.9401051565500658</v>
      </c>
      <c r="AQ118" s="9">
        <f t="shared" si="29"/>
        <v>0.15275397302173563</v>
      </c>
      <c r="AR118" s="9">
        <f t="shared" si="29"/>
        <v>1.3785004045739528E-2</v>
      </c>
      <c r="AS118" s="9">
        <f t="shared" si="29"/>
        <v>1</v>
      </c>
      <c r="AT118" s="7"/>
      <c r="AU118" s="7"/>
      <c r="AV118" s="7"/>
      <c r="AW118" s="7"/>
      <c r="AX118" s="7"/>
    </row>
    <row r="119" spans="1:50" x14ac:dyDescent="0.25">
      <c r="A119" s="1">
        <v>49856</v>
      </c>
      <c r="B119">
        <f>'DSGE HVD wFG'!B119-'DSGE HVD woFG'!B119</f>
        <v>-1.0638073485691193E-2</v>
      </c>
      <c r="C119">
        <f>'DSGE HVD wFG'!C119-'DSGE HVD woFG'!C119</f>
        <v>-1.6618568850004095E-2</v>
      </c>
      <c r="D119">
        <f>'DSGE HVD wFG'!D119-'DSGE HVD woFG'!D119</f>
        <v>-0.126992374142917</v>
      </c>
      <c r="E119">
        <f>'DSGE HVD wFG'!E119-'DSGE HVD woFG'!E119</f>
        <v>-7.4758407509634001E-3</v>
      </c>
      <c r="F119">
        <f>'DSGE HVD wFG'!F119-'DSGE HVD woFG'!F119</f>
        <v>-2.2294664684490983E-3</v>
      </c>
      <c r="G119">
        <f>'DSGE HVD wFG'!G119-'DSGE HVD woFG'!G119</f>
        <v>8.199597455584063E-17</v>
      </c>
      <c r="H119">
        <f>'DSGE HVD wFG'!H119-'DSGE HVD woFG'!H119</f>
        <v>-1.5951382382880003E-15</v>
      </c>
      <c r="I119">
        <f>'DSGE HVD wFG'!I119-'DSGE HVD woFG'!I119</f>
        <v>-3.3670934407123897E-15</v>
      </c>
      <c r="J119">
        <f>'DSGE HVD wFG'!J119-'DSGE HVD woFG'!J119</f>
        <v>1.8567166895794939E-15</v>
      </c>
      <c r="K119">
        <f>'DSGE HVD wFG'!K119-'DSGE HVD woFG'!K119</f>
        <v>-3.2542103690895906E-16</v>
      </c>
      <c r="L119">
        <f>'DSGE HVD wFG'!L119-'DSGE HVD woFG'!L119</f>
        <v>1.9432661232483099E-15</v>
      </c>
      <c r="M119">
        <f>'DSGE HVD wFG'!M119-'DSGE HVD woFG'!M119</f>
        <v>1.6729134066535719E-15</v>
      </c>
      <c r="N119">
        <f>'DSGE HVD wFG'!N119-'DSGE HVD woFG'!N119</f>
        <v>3.7904588605588999E-15</v>
      </c>
      <c r="O119">
        <f>'DSGE HVD wFG'!O119-'DSGE HVD woFG'!O119</f>
        <v>4.9413447214666501E-15</v>
      </c>
      <c r="P119">
        <f>'DSGE HVD wFG'!P119-'DSGE HVD woFG'!P119</f>
        <v>1.6883012185944209E-14</v>
      </c>
      <c r="Q119">
        <f>'DSGE HVD wFG'!Q119-'DSGE HVD woFG'!Q119</f>
        <v>2.385318931673145E-2</v>
      </c>
      <c r="R119">
        <f>'DSGE HVD wFG'!R119-'DSGE HVD woFG'!R119</f>
        <v>0</v>
      </c>
      <c r="S119">
        <f>'DSGE HVD wFG'!S119-'DSGE HVD woFG'!S119</f>
        <v>7.2397493974244997E-2</v>
      </c>
      <c r="T119">
        <f>'DSGE HVD wFG'!T119-'DSGE HVD woFG'!T119</f>
        <v>-1.1280694028967904E-3</v>
      </c>
      <c r="U119">
        <f>'DSGE HVD wFG'!U119-'DSGE HVD woFG'!U119</f>
        <v>-6.8831709809919983E-2</v>
      </c>
      <c r="Y119" s="1">
        <f t="shared" si="28"/>
        <v>49856</v>
      </c>
      <c r="Z119" s="7">
        <f t="shared" si="28"/>
        <v>-1.0638073485691193E-2</v>
      </c>
      <c r="AA119" s="7">
        <f t="shared" si="28"/>
        <v>-1.6618568850004095E-2</v>
      </c>
      <c r="AB119" s="7">
        <f t="shared" si="28"/>
        <v>-0.126992374142917</v>
      </c>
      <c r="AC119" s="7">
        <f t="shared" si="17"/>
        <v>7.0168027505795899E-2</v>
      </c>
      <c r="AD119" s="7">
        <f t="shared" si="18"/>
        <v>-7.4758407509634001E-3</v>
      </c>
      <c r="AE119" s="7">
        <f t="shared" si="19"/>
        <v>2.385318931673145E-2</v>
      </c>
      <c r="AF119" s="7">
        <f t="shared" si="20"/>
        <v>8.199597455584063E-17</v>
      </c>
      <c r="AG119" s="7">
        <f t="shared" si="20"/>
        <v>-1.5951382382880003E-15</v>
      </c>
      <c r="AH119" s="7">
        <f t="shared" si="21"/>
        <v>-1.1280694028693952E-3</v>
      </c>
      <c r="AI119" s="7">
        <f t="shared" si="15"/>
        <v>-6.8831709809919234E-2</v>
      </c>
      <c r="AJ119" s="8">
        <f t="shared" si="22"/>
        <v>9.4021216822527343E-2</v>
      </c>
      <c r="AK119" s="8">
        <f t="shared" si="23"/>
        <v>-0.15108678374388451</v>
      </c>
      <c r="AL119" s="8">
        <f t="shared" si="24"/>
        <v>-1.0638073485691193E-2</v>
      </c>
      <c r="AM119" s="8">
        <f t="shared" si="25"/>
        <v>-1.1280694028693952E-3</v>
      </c>
      <c r="AN119" s="8">
        <f t="shared" si="26"/>
        <v>-6.8831709809917763E-2</v>
      </c>
      <c r="AO119" s="9">
        <f t="shared" si="29"/>
        <v>-1.1255627783819091</v>
      </c>
      <c r="AP119" s="9">
        <f t="shared" si="29"/>
        <v>1.9577239238921953</v>
      </c>
      <c r="AQ119" s="9">
        <f t="shared" si="29"/>
        <v>0.15391705823898177</v>
      </c>
      <c r="AR119" s="9">
        <f t="shared" si="29"/>
        <v>1.3921796250732268E-2</v>
      </c>
      <c r="AS119" s="9">
        <f t="shared" si="29"/>
        <v>1</v>
      </c>
      <c r="AT119" s="7"/>
      <c r="AU119" s="7"/>
      <c r="AV119" s="7"/>
      <c r="AW119" s="7"/>
      <c r="AX119" s="7"/>
    </row>
    <row r="120" spans="1:50" x14ac:dyDescent="0.25">
      <c r="A120" s="1">
        <v>49948</v>
      </c>
      <c r="B120">
        <f>'DSGE HVD wFG'!B120-'DSGE HVD woFG'!B120</f>
        <v>-1.0512706258066301E-2</v>
      </c>
      <c r="C120">
        <f>'DSGE HVD wFG'!C120-'DSGE HVD woFG'!C120</f>
        <v>-1.6452383161504089E-2</v>
      </c>
      <c r="D120">
        <f>'DSGE HVD wFG'!D120-'DSGE HVD woFG'!D120</f>
        <v>-0.12572245039528698</v>
      </c>
      <c r="E120">
        <f>'DSGE HVD wFG'!E120-'DSGE HVD woFG'!E120</f>
        <v>-7.3150679796938969E-3</v>
      </c>
      <c r="F120">
        <f>'DSGE HVD wFG'!F120-'DSGE HVD woFG'!F120</f>
        <v>-2.111091947456397E-3</v>
      </c>
      <c r="G120">
        <f>'DSGE HVD wFG'!G120-'DSGE HVD woFG'!G120</f>
        <v>7.8739854578130007E-17</v>
      </c>
      <c r="H120">
        <f>'DSGE HVD wFG'!H120-'DSGE HVD woFG'!H120</f>
        <v>-1.5889206404884008E-15</v>
      </c>
      <c r="I120">
        <f>'DSGE HVD wFG'!I120-'DSGE HVD woFG'!I120</f>
        <v>-3.3224548988708068E-15</v>
      </c>
      <c r="J120">
        <f>'DSGE HVD wFG'!J120-'DSGE HVD woFG'!J120</f>
        <v>1.8352766858628228E-15</v>
      </c>
      <c r="K120">
        <f>'DSGE HVD wFG'!K120-'DSGE HVD woFG'!K120</f>
        <v>-3.2001320799722106E-16</v>
      </c>
      <c r="L120">
        <f>'DSGE HVD wFG'!L120-'DSGE HVD woFG'!L120</f>
        <v>1.9234686607752262E-15</v>
      </c>
      <c r="M120">
        <f>'DSGE HVD wFG'!M120-'DSGE HVD woFG'!M120</f>
        <v>1.6566439729102622E-15</v>
      </c>
      <c r="N120">
        <f>'DSGE HVD wFG'!N120-'DSGE HVD woFG'!N120</f>
        <v>3.7514603817825199E-15</v>
      </c>
      <c r="O120">
        <f>'DSGE HVD wFG'!O120-'DSGE HVD woFG'!O120</f>
        <v>4.8880091871547306E-15</v>
      </c>
      <c r="P120">
        <f>'DSGE HVD wFG'!P120-'DSGE HVD woFG'!P120</f>
        <v>1.6907953151259405E-14</v>
      </c>
      <c r="Q120">
        <f>'DSGE HVD wFG'!Q120-'DSGE HVD woFG'!Q120</f>
        <v>2.3463128919333779E-2</v>
      </c>
      <c r="R120">
        <f>'DSGE HVD wFG'!R120-'DSGE HVD woFG'!R120</f>
        <v>0</v>
      </c>
      <c r="S120">
        <f>'DSGE HVD wFG'!S120-'DSGE HVD woFG'!S120</f>
        <v>7.1744133386657999E-2</v>
      </c>
      <c r="T120">
        <f>'DSGE HVD wFG'!T120-'DSGE HVD woFG'!T120</f>
        <v>-1.11670412069981E-3</v>
      </c>
      <c r="U120">
        <f>'DSGE HVD wFG'!U120-'DSGE HVD woFG'!U120</f>
        <v>-6.8023141556689981E-2</v>
      </c>
      <c r="Y120" s="1">
        <f t="shared" si="28"/>
        <v>49948</v>
      </c>
      <c r="Z120" s="7">
        <f t="shared" si="28"/>
        <v>-1.0512706258066301E-2</v>
      </c>
      <c r="AA120" s="7">
        <f t="shared" si="28"/>
        <v>-1.6452383161504089E-2</v>
      </c>
      <c r="AB120" s="7">
        <f t="shared" si="28"/>
        <v>-0.12572245039528698</v>
      </c>
      <c r="AC120" s="7">
        <f t="shared" si="17"/>
        <v>6.9633041439201598E-2</v>
      </c>
      <c r="AD120" s="7">
        <f t="shared" si="18"/>
        <v>-7.3150679796938969E-3</v>
      </c>
      <c r="AE120" s="7">
        <f t="shared" si="19"/>
        <v>2.3463128919333779E-2</v>
      </c>
      <c r="AF120" s="7">
        <f t="shared" si="20"/>
        <v>7.8739854578130007E-17</v>
      </c>
      <c r="AG120" s="7">
        <f t="shared" si="20"/>
        <v>-1.5889206404884008E-15</v>
      </c>
      <c r="AH120" s="7">
        <f t="shared" si="21"/>
        <v>-1.1167041206724896E-3</v>
      </c>
      <c r="AI120" s="7">
        <f t="shared" si="15"/>
        <v>-6.8023141556689898E-2</v>
      </c>
      <c r="AJ120" s="8">
        <f t="shared" si="22"/>
        <v>9.3096170358535374E-2</v>
      </c>
      <c r="AK120" s="8">
        <f t="shared" si="23"/>
        <v>-0.14948990153648495</v>
      </c>
      <c r="AL120" s="8">
        <f t="shared" si="24"/>
        <v>-1.0512706258066301E-2</v>
      </c>
      <c r="AM120" s="8">
        <f t="shared" si="25"/>
        <v>-1.1167041206724896E-3</v>
      </c>
      <c r="AN120" s="8">
        <f t="shared" si="26"/>
        <v>-6.8023141556688371E-2</v>
      </c>
      <c r="AO120" s="9">
        <f t="shared" si="29"/>
        <v>-1.1440548899828402</v>
      </c>
      <c r="AP120" s="9">
        <f t="shared" si="29"/>
        <v>1.9749504151587398</v>
      </c>
      <c r="AQ120" s="9">
        <f t="shared" si="29"/>
        <v>0.15504841690751567</v>
      </c>
      <c r="AR120" s="9">
        <f t="shared" si="29"/>
        <v>1.4056057916586547E-2</v>
      </c>
      <c r="AS120" s="9">
        <f t="shared" si="29"/>
        <v>1</v>
      </c>
      <c r="AT120" s="7"/>
      <c r="AU120" s="7"/>
      <c r="AV120" s="7"/>
      <c r="AW120" s="7"/>
      <c r="AX120" s="7"/>
    </row>
    <row r="121" spans="1:50" x14ac:dyDescent="0.25">
      <c r="A121" s="1">
        <v>50040</v>
      </c>
      <c r="B121">
        <f>'DSGE HVD wFG'!B121-'DSGE HVD woFG'!B121</f>
        <v>-1.0388922974203199E-2</v>
      </c>
      <c r="C121">
        <f>'DSGE HVD wFG'!C121-'DSGE HVD woFG'!C121</f>
        <v>-1.6287859329889104E-2</v>
      </c>
      <c r="D121">
        <f>'DSGE HVD wFG'!D121-'DSGE HVD woFG'!D121</f>
        <v>-0.12446522588701597</v>
      </c>
      <c r="E121">
        <f>'DSGE HVD wFG'!E121-'DSGE HVD woFG'!E121</f>
        <v>-7.1578677170981986E-3</v>
      </c>
      <c r="F121">
        <f>'DSGE HVD wFG'!F121-'DSGE HVD woFG'!F121</f>
        <v>-1.998804583319802E-3</v>
      </c>
      <c r="G121">
        <f>'DSGE HVD wFG'!G121-'DSGE HVD woFG'!G121</f>
        <v>7.5579363116129608E-17</v>
      </c>
      <c r="H121">
        <f>'DSGE HVD wFG'!H121-'DSGE HVD woFG'!H121</f>
        <v>-1.5825649318958995E-15</v>
      </c>
      <c r="I121">
        <f>'DSGE HVD wFG'!I121-'DSGE HVD woFG'!I121</f>
        <v>-3.2785108639822353E-15</v>
      </c>
      <c r="J121">
        <f>'DSGE HVD wFG'!J121-'DSGE HVD woFG'!J121</f>
        <v>1.814145142474275E-15</v>
      </c>
      <c r="K121">
        <f>'DSGE HVD wFG'!K121-'DSGE HVD woFG'!K121</f>
        <v>-3.1480204738622992E-16</v>
      </c>
      <c r="L121">
        <f>'DSGE HVD wFG'!L121-'DSGE HVD woFG'!L121</f>
        <v>1.9038587587135457E-15</v>
      </c>
      <c r="M121">
        <f>'DSGE HVD wFG'!M121-'DSGE HVD woFG'!M121</f>
        <v>1.6404791877029729E-15</v>
      </c>
      <c r="N121">
        <f>'DSGE HVD wFG'!N121-'DSGE HVD woFG'!N121</f>
        <v>3.7128953472517901E-15</v>
      </c>
      <c r="O121">
        <f>'DSGE HVD wFG'!O121-'DSGE HVD woFG'!O121</f>
        <v>4.8354297457558903E-15</v>
      </c>
      <c r="P121">
        <f>'DSGE HVD wFG'!P121-'DSGE HVD woFG'!P121</f>
        <v>1.6930197193933394E-14</v>
      </c>
      <c r="Q121">
        <f>'DSGE HVD wFG'!Q121-'DSGE HVD woFG'!Q121</f>
        <v>2.3078093590547279E-2</v>
      </c>
      <c r="R121">
        <f>'DSGE HVD wFG'!R121-'DSGE HVD woFG'!R121</f>
        <v>0</v>
      </c>
      <c r="S121">
        <f>'DSGE HVD wFG'!S121-'DSGE HVD woFG'!S121</f>
        <v>7.109563492181098E-2</v>
      </c>
      <c r="T121">
        <f>'DSGE HVD wFG'!T121-'DSGE HVD woFG'!T121</f>
        <v>-1.1054570488633203E-3</v>
      </c>
      <c r="U121">
        <f>'DSGE HVD wFG'!U121-'DSGE HVD woFG'!U121</f>
        <v>-6.7230409028006005E-2</v>
      </c>
      <c r="Y121" s="1">
        <f t="shared" si="28"/>
        <v>50040</v>
      </c>
      <c r="Z121" s="7">
        <f t="shared" si="28"/>
        <v>-1.0388922974203199E-2</v>
      </c>
      <c r="AA121" s="7">
        <f t="shared" si="28"/>
        <v>-1.6287859329889104E-2</v>
      </c>
      <c r="AB121" s="7">
        <f t="shared" si="28"/>
        <v>-0.12446522588701597</v>
      </c>
      <c r="AC121" s="7">
        <f t="shared" si="17"/>
        <v>6.9096830338491178E-2</v>
      </c>
      <c r="AD121" s="7">
        <f t="shared" si="18"/>
        <v>-7.1578677170981986E-3</v>
      </c>
      <c r="AE121" s="7">
        <f t="shared" si="19"/>
        <v>2.3078093590547279E-2</v>
      </c>
      <c r="AF121" s="7">
        <f t="shared" si="20"/>
        <v>7.5579363116129608E-17</v>
      </c>
      <c r="AG121" s="7">
        <f t="shared" si="20"/>
        <v>-1.5825649318958995E-15</v>
      </c>
      <c r="AH121" s="7">
        <f t="shared" si="21"/>
        <v>-1.1054570488360767E-3</v>
      </c>
      <c r="AI121" s="7">
        <f t="shared" si="15"/>
        <v>-6.723040902800563E-2</v>
      </c>
      <c r="AJ121" s="8">
        <f t="shared" si="22"/>
        <v>9.2174923929038449E-2</v>
      </c>
      <c r="AK121" s="8">
        <f t="shared" si="23"/>
        <v>-0.14791095293400328</v>
      </c>
      <c r="AL121" s="8">
        <f t="shared" si="24"/>
        <v>-1.0388922974203199E-2</v>
      </c>
      <c r="AM121" s="8">
        <f t="shared" si="25"/>
        <v>-1.1054570488360767E-3</v>
      </c>
      <c r="AN121" s="8">
        <f t="shared" si="26"/>
        <v>-6.7230409028004104E-2</v>
      </c>
      <c r="AO121" s="9">
        <f t="shared" si="29"/>
        <v>-1.162115084423188</v>
      </c>
      <c r="AP121" s="9">
        <f t="shared" si="29"/>
        <v>1.9917797559062222</v>
      </c>
      <c r="AQ121" s="9">
        <f t="shared" si="29"/>
        <v>0.15614760260759136</v>
      </c>
      <c r="AR121" s="9">
        <f t="shared" si="29"/>
        <v>1.418772590936844E-2</v>
      </c>
      <c r="AS121" s="9">
        <f t="shared" si="29"/>
        <v>1</v>
      </c>
      <c r="AT121" s="7"/>
      <c r="AU121" s="7"/>
      <c r="AV121" s="7"/>
      <c r="AW121" s="7"/>
      <c r="AX121" s="7"/>
    </row>
    <row r="122" spans="1:50" x14ac:dyDescent="0.25">
      <c r="A122" s="1">
        <v>50130</v>
      </c>
      <c r="B122">
        <f>'DSGE HVD wFG'!B122-'DSGE HVD woFG'!B122</f>
        <v>-1.0266701329102498E-2</v>
      </c>
      <c r="C122">
        <f>'DSGE HVD wFG'!C122-'DSGE HVD woFG'!C122</f>
        <v>-1.6124980736590189E-2</v>
      </c>
      <c r="D122">
        <f>'DSGE HVD wFG'!D122-'DSGE HVD woFG'!D122</f>
        <v>-0.123220573625137</v>
      </c>
      <c r="E122">
        <f>'DSGE HVD wFG'!E122-'DSGE HVD woFG'!E122</f>
        <v>-7.0041757958484996E-3</v>
      </c>
      <c r="F122">
        <f>'DSGE HVD wFG'!F122-'DSGE HVD woFG'!F122</f>
        <v>-1.892278559241501E-3</v>
      </c>
      <c r="G122">
        <f>'DSGE HVD wFG'!G122-'DSGE HVD woFG'!G122</f>
        <v>7.2512023381720187E-17</v>
      </c>
      <c r="H122">
        <f>'DSGE HVD wFG'!H122-'DSGE HVD woFG'!H122</f>
        <v>-1.5760768074391957E-15</v>
      </c>
      <c r="I122">
        <f>'DSGE HVD wFG'!I122-'DSGE HVD woFG'!I122</f>
        <v>-3.235243353097319E-15</v>
      </c>
      <c r="J122">
        <f>'DSGE HVD wFG'!J122-'DSGE HVD woFG'!J122</f>
        <v>1.793314611942973E-15</v>
      </c>
      <c r="K122">
        <f>'DSGE HVD wFG'!K122-'DSGE HVD woFG'!K122</f>
        <v>-3.0977665162673501E-16</v>
      </c>
      <c r="L122">
        <f>'DSGE HVD wFG'!L122-'DSGE HVD woFG'!L122</f>
        <v>1.8844358243832739E-15</v>
      </c>
      <c r="M122">
        <f>'DSGE HVD wFG'!M122-'DSGE HVD woFG'!M122</f>
        <v>1.6244220542157339E-15</v>
      </c>
      <c r="N122">
        <f>'DSGE HVD wFG'!N122-'DSGE HVD woFG'!N122</f>
        <v>3.6747561263197703E-15</v>
      </c>
      <c r="O122">
        <f>'DSGE HVD wFG'!O122-'DSGE HVD woFG'!O122</f>
        <v>4.7835849623126895E-15</v>
      </c>
      <c r="P122">
        <f>'DSGE HVD wFG'!P122-'DSGE HVD woFG'!P122</f>
        <v>1.6949809580940896E-14</v>
      </c>
      <c r="Q122">
        <f>'DSGE HVD wFG'!Q122-'DSGE HVD woFG'!Q122</f>
        <v>2.2698059509578761E-2</v>
      </c>
      <c r="R122">
        <f>'DSGE HVD wFG'!R122-'DSGE HVD woFG'!R122</f>
        <v>0</v>
      </c>
      <c r="S122">
        <f>'DSGE HVD wFG'!S122-'DSGE HVD woFG'!S122</f>
        <v>7.0451989356757005E-2</v>
      </c>
      <c r="T122">
        <f>'DSGE HVD wFG'!T122-'DSGE HVD woFG'!T122</f>
        <v>-1.0943269124304798E-3</v>
      </c>
      <c r="U122">
        <f>'DSGE HVD wFG'!U122-'DSGE HVD woFG'!U122</f>
        <v>-6.6452988091987991E-2</v>
      </c>
      <c r="Y122" s="1">
        <f t="shared" si="28"/>
        <v>50130</v>
      </c>
      <c r="Z122" s="7">
        <f t="shared" si="28"/>
        <v>-1.0266701329102498E-2</v>
      </c>
      <c r="AA122" s="7">
        <f t="shared" si="28"/>
        <v>-1.6124980736590189E-2</v>
      </c>
      <c r="AB122" s="7">
        <f t="shared" si="28"/>
        <v>-0.123220573625137</v>
      </c>
      <c r="AC122" s="7">
        <f t="shared" si="17"/>
        <v>6.8559710797515508E-2</v>
      </c>
      <c r="AD122" s="7">
        <f t="shared" si="18"/>
        <v>-7.0041757958484996E-3</v>
      </c>
      <c r="AE122" s="7">
        <f t="shared" si="19"/>
        <v>2.2698059509578761E-2</v>
      </c>
      <c r="AF122" s="7">
        <f t="shared" si="20"/>
        <v>7.2512023381720187E-17</v>
      </c>
      <c r="AG122" s="7">
        <f t="shared" si="20"/>
        <v>-1.5760768074391957E-15</v>
      </c>
      <c r="AH122" s="7">
        <f t="shared" si="21"/>
        <v>-1.0943269124033149E-3</v>
      </c>
      <c r="AI122" s="7">
        <f t="shared" si="15"/>
        <v>-6.6452988091988754E-2</v>
      </c>
      <c r="AJ122" s="8">
        <f t="shared" si="22"/>
        <v>9.1257770307094269E-2</v>
      </c>
      <c r="AK122" s="8">
        <f t="shared" si="23"/>
        <v>-0.14634973015757569</v>
      </c>
      <c r="AL122" s="8">
        <f t="shared" si="24"/>
        <v>-1.0266701329102498E-2</v>
      </c>
      <c r="AM122" s="8">
        <f t="shared" si="25"/>
        <v>-1.0943269124033149E-3</v>
      </c>
      <c r="AN122" s="8">
        <f t="shared" si="26"/>
        <v>-6.6452988091987228E-2</v>
      </c>
      <c r="AO122" s="9">
        <f t="shared" si="29"/>
        <v>-1.1797387740073304</v>
      </c>
      <c r="AP122" s="9">
        <f t="shared" si="29"/>
        <v>2.0082077856386662</v>
      </c>
      <c r="AQ122" s="9">
        <f t="shared" si="29"/>
        <v>0.1572142444824095</v>
      </c>
      <c r="AR122" s="9">
        <f t="shared" si="29"/>
        <v>1.4316743886249312E-2</v>
      </c>
      <c r="AS122" s="9">
        <f t="shared" si="29"/>
        <v>1</v>
      </c>
      <c r="AT122" s="7"/>
      <c r="AU122" s="7"/>
      <c r="AV122" s="7"/>
      <c r="AW122" s="7"/>
      <c r="AX122" s="7"/>
    </row>
    <row r="123" spans="1:50" x14ac:dyDescent="0.25">
      <c r="A123" s="1">
        <v>50221</v>
      </c>
      <c r="B123">
        <f>'DSGE HVD wFG'!B123-'DSGE HVD woFG'!B123</f>
        <v>-1.0146019372877194E-2</v>
      </c>
      <c r="C123">
        <f>'DSGE HVD wFG'!C123-'DSGE HVD woFG'!C123</f>
        <v>-1.596373092922429E-2</v>
      </c>
      <c r="D123">
        <f>'DSGE HVD wFG'!D123-'DSGE HVD woFG'!D123</f>
        <v>-0.12198836788679002</v>
      </c>
      <c r="E123">
        <f>'DSGE HVD wFG'!E123-'DSGE HVD woFG'!E123</f>
        <v>-6.853927193024998E-3</v>
      </c>
      <c r="F123">
        <f>'DSGE HVD wFG'!F123-'DSGE HVD woFG'!F123</f>
        <v>-1.7912063139965996E-3</v>
      </c>
      <c r="G123">
        <f>'DSGE HVD wFG'!G123-'DSGE HVD woFG'!G123</f>
        <v>6.9535340242640197E-17</v>
      </c>
      <c r="H123">
        <f>'DSGE HVD wFG'!H123-'DSGE HVD woFG'!H123</f>
        <v>-1.569461705376105E-15</v>
      </c>
      <c r="I123">
        <f>'DSGE HVD wFG'!I123-'DSGE HVD woFG'!I123</f>
        <v>-3.1926357876329058E-15</v>
      </c>
      <c r="J123">
        <f>'DSGE HVD wFG'!J123-'DSGE HVD woFG'!J123</f>
        <v>1.7727779242617259E-15</v>
      </c>
      <c r="K123">
        <f>'DSGE HVD wFG'!K123-'DSGE HVD woFG'!K123</f>
        <v>-3.04926508518301E-16</v>
      </c>
      <c r="L123">
        <f>'DSGE HVD wFG'!L123-'DSGE HVD woFG'!L123</f>
        <v>1.8651992383289328E-15</v>
      </c>
      <c r="M123">
        <f>'DSGE HVD wFG'!M123-'DSGE HVD woFG'!M123</f>
        <v>1.608475440096802E-15</v>
      </c>
      <c r="N123">
        <f>'DSGE HVD wFG'!N123-'DSGE HVD woFG'!N123</f>
        <v>3.6370354531443898E-15</v>
      </c>
      <c r="O123">
        <f>'DSGE HVD wFG'!O123-'DSGE HVD woFG'!O123</f>
        <v>4.7324541513441202E-15</v>
      </c>
      <c r="P123">
        <f>'DSGE HVD wFG'!P123-'DSGE HVD woFG'!P123</f>
        <v>1.6966854019465794E-14</v>
      </c>
      <c r="Q123">
        <f>'DSGE HVD wFG'!Q123-'DSGE HVD woFG'!Q123</f>
        <v>2.2323002052592408E-2</v>
      </c>
      <c r="R123">
        <f>'DSGE HVD wFG'!R123-'DSGE HVD woFG'!R123</f>
        <v>0</v>
      </c>
      <c r="S123">
        <f>'DSGE HVD wFG'!S123-'DSGE HVD woFG'!S123</f>
        <v>6.9813186626390994E-2</v>
      </c>
      <c r="T123">
        <f>'DSGE HVD wFG'!T123-'DSGE HVD woFG'!T123</f>
        <v>-1.0833124509513799E-3</v>
      </c>
      <c r="U123">
        <f>'DSGE HVD wFG'!U123-'DSGE HVD woFG'!U123</f>
        <v>-6.5690375467853973E-2</v>
      </c>
      <c r="Y123" s="1">
        <f t="shared" si="28"/>
        <v>50221</v>
      </c>
      <c r="Z123" s="7">
        <f t="shared" si="28"/>
        <v>-1.0146019372877194E-2</v>
      </c>
      <c r="AA123" s="7">
        <f t="shared" si="28"/>
        <v>-1.596373092922429E-2</v>
      </c>
      <c r="AB123" s="7">
        <f t="shared" si="28"/>
        <v>-0.12198836788679002</v>
      </c>
      <c r="AC123" s="7">
        <f t="shared" si="17"/>
        <v>6.8021980312394398E-2</v>
      </c>
      <c r="AD123" s="7">
        <f t="shared" si="18"/>
        <v>-6.853927193024998E-3</v>
      </c>
      <c r="AE123" s="7">
        <f t="shared" si="19"/>
        <v>2.2323002052592408E-2</v>
      </c>
      <c r="AF123" s="7">
        <f t="shared" si="20"/>
        <v>6.9535340242640197E-17</v>
      </c>
      <c r="AG123" s="7">
        <f t="shared" si="20"/>
        <v>-1.569461705376105E-15</v>
      </c>
      <c r="AH123" s="7">
        <f t="shared" si="21"/>
        <v>-1.0833124509242943E-3</v>
      </c>
      <c r="AI123" s="7">
        <f t="shared" si="15"/>
        <v>-6.56903754678555E-2</v>
      </c>
      <c r="AJ123" s="8">
        <f t="shared" si="22"/>
        <v>9.0344982364986809E-2</v>
      </c>
      <c r="AK123" s="8">
        <f t="shared" si="23"/>
        <v>-0.1448060260090393</v>
      </c>
      <c r="AL123" s="8">
        <f t="shared" si="24"/>
        <v>-1.0146019372877194E-2</v>
      </c>
      <c r="AM123" s="8">
        <f t="shared" si="25"/>
        <v>-1.0833124509242943E-3</v>
      </c>
      <c r="AN123" s="8">
        <f t="shared" si="26"/>
        <v>-6.5690375467853987E-2</v>
      </c>
      <c r="AO123" s="9">
        <f t="shared" si="29"/>
        <v>-1.1969221505412435</v>
      </c>
      <c r="AP123" s="9">
        <f t="shared" si="29"/>
        <v>2.0242310442879243</v>
      </c>
      <c r="AQ123" s="9">
        <f t="shared" si="29"/>
        <v>0.15824804416589311</v>
      </c>
      <c r="AR123" s="9">
        <f t="shared" si="29"/>
        <v>1.444306208743814E-2</v>
      </c>
      <c r="AS123" s="9">
        <f t="shared" si="29"/>
        <v>1</v>
      </c>
      <c r="AT123" s="7"/>
      <c r="AU123" s="7"/>
      <c r="AV123" s="7"/>
      <c r="AW123" s="7"/>
      <c r="AX123" s="7"/>
    </row>
    <row r="124" spans="1:50" x14ac:dyDescent="0.25">
      <c r="A124" s="1">
        <v>50313</v>
      </c>
      <c r="B124">
        <f>'DSGE HVD wFG'!B124-'DSGE HVD woFG'!B124</f>
        <v>-1.0026855505041704E-2</v>
      </c>
      <c r="C124">
        <f>'DSGE HVD wFG'!C124-'DSGE HVD woFG'!C124</f>
        <v>-1.5804093619932E-2</v>
      </c>
      <c r="D124">
        <f>'DSGE HVD wFG'!D124-'DSGE HVD woFG'!D124</f>
        <v>-0.12076848420646299</v>
      </c>
      <c r="E124">
        <f>'DSGE HVD wFG'!E124-'DSGE HVD woFG'!E124</f>
        <v>-6.7070563288697989E-3</v>
      </c>
      <c r="F124">
        <f>'DSGE HVD wFG'!F124-'DSGE HVD woFG'!F124</f>
        <v>-1.695297462467299E-3</v>
      </c>
      <c r="G124">
        <f>'DSGE HVD wFG'!G124-'DSGE HVD woFG'!G124</f>
        <v>6.6646814857550052E-17</v>
      </c>
      <c r="H124">
        <f>'DSGE HVD wFG'!H124-'DSGE HVD woFG'!H124</f>
        <v>-1.5627248331553981E-15</v>
      </c>
      <c r="I124">
        <f>'DSGE HVD wFG'!I124-'DSGE HVD woFG'!I124</f>
        <v>-3.1506728304424463E-15</v>
      </c>
      <c r="J124">
        <f>'DSGE HVD wFG'!J124-'DSGE HVD woFG'!J124</f>
        <v>1.7525281826880309E-15</v>
      </c>
      <c r="K124">
        <f>'DSGE HVD wFG'!K124-'DSGE HVD woFG'!K124</f>
        <v>-3.0024153270161598E-16</v>
      </c>
      <c r="L124">
        <f>'DSGE HVD wFG'!L124-'DSGE HVD woFG'!L124</f>
        <v>1.8461483428060632E-15</v>
      </c>
      <c r="M124">
        <f>'DSGE HVD wFG'!M124-'DSGE HVD woFG'!M124</f>
        <v>1.5926420533625999E-15</v>
      </c>
      <c r="N124">
        <f>'DSGE HVD wFG'!N124-'DSGE HVD woFG'!N124</f>
        <v>3.5997264012268101E-15</v>
      </c>
      <c r="O124">
        <f>'DSGE HVD wFG'!O124-'DSGE HVD woFG'!O124</f>
        <v>4.6820174072494203E-15</v>
      </c>
      <c r="P124">
        <f>'DSGE HVD wFG'!P124-'DSGE HVD woFG'!P124</f>
        <v>1.6981392704618698E-14</v>
      </c>
      <c r="Q124">
        <f>'DSGE HVD wFG'!Q124-'DSGE HVD woFG'!Q124</f>
        <v>2.1952895725057698E-2</v>
      </c>
      <c r="R124">
        <f>'DSGE HVD wFG'!R124-'DSGE HVD woFG'!R124</f>
        <v>0</v>
      </c>
      <c r="S124">
        <f>'DSGE HVD wFG'!S124-'DSGE HVD woFG'!S124</f>
        <v>6.9179215859811988E-2</v>
      </c>
      <c r="T124">
        <f>'DSGE HVD wFG'!T124-'DSGE HVD woFG'!T124</f>
        <v>-1.0724124183042801E-3</v>
      </c>
      <c r="U124">
        <f>'DSGE HVD wFG'!U124-'DSGE HVD woFG'!U124</f>
        <v>-6.4942087956183003E-2</v>
      </c>
      <c r="Y124" s="1">
        <f t="shared" si="28"/>
        <v>50313</v>
      </c>
      <c r="Z124" s="7">
        <f t="shared" si="28"/>
        <v>-1.0026855505041704E-2</v>
      </c>
      <c r="AA124" s="7">
        <f t="shared" si="28"/>
        <v>-1.5804093619932E-2</v>
      </c>
      <c r="AB124" s="7">
        <f t="shared" si="28"/>
        <v>-0.12076848420646299</v>
      </c>
      <c r="AC124" s="7">
        <f t="shared" si="17"/>
        <v>6.7483918397344689E-2</v>
      </c>
      <c r="AD124" s="7">
        <f t="shared" si="18"/>
        <v>-6.7070563288697989E-3</v>
      </c>
      <c r="AE124" s="7">
        <f t="shared" si="19"/>
        <v>2.1952895725057698E-2</v>
      </c>
      <c r="AF124" s="7">
        <f t="shared" si="20"/>
        <v>6.6646814857550052E-17</v>
      </c>
      <c r="AG124" s="7">
        <f t="shared" si="20"/>
        <v>-1.5627248331553981E-15</v>
      </c>
      <c r="AH124" s="7">
        <f t="shared" si="21"/>
        <v>-1.0724124182772765E-3</v>
      </c>
      <c r="AI124" s="7">
        <f t="shared" si="15"/>
        <v>-6.4942087956182906E-2</v>
      </c>
      <c r="AJ124" s="8">
        <f t="shared" si="22"/>
        <v>8.9436814122402383E-2</v>
      </c>
      <c r="AK124" s="8">
        <f t="shared" si="23"/>
        <v>-0.14327963415526479</v>
      </c>
      <c r="AL124" s="8">
        <f t="shared" si="24"/>
        <v>-1.0026855505041704E-2</v>
      </c>
      <c r="AM124" s="8">
        <f t="shared" si="25"/>
        <v>-1.0724124182772765E-3</v>
      </c>
      <c r="AN124" s="8">
        <f t="shared" si="26"/>
        <v>-6.4942087956181394E-2</v>
      </c>
      <c r="AO124" s="9">
        <f t="shared" si="29"/>
        <v>-1.2136621665039715</v>
      </c>
      <c r="AP124" s="9">
        <f t="shared" si="29"/>
        <v>2.0398467567134415</v>
      </c>
      <c r="AQ124" s="9">
        <f t="shared" si="29"/>
        <v>0.15924877266644613</v>
      </c>
      <c r="AR124" s="9">
        <f t="shared" si="29"/>
        <v>1.4566637124083128E-2</v>
      </c>
      <c r="AS124" s="9">
        <f t="shared" si="29"/>
        <v>1</v>
      </c>
      <c r="AT124" s="7"/>
      <c r="AU124" s="7"/>
      <c r="AV124" s="7"/>
      <c r="AW124" s="7"/>
      <c r="AX124" s="7"/>
    </row>
    <row r="125" spans="1:50" x14ac:dyDescent="0.25">
      <c r="A125" s="1">
        <v>50405</v>
      </c>
      <c r="B125">
        <f>'DSGE HVD wFG'!B125-'DSGE HVD woFG'!B125</f>
        <v>-9.9091884688051052E-3</v>
      </c>
      <c r="C125">
        <f>'DSGE HVD wFG'!C125-'DSGE HVD woFG'!C125</f>
        <v>-1.56460526837328E-2</v>
      </c>
      <c r="D125">
        <f>'DSGE HVD wFG'!D125-'DSGE HVD woFG'!D125</f>
        <v>-0.11956079936338099</v>
      </c>
      <c r="E125">
        <f>'DSGE HVD wFG'!E125-'DSGE HVD woFG'!E125</f>
        <v>-6.5634973258766986E-3</v>
      </c>
      <c r="F125">
        <f>'DSGE HVD wFG'!F125-'DSGE HVD woFG'!F125</f>
        <v>-1.6042777849105995E-3</v>
      </c>
      <c r="G125">
        <f>'DSGE HVD wFG'!G125-'DSGE HVD woFG'!G125</f>
        <v>6.3843957542539665E-17</v>
      </c>
      <c r="H125">
        <f>'DSGE HVD wFG'!H125-'DSGE HVD woFG'!H125</f>
        <v>-1.5558711903255049E-15</v>
      </c>
      <c r="I125">
        <f>'DSGE HVD wFG'!I125-'DSGE HVD woFG'!I125</f>
        <v>-3.1093402390046202E-15</v>
      </c>
      <c r="J125">
        <f>'DSGE HVD wFG'!J125-'DSGE HVD woFG'!J125</f>
        <v>1.732558758104336E-15</v>
      </c>
      <c r="K125">
        <f>'DSGE HVD wFG'!K125-'DSGE HVD woFG'!K125</f>
        <v>-2.9571209063798706E-16</v>
      </c>
      <c r="L125">
        <f>'DSGE HVD wFG'!L125-'DSGE HVD woFG'!L125</f>
        <v>1.827282433369043E-15</v>
      </c>
      <c r="M125">
        <f>'DSGE HVD wFG'!M125-'DSGE HVD woFG'!M125</f>
        <v>1.5769244246432159E-15</v>
      </c>
      <c r="N125">
        <f>'DSGE HVD wFG'!N125-'DSGE HVD woFG'!N125</f>
        <v>3.5628223592089099E-15</v>
      </c>
      <c r="O125">
        <f>'DSGE HVD wFG'!O125-'DSGE HVD woFG'!O125</f>
        <v>4.6322556224023403E-15</v>
      </c>
      <c r="P125">
        <f>'DSGE HVD wFG'!P125-'DSGE HVD woFG'!P125</f>
        <v>1.6993486366176297E-14</v>
      </c>
      <c r="Q125">
        <f>'DSGE HVD wFG'!Q125-'DSGE HVD woFG'!Q125</f>
        <v>2.158771411337378E-2</v>
      </c>
      <c r="R125">
        <f>'DSGE HVD wFG'!R125-'DSGE HVD woFG'!R125</f>
        <v>0</v>
      </c>
      <c r="S125">
        <f>'DSGE HVD wFG'!S125-'DSGE HVD woFG'!S125</f>
        <v>6.8550065413819E-2</v>
      </c>
      <c r="T125">
        <f>'DSGE HVD wFG'!T125-'DSGE HVD woFG'!T125</f>
        <v>-1.0616255825196498E-3</v>
      </c>
      <c r="U125">
        <f>'DSGE HVD wFG'!U125-'DSGE HVD woFG'!U125</f>
        <v>-6.4207661682005979E-2</v>
      </c>
      <c r="Y125" s="1">
        <f t="shared" si="28"/>
        <v>50405</v>
      </c>
      <c r="Z125" s="7">
        <f t="shared" si="28"/>
        <v>-9.9091884688051052E-3</v>
      </c>
      <c r="AA125" s="7">
        <f t="shared" si="28"/>
        <v>-1.56460526837328E-2</v>
      </c>
      <c r="AB125" s="7">
        <f t="shared" si="28"/>
        <v>-0.11956079936338099</v>
      </c>
      <c r="AC125" s="7">
        <f t="shared" si="17"/>
        <v>6.6945787628908404E-2</v>
      </c>
      <c r="AD125" s="7">
        <f t="shared" si="18"/>
        <v>-6.5634973258766986E-3</v>
      </c>
      <c r="AE125" s="7">
        <f t="shared" si="19"/>
        <v>2.158771411337378E-2</v>
      </c>
      <c r="AF125" s="7">
        <f t="shared" si="20"/>
        <v>6.3843957542539665E-17</v>
      </c>
      <c r="AG125" s="7">
        <f t="shared" si="20"/>
        <v>-1.5558711903255049E-15</v>
      </c>
      <c r="AH125" s="7">
        <f t="shared" si="21"/>
        <v>-1.0616255824927292E-3</v>
      </c>
      <c r="AI125" s="7">
        <f t="shared" si="15"/>
        <v>-6.420766168200763E-2</v>
      </c>
      <c r="AJ125" s="8">
        <f t="shared" si="22"/>
        <v>8.8533501742282181E-2</v>
      </c>
      <c r="AK125" s="8">
        <f t="shared" si="23"/>
        <v>-0.14177034937299049</v>
      </c>
      <c r="AL125" s="8">
        <f t="shared" si="24"/>
        <v>-9.9091884688051052E-3</v>
      </c>
      <c r="AM125" s="8">
        <f t="shared" si="25"/>
        <v>-1.0616255824927292E-3</v>
      </c>
      <c r="AN125" s="8">
        <f t="shared" si="26"/>
        <v>-6.4207661682006145E-2</v>
      </c>
      <c r="AO125" s="9">
        <f t="shared" si="29"/>
        <v>-1.229956514198258</v>
      </c>
      <c r="AP125" s="9">
        <f t="shared" si="29"/>
        <v>2.0550528151640663</v>
      </c>
      <c r="AQ125" s="9">
        <f t="shared" si="29"/>
        <v>0.16021626727439395</v>
      </c>
      <c r="AR125" s="9">
        <f t="shared" si="29"/>
        <v>1.4687431759792067E-2</v>
      </c>
      <c r="AS125" s="9">
        <f t="shared" si="29"/>
        <v>1</v>
      </c>
      <c r="AT125" s="7"/>
      <c r="AU125" s="7"/>
      <c r="AV125" s="7"/>
      <c r="AW125" s="7"/>
      <c r="AX125" s="7"/>
    </row>
    <row r="126" spans="1:50" x14ac:dyDescent="0.25">
      <c r="A126" s="1">
        <v>50495</v>
      </c>
      <c r="B126">
        <f>'DSGE HVD wFG'!B126-'DSGE HVD woFG'!B126</f>
        <v>-9.7929973453883962E-3</v>
      </c>
      <c r="C126">
        <f>'DSGE HVD wFG'!C126-'DSGE HVD woFG'!C126</f>
        <v>-1.548959215689541E-2</v>
      </c>
      <c r="D126">
        <f>'DSGE HVD wFG'!D126-'DSGE HVD woFG'!D126</f>
        <v>-0.11836519136903803</v>
      </c>
      <c r="E126">
        <f>'DSGE HVD wFG'!E126-'DSGE HVD woFG'!E126</f>
        <v>-6.4231842329588E-3</v>
      </c>
      <c r="F126">
        <f>'DSGE HVD wFG'!F126-'DSGE HVD woFG'!F126</f>
        <v>-1.5178882801523026E-3</v>
      </c>
      <c r="G126">
        <f>'DSGE HVD wFG'!G126-'DSGE HVD woFG'!G126</f>
        <v>6.1124298964510124E-17</v>
      </c>
      <c r="H126">
        <f>'DSGE HVD wFG'!H126-'DSGE HVD woFG'!H126</f>
        <v>-1.548905588735595E-15</v>
      </c>
      <c r="I126">
        <f>'DSGE HVD wFG'!I126-'DSGE HVD woFG'!I126</f>
        <v>-3.0686247337216313E-15</v>
      </c>
      <c r="J126">
        <f>'DSGE HVD wFG'!J126-'DSGE HVD woFG'!J126</f>
        <v>1.7128632822015429E-15</v>
      </c>
      <c r="K126">
        <f>'DSGE HVD wFG'!K126-'DSGE HVD woFG'!K126</f>
        <v>-2.9132901651447895E-16</v>
      </c>
      <c r="L126">
        <f>'DSGE HVD wFG'!L126-'DSGE HVD woFG'!L126</f>
        <v>1.808600753052719E-15</v>
      </c>
      <c r="M126">
        <f>'DSGE HVD wFG'!M126-'DSGE HVD woFG'!M126</f>
        <v>1.561324894838262E-15</v>
      </c>
      <c r="N126">
        <f>'DSGE HVD wFG'!N126-'DSGE HVD woFG'!N126</f>
        <v>3.5263170079821402E-15</v>
      </c>
      <c r="O126">
        <f>'DSGE HVD wFG'!O126-'DSGE HVD woFG'!O126</f>
        <v>4.5831504947449599E-15</v>
      </c>
      <c r="P126">
        <f>'DSGE HVD wFG'!P126-'DSGE HVD woFG'!P126</f>
        <v>1.7003194314160595E-14</v>
      </c>
      <c r="Q126">
        <f>'DSGE HVD wFG'!Q126-'DSGE HVD woFG'!Q126</f>
        <v>2.1227429852760903E-2</v>
      </c>
      <c r="R126">
        <f>'DSGE HVD wFG'!R126-'DSGE HVD woFG'!R126</f>
        <v>0</v>
      </c>
      <c r="S126">
        <f>'DSGE HVD wFG'!S126-'DSGE HVD woFG'!S126</f>
        <v>6.7925722904081998E-2</v>
      </c>
      <c r="T126">
        <f>'DSGE HVD wFG'!T126-'DSGE HVD woFG'!T126</f>
        <v>-1.0509507256062003E-3</v>
      </c>
      <c r="U126">
        <f>'DSGE HVD wFG'!U126-'DSGE HVD woFG'!U126</f>
        <v>-6.3486651353170998E-2</v>
      </c>
      <c r="Y126" s="1">
        <f t="shared" si="28"/>
        <v>50495</v>
      </c>
      <c r="Z126" s="7">
        <f t="shared" si="28"/>
        <v>-9.7929973453883962E-3</v>
      </c>
      <c r="AA126" s="7">
        <f t="shared" si="28"/>
        <v>-1.548959215689541E-2</v>
      </c>
      <c r="AB126" s="7">
        <f t="shared" si="28"/>
        <v>-0.11836519136903803</v>
      </c>
      <c r="AC126" s="7">
        <f t="shared" si="17"/>
        <v>6.6407834623929698E-2</v>
      </c>
      <c r="AD126" s="7">
        <f t="shared" si="18"/>
        <v>-6.4231842329588E-3</v>
      </c>
      <c r="AE126" s="7">
        <f t="shared" si="19"/>
        <v>2.1227429852760903E-2</v>
      </c>
      <c r="AF126" s="7">
        <f t="shared" si="20"/>
        <v>6.1124298964510124E-17</v>
      </c>
      <c r="AG126" s="7">
        <f t="shared" si="20"/>
        <v>-1.548905588735595E-15</v>
      </c>
      <c r="AH126" s="7">
        <f t="shared" si="21"/>
        <v>-1.0509507255793652E-3</v>
      </c>
      <c r="AI126" s="7">
        <f t="shared" si="15"/>
        <v>-6.34866513531709E-2</v>
      </c>
      <c r="AJ126" s="8">
        <f t="shared" si="22"/>
        <v>8.7635264476690594E-2</v>
      </c>
      <c r="AK126" s="8">
        <f t="shared" si="23"/>
        <v>-0.14027796775889223</v>
      </c>
      <c r="AL126" s="8">
        <f t="shared" si="24"/>
        <v>-9.7929973453883962E-3</v>
      </c>
      <c r="AM126" s="8">
        <f t="shared" si="25"/>
        <v>-1.0509507255793652E-3</v>
      </c>
      <c r="AN126" s="8">
        <f t="shared" si="26"/>
        <v>-6.3486651353169402E-2</v>
      </c>
      <c r="AO126" s="9">
        <f t="shared" si="29"/>
        <v>-1.2458036031755266</v>
      </c>
      <c r="AP126" s="9">
        <f t="shared" si="29"/>
        <v>2.0698477600258833</v>
      </c>
      <c r="AQ126" s="9">
        <f t="shared" si="29"/>
        <v>0.16115042846080757</v>
      </c>
      <c r="AR126" s="9">
        <f t="shared" si="29"/>
        <v>1.4805414688838866E-2</v>
      </c>
      <c r="AS126" s="9">
        <f t="shared" si="29"/>
        <v>1</v>
      </c>
      <c r="AT126" s="7"/>
      <c r="AU126" s="7"/>
      <c r="AV126" s="7"/>
      <c r="AW126" s="7"/>
      <c r="AX126" s="7"/>
    </row>
    <row r="127" spans="1:50" x14ac:dyDescent="0.25">
      <c r="A127" s="1">
        <v>50586</v>
      </c>
      <c r="B127">
        <f>'DSGE HVD wFG'!B127-'DSGE HVD woFG'!B127</f>
        <v>-9.6782615483854001E-3</v>
      </c>
      <c r="C127">
        <f>'DSGE HVD wFG'!C127-'DSGE HVD woFG'!C127</f>
        <v>-1.5334696235326503E-2</v>
      </c>
      <c r="D127">
        <f>'DSGE HVD wFG'!D127-'DSGE HVD woFG'!D127</f>
        <v>-0.11718153945485499</v>
      </c>
      <c r="E127">
        <f>'DSGE HVD wFG'!E127-'DSGE HVD woFG'!E127</f>
        <v>-6.2860512188799011E-3</v>
      </c>
      <c r="F127">
        <f>'DSGE HVD wFG'!F127-'DSGE HVD woFG'!F127</f>
        <v>-1.4358842782642017E-3</v>
      </c>
      <c r="G127">
        <f>'DSGE HVD wFG'!G127-'DSGE HVD woFG'!G127</f>
        <v>5.848539976672035E-17</v>
      </c>
      <c r="H127">
        <f>'DSGE HVD wFG'!H127-'DSGE HVD woFG'!H127</f>
        <v>-1.5418326702763967E-15</v>
      </c>
      <c r="I127">
        <f>'DSGE HVD wFG'!I127-'DSGE HVD woFG'!I127</f>
        <v>-3.028513880279045E-15</v>
      </c>
      <c r="J127">
        <f>'DSGE HVD wFG'!J127-'DSGE HVD woFG'!J127</f>
        <v>1.693435639723124E-15</v>
      </c>
      <c r="K127">
        <f>'DSGE HVD wFG'!K127-'DSGE HVD woFG'!K127</f>
        <v>-2.8708362045911597E-16</v>
      </c>
      <c r="L127">
        <f>'DSGE HVD wFG'!L127-'DSGE HVD woFG'!L127</f>
        <v>1.7901024887045251E-15</v>
      </c>
      <c r="M127">
        <f>'DSGE HVD wFG'!M127-'DSGE HVD woFG'!M127</f>
        <v>1.5458456073511791E-15</v>
      </c>
      <c r="N127">
        <f>'DSGE HVD wFG'!N127-'DSGE HVD woFG'!N127</f>
        <v>3.4902042991324299E-15</v>
      </c>
      <c r="O127">
        <f>'DSGE HVD wFG'!O127-'DSGE HVD woFG'!O127</f>
        <v>4.5346845265176001E-15</v>
      </c>
      <c r="P127">
        <f>'DSGE HVD wFG'!P127-'DSGE HVD woFG'!P127</f>
        <v>1.7010574483120007E-14</v>
      </c>
      <c r="Q127">
        <f>'DSGE HVD wFG'!Q127-'DSGE HVD woFG'!Q127</f>
        <v>2.0872014608856279E-2</v>
      </c>
      <c r="R127">
        <f>'DSGE HVD wFG'!R127-'DSGE HVD woFG'!R127</f>
        <v>0</v>
      </c>
      <c r="S127">
        <f>'DSGE HVD wFG'!S127-'DSGE HVD woFG'!S127</f>
        <v>6.730617523438398E-2</v>
      </c>
      <c r="T127">
        <f>'DSGE HVD wFG'!T127-'DSGE HVD woFG'!T127</f>
        <v>-1.0403866433797704E-3</v>
      </c>
      <c r="U127">
        <f>'DSGE HVD wFG'!U127-'DSGE HVD woFG'!U127</f>
        <v>-6.2778629535824998E-2</v>
      </c>
      <c r="Y127" s="1">
        <f t="shared" si="28"/>
        <v>50586</v>
      </c>
      <c r="Z127" s="7">
        <f t="shared" si="28"/>
        <v>-9.6782615483854001E-3</v>
      </c>
      <c r="AA127" s="7">
        <f t="shared" si="28"/>
        <v>-1.5334696235326503E-2</v>
      </c>
      <c r="AB127" s="7">
        <f t="shared" si="28"/>
        <v>-0.11718153945485499</v>
      </c>
      <c r="AC127" s="7">
        <f t="shared" si="17"/>
        <v>6.5870290956119779E-2</v>
      </c>
      <c r="AD127" s="7">
        <f t="shared" si="18"/>
        <v>-6.2860512188799011E-3</v>
      </c>
      <c r="AE127" s="7">
        <f t="shared" si="19"/>
        <v>2.0872014608856279E-2</v>
      </c>
      <c r="AF127" s="7">
        <f t="shared" si="20"/>
        <v>5.848539976672035E-17</v>
      </c>
      <c r="AG127" s="7">
        <f t="shared" si="20"/>
        <v>-1.5418326702763967E-15</v>
      </c>
      <c r="AH127" s="7">
        <f t="shared" si="21"/>
        <v>-1.0403866433530212E-3</v>
      </c>
      <c r="AI127" s="7">
        <f t="shared" si="15"/>
        <v>-6.2778629535825248E-2</v>
      </c>
      <c r="AJ127" s="8">
        <f t="shared" si="22"/>
        <v>8.6742305564976058E-2</v>
      </c>
      <c r="AK127" s="8">
        <f t="shared" si="23"/>
        <v>-0.13880228690906141</v>
      </c>
      <c r="AL127" s="8">
        <f t="shared" si="24"/>
        <v>-9.6782615483854001E-3</v>
      </c>
      <c r="AM127" s="8">
        <f t="shared" si="25"/>
        <v>-1.0403866433530212E-3</v>
      </c>
      <c r="AN127" s="8">
        <f t="shared" si="26"/>
        <v>-6.2778629535823777E-2</v>
      </c>
      <c r="AO127" s="9">
        <f t="shared" si="29"/>
        <v>-1.2612025361905388</v>
      </c>
      <c r="AP127" s="9">
        <f t="shared" si="29"/>
        <v>2.084230759107331</v>
      </c>
      <c r="AQ127" s="9">
        <f t="shared" si="29"/>
        <v>0.16205121677343334</v>
      </c>
      <c r="AR127" s="9">
        <f t="shared" si="29"/>
        <v>1.4920560309778005E-2</v>
      </c>
      <c r="AS127" s="9">
        <f t="shared" si="29"/>
        <v>1</v>
      </c>
      <c r="AT127" s="7"/>
      <c r="AU127" s="7"/>
      <c r="AV127" s="7"/>
      <c r="AW127" s="7"/>
      <c r="AX127" s="7"/>
    </row>
    <row r="128" spans="1:50" x14ac:dyDescent="0.25">
      <c r="A128" s="1">
        <v>50678</v>
      </c>
      <c r="B128">
        <f>'DSGE HVD wFG'!B128-'DSGE HVD woFG'!B128</f>
        <v>-9.5649608181578999E-3</v>
      </c>
      <c r="C128">
        <f>'DSGE HVD wFG'!C128-'DSGE HVD woFG'!C128</f>
        <v>-1.5181349272973196E-2</v>
      </c>
      <c r="D128">
        <f>'DSGE HVD wFG'!D128-'DSGE HVD woFG'!D128</f>
        <v>-0.11600972405996299</v>
      </c>
      <c r="E128">
        <f>'DSGE HVD wFG'!E128-'DSGE HVD woFG'!E128</f>
        <v>-6.1520327386496015E-3</v>
      </c>
      <c r="F128">
        <f>'DSGE HVD wFG'!F128-'DSGE HVD woFG'!F128</f>
        <v>-1.3580346086205022E-3</v>
      </c>
      <c r="G128">
        <f>'DSGE HVD wFG'!G128-'DSGE HVD woFG'!G128</f>
        <v>5.592485873861954E-17</v>
      </c>
      <c r="H128">
        <f>'DSGE HVD wFG'!H128-'DSGE HVD woFG'!H128</f>
        <v>-1.5346569223931974E-15</v>
      </c>
      <c r="I128">
        <f>'DSGE HVD wFG'!I128-'DSGE HVD woFG'!I128</f>
        <v>-2.9889959850063939E-15</v>
      </c>
      <c r="J128">
        <f>'DSGE HVD wFG'!J128-'DSGE HVD woFG'!J128</f>
        <v>1.674269959981988E-15</v>
      </c>
      <c r="K128">
        <f>'DSGE HVD wFG'!K128-'DSGE HVD woFG'!K128</f>
        <v>-2.8296769030451201E-16</v>
      </c>
      <c r="L128">
        <f>'DSGE HVD wFG'!L128-'DSGE HVD woFG'!L128</f>
        <v>1.7717867690822559E-15</v>
      </c>
      <c r="M128">
        <f>'DSGE HVD wFG'!M128-'DSGE HVD woFG'!M128</f>
        <v>1.53048850416292E-15</v>
      </c>
      <c r="N128">
        <f>'DSGE HVD wFG'!N128-'DSGE HVD woFG'!N128</f>
        <v>3.4544784347240197E-15</v>
      </c>
      <c r="O128">
        <f>'DSGE HVD wFG'!O128-'DSGE HVD woFG'!O128</f>
        <v>4.4868410155957193E-15</v>
      </c>
      <c r="P128">
        <f>'DSGE HVD wFG'!P128-'DSGE HVD woFG'!P128</f>
        <v>1.7015683475006902E-14</v>
      </c>
      <c r="Q128">
        <f>'DSGE HVD wFG'!Q128-'DSGE HVD woFG'!Q128</f>
        <v>2.0521439070819519E-2</v>
      </c>
      <c r="R128">
        <f>'DSGE HVD wFG'!R128-'DSGE HVD woFG'!R128</f>
        <v>0</v>
      </c>
      <c r="S128">
        <f>'DSGE HVD wFG'!S128-'DSGE HVD woFG'!S128</f>
        <v>6.6691408624299009E-2</v>
      </c>
      <c r="T128">
        <f>'DSGE HVD wFG'!T128-'DSGE HVD woFG'!T128</f>
        <v>-1.0299321452938905E-3</v>
      </c>
      <c r="U128">
        <f>'DSGE HVD wFG'!U128-'DSGE HVD woFG'!U128</f>
        <v>-6.2083185948514003E-2</v>
      </c>
      <c r="Y128" s="1">
        <f t="shared" si="28"/>
        <v>50678</v>
      </c>
      <c r="Z128" s="7">
        <f t="shared" si="28"/>
        <v>-9.5649608181578999E-3</v>
      </c>
      <c r="AA128" s="7">
        <f t="shared" si="28"/>
        <v>-1.5181349272973196E-2</v>
      </c>
      <c r="AB128" s="7">
        <f t="shared" si="28"/>
        <v>-0.11600972405996299</v>
      </c>
      <c r="AC128" s="7">
        <f t="shared" si="17"/>
        <v>6.5333374015678514E-2</v>
      </c>
      <c r="AD128" s="7">
        <f t="shared" si="18"/>
        <v>-6.1520327386496015E-3</v>
      </c>
      <c r="AE128" s="7">
        <f t="shared" si="19"/>
        <v>2.0521439070819519E-2</v>
      </c>
      <c r="AF128" s="7">
        <f t="shared" si="20"/>
        <v>5.592485873861954E-17</v>
      </c>
      <c r="AG128" s="7">
        <f t="shared" si="20"/>
        <v>-1.5346569223931974E-15</v>
      </c>
      <c r="AH128" s="7">
        <f t="shared" si="21"/>
        <v>-1.0299321452672289E-3</v>
      </c>
      <c r="AI128" s="7">
        <f t="shared" si="15"/>
        <v>-6.2083185948514356E-2</v>
      </c>
      <c r="AJ128" s="8">
        <f t="shared" si="22"/>
        <v>8.5854813086498033E-2</v>
      </c>
      <c r="AK128" s="8">
        <f t="shared" si="23"/>
        <v>-0.13734310607158579</v>
      </c>
      <c r="AL128" s="8">
        <f t="shared" si="24"/>
        <v>-9.5649608181578999E-3</v>
      </c>
      <c r="AM128" s="8">
        <f t="shared" si="25"/>
        <v>-1.0299321452672289E-3</v>
      </c>
      <c r="AN128" s="8">
        <f t="shared" si="26"/>
        <v>-6.2083185948512878E-2</v>
      </c>
      <c r="AO128" s="9">
        <f t="shared" si="29"/>
        <v>-1.2761530836882544</v>
      </c>
      <c r="AP128" s="9">
        <f t="shared" si="29"/>
        <v>2.0982015854339795</v>
      </c>
      <c r="AQ128" s="9">
        <f t="shared" si="29"/>
        <v>0.16291864975792647</v>
      </c>
      <c r="AR128" s="9">
        <f t="shared" si="29"/>
        <v>1.5032848496334702E-2</v>
      </c>
      <c r="AS128" s="9">
        <f t="shared" si="29"/>
        <v>1</v>
      </c>
      <c r="AT128" s="7"/>
      <c r="AU128" s="7"/>
      <c r="AV128" s="7"/>
      <c r="AW128" s="7"/>
      <c r="AX128" s="7"/>
    </row>
    <row r="129" spans="1:50" x14ac:dyDescent="0.25">
      <c r="A129" s="1">
        <v>50770</v>
      </c>
      <c r="B129">
        <f>'DSGE HVD wFG'!B129-'DSGE HVD woFG'!B129</f>
        <v>-9.4530752162907961E-3</v>
      </c>
      <c r="C129">
        <f>'DSGE HVD wFG'!C129-'DSGE HVD woFG'!C129</f>
        <v>-1.5029535780243589E-2</v>
      </c>
      <c r="D129">
        <f>'DSGE HVD wFG'!D129-'DSGE HVD woFG'!D129</f>
        <v>-0.11484962681912403</v>
      </c>
      <c r="E129">
        <f>'DSGE HVD wFG'!E129-'DSGE HVD woFG'!E129</f>
        <v>-6.021063676145702E-3</v>
      </c>
      <c r="F129">
        <f>'DSGE HVD wFG'!F129-'DSGE HVD woFG'!F129</f>
        <v>-1.2841208195411014E-3</v>
      </c>
      <c r="G129">
        <f>'DSGE HVD wFG'!G129-'DSGE HVD woFG'!G129</f>
        <v>5.3440319645270036E-17</v>
      </c>
      <c r="H129">
        <f>'DSGE HVD wFG'!H129-'DSGE HVD woFG'!H129</f>
        <v>-1.5273826915959006E-15</v>
      </c>
      <c r="I129">
        <f>'DSGE HVD wFG'!I129-'DSGE HVD woFG'!I129</f>
        <v>-2.9500600021860571E-15</v>
      </c>
      <c r="J129">
        <f>'DSGE HVD wFG'!J129-'DSGE HVD woFG'!J129</f>
        <v>1.6553606078376039E-15</v>
      </c>
      <c r="K129">
        <f>'DSGE HVD wFG'!K129-'DSGE HVD woFG'!K129</f>
        <v>-2.7897348800097602E-16</v>
      </c>
      <c r="L129">
        <f>'DSGE HVD wFG'!L129-'DSGE HVD woFG'!L129</f>
        <v>1.7536526643849661E-15</v>
      </c>
      <c r="M129">
        <f>'DSGE HVD wFG'!M129-'DSGE HVD woFG'!M129</f>
        <v>1.515255325091936E-15</v>
      </c>
      <c r="N129">
        <f>'DSGE HVD wFG'!N129-'DSGE HVD woFG'!N129</f>
        <v>3.4191338484076102E-15</v>
      </c>
      <c r="O129">
        <f>'DSGE HVD wFG'!O129-'DSGE HVD woFG'!O129</f>
        <v>4.4396040407474298E-15</v>
      </c>
      <c r="P129">
        <f>'DSGE HVD wFG'!P129-'DSGE HVD woFG'!P129</f>
        <v>1.7018576600590002E-14</v>
      </c>
      <c r="Q129">
        <f>'DSGE HVD wFG'!Q129-'DSGE HVD woFG'!Q129</f>
        <v>2.0175672954075109E-2</v>
      </c>
      <c r="R129">
        <f>'DSGE HVD wFG'!R129-'DSGE HVD woFG'!R129</f>
        <v>0</v>
      </c>
      <c r="S129">
        <f>'DSGE HVD wFG'!S129-'DSGE HVD woFG'!S129</f>
        <v>6.6081408635536992E-2</v>
      </c>
      <c r="T129">
        <f>'DSGE HVD wFG'!T129-'DSGE HVD woFG'!T129</f>
        <v>-1.0195860542732199E-3</v>
      </c>
      <c r="U129">
        <f>'DSGE HVD wFG'!U129-'DSGE HVD woFG'!U129</f>
        <v>-6.1399926775979996E-2</v>
      </c>
      <c r="Y129" s="1">
        <f t="shared" si="28"/>
        <v>50770</v>
      </c>
      <c r="Z129" s="7">
        <f t="shared" si="28"/>
        <v>-9.4530752162907961E-3</v>
      </c>
      <c r="AA129" s="7">
        <f t="shared" si="28"/>
        <v>-1.5029535780243589E-2</v>
      </c>
      <c r="AB129" s="7">
        <f t="shared" si="28"/>
        <v>-0.11484962681912403</v>
      </c>
      <c r="AC129" s="7">
        <f t="shared" si="17"/>
        <v>6.4797287815995891E-2</v>
      </c>
      <c r="AD129" s="7">
        <f t="shared" si="18"/>
        <v>-6.021063676145702E-3</v>
      </c>
      <c r="AE129" s="7">
        <f t="shared" si="19"/>
        <v>2.0175672954075109E-2</v>
      </c>
      <c r="AF129" s="7">
        <f t="shared" si="20"/>
        <v>5.3440319645270036E-17</v>
      </c>
      <c r="AG129" s="7">
        <f t="shared" si="20"/>
        <v>-1.5273826915959006E-15</v>
      </c>
      <c r="AH129" s="7">
        <f t="shared" si="21"/>
        <v>-1.0195860542466476E-3</v>
      </c>
      <c r="AI129" s="7">
        <f t="shared" si="15"/>
        <v>-6.1399926775981217E-2</v>
      </c>
      <c r="AJ129" s="8">
        <f t="shared" si="22"/>
        <v>8.4972960770070993E-2</v>
      </c>
      <c r="AK129" s="8">
        <f t="shared" si="23"/>
        <v>-0.13590022627551329</v>
      </c>
      <c r="AL129" s="8">
        <f t="shared" si="24"/>
        <v>-9.4530752162907961E-3</v>
      </c>
      <c r="AM129" s="8">
        <f t="shared" si="25"/>
        <v>-1.0195860542466476E-3</v>
      </c>
      <c r="AN129" s="8">
        <f t="shared" si="26"/>
        <v>-6.1399926775979739E-2</v>
      </c>
      <c r="AO129" s="9">
        <f t="shared" si="29"/>
        <v>-1.2906556572927217</v>
      </c>
      <c r="AP129" s="9">
        <f t="shared" si="29"/>
        <v>2.1117605940409265</v>
      </c>
      <c r="AQ129" s="9">
        <f t="shared" si="29"/>
        <v>0.16375279888639507</v>
      </c>
      <c r="AR129" s="9">
        <f t="shared" si="29"/>
        <v>1.5142264365400107E-2</v>
      </c>
      <c r="AS129" s="9">
        <f t="shared" si="29"/>
        <v>1</v>
      </c>
      <c r="AT129" s="7"/>
      <c r="AU129" s="7"/>
      <c r="AV129" s="7"/>
      <c r="AW129" s="7"/>
      <c r="AX129" s="7"/>
    </row>
    <row r="130" spans="1:50" x14ac:dyDescent="0.25">
      <c r="A130" s="1">
        <v>50860</v>
      </c>
      <c r="B130">
        <f>'DSGE HVD wFG'!B130-'DSGE HVD woFG'!B130</f>
        <v>-9.3425851200972104E-3</v>
      </c>
      <c r="C130">
        <f>'DSGE HVD wFG'!C130-'DSGE HVD woFG'!C130</f>
        <v>-1.4879240422441098E-2</v>
      </c>
      <c r="D130">
        <f>'DSGE HVD wFG'!D130-'DSGE HVD woFG'!D130</f>
        <v>-0.11370113055076603</v>
      </c>
      <c r="E130">
        <f>'DSGE HVD wFG'!E130-'DSGE HVD woFG'!E130</f>
        <v>-5.8930794658472001E-3</v>
      </c>
      <c r="F130">
        <f>'DSGE HVD wFG'!F130-'DSGE HVD woFG'!F130</f>
        <v>-1.213936446014998E-3</v>
      </c>
      <c r="G130">
        <f>'DSGE HVD wFG'!G130-'DSGE HVD woFG'!G130</f>
        <v>5.1029476832290044E-17</v>
      </c>
      <c r="H130">
        <f>'DSGE HVD wFG'!H130-'DSGE HVD woFG'!H130</f>
        <v>-1.5200141951753015E-15</v>
      </c>
      <c r="I130">
        <f>'DSGE HVD wFG'!I130-'DSGE HVD woFG'!I130</f>
        <v>-2.911695452282599E-15</v>
      </c>
      <c r="J130">
        <f>'DSGE HVD wFG'!J130-'DSGE HVD woFG'!J130</f>
        <v>1.6367021742979039E-15</v>
      </c>
      <c r="K130">
        <f>'DSGE HVD wFG'!K130-'DSGE HVD woFG'!K130</f>
        <v>-2.7509374165235798E-16</v>
      </c>
      <c r="L130">
        <f>'DSGE HVD wFG'!L130-'DSGE HVD woFG'!L130</f>
        <v>1.73569918693112E-15</v>
      </c>
      <c r="M130">
        <f>'DSGE HVD wFG'!M130-'DSGE HVD woFG'!M130</f>
        <v>1.5001476096666149E-15</v>
      </c>
      <c r="N130">
        <f>'DSGE HVD wFG'!N130-'DSGE HVD woFG'!N130</f>
        <v>3.3841651878238097E-15</v>
      </c>
      <c r="O130">
        <f>'DSGE HVD wFG'!O130-'DSGE HVD woFG'!O130</f>
        <v>4.3929584419766801E-15</v>
      </c>
      <c r="P130">
        <f>'DSGE HVD wFG'!P130-'DSGE HVD woFG'!P130</f>
        <v>1.70193079193511E-14</v>
      </c>
      <c r="Q130">
        <f>'DSGE HVD wFG'!Q130-'DSGE HVD woFG'!Q130</f>
        <v>1.9834685011084228E-2</v>
      </c>
      <c r="R130">
        <f>'DSGE HVD wFG'!R130-'DSGE HVD woFG'!R130</f>
        <v>0</v>
      </c>
      <c r="S130">
        <f>'DSGE HVD wFG'!S130-'DSGE HVD woFG'!S130</f>
        <v>6.5476160197168981E-2</v>
      </c>
      <c r="T130">
        <f>'DSGE HVD wFG'!T130-'DSGE HVD woFG'!T130</f>
        <v>-1.0093472065489497E-3</v>
      </c>
      <c r="U130">
        <f>'DSGE HVD wFG'!U130-'DSGE HVD woFG'!U130</f>
        <v>-6.0728474003436977E-2</v>
      </c>
      <c r="Y130" s="1">
        <f t="shared" si="28"/>
        <v>50860</v>
      </c>
      <c r="Z130" s="7">
        <f t="shared" si="28"/>
        <v>-9.3425851200972104E-3</v>
      </c>
      <c r="AA130" s="7">
        <f t="shared" si="28"/>
        <v>-1.4879240422441098E-2</v>
      </c>
      <c r="AB130" s="7">
        <f t="shared" si="28"/>
        <v>-0.11370113055076603</v>
      </c>
      <c r="AC130" s="7">
        <f t="shared" si="17"/>
        <v>6.426222375115398E-2</v>
      </c>
      <c r="AD130" s="7">
        <f t="shared" si="18"/>
        <v>-5.8930794658472001E-3</v>
      </c>
      <c r="AE130" s="7">
        <f t="shared" si="19"/>
        <v>1.9834685011084228E-2</v>
      </c>
      <c r="AF130" s="7">
        <f t="shared" si="20"/>
        <v>5.1029476832290044E-17</v>
      </c>
      <c r="AG130" s="7">
        <f t="shared" si="20"/>
        <v>-1.5200141951753015E-15</v>
      </c>
      <c r="AH130" s="7">
        <f t="shared" si="21"/>
        <v>-1.0093472065224676E-3</v>
      </c>
      <c r="AI130" s="7">
        <f t="shared" ref="AI130:AI132" si="30">+SUM(Z130:AH130)</f>
        <v>-6.0728474003437283E-2</v>
      </c>
      <c r="AJ130" s="8">
        <f t="shared" si="22"/>
        <v>8.4096908762238215E-2</v>
      </c>
      <c r="AK130" s="8">
        <f t="shared" si="23"/>
        <v>-0.13447345043905432</v>
      </c>
      <c r="AL130" s="8">
        <f t="shared" si="24"/>
        <v>-9.3425851200972104E-3</v>
      </c>
      <c r="AM130" s="8">
        <f t="shared" si="25"/>
        <v>-1.0093472065224676E-3</v>
      </c>
      <c r="AN130" s="8">
        <f t="shared" si="26"/>
        <v>-6.0728474003435777E-2</v>
      </c>
      <c r="AO130" s="9">
        <f t="shared" si="29"/>
        <v>-1.3047112822449776</v>
      </c>
      <c r="AP130" s="9">
        <f t="shared" si="29"/>
        <v>2.1249086976784519</v>
      </c>
      <c r="AQ130" s="9">
        <f t="shared" si="29"/>
        <v>0.1645537865231638</v>
      </c>
      <c r="AR130" s="9">
        <f t="shared" si="29"/>
        <v>1.5248798043364443E-2</v>
      </c>
      <c r="AS130" s="9">
        <f t="shared" si="29"/>
        <v>1</v>
      </c>
      <c r="AT130" s="7"/>
      <c r="AU130" s="7"/>
      <c r="AV130" s="7"/>
      <c r="AW130" s="7"/>
      <c r="AX130" s="7"/>
    </row>
    <row r="131" spans="1:50" x14ac:dyDescent="0.25">
      <c r="A131" s="1">
        <v>50951</v>
      </c>
      <c r="B131">
        <f>'DSGE HVD wFG'!B131-'DSGE HVD woFG'!B131</f>
        <v>-9.233471217190703E-3</v>
      </c>
      <c r="C131">
        <f>'DSGE HVD wFG'!C131-'DSGE HVD woFG'!C131</f>
        <v>-1.4730448018216713E-2</v>
      </c>
      <c r="D131">
        <f>'DSGE HVD wFG'!D131-'DSGE HVD woFG'!D131</f>
        <v>-0.11256411924514198</v>
      </c>
      <c r="E131">
        <f>'DSGE HVD wFG'!E131-'DSGE HVD woFG'!E131</f>
        <v>-5.7680161962203984E-3</v>
      </c>
      <c r="F131">
        <f>'DSGE HVD wFG'!F131-'DSGE HVD woFG'!F131</f>
        <v>-1.1472863222662007E-3</v>
      </c>
      <c r="G131">
        <f>'DSGE HVD wFG'!G131-'DSGE HVD woFG'!G131</f>
        <v>4.8690079721280053E-17</v>
      </c>
      <c r="H131">
        <f>'DSGE HVD wFG'!H131-'DSGE HVD woFG'!H131</f>
        <v>-1.512555531325498E-15</v>
      </c>
      <c r="I131">
        <f>'DSGE HVD wFG'!I131-'DSGE HVD woFG'!I131</f>
        <v>-2.8738923501017589E-15</v>
      </c>
      <c r="J131">
        <f>'DSGE HVD wFG'!J131-'DSGE HVD woFG'!J131</f>
        <v>1.6182894668893091E-15</v>
      </c>
      <c r="K131">
        <f>'DSGE HVD wFG'!K131-'DSGE HVD woFG'!K131</f>
        <v>-2.7132163402970897E-16</v>
      </c>
      <c r="L131">
        <f>'DSGE HVD wFG'!L131-'DSGE HVD woFG'!L131</f>
        <v>1.717925292739844E-15</v>
      </c>
      <c r="M131">
        <f>'DSGE HVD wFG'!M131-'DSGE HVD woFG'!M131</f>
        <v>1.4851667011086799E-15</v>
      </c>
      <c r="N131">
        <f>'DSGE HVD wFG'!N131-'DSGE HVD woFG'!N131</f>
        <v>3.3495672982624E-15</v>
      </c>
      <c r="O131">
        <f>'DSGE HVD wFG'!O131-'DSGE HVD woFG'!O131</f>
        <v>4.34688979697868E-15</v>
      </c>
      <c r="P131">
        <f>'DSGE HVD wFG'!P131-'DSGE HVD woFG'!P131</f>
        <v>1.7017930277853503E-14</v>
      </c>
      <c r="Q131">
        <f>'DSGE HVD wFG'!Q131-'DSGE HVD woFG'!Q131</f>
        <v>1.9498443048773718E-2</v>
      </c>
      <c r="R131">
        <f>'DSGE HVD wFG'!R131-'DSGE HVD woFG'!R131</f>
        <v>0</v>
      </c>
      <c r="S131">
        <f>'DSGE HVD wFG'!S131-'DSGE HVD woFG'!S131</f>
        <v>6.4875647629872996E-2</v>
      </c>
      <c r="T131">
        <f>'DSGE HVD wFG'!T131-'DSGE HVD woFG'!T131</f>
        <v>-9.9921445149634986E-4</v>
      </c>
      <c r="U131">
        <f>'DSGE HVD wFG'!U131-'DSGE HVD woFG'!U131</f>
        <v>-6.0068464771858981E-2</v>
      </c>
      <c r="Y131" s="1">
        <f t="shared" si="28"/>
        <v>50951</v>
      </c>
      <c r="Z131" s="7">
        <f t="shared" si="28"/>
        <v>-9.233471217190703E-3</v>
      </c>
      <c r="AA131" s="7">
        <f t="shared" si="28"/>
        <v>-1.4730448018216713E-2</v>
      </c>
      <c r="AB131" s="7">
        <f t="shared" si="28"/>
        <v>-0.11256411924514198</v>
      </c>
      <c r="AC131" s="7">
        <f t="shared" ref="AC131:AC132" si="31">+F131+S131</f>
        <v>6.3728361307606798E-2</v>
      </c>
      <c r="AD131" s="7">
        <f t="shared" ref="AD131:AD132" si="32">+E131</f>
        <v>-5.7680161962203984E-3</v>
      </c>
      <c r="AE131" s="7">
        <f t="shared" ref="AE131:AE132" si="33">+Q131</f>
        <v>1.9498443048773718E-2</v>
      </c>
      <c r="AF131" s="7">
        <f t="shared" ref="AF131:AG132" si="34">+G131</f>
        <v>4.8690079721280053E-17</v>
      </c>
      <c r="AG131" s="7">
        <f t="shared" si="34"/>
        <v>-1.512555531325498E-15</v>
      </c>
      <c r="AH131" s="7">
        <f t="shared" ref="AH131:AH132" si="35">+SUM(T131,I131:P131)</f>
        <v>-9.992144514699593E-4</v>
      </c>
      <c r="AI131" s="7">
        <f t="shared" si="30"/>
        <v>-6.0068464771860702E-2</v>
      </c>
      <c r="AJ131" s="8">
        <f t="shared" ref="AJ131:AJ132" si="36">SUM(AC131+AE131)</f>
        <v>8.3226804356380524E-2</v>
      </c>
      <c r="AK131" s="8">
        <f t="shared" ref="AK131:AK132" si="37">AB131+AA131+AD131</f>
        <v>-0.13306258345957908</v>
      </c>
      <c r="AL131" s="8">
        <f t="shared" ref="AL131:AL132" si="38">Z131</f>
        <v>-9.233471217190703E-3</v>
      </c>
      <c r="AM131" s="8">
        <f t="shared" ref="AM131:AM132" si="39">AH131</f>
        <v>-9.992144514699593E-4</v>
      </c>
      <c r="AN131" s="8">
        <f t="shared" ref="AN131:AN132" si="40">SUM(AJ131:AM131)</f>
        <v>-6.0068464771859217E-2</v>
      </c>
      <c r="AO131" s="9">
        <f t="shared" si="29"/>
        <v>-1.3183215691987802</v>
      </c>
      <c r="AP131" s="9">
        <f t="shared" si="29"/>
        <v>2.1376473418486972</v>
      </c>
      <c r="AQ131" s="9">
        <f t="shared" si="29"/>
        <v>0.1653217829178962</v>
      </c>
      <c r="AR131" s="9">
        <f t="shared" si="29"/>
        <v>1.5352444432185072E-2</v>
      </c>
      <c r="AS131" s="9">
        <f t="shared" si="29"/>
        <v>1</v>
      </c>
      <c r="AT131" s="7"/>
      <c r="AU131" s="7"/>
      <c r="AV131" s="7"/>
      <c r="AW131" s="7"/>
      <c r="AX131" s="7"/>
    </row>
    <row r="132" spans="1:50" x14ac:dyDescent="0.25">
      <c r="A132" s="1">
        <v>51043</v>
      </c>
      <c r="B132">
        <f>'DSGE HVD wFG'!B132-'DSGE HVD woFG'!B132</f>
        <v>-9.1257145001211043E-3</v>
      </c>
      <c r="C132">
        <f>'DSGE HVD wFG'!C132-'DSGE HVD woFG'!C132</f>
        <v>-1.4583143538034499E-2</v>
      </c>
      <c r="D132">
        <f>'DSGE HVD wFG'!D132-'DSGE HVD woFG'!D132</f>
        <v>-0.11143847805261001</v>
      </c>
      <c r="E132">
        <f>'DSGE HVD wFG'!E132-'DSGE HVD woFG'!E132</f>
        <v>-5.6458106970022001E-3</v>
      </c>
      <c r="F132">
        <f>'DSGE HVD wFG'!F132-'DSGE HVD woFG'!F132</f>
        <v>-1.0839859361568005E-3</v>
      </c>
      <c r="G132">
        <f>'DSGE HVD wFG'!G132-'DSGE HVD woFG'!G132</f>
        <v>4.6419936307039657E-17</v>
      </c>
      <c r="H132">
        <f>'DSGE HVD wFG'!H132-'DSGE HVD woFG'!H132</f>
        <v>-1.5050106878506998E-15</v>
      </c>
      <c r="I132">
        <f>'DSGE HVD wFG'!I132-'DSGE HVD woFG'!I132</f>
        <v>-2.836641141934145E-15</v>
      </c>
      <c r="J132">
        <f>'DSGE HVD wFG'!J132-'DSGE HVD woFG'!J132</f>
        <v>1.600117499918171E-15</v>
      </c>
      <c r="K132">
        <f>'DSGE HVD wFG'!K132-'DSGE HVD woFG'!K132</f>
        <v>-2.6765078830945296E-16</v>
      </c>
      <c r="L132">
        <f>'DSGE HVD wFG'!L132-'DSGE HVD woFG'!L132</f>
        <v>1.7003298838076929E-15</v>
      </c>
      <c r="M132">
        <f>'DSGE HVD wFG'!M132-'DSGE HVD woFG'!M132</f>
        <v>1.470313751991881E-15</v>
      </c>
      <c r="N132">
        <f>'DSGE HVD wFG'!N132-'DSGE HVD woFG'!N132</f>
        <v>3.3153352075296498E-15</v>
      </c>
      <c r="O132">
        <f>'DSGE HVD wFG'!O132-'DSGE HVD woFG'!O132</f>
        <v>4.3013843946067099E-15</v>
      </c>
      <c r="P132">
        <f>'DSGE HVD wFG'!P132-'DSGE HVD woFG'!P132</f>
        <v>1.7014495346576509E-14</v>
      </c>
      <c r="Q132">
        <f>'DSGE HVD wFG'!Q132-'DSGE HVD woFG'!Q132</f>
        <v>1.9166913951442269E-2</v>
      </c>
      <c r="R132">
        <f>'DSGE HVD wFG'!R132-'DSGE HVD woFG'!R132</f>
        <v>0</v>
      </c>
      <c r="S132">
        <f>'DSGE HVD wFG'!S132-'DSGE HVD woFG'!S132</f>
        <v>6.4279854669345993E-2</v>
      </c>
      <c r="T132">
        <f>'DSGE HVD wFG'!T132-'DSGE HVD woFG'!T132</f>
        <v>-9.8918665147481027E-4</v>
      </c>
      <c r="U132">
        <f>'DSGE HVD wFG'!U132-'DSGE HVD woFG'!U132</f>
        <v>-5.9419550754583994E-2</v>
      </c>
      <c r="Y132" s="1">
        <f t="shared" si="28"/>
        <v>51043</v>
      </c>
      <c r="Z132" s="7">
        <f t="shared" si="28"/>
        <v>-9.1257145001211043E-3</v>
      </c>
      <c r="AA132" s="7">
        <f t="shared" si="28"/>
        <v>-1.4583143538034499E-2</v>
      </c>
      <c r="AB132" s="7">
        <f t="shared" si="28"/>
        <v>-0.11143847805261001</v>
      </c>
      <c r="AC132" s="7">
        <f t="shared" si="31"/>
        <v>6.3195868733189192E-2</v>
      </c>
      <c r="AD132" s="7">
        <f t="shared" si="32"/>
        <v>-5.6458106970022001E-3</v>
      </c>
      <c r="AE132" s="7">
        <f t="shared" si="33"/>
        <v>1.9166913951442269E-2</v>
      </c>
      <c r="AF132" s="7">
        <f t="shared" si="34"/>
        <v>4.6419936307039657E-17</v>
      </c>
      <c r="AG132" s="7">
        <f t="shared" si="34"/>
        <v>-1.5050106878506998E-15</v>
      </c>
      <c r="AH132" s="7">
        <f t="shared" si="35"/>
        <v>-9.8918665144851251E-4</v>
      </c>
      <c r="AI132" s="7">
        <f t="shared" si="30"/>
        <v>-5.9419550754586339E-2</v>
      </c>
      <c r="AJ132" s="8">
        <f t="shared" si="36"/>
        <v>8.2362782684631458E-2</v>
      </c>
      <c r="AK132" s="8">
        <f t="shared" si="37"/>
        <v>-0.13166743228764671</v>
      </c>
      <c r="AL132" s="8">
        <f t="shared" si="38"/>
        <v>-9.1257145001211043E-3</v>
      </c>
      <c r="AM132" s="8">
        <f t="shared" si="39"/>
        <v>-9.8918665144851251E-4</v>
      </c>
      <c r="AN132" s="8">
        <f t="shared" si="40"/>
        <v>-5.9419550754584868E-2</v>
      </c>
      <c r="AO132" s="9">
        <f t="shared" si="29"/>
        <v>-1.3314886853241961</v>
      </c>
      <c r="AP132" s="9">
        <f t="shared" si="29"/>
        <v>2.1499784791095427</v>
      </c>
      <c r="AQ132" s="9">
        <f t="shared" si="29"/>
        <v>0.16605700324091024</v>
      </c>
      <c r="AR132" s="9">
        <f t="shared" si="29"/>
        <v>1.5453202973741918E-2</v>
      </c>
      <c r="AS132" s="9">
        <f t="shared" si="29"/>
        <v>1</v>
      </c>
      <c r="AT132" s="7"/>
      <c r="AU132" s="7"/>
      <c r="AV132" s="7"/>
      <c r="AW132" s="7"/>
      <c r="AX132" s="7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025C5-E722-4FEF-B31F-5FBDA6C79E5A}">
  <dimension ref="A1:CI132"/>
  <sheetViews>
    <sheetView tabSelected="1" zoomScale="115" zoomScaleNormal="115" workbookViewId="0">
      <selection activeCell="BK24" sqref="BK24"/>
    </sheetView>
  </sheetViews>
  <sheetFormatPr defaultRowHeight="15" x14ac:dyDescent="0.25"/>
  <cols>
    <col min="1" max="1" width="12.5703125" bestFit="1" customWidth="1"/>
    <col min="21" max="21" width="9.140625" style="4"/>
    <col min="25" max="25" width="10" bestFit="1" customWidth="1"/>
    <col min="36" max="40" width="9.140625" style="5"/>
    <col min="41" max="45" width="9.140625" style="6"/>
  </cols>
  <sheetData>
    <row r="1" spans="1:62" x14ac:dyDescent="0.25">
      <c r="A1" t="s">
        <v>0</v>
      </c>
      <c r="B1" t="str">
        <f>+[1]wFG_rstar_shock_decomposition!E1</f>
        <v>g</v>
      </c>
      <c r="C1" t="str">
        <f>+[1]wFG_rstar_shock_decomposition!F1</f>
        <v>b_liq</v>
      </c>
      <c r="D1" t="str">
        <f>+[1]wFG_rstar_shock_decomposition!G1</f>
        <v>b_safe</v>
      </c>
      <c r="E1" t="str">
        <f>+[1]wFG_rstar_shock_decomposition!H1</f>
        <v>FF</v>
      </c>
      <c r="F1" t="str">
        <f>+[1]wFG_rstar_shock_decomposition!I1</f>
        <v>z</v>
      </c>
      <c r="G1" t="str">
        <f>+[1]wFG_rstar_shock_decomposition!J1</f>
        <v>p-mkp</v>
      </c>
      <c r="H1" t="str">
        <f>+[1]wFG_rstar_shock_decomposition!K1</f>
        <v>w-mkp</v>
      </c>
      <c r="I1" t="str">
        <f>+[1]wFG_rstar_shock_decomposition!L1</f>
        <v>pol</v>
      </c>
      <c r="J1" t="str">
        <f>+[1]wFG_rstar_shock_decomposition!M1</f>
        <v>fg1</v>
      </c>
      <c r="K1" t="str">
        <f>+[1]wFG_rstar_shock_decomposition!N1</f>
        <v>fg2</v>
      </c>
      <c r="L1" t="str">
        <f>+[1]wFG_rstar_shock_decomposition!O1</f>
        <v>fg3</v>
      </c>
      <c r="M1" t="str">
        <f>+[1]wFG_rstar_shock_decomposition!P1</f>
        <v>fg4</v>
      </c>
      <c r="N1" t="str">
        <f>+[1]wFG_rstar_shock_decomposition!Q1</f>
        <v>fg5</v>
      </c>
      <c r="O1" t="str">
        <f>+[1]wFG_rstar_shock_decomposition!R1</f>
        <v>fg6</v>
      </c>
      <c r="P1" t="str">
        <f>+[1]wFG_rstar_shock_decomposition!S1</f>
        <v>pi-LR</v>
      </c>
      <c r="Q1" t="str">
        <f>+[1]wFG_rstar_shock_decomposition!T1</f>
        <v>mu</v>
      </c>
      <c r="R1" t="str">
        <f>+[1]wFG_rstar_shock_decomposition!U1</f>
        <v>me</v>
      </c>
      <c r="S1" t="str">
        <f>+[1]wFG_rstar_shock_decomposition!V1</f>
        <v>zp</v>
      </c>
      <c r="T1" t="str">
        <f>+[1]wFG_rstar_shock_decomposition!W1</f>
        <v>dt</v>
      </c>
      <c r="U1" s="4" t="s">
        <v>43</v>
      </c>
      <c r="X1" t="s">
        <v>32</v>
      </c>
      <c r="Y1" t="s">
        <v>33</v>
      </c>
      <c r="Z1" t="s">
        <v>35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34</v>
      </c>
      <c r="AI1" t="s">
        <v>51</v>
      </c>
      <c r="AJ1" s="5" t="s">
        <v>52</v>
      </c>
      <c r="AK1" s="5" t="s">
        <v>53</v>
      </c>
      <c r="AL1" s="5" t="s">
        <v>35</v>
      </c>
      <c r="AM1" s="5" t="s">
        <v>34</v>
      </c>
      <c r="AN1" s="5" t="s">
        <v>54</v>
      </c>
      <c r="AO1" s="6" t="s">
        <v>52</v>
      </c>
      <c r="AP1" s="6" t="s">
        <v>53</v>
      </c>
      <c r="AQ1" s="6" t="s">
        <v>35</v>
      </c>
      <c r="AR1" s="6" t="s">
        <v>34</v>
      </c>
      <c r="AS1" s="6" t="s">
        <v>54</v>
      </c>
      <c r="AT1" s="6"/>
      <c r="AU1" s="6"/>
      <c r="AV1" s="6"/>
      <c r="AW1" s="6"/>
    </row>
    <row r="2" spans="1:62" x14ac:dyDescent="0.25">
      <c r="A2" s="1">
        <v>39172</v>
      </c>
      <c r="B2">
        <f>+[1]wFG_rstar_shock_decomposition!E2</f>
        <v>-0.10116499029808</v>
      </c>
      <c r="C2">
        <f>+[1]wFG_rstar_shock_decomposition!F2</f>
        <v>-0.14808542456621801</v>
      </c>
      <c r="D2">
        <f>+[1]wFG_rstar_shock_decomposition!G2</f>
        <v>0.49991387508665402</v>
      </c>
      <c r="E2">
        <f>+[1]wFG_rstar_shock_decomposition!H2</f>
        <v>-2.343352467547E-2</v>
      </c>
      <c r="F2">
        <f>+[1]wFG_rstar_shock_decomposition!I2</f>
        <v>0.13159806530743301</v>
      </c>
      <c r="G2">
        <f>+[1]wFG_rstar_shock_decomposition!J2</f>
        <v>3.8359980442891401E-16</v>
      </c>
      <c r="H2">
        <f>+[1]wFG_rstar_shock_decomposition!K2</f>
        <v>-3.6594233313568802E-15</v>
      </c>
      <c r="I2">
        <f>+[1]wFG_rstar_shock_decomposition!L2</f>
        <v>1.4552564246693899E-14</v>
      </c>
      <c r="J2">
        <f>+[1]wFG_rstar_shock_decomposition!M2</f>
        <v>0</v>
      </c>
      <c r="K2">
        <f>+[1]wFG_rstar_shock_decomposition!N2</f>
        <v>0</v>
      </c>
      <c r="L2">
        <f>+[1]wFG_rstar_shock_decomposition!O2</f>
        <v>0</v>
      </c>
      <c r="M2">
        <f>+[1]wFG_rstar_shock_decomposition!P2</f>
        <v>0</v>
      </c>
      <c r="N2">
        <f>+[1]wFG_rstar_shock_decomposition!Q2</f>
        <v>0</v>
      </c>
      <c r="O2">
        <f>+[1]wFG_rstar_shock_decomposition!R2</f>
        <v>0</v>
      </c>
      <c r="P2">
        <f>+[1]wFG_rstar_shock_decomposition!S2</f>
        <v>1.6220867641150401E-13</v>
      </c>
      <c r="Q2">
        <f>+[1]wFG_rstar_shock_decomposition!T2</f>
        <v>-4.6038989020964899E-2</v>
      </c>
      <c r="R2">
        <f>+[1]wFG_rstar_shock_decomposition!U2</f>
        <v>0</v>
      </c>
      <c r="S2">
        <f>+[1]wFG_rstar_shock_decomposition!V2</f>
        <v>1.0149409321861201E-2</v>
      </c>
      <c r="T2">
        <f>+[1]wFG_rstar_shock_decomposition!W2</f>
        <v>2.8537733392609E-2</v>
      </c>
      <c r="U2" s="4">
        <f>+[1]wFG_rstar_shock_decomposition!D2</f>
        <v>0.35147615454799802</v>
      </c>
      <c r="Y2" s="1">
        <f>+A2</f>
        <v>39172</v>
      </c>
      <c r="Z2" s="7">
        <f>+B2</f>
        <v>-0.10116499029808</v>
      </c>
      <c r="AA2" s="7">
        <f>+C2</f>
        <v>-0.14808542456621801</v>
      </c>
      <c r="AB2" s="7">
        <f>+D2</f>
        <v>0.49991387508665402</v>
      </c>
      <c r="AC2" s="7">
        <f>+F2+S2</f>
        <v>0.14174747462929421</v>
      </c>
      <c r="AD2" s="7">
        <f>+E2</f>
        <v>-2.343352467547E-2</v>
      </c>
      <c r="AE2" s="7">
        <f>+Q2</f>
        <v>-4.6038989020964899E-2</v>
      </c>
      <c r="AF2" s="7">
        <f>+G2</f>
        <v>3.8359980442891401E-16</v>
      </c>
      <c r="AG2" s="7">
        <f>+H2</f>
        <v>-3.6594233313568802E-15</v>
      </c>
      <c r="AH2" s="7">
        <f>+SUM(T2,I2:P2)</f>
        <v>2.8537733392785758E-2</v>
      </c>
      <c r="AI2" s="7">
        <f t="shared" ref="AI2:AI65" si="0">+SUM(Z2:AH2)</f>
        <v>0.3514761545479978</v>
      </c>
      <c r="AJ2" s="8">
        <f>SUM(AC2+AE2)</f>
        <v>9.5708485608329313E-2</v>
      </c>
      <c r="AK2" s="8">
        <f>AB2+AA2+AD2</f>
        <v>0.32839492584496599</v>
      </c>
      <c r="AL2" s="8">
        <f>Z2</f>
        <v>-0.10116499029808</v>
      </c>
      <c r="AM2" s="8">
        <f>AH2</f>
        <v>2.8537733392785758E-2</v>
      </c>
      <c r="AN2" s="8">
        <f>SUM(AJ2:AM2)</f>
        <v>0.35147615454800107</v>
      </c>
      <c r="AO2" s="9"/>
      <c r="AP2" s="9"/>
      <c r="AQ2" s="9"/>
      <c r="AR2" s="9"/>
      <c r="AS2" s="9"/>
    </row>
    <row r="3" spans="1:62" x14ac:dyDescent="0.25">
      <c r="A3" s="1">
        <v>39263</v>
      </c>
      <c r="B3">
        <f>+[1]wFG_rstar_shock_decomposition!E3</f>
        <v>-9.1415602048891598E-2</v>
      </c>
      <c r="C3">
        <f>+[1]wFG_rstar_shock_decomposition!F3</f>
        <v>-0.16817797066353801</v>
      </c>
      <c r="D3">
        <f>+[1]wFG_rstar_shock_decomposition!G3</f>
        <v>0.55181563496361996</v>
      </c>
      <c r="E3">
        <f>+[1]wFG_rstar_shock_decomposition!H3</f>
        <v>-1.7256471294960898E-2</v>
      </c>
      <c r="F3">
        <f>+[1]wFG_rstar_shock_decomposition!I3</f>
        <v>0.114756438583211</v>
      </c>
      <c r="G3">
        <f>+[1]wFG_rstar_shock_decomposition!J3</f>
        <v>5.4879434627052497E-16</v>
      </c>
      <c r="H3">
        <f>+[1]wFG_rstar_shock_decomposition!K3</f>
        <v>-2.4440354632060701E-15</v>
      </c>
      <c r="I3">
        <f>+[1]wFG_rstar_shock_decomposition!L3</f>
        <v>1.34336526406168E-14</v>
      </c>
      <c r="J3">
        <f>+[1]wFG_rstar_shock_decomposition!M3</f>
        <v>0</v>
      </c>
      <c r="K3">
        <f>+[1]wFG_rstar_shock_decomposition!N3</f>
        <v>0</v>
      </c>
      <c r="L3">
        <f>+[1]wFG_rstar_shock_decomposition!O3</f>
        <v>0</v>
      </c>
      <c r="M3">
        <f>+[1]wFG_rstar_shock_decomposition!P3</f>
        <v>0</v>
      </c>
      <c r="N3">
        <f>+[1]wFG_rstar_shock_decomposition!Q3</f>
        <v>0</v>
      </c>
      <c r="O3">
        <f>+[1]wFG_rstar_shock_decomposition!R3</f>
        <v>0</v>
      </c>
      <c r="P3">
        <f>+[1]wFG_rstar_shock_decomposition!S3</f>
        <v>1.62912588605182E-13</v>
      </c>
      <c r="Q3">
        <f>+[1]wFG_rstar_shock_decomposition!T3</f>
        <v>-3.9016156994497099E-2</v>
      </c>
      <c r="R3">
        <f>+[1]wFG_rstar_shock_decomposition!U3</f>
        <v>0</v>
      </c>
      <c r="S3">
        <f>+[1]wFG_rstar_shock_decomposition!V3</f>
        <v>-0.12701248220139899</v>
      </c>
      <c r="T3">
        <f>+[1]wFG_rstar_shock_decomposition!W3</f>
        <v>2.81751156763137E-2</v>
      </c>
      <c r="U3" s="4">
        <f>+[1]wFG_rstar_shock_decomposition!D3</f>
        <v>0.25186850602003202</v>
      </c>
      <c r="Y3" s="1">
        <f t="shared" ref="Y3:AB34" si="1">+A3</f>
        <v>39263</v>
      </c>
      <c r="Z3" s="7">
        <f t="shared" si="1"/>
        <v>-9.1415602048891598E-2</v>
      </c>
      <c r="AA3" s="7">
        <f t="shared" si="1"/>
        <v>-0.16817797066353801</v>
      </c>
      <c r="AB3" s="7">
        <f t="shared" si="1"/>
        <v>0.55181563496361996</v>
      </c>
      <c r="AC3" s="7">
        <f t="shared" ref="AC3:AC66" si="2">+F3+S3</f>
        <v>-1.2256043618187995E-2</v>
      </c>
      <c r="AD3" s="7">
        <f t="shared" ref="AD3:AD66" si="3">+E3</f>
        <v>-1.7256471294960898E-2</v>
      </c>
      <c r="AE3" s="7">
        <f t="shared" ref="AE3:AE66" si="4">+Q3</f>
        <v>-3.9016156994497099E-2</v>
      </c>
      <c r="AF3" s="7">
        <f t="shared" ref="AF3:AG66" si="5">+G3</f>
        <v>5.4879434627052497E-16</v>
      </c>
      <c r="AG3" s="7">
        <f t="shared" si="5"/>
        <v>-2.4440354632060701E-15</v>
      </c>
      <c r="AH3" s="7">
        <f t="shared" ref="AH3:AH66" si="6">+SUM(T3,I3:P3)</f>
        <v>2.8175115676490045E-2</v>
      </c>
      <c r="AI3" s="7">
        <f t="shared" si="0"/>
        <v>0.25186850602003252</v>
      </c>
      <c r="AJ3" s="8">
        <f t="shared" ref="AJ3:AJ66" si="7">SUM(AC3+AE3)</f>
        <v>-5.1272200612685094E-2</v>
      </c>
      <c r="AK3" s="8">
        <f t="shared" ref="AK3:AK66" si="8">AB3+AA3+AD3</f>
        <v>0.36638119300512106</v>
      </c>
      <c r="AL3" s="8">
        <f t="shared" ref="AL3:AL66" si="9">Z3</f>
        <v>-9.1415602048891598E-2</v>
      </c>
      <c r="AM3" s="8">
        <f t="shared" ref="AM3:AM66" si="10">AH3</f>
        <v>2.8175115676490045E-2</v>
      </c>
      <c r="AN3" s="8">
        <f t="shared" ref="AN3:AN66" si="11">SUM(AJ3:AM3)</f>
        <v>0.25186850602003441</v>
      </c>
      <c r="AO3" s="9">
        <f>(AJ3-AJ2)/($AN3-$AN2)</f>
        <v>1.4755963863532717</v>
      </c>
      <c r="AP3" s="9">
        <f t="shared" ref="AP3:AS18" si="12">(AK3-AK2)/($AN3-$AN2)</f>
        <v>-0.38135893901249701</v>
      </c>
      <c r="AQ3" s="9">
        <f t="shared" si="12"/>
        <v>-9.7877907904342157E-2</v>
      </c>
      <c r="AR3" s="9">
        <f t="shared" si="12"/>
        <v>3.6404605635670766E-3</v>
      </c>
      <c r="AS3" s="9">
        <f t="shared" si="12"/>
        <v>1</v>
      </c>
      <c r="AT3" s="7"/>
      <c r="AU3" s="7"/>
      <c r="AV3" s="7"/>
      <c r="AW3" s="7"/>
      <c r="AX3" s="7"/>
    </row>
    <row r="4" spans="1:62" x14ac:dyDescent="0.25">
      <c r="A4" s="1">
        <v>39355</v>
      </c>
      <c r="B4">
        <f>+[1]wFG_rstar_shock_decomposition!E4</f>
        <v>-9.5807612147910698E-2</v>
      </c>
      <c r="C4">
        <f>+[1]wFG_rstar_shock_decomposition!F4</f>
        <v>-0.33979271461635702</v>
      </c>
      <c r="D4">
        <f>+[1]wFG_rstar_shock_decomposition!G4</f>
        <v>0.56002226080116702</v>
      </c>
      <c r="E4">
        <f>+[1]wFG_rstar_shock_decomposition!H4</f>
        <v>-5.1006151755923997E-2</v>
      </c>
      <c r="F4">
        <f>+[1]wFG_rstar_shock_decomposition!I4</f>
        <v>0.13362002273225801</v>
      </c>
      <c r="G4">
        <f>+[1]wFG_rstar_shock_decomposition!J4</f>
        <v>2.5037010554592901E-16</v>
      </c>
      <c r="H4">
        <f>+[1]wFG_rstar_shock_decomposition!K4</f>
        <v>-1.4001092115681899E-15</v>
      </c>
      <c r="I4">
        <f>+[1]wFG_rstar_shock_decomposition!L4</f>
        <v>1.39806094816383E-14</v>
      </c>
      <c r="J4">
        <f>+[1]wFG_rstar_shock_decomposition!M4</f>
        <v>0</v>
      </c>
      <c r="K4">
        <f>+[1]wFG_rstar_shock_decomposition!N4</f>
        <v>0</v>
      </c>
      <c r="L4">
        <f>+[1]wFG_rstar_shock_decomposition!O4</f>
        <v>0</v>
      </c>
      <c r="M4">
        <f>+[1]wFG_rstar_shock_decomposition!P4</f>
        <v>0</v>
      </c>
      <c r="N4">
        <f>+[1]wFG_rstar_shock_decomposition!Q4</f>
        <v>0</v>
      </c>
      <c r="O4">
        <f>+[1]wFG_rstar_shock_decomposition!R4</f>
        <v>0</v>
      </c>
      <c r="P4">
        <f>+[1]wFG_rstar_shock_decomposition!S4</f>
        <v>1.6359680119666501E-13</v>
      </c>
      <c r="Q4">
        <f>+[1]wFG_rstar_shock_decomposition!T4</f>
        <v>-5.63059125769753E-2</v>
      </c>
      <c r="R4">
        <f>+[1]wFG_rstar_shock_decomposition!U4</f>
        <v>0</v>
      </c>
      <c r="S4">
        <f>+[1]wFG_rstar_shock_decomposition!V4</f>
        <v>-0.16193125561330499</v>
      </c>
      <c r="T4">
        <f>+[1]wFG_rstar_shock_decomposition!W4</f>
        <v>2.7817345433641699E-2</v>
      </c>
      <c r="U4" s="4">
        <f>+[1]wFG_rstar_shock_decomposition!D4</f>
        <v>1.66159822567713E-2</v>
      </c>
      <c r="Y4" s="1">
        <f t="shared" si="1"/>
        <v>39355</v>
      </c>
      <c r="Z4" s="7">
        <f t="shared" si="1"/>
        <v>-9.5807612147910698E-2</v>
      </c>
      <c r="AA4" s="7">
        <f t="shared" si="1"/>
        <v>-0.33979271461635702</v>
      </c>
      <c r="AB4" s="7">
        <f t="shared" si="1"/>
        <v>0.56002226080116702</v>
      </c>
      <c r="AC4" s="7">
        <f t="shared" si="2"/>
        <v>-2.8311232881046977E-2</v>
      </c>
      <c r="AD4" s="7">
        <f t="shared" si="3"/>
        <v>-5.1006151755923997E-2</v>
      </c>
      <c r="AE4" s="7">
        <f t="shared" si="4"/>
        <v>-5.63059125769753E-2</v>
      </c>
      <c r="AF4" s="7">
        <f t="shared" si="5"/>
        <v>2.5037010554592901E-16</v>
      </c>
      <c r="AG4" s="7">
        <f t="shared" si="5"/>
        <v>-1.4001092115681899E-15</v>
      </c>
      <c r="AH4" s="7">
        <f t="shared" si="6"/>
        <v>2.7817345433819279E-2</v>
      </c>
      <c r="AI4" s="7">
        <f t="shared" si="0"/>
        <v>1.6615982256771127E-2</v>
      </c>
      <c r="AJ4" s="8">
        <f t="shared" si="7"/>
        <v>-8.4617145458022278E-2</v>
      </c>
      <c r="AK4" s="8">
        <f t="shared" si="8"/>
        <v>0.16922339442888601</v>
      </c>
      <c r="AL4" s="8">
        <f t="shared" si="9"/>
        <v>-9.5807612147910698E-2</v>
      </c>
      <c r="AM4" s="8">
        <f t="shared" si="10"/>
        <v>2.7817345433819279E-2</v>
      </c>
      <c r="AN4" s="8">
        <f t="shared" si="11"/>
        <v>1.6615982256772313E-2</v>
      </c>
      <c r="AO4" s="9">
        <f t="shared" ref="AO4:AS67" si="13">(AJ4-AJ3)/($AN4-$AN3)</f>
        <v>0.14174107172976672</v>
      </c>
      <c r="AP4" s="9">
        <f t="shared" si="12"/>
        <v>0.83806879272690693</v>
      </c>
      <c r="AQ4" s="9">
        <f t="shared" si="12"/>
        <v>1.8669343175416221E-2</v>
      </c>
      <c r="AR4" s="9">
        <f t="shared" si="12"/>
        <v>1.5207923679101309E-3</v>
      </c>
      <c r="AS4" s="9">
        <f t="shared" si="12"/>
        <v>1</v>
      </c>
      <c r="AT4" s="7"/>
      <c r="AU4" s="7"/>
      <c r="AV4" s="7"/>
      <c r="AW4" s="7"/>
      <c r="AX4" s="7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x14ac:dyDescent="0.25">
      <c r="A5" s="1">
        <v>39447</v>
      </c>
      <c r="B5">
        <f>+[1]wFG_rstar_shock_decomposition!E5</f>
        <v>-9.28572460411968E-2</v>
      </c>
      <c r="C5">
        <f>+[1]wFG_rstar_shock_decomposition!F5</f>
        <v>-0.47721599214238702</v>
      </c>
      <c r="D5">
        <f>+[1]wFG_rstar_shock_decomposition!G5</f>
        <v>0.53555175219462903</v>
      </c>
      <c r="E5">
        <f>+[1]wFG_rstar_shock_decomposition!H5</f>
        <v>-8.5101433642590804E-2</v>
      </c>
      <c r="F5">
        <f>+[1]wFG_rstar_shock_decomposition!I5</f>
        <v>0.136427948159905</v>
      </c>
      <c r="G5">
        <f>+[1]wFG_rstar_shock_decomposition!J5</f>
        <v>-2.6306487630997802E-16</v>
      </c>
      <c r="H5">
        <f>+[1]wFG_rstar_shock_decomposition!K5</f>
        <v>-7.9837505956695004E-16</v>
      </c>
      <c r="I5">
        <f>+[1]wFG_rstar_shock_decomposition!L5</f>
        <v>1.5589941740625801E-14</v>
      </c>
      <c r="J5">
        <f>+[1]wFG_rstar_shock_decomposition!M5</f>
        <v>0</v>
      </c>
      <c r="K5">
        <f>+[1]wFG_rstar_shock_decomposition!N5</f>
        <v>0</v>
      </c>
      <c r="L5">
        <f>+[1]wFG_rstar_shock_decomposition!O5</f>
        <v>0</v>
      </c>
      <c r="M5">
        <f>+[1]wFG_rstar_shock_decomposition!P5</f>
        <v>0</v>
      </c>
      <c r="N5">
        <f>+[1]wFG_rstar_shock_decomposition!Q5</f>
        <v>0</v>
      </c>
      <c r="O5">
        <f>+[1]wFG_rstar_shock_decomposition!R5</f>
        <v>0</v>
      </c>
      <c r="P5">
        <f>+[1]wFG_rstar_shock_decomposition!S5</f>
        <v>1.63238342373083E-13</v>
      </c>
      <c r="Q5">
        <f>+[1]wFG_rstar_shock_decomposition!T5</f>
        <v>-6.9077730500863396E-2</v>
      </c>
      <c r="R5">
        <f>+[1]wFG_rstar_shock_decomposition!U5</f>
        <v>0</v>
      </c>
      <c r="S5">
        <f>+[1]wFG_rstar_shock_decomposition!V5</f>
        <v>-0.13511370679031201</v>
      </c>
      <c r="T5">
        <f>+[1]wFG_rstar_shock_decomposition!W5</f>
        <v>2.7464356509920899E-2</v>
      </c>
      <c r="U5" s="4">
        <f>+[1]wFG_rstar_shock_decomposition!D5</f>
        <v>-0.159922052252716</v>
      </c>
      <c r="Y5" s="1">
        <f t="shared" si="1"/>
        <v>39447</v>
      </c>
      <c r="Z5" s="7">
        <f t="shared" si="1"/>
        <v>-9.28572460411968E-2</v>
      </c>
      <c r="AA5" s="7">
        <f t="shared" si="1"/>
        <v>-0.47721599214238702</v>
      </c>
      <c r="AB5" s="7">
        <f t="shared" si="1"/>
        <v>0.53555175219462903</v>
      </c>
      <c r="AC5" s="7">
        <f t="shared" si="2"/>
        <v>1.3142413695929889E-3</v>
      </c>
      <c r="AD5" s="7">
        <f t="shared" si="3"/>
        <v>-8.5101433642590804E-2</v>
      </c>
      <c r="AE5" s="7">
        <f t="shared" si="4"/>
        <v>-6.9077730500863396E-2</v>
      </c>
      <c r="AF5" s="7">
        <f t="shared" si="5"/>
        <v>-2.6306487630997802E-16</v>
      </c>
      <c r="AG5" s="7">
        <f t="shared" si="5"/>
        <v>-7.9837505956695004E-16</v>
      </c>
      <c r="AH5" s="7">
        <f t="shared" si="6"/>
        <v>2.7464356510099725E-2</v>
      </c>
      <c r="AI5" s="7">
        <f t="shared" si="0"/>
        <v>-0.1599220522527173</v>
      </c>
      <c r="AJ5" s="8">
        <f t="shared" si="7"/>
        <v>-6.7763489131270407E-2</v>
      </c>
      <c r="AK5" s="8">
        <f t="shared" si="8"/>
        <v>-2.6765673590348801E-2</v>
      </c>
      <c r="AL5" s="8">
        <f t="shared" si="9"/>
        <v>-9.28572460411968E-2</v>
      </c>
      <c r="AM5" s="8">
        <f t="shared" si="10"/>
        <v>2.7464356510099725E-2</v>
      </c>
      <c r="AN5" s="8">
        <f t="shared" si="11"/>
        <v>-0.15992205225271627</v>
      </c>
      <c r="AO5" s="9">
        <f t="shared" si="13"/>
        <v>-9.5467565239297031E-2</v>
      </c>
      <c r="AP5" s="9">
        <f t="shared" si="12"/>
        <v>1.1101804127580268</v>
      </c>
      <c r="AQ5" s="9">
        <f t="shared" si="12"/>
        <v>-1.6712353884031268E-2</v>
      </c>
      <c r="AR5" s="9">
        <f t="shared" si="12"/>
        <v>1.9995063653015905E-3</v>
      </c>
      <c r="AS5" s="9">
        <f t="shared" si="12"/>
        <v>1</v>
      </c>
      <c r="AT5" s="7"/>
      <c r="AU5" s="7"/>
      <c r="AV5" s="7"/>
      <c r="AW5" s="7"/>
      <c r="AX5" s="7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2" x14ac:dyDescent="0.25">
      <c r="A6" s="1">
        <v>39538</v>
      </c>
      <c r="B6">
        <f>+[1]wFG_rstar_shock_decomposition!E6</f>
        <v>-9.4503573302483102E-2</v>
      </c>
      <c r="C6">
        <f>+[1]wFG_rstar_shock_decomposition!F6</f>
        <v>-0.63793934161025601</v>
      </c>
      <c r="D6">
        <f>+[1]wFG_rstar_shock_decomposition!G6</f>
        <v>0.48092882731752601</v>
      </c>
      <c r="E6">
        <f>+[1]wFG_rstar_shock_decomposition!H6</f>
        <v>-9.8599139881687101E-2</v>
      </c>
      <c r="F6">
        <f>+[1]wFG_rstar_shock_decomposition!I6</f>
        <v>0.14786982116703401</v>
      </c>
      <c r="G6">
        <f>+[1]wFG_rstar_shock_decomposition!J6</f>
        <v>1.47120079540184E-17</v>
      </c>
      <c r="H6">
        <f>+[1]wFG_rstar_shock_decomposition!K6</f>
        <v>-1.49659762326061E-16</v>
      </c>
      <c r="I6">
        <f>+[1]wFG_rstar_shock_decomposition!L6</f>
        <v>1.68625442678304E-14</v>
      </c>
      <c r="J6">
        <f>+[1]wFG_rstar_shock_decomposition!M6</f>
        <v>0</v>
      </c>
      <c r="K6">
        <f>+[1]wFG_rstar_shock_decomposition!N6</f>
        <v>0</v>
      </c>
      <c r="L6">
        <f>+[1]wFG_rstar_shock_decomposition!O6</f>
        <v>0</v>
      </c>
      <c r="M6">
        <f>+[1]wFG_rstar_shock_decomposition!P6</f>
        <v>0</v>
      </c>
      <c r="N6">
        <f>+[1]wFG_rstar_shock_decomposition!Q6</f>
        <v>0</v>
      </c>
      <c r="O6">
        <f>+[1]wFG_rstar_shock_decomposition!R6</f>
        <v>0</v>
      </c>
      <c r="P6">
        <f>+[1]wFG_rstar_shock_decomposition!S6</f>
        <v>1.6300713842700299E-13</v>
      </c>
      <c r="Q6">
        <f>+[1]wFG_rstar_shock_decomposition!T6</f>
        <v>-6.2903529816891096E-2</v>
      </c>
      <c r="R6">
        <f>+[1]wFG_rstar_shock_decomposition!U6</f>
        <v>0</v>
      </c>
      <c r="S6">
        <f>+[1]wFG_rstar_shock_decomposition!V6</f>
        <v>-0.25439602678284101</v>
      </c>
      <c r="T6">
        <f>+[1]wFG_rstar_shock_decomposition!W6</f>
        <v>2.71160835975265E-2</v>
      </c>
      <c r="U6" s="4">
        <f>+[1]wFG_rstar_shock_decomposition!D6</f>
        <v>-0.492426879311892</v>
      </c>
      <c r="Y6" s="1">
        <f t="shared" si="1"/>
        <v>39538</v>
      </c>
      <c r="Z6" s="7">
        <f t="shared" si="1"/>
        <v>-9.4503573302483102E-2</v>
      </c>
      <c r="AA6" s="7">
        <f t="shared" si="1"/>
        <v>-0.63793934161025601</v>
      </c>
      <c r="AB6" s="7">
        <f t="shared" si="1"/>
        <v>0.48092882731752601</v>
      </c>
      <c r="AC6" s="7">
        <f t="shared" si="2"/>
        <v>-0.106526205615807</v>
      </c>
      <c r="AD6" s="7">
        <f t="shared" si="3"/>
        <v>-9.8599139881687101E-2</v>
      </c>
      <c r="AE6" s="7">
        <f t="shared" si="4"/>
        <v>-6.2903529816891096E-2</v>
      </c>
      <c r="AF6" s="7">
        <f t="shared" si="5"/>
        <v>1.47120079540184E-17</v>
      </c>
      <c r="AG6" s="7">
        <f t="shared" si="5"/>
        <v>-1.49659762326061E-16</v>
      </c>
      <c r="AH6" s="7">
        <f t="shared" si="6"/>
        <v>2.711608359770637E-2</v>
      </c>
      <c r="AI6" s="7">
        <f t="shared" si="0"/>
        <v>-0.49242687931189211</v>
      </c>
      <c r="AJ6" s="8">
        <f t="shared" si="7"/>
        <v>-0.1694297354326981</v>
      </c>
      <c r="AK6" s="8">
        <f t="shared" si="8"/>
        <v>-0.25560965417441711</v>
      </c>
      <c r="AL6" s="8">
        <f t="shared" si="9"/>
        <v>-9.4503573302483102E-2</v>
      </c>
      <c r="AM6" s="8">
        <f t="shared" si="10"/>
        <v>2.711608359770637E-2</v>
      </c>
      <c r="AN6" s="8">
        <f t="shared" si="11"/>
        <v>-0.49242687931189189</v>
      </c>
      <c r="AO6" s="9">
        <f t="shared" si="13"/>
        <v>0.30575870792797311</v>
      </c>
      <c r="AP6" s="9">
        <f t="shared" si="12"/>
        <v>0.68824258164330687</v>
      </c>
      <c r="AQ6" s="9">
        <f t="shared" si="12"/>
        <v>4.9512883041343209E-3</v>
      </c>
      <c r="AR6" s="9">
        <f t="shared" si="12"/>
        <v>1.0474221245857993E-3</v>
      </c>
      <c r="AS6" s="9">
        <f t="shared" si="12"/>
        <v>1</v>
      </c>
      <c r="AT6" s="7"/>
      <c r="AU6" s="7"/>
      <c r="AV6" s="7"/>
      <c r="AW6" s="7"/>
      <c r="AX6" s="7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</row>
    <row r="7" spans="1:62" x14ac:dyDescent="0.25">
      <c r="A7" s="1">
        <v>39629</v>
      </c>
      <c r="B7">
        <f>+[1]wFG_rstar_shock_decomposition!E7</f>
        <v>-9.7453030409408406E-2</v>
      </c>
      <c r="C7">
        <f>+[1]wFG_rstar_shock_decomposition!F7</f>
        <v>-0.60173872227559899</v>
      </c>
      <c r="D7">
        <f>+[1]wFG_rstar_shock_decomposition!G7</f>
        <v>0.51265011203107302</v>
      </c>
      <c r="E7">
        <f>+[1]wFG_rstar_shock_decomposition!H7</f>
        <v>-0.100503109065549</v>
      </c>
      <c r="F7">
        <f>+[1]wFG_rstar_shock_decomposition!I7</f>
        <v>0.14329593049796999</v>
      </c>
      <c r="G7">
        <f>+[1]wFG_rstar_shock_decomposition!J7</f>
        <v>1.28587845422192E-16</v>
      </c>
      <c r="H7">
        <f>+[1]wFG_rstar_shock_decomposition!K7</f>
        <v>9.4075693347449101E-16</v>
      </c>
      <c r="I7">
        <f>+[1]wFG_rstar_shock_decomposition!L7</f>
        <v>1.81643185624036E-14</v>
      </c>
      <c r="J7">
        <f>+[1]wFG_rstar_shock_decomposition!M7</f>
        <v>0</v>
      </c>
      <c r="K7">
        <f>+[1]wFG_rstar_shock_decomposition!N7</f>
        <v>0</v>
      </c>
      <c r="L7">
        <f>+[1]wFG_rstar_shock_decomposition!O7</f>
        <v>0</v>
      </c>
      <c r="M7">
        <f>+[1]wFG_rstar_shock_decomposition!P7</f>
        <v>0</v>
      </c>
      <c r="N7">
        <f>+[1]wFG_rstar_shock_decomposition!Q7</f>
        <v>0</v>
      </c>
      <c r="O7">
        <f>+[1]wFG_rstar_shock_decomposition!R7</f>
        <v>0</v>
      </c>
      <c r="P7">
        <f>+[1]wFG_rstar_shock_decomposition!S7</f>
        <v>1.6292483876500601E-13</v>
      </c>
      <c r="Q7">
        <f>+[1]wFG_rstar_shock_decomposition!T7</f>
        <v>-6.3892000981238303E-2</v>
      </c>
      <c r="R7">
        <f>+[1]wFG_rstar_shock_decomposition!U7</f>
        <v>0</v>
      </c>
      <c r="S7">
        <f>+[1]wFG_rstar_shock_decomposition!V7</f>
        <v>-0.29452842784282501</v>
      </c>
      <c r="T7">
        <f>+[1]wFG_rstar_shock_decomposition!W7</f>
        <v>2.6772462227816499E-2</v>
      </c>
      <c r="U7" s="4">
        <f>+[1]wFG_rstar_shock_decomposition!D7</f>
        <v>-0.47539678581757699</v>
      </c>
      <c r="Y7" s="1">
        <f t="shared" si="1"/>
        <v>39629</v>
      </c>
      <c r="Z7" s="7">
        <f t="shared" si="1"/>
        <v>-9.7453030409408406E-2</v>
      </c>
      <c r="AA7" s="7">
        <f t="shared" si="1"/>
        <v>-0.60173872227559899</v>
      </c>
      <c r="AB7" s="7">
        <f t="shared" si="1"/>
        <v>0.51265011203107302</v>
      </c>
      <c r="AC7" s="7">
        <f t="shared" si="2"/>
        <v>-0.15123249734485503</v>
      </c>
      <c r="AD7" s="7">
        <f t="shared" si="3"/>
        <v>-0.100503109065549</v>
      </c>
      <c r="AE7" s="7">
        <f t="shared" si="4"/>
        <v>-6.3892000981238303E-2</v>
      </c>
      <c r="AF7" s="7">
        <f t="shared" si="5"/>
        <v>1.28587845422192E-16</v>
      </c>
      <c r="AG7" s="7">
        <f t="shared" si="5"/>
        <v>9.4075693347449101E-16</v>
      </c>
      <c r="AH7" s="7">
        <f t="shared" si="6"/>
        <v>2.677246222799759E-2</v>
      </c>
      <c r="AI7" s="7">
        <f t="shared" si="0"/>
        <v>-0.47539678581757816</v>
      </c>
      <c r="AJ7" s="8">
        <f t="shared" si="7"/>
        <v>-0.21512449832609332</v>
      </c>
      <c r="AK7" s="8">
        <f t="shared" si="8"/>
        <v>-0.18959171931007496</v>
      </c>
      <c r="AL7" s="8">
        <f t="shared" si="9"/>
        <v>-9.7453030409408406E-2</v>
      </c>
      <c r="AM7" s="8">
        <f t="shared" si="10"/>
        <v>2.677246222799759E-2</v>
      </c>
      <c r="AN7" s="8">
        <f t="shared" si="11"/>
        <v>-0.47539678581757916</v>
      </c>
      <c r="AO7" s="9">
        <f t="shared" si="13"/>
        <v>-2.683177453409471</v>
      </c>
      <c r="AP7" s="9">
        <f t="shared" si="12"/>
        <v>3.8765456505796125</v>
      </c>
      <c r="AQ7" s="9">
        <f t="shared" si="12"/>
        <v>-0.17319089339763688</v>
      </c>
      <c r="AR7" s="9">
        <f t="shared" si="12"/>
        <v>-2.017730377249741E-2</v>
      </c>
      <c r="AS7" s="9">
        <f t="shared" si="12"/>
        <v>1</v>
      </c>
      <c r="AT7" s="7"/>
      <c r="AU7" s="7"/>
      <c r="AV7" s="7"/>
      <c r="AW7" s="7"/>
      <c r="AX7" s="7"/>
      <c r="AZ7" s="3"/>
      <c r="BA7" s="3"/>
      <c r="BB7" s="3"/>
      <c r="BC7" s="3"/>
      <c r="BD7" s="3"/>
      <c r="BE7" s="3"/>
      <c r="BF7" s="3"/>
      <c r="BG7" s="3"/>
      <c r="BH7" s="3"/>
      <c r="BI7" s="3"/>
    </row>
    <row r="8" spans="1:62" x14ac:dyDescent="0.25">
      <c r="A8" s="1">
        <v>39721</v>
      </c>
      <c r="B8">
        <f>+[1]wFG_rstar_shock_decomposition!E8</f>
        <v>-8.2949480993659494E-2</v>
      </c>
      <c r="C8">
        <f>+[1]wFG_rstar_shock_decomposition!F8</f>
        <v>-0.71012196680319895</v>
      </c>
      <c r="D8">
        <f>+[1]wFG_rstar_shock_decomposition!G8</f>
        <v>0.482826613552436</v>
      </c>
      <c r="E8">
        <f>+[1]wFG_rstar_shock_decomposition!H8</f>
        <v>-9.9811080389714493E-2</v>
      </c>
      <c r="F8">
        <f>+[1]wFG_rstar_shock_decomposition!I8</f>
        <v>0.142540204993026</v>
      </c>
      <c r="G8">
        <f>+[1]wFG_rstar_shock_decomposition!J8</f>
        <v>-4.3849619980996501E-16</v>
      </c>
      <c r="H8">
        <f>+[1]wFG_rstar_shock_decomposition!K8</f>
        <v>1.76077486348156E-15</v>
      </c>
      <c r="I8">
        <f>+[1]wFG_rstar_shock_decomposition!L8</f>
        <v>1.6133420551396701E-14</v>
      </c>
      <c r="J8">
        <f>+[1]wFG_rstar_shock_decomposition!M8</f>
        <v>0</v>
      </c>
      <c r="K8">
        <f>+[1]wFG_rstar_shock_decomposition!N8</f>
        <v>0</v>
      </c>
      <c r="L8">
        <f>+[1]wFG_rstar_shock_decomposition!O8</f>
        <v>0</v>
      </c>
      <c r="M8">
        <f>+[1]wFG_rstar_shock_decomposition!P8</f>
        <v>0</v>
      </c>
      <c r="N8">
        <f>+[1]wFG_rstar_shock_decomposition!Q8</f>
        <v>0</v>
      </c>
      <c r="O8">
        <f>+[1]wFG_rstar_shock_decomposition!R8</f>
        <v>0</v>
      </c>
      <c r="P8">
        <f>+[1]wFG_rstar_shock_decomposition!S8</f>
        <v>1.6112465723575101E-13</v>
      </c>
      <c r="Q8">
        <f>+[1]wFG_rstar_shock_decomposition!T8</f>
        <v>-5.5883768839224197E-2</v>
      </c>
      <c r="R8">
        <f>+[1]wFG_rstar_shock_decomposition!U8</f>
        <v>0</v>
      </c>
      <c r="S8">
        <f>+[1]wFG_rstar_shock_decomposition!V8</f>
        <v>-0.34222200558193999</v>
      </c>
      <c r="T8">
        <f>+[1]wFG_rstar_shock_decomposition!W8</f>
        <v>2.6433428763057199E-2</v>
      </c>
      <c r="U8" s="4">
        <f>+[1]wFG_rstar_shock_decomposition!D8</f>
        <v>-0.63918805529903899</v>
      </c>
      <c r="Y8" s="1">
        <f t="shared" si="1"/>
        <v>39721</v>
      </c>
      <c r="Z8" s="7">
        <f t="shared" si="1"/>
        <v>-8.2949480993659494E-2</v>
      </c>
      <c r="AA8" s="7">
        <f t="shared" si="1"/>
        <v>-0.71012196680319895</v>
      </c>
      <c r="AB8" s="7">
        <f t="shared" si="1"/>
        <v>0.482826613552436</v>
      </c>
      <c r="AC8" s="7">
        <f t="shared" si="2"/>
        <v>-0.19968180058891399</v>
      </c>
      <c r="AD8" s="7">
        <f t="shared" si="3"/>
        <v>-9.9811080389714493E-2</v>
      </c>
      <c r="AE8" s="7">
        <f t="shared" si="4"/>
        <v>-5.5883768839224197E-2</v>
      </c>
      <c r="AF8" s="7">
        <f t="shared" si="5"/>
        <v>-4.3849619980996501E-16</v>
      </c>
      <c r="AG8" s="7">
        <f t="shared" si="5"/>
        <v>1.76077486348156E-15</v>
      </c>
      <c r="AH8" s="7">
        <f t="shared" si="6"/>
        <v>2.6433428763234457E-2</v>
      </c>
      <c r="AI8" s="7">
        <f t="shared" si="0"/>
        <v>-0.63918805529903944</v>
      </c>
      <c r="AJ8" s="8">
        <f t="shared" si="7"/>
        <v>-0.25556556942813818</v>
      </c>
      <c r="AK8" s="8">
        <f t="shared" si="8"/>
        <v>-0.32710643364047742</v>
      </c>
      <c r="AL8" s="8">
        <f t="shared" si="9"/>
        <v>-8.2949480993659494E-2</v>
      </c>
      <c r="AM8" s="8">
        <f t="shared" si="10"/>
        <v>2.6433428763234457E-2</v>
      </c>
      <c r="AN8" s="8">
        <f t="shared" si="11"/>
        <v>-0.63918805529904077</v>
      </c>
      <c r="AO8" s="9">
        <f t="shared" si="13"/>
        <v>0.24690614603620317</v>
      </c>
      <c r="AP8" s="9">
        <f t="shared" si="12"/>
        <v>0.83957291964189085</v>
      </c>
      <c r="AQ8" s="9">
        <f t="shared" si="12"/>
        <v>-8.8548977376297022E-2</v>
      </c>
      <c r="AR8" s="9">
        <f t="shared" si="12"/>
        <v>2.0699116982026084E-3</v>
      </c>
      <c r="AS8" s="9">
        <f t="shared" si="12"/>
        <v>1</v>
      </c>
      <c r="AT8" s="7"/>
      <c r="AU8" s="7"/>
      <c r="AV8" s="7"/>
      <c r="AW8" s="7"/>
      <c r="AX8" s="7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2" x14ac:dyDescent="0.25">
      <c r="A9" s="1">
        <v>39813</v>
      </c>
      <c r="B9">
        <f>+[1]wFG_rstar_shock_decomposition!E9</f>
        <v>-5.01476530084006E-2</v>
      </c>
      <c r="C9">
        <f>+[1]wFG_rstar_shock_decomposition!F9</f>
        <v>-1.3069466116369099</v>
      </c>
      <c r="D9">
        <f>+[1]wFG_rstar_shock_decomposition!G9</f>
        <v>0.18081284878985401</v>
      </c>
      <c r="E9">
        <f>+[1]wFG_rstar_shock_decomposition!H9</f>
        <v>-0.17998263684848601</v>
      </c>
      <c r="F9">
        <f>+[1]wFG_rstar_shock_decomposition!I9</f>
        <v>0.20167214643596201</v>
      </c>
      <c r="G9">
        <f>+[1]wFG_rstar_shock_decomposition!J9</f>
        <v>1.6922842930974801E-15</v>
      </c>
      <c r="H9">
        <f>+[1]wFG_rstar_shock_decomposition!K9</f>
        <v>2.3099358154234702E-15</v>
      </c>
      <c r="I9">
        <f>+[1]wFG_rstar_shock_decomposition!L9</f>
        <v>1.40702517791727E-14</v>
      </c>
      <c r="J9">
        <f>+[1]wFG_rstar_shock_decomposition!M9</f>
        <v>-1.7239041892842601E-15</v>
      </c>
      <c r="K9">
        <f>+[1]wFG_rstar_shock_decomposition!N9</f>
        <v>-1.3504512043663101E-15</v>
      </c>
      <c r="L9">
        <f>+[1]wFG_rstar_shock_decomposition!O9</f>
        <v>-3.33054990189172E-16</v>
      </c>
      <c r="M9">
        <f>+[1]wFG_rstar_shock_decomposition!P9</f>
        <v>-9.9132012939256601E-17</v>
      </c>
      <c r="N9">
        <f>+[1]wFG_rstar_shock_decomposition!Q9</f>
        <v>-6.5835308575849595E-17</v>
      </c>
      <c r="O9">
        <f>+[1]wFG_rstar_shock_decomposition!R9</f>
        <v>-1.50807025169916E-16</v>
      </c>
      <c r="P9">
        <f>+[1]wFG_rstar_shock_decomposition!S9</f>
        <v>1.6300676038367499E-13</v>
      </c>
      <c r="Q9">
        <f>+[1]wFG_rstar_shock_decomposition!T9</f>
        <v>5.2017786098958298E-3</v>
      </c>
      <c r="R9">
        <f>+[1]wFG_rstar_shock_decomposition!U9</f>
        <v>0</v>
      </c>
      <c r="S9">
        <f>+[1]wFG_rstar_shock_decomposition!V9</f>
        <v>-0.54717136051275095</v>
      </c>
      <c r="T9">
        <f>+[1]wFG_rstar_shock_decomposition!W9</f>
        <v>2.60989203883406E-2</v>
      </c>
      <c r="U9" s="4">
        <f>+[1]wFG_rstar_shock_decomposition!D9</f>
        <v>-1.6704625677823199</v>
      </c>
      <c r="Y9" s="1">
        <f t="shared" si="1"/>
        <v>39813</v>
      </c>
      <c r="Z9" s="7">
        <f t="shared" si="1"/>
        <v>-5.01476530084006E-2</v>
      </c>
      <c r="AA9" s="7">
        <f t="shared" si="1"/>
        <v>-1.3069466116369099</v>
      </c>
      <c r="AB9" s="7">
        <f t="shared" si="1"/>
        <v>0.18081284878985401</v>
      </c>
      <c r="AC9" s="7">
        <f t="shared" si="2"/>
        <v>-0.34549921407678896</v>
      </c>
      <c r="AD9" s="7">
        <f t="shared" si="3"/>
        <v>-0.17998263684848601</v>
      </c>
      <c r="AE9" s="7">
        <f t="shared" si="4"/>
        <v>5.2017786098958298E-3</v>
      </c>
      <c r="AF9" s="7">
        <f t="shared" si="5"/>
        <v>1.6922842930974801E-15</v>
      </c>
      <c r="AG9" s="7">
        <f t="shared" si="5"/>
        <v>2.3099358154234702E-15</v>
      </c>
      <c r="AH9" s="7">
        <f t="shared" si="6"/>
        <v>2.6098920388513951E-2</v>
      </c>
      <c r="AI9" s="7">
        <f t="shared" si="0"/>
        <v>-1.6704625677823177</v>
      </c>
      <c r="AJ9" s="8">
        <f t="shared" si="7"/>
        <v>-0.34029743546689312</v>
      </c>
      <c r="AK9" s="8">
        <f t="shared" si="8"/>
        <v>-1.3061163996955421</v>
      </c>
      <c r="AL9" s="8">
        <f t="shared" si="9"/>
        <v>-5.01476530084006E-2</v>
      </c>
      <c r="AM9" s="8">
        <f t="shared" si="10"/>
        <v>2.6098920388513951E-2</v>
      </c>
      <c r="AN9" s="8">
        <f t="shared" si="11"/>
        <v>-1.6704625677823217</v>
      </c>
      <c r="AO9" s="9">
        <f t="shared" si="13"/>
        <v>8.2162280763366208E-2</v>
      </c>
      <c r="AP9" s="9">
        <f t="shared" si="12"/>
        <v>0.94932043234311614</v>
      </c>
      <c r="AQ9" s="9">
        <f t="shared" si="12"/>
        <v>-3.1807077153757038E-2</v>
      </c>
      <c r="AR9" s="9">
        <f t="shared" si="12"/>
        <v>3.2436404727487959E-4</v>
      </c>
      <c r="AS9" s="9">
        <f t="shared" si="12"/>
        <v>1</v>
      </c>
      <c r="AT9" s="7"/>
      <c r="AU9" s="7"/>
      <c r="AV9" s="7"/>
      <c r="AW9" s="7"/>
      <c r="AX9" s="7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pans="1:62" x14ac:dyDescent="0.25">
      <c r="A10" s="1">
        <v>39903</v>
      </c>
      <c r="B10">
        <f>+[1]wFG_rstar_shock_decomposition!E10</f>
        <v>-3.5773165114307497E-2</v>
      </c>
      <c r="C10">
        <f>+[1]wFG_rstar_shock_decomposition!F10</f>
        <v>-1.0855520118558799</v>
      </c>
      <c r="D10">
        <f>+[1]wFG_rstar_shock_decomposition!G10</f>
        <v>0.23032624202458099</v>
      </c>
      <c r="E10">
        <f>+[1]wFG_rstar_shock_decomposition!H10</f>
        <v>-0.228412744086056</v>
      </c>
      <c r="F10">
        <f>+[1]wFG_rstar_shock_decomposition!I10</f>
        <v>0.18945894089971199</v>
      </c>
      <c r="G10">
        <f>+[1]wFG_rstar_shock_decomposition!J10</f>
        <v>1.9281286187395E-15</v>
      </c>
      <c r="H10">
        <f>+[1]wFG_rstar_shock_decomposition!K10</f>
        <v>4.61746737370402E-15</v>
      </c>
      <c r="I10">
        <f>+[1]wFG_rstar_shock_decomposition!L10</f>
        <v>1.08876212942286E-14</v>
      </c>
      <c r="J10">
        <f>+[1]wFG_rstar_shock_decomposition!M10</f>
        <v>-2.5280718879520801E-15</v>
      </c>
      <c r="K10">
        <f>+[1]wFG_rstar_shock_decomposition!N10</f>
        <v>-2.2738057038245599E-15</v>
      </c>
      <c r="L10">
        <f>+[1]wFG_rstar_shock_decomposition!O10</f>
        <v>-1.1581985133686199E-15</v>
      </c>
      <c r="M10">
        <f>+[1]wFG_rstar_shock_decomposition!P10</f>
        <v>-2.09568924410209E-16</v>
      </c>
      <c r="N10">
        <f>+[1]wFG_rstar_shock_decomposition!Q10</f>
        <v>-5.3446487632399399E-16</v>
      </c>
      <c r="O10">
        <f>+[1]wFG_rstar_shock_decomposition!R10</f>
        <v>-1.1975055416329699E-15</v>
      </c>
      <c r="P10">
        <f>+[1]wFG_rstar_shock_decomposition!S10</f>
        <v>1.6519549449845701E-13</v>
      </c>
      <c r="Q10">
        <f>+[1]wFG_rstar_shock_decomposition!T10</f>
        <v>-7.8812431872975305E-2</v>
      </c>
      <c r="R10">
        <f>+[1]wFG_rstar_shock_decomposition!U10</f>
        <v>0</v>
      </c>
      <c r="S10">
        <f>+[1]wFG_rstar_shock_decomposition!V10</f>
        <v>-0.556336190083077</v>
      </c>
      <c r="T10">
        <f>+[1]wFG_rstar_shock_decomposition!W10</f>
        <v>2.5768875103496E-2</v>
      </c>
      <c r="U10" s="4">
        <f>+[1]wFG_rstar_shock_decomposition!D10</f>
        <v>-1.53933248498433</v>
      </c>
      <c r="Y10" s="1">
        <f t="shared" si="1"/>
        <v>39903</v>
      </c>
      <c r="Z10" s="7">
        <f t="shared" si="1"/>
        <v>-3.5773165114307497E-2</v>
      </c>
      <c r="AA10" s="7">
        <f t="shared" si="1"/>
        <v>-1.0855520118558799</v>
      </c>
      <c r="AB10" s="7">
        <f t="shared" si="1"/>
        <v>0.23032624202458099</v>
      </c>
      <c r="AC10" s="7">
        <f t="shared" si="2"/>
        <v>-0.36687724918336501</v>
      </c>
      <c r="AD10" s="7">
        <f t="shared" si="3"/>
        <v>-0.228412744086056</v>
      </c>
      <c r="AE10" s="7">
        <f t="shared" si="4"/>
        <v>-7.8812431872975305E-2</v>
      </c>
      <c r="AF10" s="7">
        <f t="shared" si="5"/>
        <v>1.9281286187395E-15</v>
      </c>
      <c r="AG10" s="7">
        <f t="shared" si="5"/>
        <v>4.61746737370402E-15</v>
      </c>
      <c r="AH10" s="7">
        <f t="shared" si="6"/>
        <v>2.5768875103664182E-2</v>
      </c>
      <c r="AI10" s="7">
        <f t="shared" si="0"/>
        <v>-1.5393324849843317</v>
      </c>
      <c r="AJ10" s="8">
        <f t="shared" si="7"/>
        <v>-0.44568968105634033</v>
      </c>
      <c r="AK10" s="8">
        <f t="shared" si="8"/>
        <v>-1.083638513917355</v>
      </c>
      <c r="AL10" s="8">
        <f t="shared" si="9"/>
        <v>-3.5773165114307497E-2</v>
      </c>
      <c r="AM10" s="8">
        <f t="shared" si="10"/>
        <v>2.5768875103664182E-2</v>
      </c>
      <c r="AN10" s="8">
        <f t="shared" si="11"/>
        <v>-1.5393324849843386</v>
      </c>
      <c r="AO10" s="9">
        <f t="shared" si="13"/>
        <v>-0.80372286313440988</v>
      </c>
      <c r="AP10" s="9">
        <f t="shared" si="12"/>
        <v>1.6966197308128974</v>
      </c>
      <c r="AQ10" s="9">
        <f t="shared" si="12"/>
        <v>0.10962006266890115</v>
      </c>
      <c r="AR10" s="9">
        <f t="shared" si="12"/>
        <v>-2.5169303473881904E-3</v>
      </c>
      <c r="AS10" s="9">
        <f t="shared" si="12"/>
        <v>1</v>
      </c>
      <c r="AT10" s="7"/>
      <c r="AU10" s="7"/>
      <c r="AV10" s="7"/>
      <c r="AW10" s="7"/>
      <c r="AX10" s="7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</row>
    <row r="11" spans="1:62" x14ac:dyDescent="0.25">
      <c r="A11" s="1">
        <v>39994</v>
      </c>
      <c r="B11">
        <f>+[1]wFG_rstar_shock_decomposition!E11</f>
        <v>-2.4089109529469799E-2</v>
      </c>
      <c r="C11">
        <f>+[1]wFG_rstar_shock_decomposition!F11</f>
        <v>-0.87630026865846899</v>
      </c>
      <c r="D11">
        <f>+[1]wFG_rstar_shock_decomposition!G11</f>
        <v>0.24041405514629799</v>
      </c>
      <c r="E11">
        <f>+[1]wFG_rstar_shock_decomposition!H11</f>
        <v>-0.157732681028249</v>
      </c>
      <c r="F11">
        <f>+[1]wFG_rstar_shock_decomposition!I11</f>
        <v>0.148642018125347</v>
      </c>
      <c r="G11">
        <f>+[1]wFG_rstar_shock_decomposition!J11</f>
        <v>1.7068415980213701E-15</v>
      </c>
      <c r="H11">
        <f>+[1]wFG_rstar_shock_decomposition!K11</f>
        <v>4.4703200978657002E-15</v>
      </c>
      <c r="I11">
        <f>+[1]wFG_rstar_shock_decomposition!L11</f>
        <v>9.4894501958564406E-15</v>
      </c>
      <c r="J11">
        <f>+[1]wFG_rstar_shock_decomposition!M11</f>
        <v>-2.4944878407031402E-15</v>
      </c>
      <c r="K11">
        <f>+[1]wFG_rstar_shock_decomposition!N11</f>
        <v>-2.2743882135680899E-15</v>
      </c>
      <c r="L11">
        <f>+[1]wFG_rstar_shock_decomposition!O11</f>
        <v>-1.87777797184265E-15</v>
      </c>
      <c r="M11">
        <f>+[1]wFG_rstar_shock_decomposition!P11</f>
        <v>-1.04365267865196E-15</v>
      </c>
      <c r="N11">
        <f>+[1]wFG_rstar_shock_decomposition!Q11</f>
        <v>-4.60689881238061E-16</v>
      </c>
      <c r="O11">
        <f>+[1]wFG_rstar_shock_decomposition!R11</f>
        <v>-2.81054011347677E-15</v>
      </c>
      <c r="P11">
        <f>+[1]wFG_rstar_shock_decomposition!S11</f>
        <v>1.60622513916429E-13</v>
      </c>
      <c r="Q11">
        <f>+[1]wFG_rstar_shock_decomposition!T11</f>
        <v>-0.104803321941799</v>
      </c>
      <c r="R11">
        <f>+[1]wFG_rstar_shock_decomposition!U11</f>
        <v>0</v>
      </c>
      <c r="S11">
        <f>+[1]wFG_rstar_shock_decomposition!V11</f>
        <v>-0.45979699741681002</v>
      </c>
      <c r="T11">
        <f>+[1]wFG_rstar_shock_decomposition!W11</f>
        <v>2.5443231714999199E-2</v>
      </c>
      <c r="U11" s="4">
        <f>+[1]wFG_rstar_shock_decomposition!D11</f>
        <v>-1.20822307358798</v>
      </c>
      <c r="Y11" s="1">
        <f t="shared" si="1"/>
        <v>39994</v>
      </c>
      <c r="Z11" s="7">
        <f t="shared" si="1"/>
        <v>-2.4089109529469799E-2</v>
      </c>
      <c r="AA11" s="7">
        <f t="shared" si="1"/>
        <v>-0.87630026865846899</v>
      </c>
      <c r="AB11" s="7">
        <f t="shared" si="1"/>
        <v>0.24041405514629799</v>
      </c>
      <c r="AC11" s="7">
        <f t="shared" si="2"/>
        <v>-0.31115497929146302</v>
      </c>
      <c r="AD11" s="7">
        <f t="shared" si="3"/>
        <v>-0.157732681028249</v>
      </c>
      <c r="AE11" s="7">
        <f t="shared" si="4"/>
        <v>-0.104803321941799</v>
      </c>
      <c r="AF11" s="7">
        <f t="shared" si="5"/>
        <v>1.7068415980213701E-15</v>
      </c>
      <c r="AG11" s="7">
        <f t="shared" si="5"/>
        <v>4.4703200978657002E-15</v>
      </c>
      <c r="AH11" s="7">
        <f t="shared" si="6"/>
        <v>2.5443231715158346E-2</v>
      </c>
      <c r="AI11" s="7">
        <f t="shared" si="0"/>
        <v>-1.2082230735879875</v>
      </c>
      <c r="AJ11" s="8">
        <f t="shared" si="7"/>
        <v>-0.41595830123326205</v>
      </c>
      <c r="AK11" s="8">
        <f t="shared" si="8"/>
        <v>-0.79361889454042001</v>
      </c>
      <c r="AL11" s="8">
        <f t="shared" si="9"/>
        <v>-2.4089109529469799E-2</v>
      </c>
      <c r="AM11" s="8">
        <f t="shared" si="10"/>
        <v>2.5443231715158346E-2</v>
      </c>
      <c r="AN11" s="8">
        <f t="shared" si="11"/>
        <v>-1.2082230735879935</v>
      </c>
      <c r="AO11" s="9">
        <f t="shared" si="13"/>
        <v>8.9793218796457505E-2</v>
      </c>
      <c r="AP11" s="9">
        <f t="shared" si="12"/>
        <v>0.87590267565597901</v>
      </c>
      <c r="AQ11" s="9">
        <f t="shared" si="12"/>
        <v>3.528759733999718E-2</v>
      </c>
      <c r="AR11" s="9">
        <f t="shared" si="12"/>
        <v>-9.8349179243362997E-4</v>
      </c>
      <c r="AS11" s="9">
        <f t="shared" si="12"/>
        <v>1</v>
      </c>
      <c r="AT11" s="7"/>
      <c r="AU11" s="7"/>
      <c r="AV11" s="7"/>
      <c r="AW11" s="7"/>
      <c r="AX11" s="7"/>
      <c r="AZ11" s="3"/>
      <c r="BA11" s="3"/>
      <c r="BB11" s="3"/>
      <c r="BC11" s="3"/>
      <c r="BD11" s="3"/>
      <c r="BE11" s="3"/>
      <c r="BF11" s="3"/>
      <c r="BG11" s="3"/>
      <c r="BH11" s="3"/>
      <c r="BI11" s="3"/>
    </row>
    <row r="12" spans="1:62" x14ac:dyDescent="0.25">
      <c r="A12" s="1">
        <v>40086</v>
      </c>
      <c r="B12">
        <f>+[1]wFG_rstar_shock_decomposition!E12</f>
        <v>-3.9925576677519101E-2</v>
      </c>
      <c r="C12">
        <f>+[1]wFG_rstar_shock_decomposition!F12</f>
        <v>-0.66815747751135102</v>
      </c>
      <c r="D12">
        <f>+[1]wFG_rstar_shock_decomposition!G12</f>
        <v>0.19466108133605001</v>
      </c>
      <c r="E12">
        <f>+[1]wFG_rstar_shock_decomposition!H12</f>
        <v>-6.1837082560996501E-2</v>
      </c>
      <c r="F12">
        <f>+[1]wFG_rstar_shock_decomposition!I12</f>
        <v>0.120921641053823</v>
      </c>
      <c r="G12">
        <f>+[1]wFG_rstar_shock_decomposition!J12</f>
        <v>1.5949460666182599E-15</v>
      </c>
      <c r="H12">
        <f>+[1]wFG_rstar_shock_decomposition!K12</f>
        <v>4.8995216364697702E-15</v>
      </c>
      <c r="I12">
        <f>+[1]wFG_rstar_shock_decomposition!L12</f>
        <v>9.5693580122128993E-15</v>
      </c>
      <c r="J12">
        <f>+[1]wFG_rstar_shock_decomposition!M12</f>
        <v>-1.46931922063309E-15</v>
      </c>
      <c r="K12">
        <f>+[1]wFG_rstar_shock_decomposition!N12</f>
        <v>-1.38867409190896E-15</v>
      </c>
      <c r="L12">
        <f>+[1]wFG_rstar_shock_decomposition!O12</f>
        <v>-1.09594463286912E-15</v>
      </c>
      <c r="M12">
        <f>+[1]wFG_rstar_shock_decomposition!P12</f>
        <v>-7.3554123485900698E-16</v>
      </c>
      <c r="N12">
        <f>+[1]wFG_rstar_shock_decomposition!Q12</f>
        <v>-2.09578997470837E-16</v>
      </c>
      <c r="O12">
        <f>+[1]wFG_rstar_shock_decomposition!R12</f>
        <v>-4.1411505681121199E-15</v>
      </c>
      <c r="P12">
        <f>+[1]wFG_rstar_shock_decomposition!S12</f>
        <v>1.5140306523824699E-13</v>
      </c>
      <c r="Q12">
        <f>+[1]wFG_rstar_shock_decomposition!T12</f>
        <v>-0.190469314826472</v>
      </c>
      <c r="R12">
        <f>+[1]wFG_rstar_shock_decomposition!U12</f>
        <v>0</v>
      </c>
      <c r="S12">
        <f>+[1]wFG_rstar_shock_decomposition!V12</f>
        <v>-0.512112838205112</v>
      </c>
      <c r="T12">
        <f>+[1]wFG_rstar_shock_decomposition!W12</f>
        <v>2.5121929827879998E-2</v>
      </c>
      <c r="U12" s="4">
        <f>+[1]wFG_rstar_shock_decomposition!D12</f>
        <v>-1.1317976375635299</v>
      </c>
      <c r="Y12" s="1">
        <f t="shared" si="1"/>
        <v>40086</v>
      </c>
      <c r="Z12" s="7">
        <f t="shared" si="1"/>
        <v>-3.9925576677519101E-2</v>
      </c>
      <c r="AA12" s="7">
        <f t="shared" si="1"/>
        <v>-0.66815747751135102</v>
      </c>
      <c r="AB12" s="7">
        <f t="shared" si="1"/>
        <v>0.19466108133605001</v>
      </c>
      <c r="AC12" s="7">
        <f t="shared" si="2"/>
        <v>-0.39119119715128903</v>
      </c>
      <c r="AD12" s="7">
        <f t="shared" si="3"/>
        <v>-6.1837082560996501E-2</v>
      </c>
      <c r="AE12" s="7">
        <f t="shared" si="4"/>
        <v>-0.190469314826472</v>
      </c>
      <c r="AF12" s="7">
        <f t="shared" si="5"/>
        <v>1.5949460666182599E-15</v>
      </c>
      <c r="AG12" s="7">
        <f t="shared" si="5"/>
        <v>4.8995216364697702E-15</v>
      </c>
      <c r="AH12" s="7">
        <f t="shared" si="6"/>
        <v>2.5121929828031929E-2</v>
      </c>
      <c r="AI12" s="7">
        <f t="shared" si="0"/>
        <v>-1.1317976375635392</v>
      </c>
      <c r="AJ12" s="8">
        <f t="shared" si="7"/>
        <v>-0.58166051197776103</v>
      </c>
      <c r="AK12" s="8">
        <f t="shared" si="8"/>
        <v>-0.53533347873629755</v>
      </c>
      <c r="AL12" s="8">
        <f t="shared" si="9"/>
        <v>-3.9925576677519101E-2</v>
      </c>
      <c r="AM12" s="8">
        <f t="shared" si="10"/>
        <v>2.5121929828031929E-2</v>
      </c>
      <c r="AN12" s="8">
        <f t="shared" si="11"/>
        <v>-1.1317976375635459</v>
      </c>
      <c r="AO12" s="9">
        <f t="shared" si="13"/>
        <v>-2.1681552551625973</v>
      </c>
      <c r="AP12" s="9">
        <f t="shared" si="12"/>
        <v>3.3795739905428857</v>
      </c>
      <c r="AQ12" s="9">
        <f t="shared" si="12"/>
        <v>-0.20721461298543847</v>
      </c>
      <c r="AR12" s="9">
        <f t="shared" si="12"/>
        <v>-4.2041223948481787E-3</v>
      </c>
      <c r="AS12" s="9">
        <f t="shared" si="12"/>
        <v>1</v>
      </c>
      <c r="AT12" s="7"/>
      <c r="AU12" s="7"/>
      <c r="AV12" s="7"/>
      <c r="AW12" s="7"/>
      <c r="AX12" s="7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</row>
    <row r="13" spans="1:62" x14ac:dyDescent="0.25">
      <c r="A13" s="1">
        <v>40178</v>
      </c>
      <c r="B13">
        <f>+[1]wFG_rstar_shock_decomposition!E13</f>
        <v>-2.7038449102135001E-2</v>
      </c>
      <c r="C13">
        <f>+[1]wFG_rstar_shock_decomposition!F13</f>
        <v>-0.58178558866152896</v>
      </c>
      <c r="D13">
        <f>+[1]wFG_rstar_shock_decomposition!G13</f>
        <v>0.15426066736204899</v>
      </c>
      <c r="E13">
        <f>+[1]wFG_rstar_shock_decomposition!H13</f>
        <v>1.94376392961126E-4</v>
      </c>
      <c r="F13">
        <f>+[1]wFG_rstar_shock_decomposition!I13</f>
        <v>6.3221109042336604E-2</v>
      </c>
      <c r="G13">
        <f>+[1]wFG_rstar_shock_decomposition!J13</f>
        <v>3.2339766918551799E-16</v>
      </c>
      <c r="H13">
        <f>+[1]wFG_rstar_shock_decomposition!K13</f>
        <v>5.509701977865E-15</v>
      </c>
      <c r="I13">
        <f>+[1]wFG_rstar_shock_decomposition!L13</f>
        <v>6.8087841291587897E-15</v>
      </c>
      <c r="J13">
        <f>+[1]wFG_rstar_shock_decomposition!M13</f>
        <v>-1.6704527438965E-15</v>
      </c>
      <c r="K13">
        <f>+[1]wFG_rstar_shock_decomposition!N13</f>
        <v>-1.3798323363857E-15</v>
      </c>
      <c r="L13">
        <f>+[1]wFG_rstar_shock_decomposition!O13</f>
        <v>-1.66334522847543E-15</v>
      </c>
      <c r="M13">
        <f>+[1]wFG_rstar_shock_decomposition!P13</f>
        <v>-7.8438804280151099E-16</v>
      </c>
      <c r="N13">
        <f>+[1]wFG_rstar_shock_decomposition!Q13</f>
        <v>-3.6540949484849201E-16</v>
      </c>
      <c r="O13">
        <f>+[1]wFG_rstar_shock_decomposition!R13</f>
        <v>-5.6765717907724103E-15</v>
      </c>
      <c r="P13">
        <f>+[1]wFG_rstar_shock_decomposition!S13</f>
        <v>1.4402764723143601E-13</v>
      </c>
      <c r="Q13">
        <f>+[1]wFG_rstar_shock_decomposition!T13</f>
        <v>-0.18235299897498999</v>
      </c>
      <c r="R13">
        <f>+[1]wFG_rstar_shock_decomposition!U13</f>
        <v>0</v>
      </c>
      <c r="S13">
        <f>+[1]wFG_rstar_shock_decomposition!V13</f>
        <v>-0.422437547262212</v>
      </c>
      <c r="T13">
        <f>+[1]wFG_rstar_shock_decomposition!W13</f>
        <v>2.4804909837632502E-2</v>
      </c>
      <c r="U13" s="4">
        <f>+[1]wFG_rstar_shock_decomposition!D13</f>
        <v>-0.97113352136574005</v>
      </c>
      <c r="Y13" s="1">
        <f t="shared" si="1"/>
        <v>40178</v>
      </c>
      <c r="Z13" s="7">
        <f t="shared" si="1"/>
        <v>-2.7038449102135001E-2</v>
      </c>
      <c r="AA13" s="7">
        <f t="shared" si="1"/>
        <v>-0.58178558866152896</v>
      </c>
      <c r="AB13" s="7">
        <f t="shared" si="1"/>
        <v>0.15426066736204899</v>
      </c>
      <c r="AC13" s="7">
        <f t="shared" si="2"/>
        <v>-0.35921643821987537</v>
      </c>
      <c r="AD13" s="7">
        <f t="shared" si="3"/>
        <v>1.94376392961126E-4</v>
      </c>
      <c r="AE13" s="7">
        <f t="shared" si="4"/>
        <v>-0.18235299897498999</v>
      </c>
      <c r="AF13" s="7">
        <f t="shared" si="5"/>
        <v>3.2339766918551799E-16</v>
      </c>
      <c r="AG13" s="7">
        <f t="shared" si="5"/>
        <v>5.509701977865E-15</v>
      </c>
      <c r="AH13" s="7">
        <f t="shared" si="6"/>
        <v>2.48049098377718E-2</v>
      </c>
      <c r="AI13" s="7">
        <f t="shared" si="0"/>
        <v>-0.97113352136574149</v>
      </c>
      <c r="AJ13" s="8">
        <f t="shared" si="7"/>
        <v>-0.54156943719486539</v>
      </c>
      <c r="AK13" s="8">
        <f t="shared" si="8"/>
        <v>-0.42733054490651884</v>
      </c>
      <c r="AL13" s="8">
        <f t="shared" si="9"/>
        <v>-2.7038449102135001E-2</v>
      </c>
      <c r="AM13" s="8">
        <f t="shared" si="10"/>
        <v>2.48049098377718E-2</v>
      </c>
      <c r="AN13" s="8">
        <f t="shared" si="11"/>
        <v>-0.97113352136574738</v>
      </c>
      <c r="AO13" s="9">
        <f t="shared" si="13"/>
        <v>0.24953347226295566</v>
      </c>
      <c r="AP13" s="9">
        <f t="shared" si="12"/>
        <v>0.67222810161799285</v>
      </c>
      <c r="AQ13" s="9">
        <f t="shared" si="12"/>
        <v>8.0211610908302394E-2</v>
      </c>
      <c r="AR13" s="9">
        <f t="shared" si="12"/>
        <v>-1.973184789252107E-3</v>
      </c>
      <c r="AS13" s="9">
        <f t="shared" si="12"/>
        <v>1</v>
      </c>
      <c r="AT13" s="7"/>
      <c r="AU13" s="7"/>
      <c r="AV13" s="7"/>
      <c r="AW13" s="7"/>
      <c r="AX13" s="7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</row>
    <row r="14" spans="1:62" x14ac:dyDescent="0.25">
      <c r="A14" s="1">
        <v>40268</v>
      </c>
      <c r="B14">
        <f>+[1]wFG_rstar_shock_decomposition!E14</f>
        <v>-2.8494113734741599E-2</v>
      </c>
      <c r="C14">
        <f>+[1]wFG_rstar_shock_decomposition!F14</f>
        <v>-0.48620875558308602</v>
      </c>
      <c r="D14">
        <f>+[1]wFG_rstar_shock_decomposition!G14</f>
        <v>9.5901011351545204E-2</v>
      </c>
      <c r="E14">
        <f>+[1]wFG_rstar_shock_decomposition!H14</f>
        <v>-2.2461200865772E-2</v>
      </c>
      <c r="F14">
        <f>+[1]wFG_rstar_shock_decomposition!I14</f>
        <v>5.0777858026416399E-2</v>
      </c>
      <c r="G14">
        <f>+[1]wFG_rstar_shock_decomposition!J14</f>
        <v>4.29296942041903E-16</v>
      </c>
      <c r="H14">
        <f>+[1]wFG_rstar_shock_decomposition!K14</f>
        <v>7.0121020189308404E-15</v>
      </c>
      <c r="I14">
        <f>+[1]wFG_rstar_shock_decomposition!L14</f>
        <v>5.9508455978795901E-15</v>
      </c>
      <c r="J14">
        <f>+[1]wFG_rstar_shock_decomposition!M14</f>
        <v>-1.37430749009016E-15</v>
      </c>
      <c r="K14">
        <f>+[1]wFG_rstar_shock_decomposition!N14</f>
        <v>-7.3505144734594002E-16</v>
      </c>
      <c r="L14">
        <f>+[1]wFG_rstar_shock_decomposition!O14</f>
        <v>-9.11823834851449E-16</v>
      </c>
      <c r="M14">
        <f>+[1]wFG_rstar_shock_decomposition!P14</f>
        <v>-2.8358020348555699E-16</v>
      </c>
      <c r="N14">
        <f>+[1]wFG_rstar_shock_decomposition!Q14</f>
        <v>2.4666828590363E-16</v>
      </c>
      <c r="O14">
        <f>+[1]wFG_rstar_shock_decomposition!R14</f>
        <v>-7.1570848811025205E-15</v>
      </c>
      <c r="P14">
        <f>+[1]wFG_rstar_shock_decomposition!S14</f>
        <v>1.4282600826113901E-13</v>
      </c>
      <c r="Q14">
        <f>+[1]wFG_rstar_shock_decomposition!T14</f>
        <v>-0.24381378230140999</v>
      </c>
      <c r="R14">
        <f>+[1]wFG_rstar_shock_decomposition!U14</f>
        <v>0</v>
      </c>
      <c r="S14">
        <f>+[1]wFG_rstar_shock_decomposition!V14</f>
        <v>-0.62034208317989903</v>
      </c>
      <c r="T14">
        <f>+[1]wFG_rstar_shock_decomposition!W14</f>
        <v>2.4492112922129199E-2</v>
      </c>
      <c r="U14" s="4">
        <f>+[1]wFG_rstar_shock_decomposition!D14</f>
        <v>-1.2301489533646699</v>
      </c>
      <c r="Y14" s="1">
        <f t="shared" si="1"/>
        <v>40268</v>
      </c>
      <c r="Z14" s="7">
        <f t="shared" si="1"/>
        <v>-2.8494113734741599E-2</v>
      </c>
      <c r="AA14" s="7">
        <f t="shared" si="1"/>
        <v>-0.48620875558308602</v>
      </c>
      <c r="AB14" s="7">
        <f t="shared" si="1"/>
        <v>9.5901011351545204E-2</v>
      </c>
      <c r="AC14" s="7">
        <f t="shared" si="2"/>
        <v>-0.5695642251534826</v>
      </c>
      <c r="AD14" s="7">
        <f t="shared" si="3"/>
        <v>-2.2461200865772E-2</v>
      </c>
      <c r="AE14" s="7">
        <f t="shared" si="4"/>
        <v>-0.24381378230140999</v>
      </c>
      <c r="AF14" s="7">
        <f t="shared" si="5"/>
        <v>4.29296942041903E-16</v>
      </c>
      <c r="AG14" s="7">
        <f t="shared" si="5"/>
        <v>7.0121020189308404E-15</v>
      </c>
      <c r="AH14" s="7">
        <f t="shared" si="6"/>
        <v>2.4492112922267759E-2</v>
      </c>
      <c r="AI14" s="7">
        <f t="shared" si="0"/>
        <v>-1.2301489533646717</v>
      </c>
      <c r="AJ14" s="8">
        <f t="shared" si="7"/>
        <v>-0.81337800745489264</v>
      </c>
      <c r="AK14" s="8">
        <f t="shared" si="8"/>
        <v>-0.41276894509731282</v>
      </c>
      <c r="AL14" s="8">
        <f t="shared" si="9"/>
        <v>-2.8494113734741599E-2</v>
      </c>
      <c r="AM14" s="8">
        <f t="shared" si="10"/>
        <v>2.4492112922267759E-2</v>
      </c>
      <c r="AN14" s="8">
        <f t="shared" si="11"/>
        <v>-1.2301489533646794</v>
      </c>
      <c r="AO14" s="9">
        <f t="shared" si="13"/>
        <v>1.0493914133314957</v>
      </c>
      <c r="AP14" s="9">
        <f t="shared" si="12"/>
        <v>-5.6219043386056065E-2</v>
      </c>
      <c r="AQ14" s="9">
        <f t="shared" si="12"/>
        <v>5.6199919108008969E-3</v>
      </c>
      <c r="AR14" s="9">
        <f t="shared" si="12"/>
        <v>1.2076381437586734E-3</v>
      </c>
      <c r="AS14" s="9">
        <f t="shared" si="12"/>
        <v>1</v>
      </c>
      <c r="AT14" s="7"/>
      <c r="AU14" s="7"/>
      <c r="AV14" s="7"/>
      <c r="AW14" s="7"/>
      <c r="AX14" s="7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</row>
    <row r="15" spans="1:62" x14ac:dyDescent="0.25">
      <c r="A15" s="1">
        <v>40359</v>
      </c>
      <c r="B15">
        <f>+[1]wFG_rstar_shock_decomposition!E15</f>
        <v>-2.82922007426669E-2</v>
      </c>
      <c r="C15">
        <f>+[1]wFG_rstar_shock_decomposition!F15</f>
        <v>-0.640383925170946</v>
      </c>
      <c r="D15">
        <f>+[1]wFG_rstar_shock_decomposition!G15</f>
        <v>-0.15320738753542701</v>
      </c>
      <c r="E15">
        <f>+[1]wFG_rstar_shock_decomposition!H15</f>
        <v>2.39212531687522E-2</v>
      </c>
      <c r="F15">
        <f>+[1]wFG_rstar_shock_decomposition!I15</f>
        <v>4.4856098907450598E-2</v>
      </c>
      <c r="G15">
        <f>+[1]wFG_rstar_shock_decomposition!J15</f>
        <v>5.8130182106596099E-16</v>
      </c>
      <c r="H15">
        <f>+[1]wFG_rstar_shock_decomposition!K15</f>
        <v>7.6845370628177707E-15</v>
      </c>
      <c r="I15">
        <f>+[1]wFG_rstar_shock_decomposition!L15</f>
        <v>6.4761527247765398E-15</v>
      </c>
      <c r="J15">
        <f>+[1]wFG_rstar_shock_decomposition!M15</f>
        <v>-2.9412868346637699E-16</v>
      </c>
      <c r="K15">
        <f>+[1]wFG_rstar_shock_decomposition!N15</f>
        <v>2.54166548230689E-16</v>
      </c>
      <c r="L15">
        <f>+[1]wFG_rstar_shock_decomposition!O15</f>
        <v>5.4233853890238497E-16</v>
      </c>
      <c r="M15">
        <f>+[1]wFG_rstar_shock_decomposition!P15</f>
        <v>1.37469860548053E-15</v>
      </c>
      <c r="N15">
        <f>+[1]wFG_rstar_shock_decomposition!Q15</f>
        <v>2.4406688924942E-15</v>
      </c>
      <c r="O15">
        <f>+[1]wFG_rstar_shock_decomposition!R15</f>
        <v>-7.0450527442541398E-15</v>
      </c>
      <c r="P15">
        <f>+[1]wFG_rstar_shock_decomposition!S15</f>
        <v>1.3597169923741101E-13</v>
      </c>
      <c r="Q15">
        <f>+[1]wFG_rstar_shock_decomposition!T15</f>
        <v>-0.22687690642835501</v>
      </c>
      <c r="R15">
        <f>+[1]wFG_rstar_shock_decomposition!U15</f>
        <v>0</v>
      </c>
      <c r="S15">
        <f>+[1]wFG_rstar_shock_decomposition!V15</f>
        <v>-0.83300939723979495</v>
      </c>
      <c r="T15">
        <f>+[1]wFG_rstar_shock_decomposition!W15</f>
        <v>2.4183481033541499E-2</v>
      </c>
      <c r="U15" s="4">
        <f>+[1]wFG_rstar_shock_decomposition!D15</f>
        <v>-1.78880898400729</v>
      </c>
      <c r="Y15" s="1">
        <f t="shared" si="1"/>
        <v>40359</v>
      </c>
      <c r="Z15" s="7">
        <f t="shared" si="1"/>
        <v>-2.82922007426669E-2</v>
      </c>
      <c r="AA15" s="7">
        <f t="shared" si="1"/>
        <v>-0.640383925170946</v>
      </c>
      <c r="AB15" s="7">
        <f t="shared" si="1"/>
        <v>-0.15320738753542701</v>
      </c>
      <c r="AC15" s="7">
        <f t="shared" si="2"/>
        <v>-0.78815329833234438</v>
      </c>
      <c r="AD15" s="7">
        <f t="shared" si="3"/>
        <v>2.39212531687522E-2</v>
      </c>
      <c r="AE15" s="7">
        <f t="shared" si="4"/>
        <v>-0.22687690642835501</v>
      </c>
      <c r="AF15" s="7">
        <f t="shared" si="5"/>
        <v>5.8130182106596099E-16</v>
      </c>
      <c r="AG15" s="7">
        <f t="shared" si="5"/>
        <v>7.6845370628177707E-15</v>
      </c>
      <c r="AH15" s="7">
        <f t="shared" si="6"/>
        <v>2.4183481033681214E-2</v>
      </c>
      <c r="AI15" s="7">
        <f t="shared" si="0"/>
        <v>-1.7888089840072974</v>
      </c>
      <c r="AJ15" s="8">
        <f t="shared" si="7"/>
        <v>-1.0150302047606994</v>
      </c>
      <c r="AK15" s="8">
        <f t="shared" si="8"/>
        <v>-0.7696700595376208</v>
      </c>
      <c r="AL15" s="8">
        <f t="shared" si="9"/>
        <v>-2.82922007426669E-2</v>
      </c>
      <c r="AM15" s="8">
        <f t="shared" si="10"/>
        <v>2.4183481033681214E-2</v>
      </c>
      <c r="AN15" s="8">
        <f t="shared" si="11"/>
        <v>-1.7888089840073058</v>
      </c>
      <c r="AO15" s="9">
        <f t="shared" si="13"/>
        <v>0.36095690803912767</v>
      </c>
      <c r="AP15" s="9">
        <f t="shared" si="12"/>
        <v>0.6388520654140315</v>
      </c>
      <c r="AQ15" s="9">
        <f t="shared" si="12"/>
        <v>-3.6142372999628823E-4</v>
      </c>
      <c r="AR15" s="9">
        <f t="shared" si="12"/>
        <v>5.5245027683746355E-4</v>
      </c>
      <c r="AS15" s="9">
        <f t="shared" si="12"/>
        <v>1</v>
      </c>
      <c r="AT15" s="7"/>
      <c r="AU15" s="7"/>
      <c r="AV15" s="7"/>
      <c r="AW15" s="7"/>
      <c r="AX15" s="7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</row>
    <row r="16" spans="1:62" x14ac:dyDescent="0.25">
      <c r="A16" s="1">
        <v>40451</v>
      </c>
      <c r="B16">
        <f>+[1]wFG_rstar_shock_decomposition!E16</f>
        <v>-1.9280872158649001E-2</v>
      </c>
      <c r="C16">
        <f>+[1]wFG_rstar_shock_decomposition!F16</f>
        <v>-0.70215744037565397</v>
      </c>
      <c r="D16">
        <f>+[1]wFG_rstar_shock_decomposition!G16</f>
        <v>-0.18872773973873899</v>
      </c>
      <c r="E16">
        <f>+[1]wFG_rstar_shock_decomposition!H16</f>
        <v>-3.2718492765900699E-2</v>
      </c>
      <c r="F16">
        <f>+[1]wFG_rstar_shock_decomposition!I16</f>
        <v>1.49896415860364E-2</v>
      </c>
      <c r="G16">
        <f>+[1]wFG_rstar_shock_decomposition!J16</f>
        <v>9.4034412713698303E-16</v>
      </c>
      <c r="H16">
        <f>+[1]wFG_rstar_shock_decomposition!K16</f>
        <v>8.4771861144891194E-15</v>
      </c>
      <c r="I16">
        <f>+[1]wFG_rstar_shock_decomposition!L16</f>
        <v>5.1772545155356597E-15</v>
      </c>
      <c r="J16">
        <f>+[1]wFG_rstar_shock_decomposition!M16</f>
        <v>-6.3320226498485999E-16</v>
      </c>
      <c r="K16">
        <f>+[1]wFG_rstar_shock_decomposition!N16</f>
        <v>3.7648074321591603E-17</v>
      </c>
      <c r="L16">
        <f>+[1]wFG_rstar_shock_decomposition!O16</f>
        <v>5.2978913170686695E-16</v>
      </c>
      <c r="M16">
        <f>+[1]wFG_rstar_shock_decomposition!P16</f>
        <v>1.08646875658229E-15</v>
      </c>
      <c r="N16">
        <f>+[1]wFG_rstar_shock_decomposition!Q16</f>
        <v>2.8906969298189E-15</v>
      </c>
      <c r="O16">
        <f>+[1]wFG_rstar_shock_decomposition!R16</f>
        <v>-6.52251092237534E-15</v>
      </c>
      <c r="P16">
        <f>+[1]wFG_rstar_shock_decomposition!S16</f>
        <v>1.34863894033361E-13</v>
      </c>
      <c r="Q16">
        <f>+[1]wFG_rstar_shock_decomposition!T16</f>
        <v>-0.25348782470067199</v>
      </c>
      <c r="R16">
        <f>+[1]wFG_rstar_shock_decomposition!U16</f>
        <v>0</v>
      </c>
      <c r="S16">
        <f>+[1]wFG_rstar_shock_decomposition!V16</f>
        <v>-0.75825676961806499</v>
      </c>
      <c r="T16">
        <f>+[1]wFG_rstar_shock_decomposition!W16</f>
        <v>2.38789568902695E-2</v>
      </c>
      <c r="U16" s="4">
        <f>+[1]wFG_rstar_shock_decomposition!D16</f>
        <v>-1.9157605408812199</v>
      </c>
      <c r="Y16" s="1">
        <f t="shared" si="1"/>
        <v>40451</v>
      </c>
      <c r="Z16" s="7">
        <f t="shared" si="1"/>
        <v>-1.9280872158649001E-2</v>
      </c>
      <c r="AA16" s="7">
        <f t="shared" si="1"/>
        <v>-0.70215744037565397</v>
      </c>
      <c r="AB16" s="7">
        <f t="shared" si="1"/>
        <v>-0.18872773973873899</v>
      </c>
      <c r="AC16" s="7">
        <f t="shared" si="2"/>
        <v>-0.74326712803202855</v>
      </c>
      <c r="AD16" s="7">
        <f t="shared" si="3"/>
        <v>-3.2718492765900699E-2</v>
      </c>
      <c r="AE16" s="7">
        <f t="shared" si="4"/>
        <v>-0.25348782470067199</v>
      </c>
      <c r="AF16" s="7">
        <f t="shared" si="5"/>
        <v>9.4034412713698303E-16</v>
      </c>
      <c r="AG16" s="7">
        <f t="shared" si="5"/>
        <v>8.4771861144891194E-15</v>
      </c>
      <c r="AH16" s="7">
        <f t="shared" si="6"/>
        <v>2.3878956890406929E-2</v>
      </c>
      <c r="AI16" s="7">
        <f t="shared" si="0"/>
        <v>-1.915760540881227</v>
      </c>
      <c r="AJ16" s="8">
        <f t="shared" si="7"/>
        <v>-0.99675495273270054</v>
      </c>
      <c r="AK16" s="8">
        <f t="shared" si="8"/>
        <v>-0.92360367288029366</v>
      </c>
      <c r="AL16" s="8">
        <f t="shared" si="9"/>
        <v>-1.9280872158649001E-2</v>
      </c>
      <c r="AM16" s="8">
        <f t="shared" si="10"/>
        <v>2.3878956890406929E-2</v>
      </c>
      <c r="AN16" s="8">
        <f t="shared" si="11"/>
        <v>-1.9157605408812362</v>
      </c>
      <c r="AO16" s="9">
        <f t="shared" si="13"/>
        <v>-0.1439545325635285</v>
      </c>
      <c r="AP16" s="9">
        <f t="shared" si="12"/>
        <v>1.2125382085352221</v>
      </c>
      <c r="AQ16" s="9">
        <f t="shared" si="12"/>
        <v>-7.0982418852622881E-2</v>
      </c>
      <c r="AR16" s="9">
        <f t="shared" si="12"/>
        <v>2.398742880929723E-3</v>
      </c>
      <c r="AS16" s="9">
        <f t="shared" si="12"/>
        <v>1</v>
      </c>
      <c r="AT16" s="7"/>
      <c r="AU16" s="7"/>
      <c r="AV16" s="7"/>
      <c r="AW16" s="7"/>
      <c r="AX16" s="7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</row>
    <row r="17" spans="1:87" x14ac:dyDescent="0.25">
      <c r="A17" s="1">
        <v>40543</v>
      </c>
      <c r="B17">
        <f>+[1]wFG_rstar_shock_decomposition!E17</f>
        <v>-4.1303004539159603E-2</v>
      </c>
      <c r="C17">
        <f>+[1]wFG_rstar_shock_decomposition!F17</f>
        <v>-0.67840625215024497</v>
      </c>
      <c r="D17">
        <f>+[1]wFG_rstar_shock_decomposition!G17</f>
        <v>-0.17135993149501</v>
      </c>
      <c r="E17">
        <f>+[1]wFG_rstar_shock_decomposition!H17</f>
        <v>1.13560930928052E-2</v>
      </c>
      <c r="F17">
        <f>+[1]wFG_rstar_shock_decomposition!I17</f>
        <v>-2.5747730866651501E-3</v>
      </c>
      <c r="G17">
        <f>+[1]wFG_rstar_shock_decomposition!J17</f>
        <v>2.9945298170541502E-17</v>
      </c>
      <c r="H17">
        <f>+[1]wFG_rstar_shock_decomposition!K17</f>
        <v>9.4410290562619697E-15</v>
      </c>
      <c r="I17">
        <f>+[1]wFG_rstar_shock_decomposition!L17</f>
        <v>4.13764700580826E-15</v>
      </c>
      <c r="J17">
        <f>+[1]wFG_rstar_shock_decomposition!M17</f>
        <v>-5.6129978665641503E-16</v>
      </c>
      <c r="K17">
        <f>+[1]wFG_rstar_shock_decomposition!N17</f>
        <v>3.6109500632866398E-17</v>
      </c>
      <c r="L17">
        <f>+[1]wFG_rstar_shock_decomposition!O17</f>
        <v>4.4604030870362404E-16</v>
      </c>
      <c r="M17">
        <f>+[1]wFG_rstar_shock_decomposition!P17</f>
        <v>9.173482271486399E-16</v>
      </c>
      <c r="N17">
        <f>+[1]wFG_rstar_shock_decomposition!Q17</f>
        <v>2.1349316447767301E-15</v>
      </c>
      <c r="O17">
        <f>+[1]wFG_rstar_shock_decomposition!R17</f>
        <v>-6.8069097875930702E-15</v>
      </c>
      <c r="P17">
        <f>+[1]wFG_rstar_shock_decomposition!S17</f>
        <v>1.3152426044135399E-13</v>
      </c>
      <c r="Q17">
        <f>+[1]wFG_rstar_shock_decomposition!T17</f>
        <v>-0.22157962997979899</v>
      </c>
      <c r="R17">
        <f>+[1]wFG_rstar_shock_decomposition!U17</f>
        <v>0</v>
      </c>
      <c r="S17">
        <f>+[1]wFG_rstar_shock_decomposition!V17</f>
        <v>-0.72816470719138604</v>
      </c>
      <c r="T17">
        <f>+[1]wFG_rstar_shock_decomposition!W17</f>
        <v>2.35784839688831E-2</v>
      </c>
      <c r="U17" s="4">
        <f>+[1]wFG_rstar_shock_decomposition!D17</f>
        <v>-1.8084537213804299</v>
      </c>
      <c r="Y17" s="1">
        <f t="shared" si="1"/>
        <v>40543</v>
      </c>
      <c r="Z17" s="7">
        <f t="shared" si="1"/>
        <v>-4.1303004539159603E-2</v>
      </c>
      <c r="AA17" s="7">
        <f t="shared" si="1"/>
        <v>-0.67840625215024497</v>
      </c>
      <c r="AB17" s="7">
        <f t="shared" si="1"/>
        <v>-0.17135993149501</v>
      </c>
      <c r="AC17" s="7">
        <f t="shared" si="2"/>
        <v>-0.73073948027805125</v>
      </c>
      <c r="AD17" s="7">
        <f t="shared" si="3"/>
        <v>1.13560930928052E-2</v>
      </c>
      <c r="AE17" s="7">
        <f t="shared" si="4"/>
        <v>-0.22157962997979899</v>
      </c>
      <c r="AF17" s="7">
        <f t="shared" si="5"/>
        <v>2.9945298170541502E-17</v>
      </c>
      <c r="AG17" s="7">
        <f t="shared" si="5"/>
        <v>9.4410290562619697E-15</v>
      </c>
      <c r="AH17" s="7">
        <f t="shared" si="6"/>
        <v>2.3578483969014925E-2</v>
      </c>
      <c r="AI17" s="7">
        <f t="shared" si="0"/>
        <v>-1.8084537213804353</v>
      </c>
      <c r="AJ17" s="8">
        <f t="shared" si="7"/>
        <v>-0.95231911025785021</v>
      </c>
      <c r="AK17" s="8">
        <f t="shared" si="8"/>
        <v>-0.83841009055244986</v>
      </c>
      <c r="AL17" s="8">
        <f t="shared" si="9"/>
        <v>-4.1303004539159603E-2</v>
      </c>
      <c r="AM17" s="8">
        <f t="shared" si="10"/>
        <v>2.3578483969014925E-2</v>
      </c>
      <c r="AN17" s="8">
        <f t="shared" si="11"/>
        <v>-1.8084537213804448</v>
      </c>
      <c r="AO17" s="9">
        <f t="shared" si="13"/>
        <v>0.41410082492028971</v>
      </c>
      <c r="AP17" s="9">
        <f t="shared" si="12"/>
        <v>0.79392514589639407</v>
      </c>
      <c r="AQ17" s="9">
        <f t="shared" si="12"/>
        <v>-0.20522584196382967</v>
      </c>
      <c r="AR17" s="9">
        <f t="shared" si="12"/>
        <v>-2.8001288528525254E-3</v>
      </c>
      <c r="AS17" s="9">
        <f t="shared" si="12"/>
        <v>1</v>
      </c>
      <c r="AT17" s="7"/>
      <c r="AU17" s="7"/>
      <c r="AV17" s="7"/>
      <c r="AW17" s="7"/>
      <c r="AX17" s="7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</row>
    <row r="18" spans="1:87" x14ac:dyDescent="0.25">
      <c r="A18" s="1">
        <v>40633</v>
      </c>
      <c r="B18">
        <f>+[1]wFG_rstar_shock_decomposition!E18</f>
        <v>-5.8766053904821799E-2</v>
      </c>
      <c r="C18">
        <f>+[1]wFG_rstar_shock_decomposition!F18</f>
        <v>-0.51321703243347105</v>
      </c>
      <c r="D18">
        <f>+[1]wFG_rstar_shock_decomposition!G18</f>
        <v>-0.16770908393975201</v>
      </c>
      <c r="E18">
        <f>+[1]wFG_rstar_shock_decomposition!H18</f>
        <v>-1.7824100309387001E-2</v>
      </c>
      <c r="F18">
        <f>+[1]wFG_rstar_shock_decomposition!I18</f>
        <v>9.7107511037770201E-3</v>
      </c>
      <c r="G18">
        <f>+[1]wFG_rstar_shock_decomposition!J18</f>
        <v>-2.6544696605558401E-16</v>
      </c>
      <c r="H18">
        <f>+[1]wFG_rstar_shock_decomposition!K18</f>
        <v>9.6208028431271392E-15</v>
      </c>
      <c r="I18">
        <f>+[1]wFG_rstar_shock_decomposition!L18</f>
        <v>4.1057007469899501E-15</v>
      </c>
      <c r="J18">
        <f>+[1]wFG_rstar_shock_decomposition!M18</f>
        <v>-7.1979731764247496E-16</v>
      </c>
      <c r="K18">
        <f>+[1]wFG_rstar_shock_decomposition!N18</f>
        <v>-2.1076330109875401E-16</v>
      </c>
      <c r="L18">
        <f>+[1]wFG_rstar_shock_decomposition!O18</f>
        <v>-1.45723464758882E-16</v>
      </c>
      <c r="M18">
        <f>+[1]wFG_rstar_shock_decomposition!P18</f>
        <v>2.6837131434762502E-16</v>
      </c>
      <c r="N18">
        <f>+[1]wFG_rstar_shock_decomposition!Q18</f>
        <v>1.9792750922214001E-15</v>
      </c>
      <c r="O18">
        <f>+[1]wFG_rstar_shock_decomposition!R18</f>
        <v>-7.9221250475968695E-15</v>
      </c>
      <c r="P18">
        <f>+[1]wFG_rstar_shock_decomposition!S18</f>
        <v>1.2901762241072799E-13</v>
      </c>
      <c r="Q18">
        <f>+[1]wFG_rstar_shock_decomposition!T18</f>
        <v>-0.255698318547109</v>
      </c>
      <c r="R18">
        <f>+[1]wFG_rstar_shock_decomposition!U18</f>
        <v>0</v>
      </c>
      <c r="S18">
        <f>+[1]wFG_rstar_shock_decomposition!V18</f>
        <v>-0.61979072617499298</v>
      </c>
      <c r="T18">
        <f>+[1]wFG_rstar_shock_decomposition!W18</f>
        <v>2.3282006496076198E-2</v>
      </c>
      <c r="U18" s="4">
        <f>+[1]wFG_rstar_shock_decomposition!D18</f>
        <v>-1.6000125577095401</v>
      </c>
      <c r="Y18" s="1">
        <f t="shared" si="1"/>
        <v>40633</v>
      </c>
      <c r="Z18" s="7">
        <f t="shared" si="1"/>
        <v>-5.8766053904821799E-2</v>
      </c>
      <c r="AA18" s="7">
        <f t="shared" si="1"/>
        <v>-0.51321703243347105</v>
      </c>
      <c r="AB18" s="7">
        <f t="shared" si="1"/>
        <v>-0.16770908393975201</v>
      </c>
      <c r="AC18" s="7">
        <f t="shared" si="2"/>
        <v>-0.61007997507121592</v>
      </c>
      <c r="AD18" s="7">
        <f t="shared" si="3"/>
        <v>-1.7824100309387001E-2</v>
      </c>
      <c r="AE18" s="7">
        <f t="shared" si="4"/>
        <v>-0.255698318547109</v>
      </c>
      <c r="AF18" s="7">
        <f t="shared" si="5"/>
        <v>-2.6544696605558401E-16</v>
      </c>
      <c r="AG18" s="7">
        <f t="shared" si="5"/>
        <v>9.6208028431271392E-15</v>
      </c>
      <c r="AH18" s="7">
        <f t="shared" si="6"/>
        <v>2.328200649620257E-2</v>
      </c>
      <c r="AI18" s="7">
        <f t="shared" si="0"/>
        <v>-1.600012557709545</v>
      </c>
      <c r="AJ18" s="8">
        <f t="shared" si="7"/>
        <v>-0.86577829361832492</v>
      </c>
      <c r="AK18" s="8">
        <f t="shared" si="8"/>
        <v>-0.69875021668261006</v>
      </c>
      <c r="AL18" s="8">
        <f t="shared" si="9"/>
        <v>-5.8766053904821799E-2</v>
      </c>
      <c r="AM18" s="8">
        <f t="shared" si="10"/>
        <v>2.328200649620257E-2</v>
      </c>
      <c r="AN18" s="8">
        <f t="shared" si="11"/>
        <v>-1.6000125577095543</v>
      </c>
      <c r="AO18" s="9">
        <f t="shared" si="13"/>
        <v>0.4151810281397455</v>
      </c>
      <c r="AP18" s="9">
        <f t="shared" si="12"/>
        <v>0.67002060154658294</v>
      </c>
      <c r="AQ18" s="9">
        <f t="shared" si="12"/>
        <v>-8.3779274007675139E-2</v>
      </c>
      <c r="AR18" s="9">
        <f t="shared" si="12"/>
        <v>-1.422355678653118E-3</v>
      </c>
      <c r="AS18" s="9">
        <f t="shared" si="12"/>
        <v>1</v>
      </c>
      <c r="AT18" s="7"/>
      <c r="AU18" s="7"/>
      <c r="AV18" s="7"/>
      <c r="AW18" s="7"/>
      <c r="AX18" s="7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</row>
    <row r="19" spans="1:87" x14ac:dyDescent="0.25">
      <c r="A19" s="1">
        <v>40724</v>
      </c>
      <c r="B19">
        <f>+[1]wFG_rstar_shock_decomposition!E19</f>
        <v>-6.4203684109087805E-2</v>
      </c>
      <c r="C19">
        <f>+[1]wFG_rstar_shock_decomposition!F19</f>
        <v>-0.66377755849394904</v>
      </c>
      <c r="D19">
        <f>+[1]wFG_rstar_shock_decomposition!G19</f>
        <v>-0.26294852069524499</v>
      </c>
      <c r="E19">
        <f>+[1]wFG_rstar_shock_decomposition!H19</f>
        <v>3.32736995985526E-2</v>
      </c>
      <c r="F19">
        <f>+[1]wFG_rstar_shock_decomposition!I19</f>
        <v>-7.88531349655207E-3</v>
      </c>
      <c r="G19">
        <f>+[1]wFG_rstar_shock_decomposition!J19</f>
        <v>-1.3348807338964999E-15</v>
      </c>
      <c r="H19">
        <f>+[1]wFG_rstar_shock_decomposition!K19</f>
        <v>1.1060741227392201E-14</v>
      </c>
      <c r="I19">
        <f>+[1]wFG_rstar_shock_decomposition!L19</f>
        <v>3.5339243635134599E-15</v>
      </c>
      <c r="J19">
        <f>+[1]wFG_rstar_shock_decomposition!M19</f>
        <v>-2.4823424938176899E-17</v>
      </c>
      <c r="K19">
        <f>+[1]wFG_rstar_shock_decomposition!N19</f>
        <v>5.1353853507345205E-16</v>
      </c>
      <c r="L19">
        <f>+[1]wFG_rstar_shock_decomposition!O19</f>
        <v>9.5507083096538708E-16</v>
      </c>
      <c r="M19">
        <f>+[1]wFG_rstar_shock_decomposition!P19</f>
        <v>1.0181726223983399E-15</v>
      </c>
      <c r="N19">
        <f>+[1]wFG_rstar_shock_decomposition!Q19</f>
        <v>3.2953984615938901E-15</v>
      </c>
      <c r="O19">
        <f>+[1]wFG_rstar_shock_decomposition!R19</f>
        <v>-8.2755686491046002E-15</v>
      </c>
      <c r="P19">
        <f>+[1]wFG_rstar_shock_decomposition!S19</f>
        <v>1.2598598425707199E-13</v>
      </c>
      <c r="Q19">
        <f>+[1]wFG_rstar_shock_decomposition!T19</f>
        <v>-0.23838521145157801</v>
      </c>
      <c r="R19">
        <f>+[1]wFG_rstar_shock_decomposition!U19</f>
        <v>0</v>
      </c>
      <c r="S19">
        <f>+[1]wFG_rstar_shock_decomposition!V19</f>
        <v>-0.90307512818832603</v>
      </c>
      <c r="T19">
        <f>+[1]wFG_rstar_shock_decomposition!W19</f>
        <v>2.2989469440637601E-2</v>
      </c>
      <c r="U19" s="4">
        <f>+[1]wFG_rstar_shock_decomposition!D19</f>
        <v>-2.0840122473954099</v>
      </c>
      <c r="Y19" s="1">
        <f t="shared" si="1"/>
        <v>40724</v>
      </c>
      <c r="Z19" s="7">
        <f t="shared" si="1"/>
        <v>-6.4203684109087805E-2</v>
      </c>
      <c r="AA19" s="7">
        <f t="shared" si="1"/>
        <v>-0.66377755849394904</v>
      </c>
      <c r="AB19" s="7">
        <f t="shared" si="1"/>
        <v>-0.26294852069524499</v>
      </c>
      <c r="AC19" s="7">
        <f t="shared" si="2"/>
        <v>-0.91096044168487811</v>
      </c>
      <c r="AD19" s="7">
        <f t="shared" si="3"/>
        <v>3.32736995985526E-2</v>
      </c>
      <c r="AE19" s="7">
        <f t="shared" si="4"/>
        <v>-0.23838521145157801</v>
      </c>
      <c r="AF19" s="7">
        <f t="shared" si="5"/>
        <v>-1.3348807338964999E-15</v>
      </c>
      <c r="AG19" s="7">
        <f t="shared" si="5"/>
        <v>1.1060741227392201E-14</v>
      </c>
      <c r="AH19" s="7">
        <f t="shared" si="6"/>
        <v>2.2989469440764604E-2</v>
      </c>
      <c r="AI19" s="7">
        <f t="shared" si="0"/>
        <v>-2.0840122473954112</v>
      </c>
      <c r="AJ19" s="8">
        <f t="shared" si="7"/>
        <v>-1.1493456531364561</v>
      </c>
      <c r="AK19" s="8">
        <f t="shared" si="8"/>
        <v>-0.89345237959064139</v>
      </c>
      <c r="AL19" s="8">
        <f t="shared" si="9"/>
        <v>-6.4203684109087805E-2</v>
      </c>
      <c r="AM19" s="8">
        <f t="shared" si="10"/>
        <v>2.2989469440764604E-2</v>
      </c>
      <c r="AN19" s="8">
        <f t="shared" si="11"/>
        <v>-2.0840122473954206</v>
      </c>
      <c r="AO19" s="9">
        <f t="shared" si="13"/>
        <v>0.58588334984713919</v>
      </c>
      <c r="AP19" s="9">
        <f t="shared" si="13"/>
        <v>0.40227745400911363</v>
      </c>
      <c r="AQ19" s="9">
        <f t="shared" si="13"/>
        <v>1.1234780352432104E-2</v>
      </c>
      <c r="AR19" s="9">
        <f t="shared" si="13"/>
        <v>6.044157913155545E-4</v>
      </c>
      <c r="AS19" s="9">
        <f t="shared" si="13"/>
        <v>1</v>
      </c>
      <c r="AT19" s="7"/>
      <c r="AU19" s="7"/>
      <c r="AV19" s="7"/>
      <c r="AW19" s="7"/>
      <c r="AX19" s="7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</row>
    <row r="20" spans="1:87" x14ac:dyDescent="0.25">
      <c r="A20" s="1">
        <v>40816</v>
      </c>
      <c r="B20">
        <f>+[1]wFG_rstar_shock_decomposition!E20</f>
        <v>-8.6900799934183606E-2</v>
      </c>
      <c r="C20">
        <f>+[1]wFG_rstar_shock_decomposition!F20</f>
        <v>-0.85099195434994901</v>
      </c>
      <c r="D20">
        <f>+[1]wFG_rstar_shock_decomposition!G20</f>
        <v>-0.42649476645304502</v>
      </c>
      <c r="E20">
        <f>+[1]wFG_rstar_shock_decomposition!H20</f>
        <v>6.3751313247036007E-2</v>
      </c>
      <c r="F20">
        <f>+[1]wFG_rstar_shock_decomposition!I20</f>
        <v>-6.5642487319438397E-3</v>
      </c>
      <c r="G20">
        <f>+[1]wFG_rstar_shock_decomposition!J20</f>
        <v>-1.51064288775646E-15</v>
      </c>
      <c r="H20">
        <f>+[1]wFG_rstar_shock_decomposition!K20</f>
        <v>1.1936811150279201E-14</v>
      </c>
      <c r="I20">
        <f>+[1]wFG_rstar_shock_decomposition!L20</f>
        <v>2.9277483899132701E-15</v>
      </c>
      <c r="J20">
        <f>+[1]wFG_rstar_shock_decomposition!M20</f>
        <v>3.9697482573465299E-16</v>
      </c>
      <c r="K20">
        <f>+[1]wFG_rstar_shock_decomposition!N20</f>
        <v>1.13167964891852E-15</v>
      </c>
      <c r="L20">
        <f>+[1]wFG_rstar_shock_decomposition!O20</f>
        <v>1.61251312891187E-15</v>
      </c>
      <c r="M20">
        <f>+[1]wFG_rstar_shock_decomposition!P20</f>
        <v>1.8225527847237199E-15</v>
      </c>
      <c r="N20">
        <f>+[1]wFG_rstar_shock_decomposition!Q20</f>
        <v>4.1062368641910397E-15</v>
      </c>
      <c r="O20">
        <f>+[1]wFG_rstar_shock_decomposition!R20</f>
        <v>-7.2342955470973303E-15</v>
      </c>
      <c r="P20">
        <f>+[1]wFG_rstar_shock_decomposition!S20</f>
        <v>1.220537404237E-13</v>
      </c>
      <c r="Q20">
        <f>+[1]wFG_rstar_shock_decomposition!T20</f>
        <v>-0.200701991062048</v>
      </c>
      <c r="R20">
        <f>+[1]wFG_rstar_shock_decomposition!U20</f>
        <v>0</v>
      </c>
      <c r="S20">
        <f>+[1]wFG_rstar_shock_decomposition!V20</f>
        <v>-1.0821776220464101</v>
      </c>
      <c r="T20">
        <f>+[1]wFG_rstar_shock_decomposition!W20</f>
        <v>2.2700818505439199E-2</v>
      </c>
      <c r="U20" s="4">
        <f>+[1]wFG_rstar_shock_decomposition!D20</f>
        <v>-2.56737925082497</v>
      </c>
      <c r="Y20" s="1">
        <f t="shared" si="1"/>
        <v>40816</v>
      </c>
      <c r="Z20" s="7">
        <f t="shared" si="1"/>
        <v>-8.6900799934183606E-2</v>
      </c>
      <c r="AA20" s="7">
        <f t="shared" si="1"/>
        <v>-0.85099195434994901</v>
      </c>
      <c r="AB20" s="7">
        <f t="shared" si="1"/>
        <v>-0.42649476645304502</v>
      </c>
      <c r="AC20" s="7">
        <f t="shared" si="2"/>
        <v>-1.088741870778354</v>
      </c>
      <c r="AD20" s="7">
        <f t="shared" si="3"/>
        <v>6.3751313247036007E-2</v>
      </c>
      <c r="AE20" s="7">
        <f t="shared" si="4"/>
        <v>-0.200701991062048</v>
      </c>
      <c r="AF20" s="7">
        <f t="shared" si="5"/>
        <v>-1.51064288775646E-15</v>
      </c>
      <c r="AG20" s="7">
        <f t="shared" si="5"/>
        <v>1.1936811150279201E-14</v>
      </c>
      <c r="AH20" s="7">
        <f t="shared" si="6"/>
        <v>2.2700818505566017E-2</v>
      </c>
      <c r="AI20" s="7">
        <f t="shared" si="0"/>
        <v>-2.5673792508249669</v>
      </c>
      <c r="AJ20" s="8">
        <f t="shared" si="7"/>
        <v>-1.2894438618404021</v>
      </c>
      <c r="AK20" s="8">
        <f t="shared" si="8"/>
        <v>-1.2137354075559581</v>
      </c>
      <c r="AL20" s="8">
        <f t="shared" si="9"/>
        <v>-8.6900799934183606E-2</v>
      </c>
      <c r="AM20" s="8">
        <f t="shared" si="10"/>
        <v>2.2700818505566017E-2</v>
      </c>
      <c r="AN20" s="8">
        <f t="shared" si="11"/>
        <v>-2.567379250824978</v>
      </c>
      <c r="AO20" s="9">
        <f t="shared" si="13"/>
        <v>0.28983817205131773</v>
      </c>
      <c r="AP20" s="9">
        <f t="shared" si="13"/>
        <v>0.66260838181519055</v>
      </c>
      <c r="AQ20" s="9">
        <f t="shared" si="13"/>
        <v>4.6956278902069333E-2</v>
      </c>
      <c r="AR20" s="9">
        <f t="shared" si="13"/>
        <v>5.9716723142160585E-4</v>
      </c>
      <c r="AS20" s="9">
        <f t="shared" si="13"/>
        <v>1</v>
      </c>
      <c r="AT20" s="7"/>
      <c r="AU20" s="7"/>
      <c r="AV20" s="7"/>
      <c r="AW20" s="7"/>
      <c r="AX20" s="7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</row>
    <row r="21" spans="1:87" x14ac:dyDescent="0.25">
      <c r="A21" s="1">
        <v>40908</v>
      </c>
      <c r="B21">
        <f>+[1]wFG_rstar_shock_decomposition!E21</f>
        <v>-8.3203926639219203E-2</v>
      </c>
      <c r="C21">
        <f>+[1]wFG_rstar_shock_decomposition!F21</f>
        <v>-0.85369932669293103</v>
      </c>
      <c r="D21">
        <f>+[1]wFG_rstar_shock_decomposition!G21</f>
        <v>-0.40323598286951901</v>
      </c>
      <c r="E21">
        <f>+[1]wFG_rstar_shock_decomposition!H21</f>
        <v>2.6030734663384E-2</v>
      </c>
      <c r="F21">
        <f>+[1]wFG_rstar_shock_decomposition!I21</f>
        <v>-1.9401080821082401E-2</v>
      </c>
      <c r="G21">
        <f>+[1]wFG_rstar_shock_decomposition!J21</f>
        <v>-1.3414644586246899E-15</v>
      </c>
      <c r="H21">
        <f>+[1]wFG_rstar_shock_decomposition!K21</f>
        <v>1.3766677851375599E-14</v>
      </c>
      <c r="I21">
        <f>+[1]wFG_rstar_shock_decomposition!L21</f>
        <v>2.4672520610248901E-15</v>
      </c>
      <c r="J21">
        <f>+[1]wFG_rstar_shock_decomposition!M21</f>
        <v>2.8408205786617498E-16</v>
      </c>
      <c r="K21">
        <f>+[1]wFG_rstar_shock_decomposition!N21</f>
        <v>8.7613000035899305E-16</v>
      </c>
      <c r="L21">
        <f>+[1]wFG_rstar_shock_decomposition!O21</f>
        <v>1.3397694394274299E-15</v>
      </c>
      <c r="M21">
        <f>+[1]wFG_rstar_shock_decomposition!P21</f>
        <v>2.02653307764473E-15</v>
      </c>
      <c r="N21">
        <f>+[1]wFG_rstar_shock_decomposition!Q21</f>
        <v>3.2649097336209998E-15</v>
      </c>
      <c r="O21">
        <f>+[1]wFG_rstar_shock_decomposition!R21</f>
        <v>-6.49349410294807E-15</v>
      </c>
      <c r="P21">
        <f>+[1]wFG_rstar_shock_decomposition!S21</f>
        <v>1.2624528433856E-13</v>
      </c>
      <c r="Q21">
        <f>+[1]wFG_rstar_shock_decomposition!T21</f>
        <v>-0.18104280315018001</v>
      </c>
      <c r="R21">
        <f>+[1]wFG_rstar_shock_decomposition!U21</f>
        <v>0</v>
      </c>
      <c r="S21">
        <f>+[1]wFG_rstar_shock_decomposition!V21</f>
        <v>-1.2195017319943</v>
      </c>
      <c r="T21">
        <f>+[1]wFG_rstar_shock_decomposition!W21</f>
        <v>2.24160001194454E-2</v>
      </c>
      <c r="U21" s="4">
        <f>+[1]wFG_rstar_shock_decomposition!D21</f>
        <v>-2.7116381173842599</v>
      </c>
      <c r="Y21" s="1">
        <f t="shared" si="1"/>
        <v>40908</v>
      </c>
      <c r="Z21" s="7">
        <f t="shared" si="1"/>
        <v>-8.3203926639219203E-2</v>
      </c>
      <c r="AA21" s="7">
        <f t="shared" si="1"/>
        <v>-0.85369932669293103</v>
      </c>
      <c r="AB21" s="7">
        <f t="shared" si="1"/>
        <v>-0.40323598286951901</v>
      </c>
      <c r="AC21" s="7">
        <f t="shared" si="2"/>
        <v>-1.2389028128153825</v>
      </c>
      <c r="AD21" s="7">
        <f t="shared" si="3"/>
        <v>2.6030734663384E-2</v>
      </c>
      <c r="AE21" s="7">
        <f t="shared" si="4"/>
        <v>-0.18104280315018001</v>
      </c>
      <c r="AF21" s="7">
        <f t="shared" si="5"/>
        <v>-1.3414644586246899E-15</v>
      </c>
      <c r="AG21" s="7">
        <f t="shared" si="5"/>
        <v>1.3766677851375599E-14</v>
      </c>
      <c r="AH21" s="7">
        <f t="shared" si="6"/>
        <v>2.241600011957541E-2</v>
      </c>
      <c r="AI21" s="7">
        <f t="shared" si="0"/>
        <v>-2.7116381173842599</v>
      </c>
      <c r="AJ21" s="8">
        <f t="shared" si="7"/>
        <v>-1.4199456159655626</v>
      </c>
      <c r="AK21" s="8">
        <f t="shared" si="8"/>
        <v>-1.2309045748990661</v>
      </c>
      <c r="AL21" s="8">
        <f t="shared" si="9"/>
        <v>-8.3203926639219203E-2</v>
      </c>
      <c r="AM21" s="8">
        <f t="shared" si="10"/>
        <v>2.241600011957541E-2</v>
      </c>
      <c r="AN21" s="8">
        <f t="shared" si="11"/>
        <v>-2.7116381173842727</v>
      </c>
      <c r="AO21" s="9">
        <f t="shared" si="13"/>
        <v>0.9046359314872362</v>
      </c>
      <c r="AP21" s="9">
        <f t="shared" si="13"/>
        <v>0.11901637488639895</v>
      </c>
      <c r="AQ21" s="9">
        <f t="shared" si="13"/>
        <v>-2.5626662562504444E-2</v>
      </c>
      <c r="AR21" s="9">
        <f t="shared" si="13"/>
        <v>1.9743561888692488E-3</v>
      </c>
      <c r="AS21" s="9">
        <f t="shared" si="13"/>
        <v>1</v>
      </c>
      <c r="AT21" s="7"/>
      <c r="AU21" s="7"/>
      <c r="AV21" s="7"/>
      <c r="AW21" s="7"/>
      <c r="AX21" s="7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</row>
    <row r="22" spans="1:87" x14ac:dyDescent="0.25">
      <c r="A22" s="1">
        <v>40999</v>
      </c>
      <c r="B22">
        <f>+[1]wFG_rstar_shock_decomposition!E22</f>
        <v>-8.1138714250120703E-2</v>
      </c>
      <c r="C22">
        <f>+[1]wFG_rstar_shock_decomposition!F22</f>
        <v>-0.83168688383171596</v>
      </c>
      <c r="D22">
        <f>+[1]wFG_rstar_shock_decomposition!G22</f>
        <v>-0.45546684473196097</v>
      </c>
      <c r="E22">
        <f>+[1]wFG_rstar_shock_decomposition!H22</f>
        <v>3.4973103966933101E-2</v>
      </c>
      <c r="F22">
        <f>+[1]wFG_rstar_shock_decomposition!I22</f>
        <v>-4.99401830033019E-2</v>
      </c>
      <c r="G22">
        <f>+[1]wFG_rstar_shock_decomposition!J22</f>
        <v>-2.4848228021115301E-15</v>
      </c>
      <c r="H22">
        <f>+[1]wFG_rstar_shock_decomposition!K22</f>
        <v>1.3954166710326999E-14</v>
      </c>
      <c r="I22">
        <f>+[1]wFG_rstar_shock_decomposition!L22</f>
        <v>3.1897676599201998E-15</v>
      </c>
      <c r="J22">
        <f>+[1]wFG_rstar_shock_decomposition!M22</f>
        <v>6.2364856293148497E-16</v>
      </c>
      <c r="K22">
        <f>+[1]wFG_rstar_shock_decomposition!N22</f>
        <v>1.06761748524706E-15</v>
      </c>
      <c r="L22">
        <f>+[1]wFG_rstar_shock_decomposition!O22</f>
        <v>1.0064178893686901E-15</v>
      </c>
      <c r="M22">
        <f>+[1]wFG_rstar_shock_decomposition!P22</f>
        <v>2.54052884670754E-15</v>
      </c>
      <c r="N22">
        <f>+[1]wFG_rstar_shock_decomposition!Q22</f>
        <v>2.5632276129852698E-15</v>
      </c>
      <c r="O22">
        <f>+[1]wFG_rstar_shock_decomposition!R22</f>
        <v>-5.8978813017871203E-15</v>
      </c>
      <c r="P22">
        <f>+[1]wFG_rstar_shock_decomposition!S22</f>
        <v>1.20921666881585E-13</v>
      </c>
      <c r="Q22">
        <f>+[1]wFG_rstar_shock_decomposition!T22</f>
        <v>-0.168173296532138</v>
      </c>
      <c r="R22">
        <f>+[1]wFG_rstar_shock_decomposition!U22</f>
        <v>0</v>
      </c>
      <c r="S22">
        <f>+[1]wFG_rstar_shock_decomposition!V22</f>
        <v>-0.99139564496447696</v>
      </c>
      <c r="T22">
        <f>+[1]wFG_rstar_shock_decomposition!W22</f>
        <v>2.2134961429743499E-2</v>
      </c>
      <c r="U22" s="4">
        <f>+[1]wFG_rstar_shock_decomposition!D22</f>
        <v>-2.5206935019169001</v>
      </c>
      <c r="Y22" s="1">
        <f t="shared" si="1"/>
        <v>40999</v>
      </c>
      <c r="Z22" s="7">
        <f t="shared" si="1"/>
        <v>-8.1138714250120703E-2</v>
      </c>
      <c r="AA22" s="7">
        <f t="shared" si="1"/>
        <v>-0.83168688383171596</v>
      </c>
      <c r="AB22" s="7">
        <f t="shared" si="1"/>
        <v>-0.45546684473196097</v>
      </c>
      <c r="AC22" s="7">
        <f t="shared" si="2"/>
        <v>-1.0413358279677789</v>
      </c>
      <c r="AD22" s="7">
        <f t="shared" si="3"/>
        <v>3.4973103966933101E-2</v>
      </c>
      <c r="AE22" s="7">
        <f t="shared" si="4"/>
        <v>-0.168173296532138</v>
      </c>
      <c r="AF22" s="7">
        <f t="shared" si="5"/>
        <v>-2.4848228021115301E-15</v>
      </c>
      <c r="AG22" s="7">
        <f t="shared" si="5"/>
        <v>1.3954166710326999E-14</v>
      </c>
      <c r="AH22" s="7">
        <f t="shared" si="6"/>
        <v>2.2134961429869513E-2</v>
      </c>
      <c r="AI22" s="7">
        <f t="shared" si="0"/>
        <v>-2.5206935019169006</v>
      </c>
      <c r="AJ22" s="8">
        <f t="shared" si="7"/>
        <v>-1.209509124499917</v>
      </c>
      <c r="AK22" s="8">
        <f t="shared" si="8"/>
        <v>-1.2521806245967437</v>
      </c>
      <c r="AL22" s="8">
        <f t="shared" si="9"/>
        <v>-8.1138714250120703E-2</v>
      </c>
      <c r="AM22" s="8">
        <f t="shared" si="10"/>
        <v>2.2134961429869513E-2</v>
      </c>
      <c r="AN22" s="8">
        <f t="shared" si="11"/>
        <v>-2.5206935019169121</v>
      </c>
      <c r="AO22" s="9">
        <f t="shared" si="13"/>
        <v>1.1020813074543954</v>
      </c>
      <c r="AP22" s="9">
        <f t="shared" si="13"/>
        <v>-0.11142524048453438</v>
      </c>
      <c r="AQ22" s="9">
        <f t="shared" si="13"/>
        <v>1.0815766572121643E-2</v>
      </c>
      <c r="AR22" s="9">
        <f t="shared" si="13"/>
        <v>-1.471833541982948E-3</v>
      </c>
      <c r="AS22" s="9">
        <f t="shared" si="13"/>
        <v>1</v>
      </c>
      <c r="AT22" s="7"/>
      <c r="AU22" s="7"/>
      <c r="AV22" s="7"/>
      <c r="AW22" s="7"/>
      <c r="AX22" s="7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</row>
    <row r="23" spans="1:87" x14ac:dyDescent="0.25">
      <c r="A23" s="1">
        <v>41090</v>
      </c>
      <c r="B23">
        <f>+[1]wFG_rstar_shock_decomposition!E23</f>
        <v>-8.6544570595947307E-2</v>
      </c>
      <c r="C23">
        <f>+[1]wFG_rstar_shock_decomposition!F23</f>
        <v>-0.91228283520751197</v>
      </c>
      <c r="D23">
        <f>+[1]wFG_rstar_shock_decomposition!G23</f>
        <v>-0.46567873466017501</v>
      </c>
      <c r="E23">
        <f>+[1]wFG_rstar_shock_decomposition!H23</f>
        <v>3.2918110871365598E-2</v>
      </c>
      <c r="F23">
        <f>+[1]wFG_rstar_shock_decomposition!I23</f>
        <v>-5.3861519321066101E-2</v>
      </c>
      <c r="G23">
        <f>+[1]wFG_rstar_shock_decomposition!J23</f>
        <v>-2.2305881443885399E-15</v>
      </c>
      <c r="H23">
        <f>+[1]wFG_rstar_shock_decomposition!K23</f>
        <v>1.4744143196458299E-14</v>
      </c>
      <c r="I23">
        <f>+[1]wFG_rstar_shock_decomposition!L23</f>
        <v>1.8187031918261002E-15</v>
      </c>
      <c r="J23">
        <f>+[1]wFG_rstar_shock_decomposition!M23</f>
        <v>1.8522609936471401E-16</v>
      </c>
      <c r="K23">
        <f>+[1]wFG_rstar_shock_decomposition!N23</f>
        <v>1.23039534822855E-15</v>
      </c>
      <c r="L23">
        <f>+[1]wFG_rstar_shock_decomposition!O23</f>
        <v>8.4086862734448203E-16</v>
      </c>
      <c r="M23">
        <f>+[1]wFG_rstar_shock_decomposition!P23</f>
        <v>2.9511624078602002E-15</v>
      </c>
      <c r="N23">
        <f>+[1]wFG_rstar_shock_decomposition!Q23</f>
        <v>2.43757625818819E-15</v>
      </c>
      <c r="O23">
        <f>+[1]wFG_rstar_shock_decomposition!R23</f>
        <v>-6.0432399019560303E-15</v>
      </c>
      <c r="P23">
        <f>+[1]wFG_rstar_shock_decomposition!S23</f>
        <v>1.2113332819926401E-13</v>
      </c>
      <c r="Q23">
        <f>+[1]wFG_rstar_shock_decomposition!T23</f>
        <v>-0.16183162380209101</v>
      </c>
      <c r="R23">
        <f>+[1]wFG_rstar_shock_decomposition!U23</f>
        <v>0</v>
      </c>
      <c r="S23">
        <f>+[1]wFG_rstar_shock_decomposition!V23</f>
        <v>-1.1310139240533399</v>
      </c>
      <c r="T23">
        <f>+[1]wFG_rstar_shock_decomposition!W23</f>
        <v>2.1857650293600199E-2</v>
      </c>
      <c r="U23" s="4">
        <f>+[1]wFG_rstar_shock_decomposition!D23</f>
        <v>-2.7564374464750299</v>
      </c>
      <c r="Y23" s="1">
        <f t="shared" si="1"/>
        <v>41090</v>
      </c>
      <c r="Z23" s="7">
        <f t="shared" si="1"/>
        <v>-8.6544570595947307E-2</v>
      </c>
      <c r="AA23" s="7">
        <f t="shared" si="1"/>
        <v>-0.91228283520751197</v>
      </c>
      <c r="AB23" s="7">
        <f t="shared" si="1"/>
        <v>-0.46567873466017501</v>
      </c>
      <c r="AC23" s="7">
        <f t="shared" si="2"/>
        <v>-1.184875443374406</v>
      </c>
      <c r="AD23" s="7">
        <f t="shared" si="3"/>
        <v>3.2918110871365598E-2</v>
      </c>
      <c r="AE23" s="7">
        <f t="shared" si="4"/>
        <v>-0.16183162380209101</v>
      </c>
      <c r="AF23" s="7">
        <f t="shared" si="5"/>
        <v>-2.2305881443885399E-15</v>
      </c>
      <c r="AG23" s="7">
        <f t="shared" si="5"/>
        <v>1.4744143196458299E-14</v>
      </c>
      <c r="AH23" s="7">
        <f t="shared" si="6"/>
        <v>2.1857650293724752E-2</v>
      </c>
      <c r="AI23" s="7">
        <f t="shared" si="0"/>
        <v>-2.7564374464750285</v>
      </c>
      <c r="AJ23" s="8">
        <f t="shared" si="7"/>
        <v>-1.3467070671764969</v>
      </c>
      <c r="AK23" s="8">
        <f t="shared" si="8"/>
        <v>-1.3450434589963214</v>
      </c>
      <c r="AL23" s="8">
        <f t="shared" si="9"/>
        <v>-8.6544570595947307E-2</v>
      </c>
      <c r="AM23" s="8">
        <f t="shared" si="10"/>
        <v>2.1857650293724752E-2</v>
      </c>
      <c r="AN23" s="8">
        <f t="shared" si="11"/>
        <v>-2.7564374464750405</v>
      </c>
      <c r="AO23" s="9">
        <f t="shared" si="13"/>
        <v>0.58197865032647922</v>
      </c>
      <c r="AP23" s="9">
        <f t="shared" si="13"/>
        <v>0.39391397549420432</v>
      </c>
      <c r="AQ23" s="9">
        <f t="shared" si="13"/>
        <v>2.2931050704013561E-2</v>
      </c>
      <c r="AR23" s="9">
        <f t="shared" si="13"/>
        <v>1.1763234753051446E-3</v>
      </c>
      <c r="AS23" s="9">
        <f t="shared" si="13"/>
        <v>1</v>
      </c>
      <c r="AT23" s="7"/>
      <c r="AU23" s="7"/>
      <c r="AV23" s="7"/>
      <c r="AW23" s="7"/>
      <c r="AX23" s="7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</row>
    <row r="24" spans="1:87" x14ac:dyDescent="0.25">
      <c r="A24" s="1">
        <v>41182</v>
      </c>
      <c r="B24">
        <f>+[1]wFG_rstar_shock_decomposition!E24</f>
        <v>-9.3431333735875505E-2</v>
      </c>
      <c r="C24">
        <f>+[1]wFG_rstar_shock_decomposition!F24</f>
        <v>-0.82773010770516697</v>
      </c>
      <c r="D24">
        <f>+[1]wFG_rstar_shock_decomposition!G24</f>
        <v>-0.50848157933904603</v>
      </c>
      <c r="E24">
        <f>+[1]wFG_rstar_shock_decomposition!H24</f>
        <v>2.10232468627733E-2</v>
      </c>
      <c r="F24">
        <f>+[1]wFG_rstar_shock_decomposition!I24</f>
        <v>-3.0110261472689099E-2</v>
      </c>
      <c r="G24">
        <f>+[1]wFG_rstar_shock_decomposition!J24</f>
        <v>-2.2150346629327699E-15</v>
      </c>
      <c r="H24">
        <f>+[1]wFG_rstar_shock_decomposition!K24</f>
        <v>1.5907837335826399E-14</v>
      </c>
      <c r="I24">
        <f>+[1]wFG_rstar_shock_decomposition!L24</f>
        <v>1.62369532319323E-15</v>
      </c>
      <c r="J24">
        <f>+[1]wFG_rstar_shock_decomposition!M24</f>
        <v>6.7186014030272804E-17</v>
      </c>
      <c r="K24">
        <f>+[1]wFG_rstar_shock_decomposition!N24</f>
        <v>1.1295984615027099E-15</v>
      </c>
      <c r="L24">
        <f>+[1]wFG_rstar_shock_decomposition!O24</f>
        <v>9.0266926573289405E-16</v>
      </c>
      <c r="M24">
        <f>+[1]wFG_rstar_shock_decomposition!P24</f>
        <v>3.1087477336973602E-15</v>
      </c>
      <c r="N24">
        <f>+[1]wFG_rstar_shock_decomposition!Q24</f>
        <v>3.1896517473799099E-15</v>
      </c>
      <c r="O24">
        <f>+[1]wFG_rstar_shock_decomposition!R24</f>
        <v>-5.3921702125948603E-15</v>
      </c>
      <c r="P24">
        <f>+[1]wFG_rstar_shock_decomposition!S24</f>
        <v>1.1835190013262499E-13</v>
      </c>
      <c r="Q24">
        <f>+[1]wFG_rstar_shock_decomposition!T24</f>
        <v>-0.16779250167547</v>
      </c>
      <c r="R24">
        <f>+[1]wFG_rstar_shock_decomposition!U24</f>
        <v>0</v>
      </c>
      <c r="S24">
        <f>+[1]wFG_rstar_shock_decomposition!V24</f>
        <v>-1.07956897581339</v>
      </c>
      <c r="T24">
        <f>+[1]wFG_rstar_shock_decomposition!W24</f>
        <v>2.1584015270543499E-2</v>
      </c>
      <c r="U24" s="4">
        <f>+[1]wFG_rstar_shock_decomposition!D24</f>
        <v>-2.66450749760818</v>
      </c>
      <c r="Y24" s="1">
        <f t="shared" si="1"/>
        <v>41182</v>
      </c>
      <c r="Z24" s="7">
        <f t="shared" si="1"/>
        <v>-9.3431333735875505E-2</v>
      </c>
      <c r="AA24" s="7">
        <f t="shared" si="1"/>
        <v>-0.82773010770516697</v>
      </c>
      <c r="AB24" s="7">
        <f t="shared" si="1"/>
        <v>-0.50848157933904603</v>
      </c>
      <c r="AC24" s="7">
        <f t="shared" si="2"/>
        <v>-1.1096792372860791</v>
      </c>
      <c r="AD24" s="7">
        <f t="shared" si="3"/>
        <v>2.10232468627733E-2</v>
      </c>
      <c r="AE24" s="7">
        <f t="shared" si="4"/>
        <v>-0.16779250167547</v>
      </c>
      <c r="AF24" s="7">
        <f t="shared" si="5"/>
        <v>-2.2150346629327699E-15</v>
      </c>
      <c r="AG24" s="7">
        <f t="shared" si="5"/>
        <v>1.5907837335826399E-14</v>
      </c>
      <c r="AH24" s="7">
        <f t="shared" si="6"/>
        <v>2.158401527066648E-2</v>
      </c>
      <c r="AI24" s="7">
        <f t="shared" si="0"/>
        <v>-2.6645074976081844</v>
      </c>
      <c r="AJ24" s="8">
        <f t="shared" si="7"/>
        <v>-1.2774717389615491</v>
      </c>
      <c r="AK24" s="8">
        <f t="shared" si="8"/>
        <v>-1.3151884401814398</v>
      </c>
      <c r="AL24" s="8">
        <f t="shared" si="9"/>
        <v>-9.3431333735875505E-2</v>
      </c>
      <c r="AM24" s="8">
        <f t="shared" si="10"/>
        <v>2.158401527066648E-2</v>
      </c>
      <c r="AN24" s="8">
        <f t="shared" si="11"/>
        <v>-2.6645074976081982</v>
      </c>
      <c r="AO24" s="9">
        <f t="shared" si="13"/>
        <v>0.75313136870371833</v>
      </c>
      <c r="AP24" s="9">
        <f t="shared" si="13"/>
        <v>0.32475835332102354</v>
      </c>
      <c r="AQ24" s="9">
        <f t="shared" si="13"/>
        <v>-7.4913161867450381E-2</v>
      </c>
      <c r="AR24" s="9">
        <f t="shared" si="13"/>
        <v>-2.976560157284799E-3</v>
      </c>
      <c r="AS24" s="9">
        <f t="shared" si="13"/>
        <v>1</v>
      </c>
      <c r="AT24" s="7"/>
      <c r="AU24" s="7"/>
      <c r="AV24" s="7"/>
      <c r="AW24" s="7"/>
      <c r="AX24" s="7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</row>
    <row r="25" spans="1:87" x14ac:dyDescent="0.25">
      <c r="A25" s="1">
        <v>41274</v>
      </c>
      <c r="B25">
        <f>+[1]wFG_rstar_shock_decomposition!E25</f>
        <v>-8.7928026169745002E-2</v>
      </c>
      <c r="C25">
        <f>+[1]wFG_rstar_shock_decomposition!F25</f>
        <v>-0.83546715004463301</v>
      </c>
      <c r="D25">
        <f>+[1]wFG_rstar_shock_decomposition!G25</f>
        <v>-0.52003960568431895</v>
      </c>
      <c r="E25">
        <f>+[1]wFG_rstar_shock_decomposition!H25</f>
        <v>4.4604313872376199E-2</v>
      </c>
      <c r="F25">
        <f>+[1]wFG_rstar_shock_decomposition!I25</f>
        <v>-4.4603210560651599E-2</v>
      </c>
      <c r="G25">
        <f>+[1]wFG_rstar_shock_decomposition!J25</f>
        <v>-2.2146122261473598E-15</v>
      </c>
      <c r="H25">
        <f>+[1]wFG_rstar_shock_decomposition!K25</f>
        <v>1.5774363853769001E-14</v>
      </c>
      <c r="I25">
        <f>+[1]wFG_rstar_shock_decomposition!L25</f>
        <v>2.38737694441996E-15</v>
      </c>
      <c r="J25">
        <f>+[1]wFG_rstar_shock_decomposition!M25</f>
        <v>5.57119021028049E-16</v>
      </c>
      <c r="K25">
        <f>+[1]wFG_rstar_shock_decomposition!N25</f>
        <v>1.39824978645005E-15</v>
      </c>
      <c r="L25">
        <f>+[1]wFG_rstar_shock_decomposition!O25</f>
        <v>1.10728374482689E-15</v>
      </c>
      <c r="M25">
        <f>+[1]wFG_rstar_shock_decomposition!P25</f>
        <v>3.2609477157440401E-15</v>
      </c>
      <c r="N25">
        <f>+[1]wFG_rstar_shock_decomposition!Q25</f>
        <v>3.29628950568082E-15</v>
      </c>
      <c r="O25">
        <f>+[1]wFG_rstar_shock_decomposition!R25</f>
        <v>-5.29157003359824E-15</v>
      </c>
      <c r="P25">
        <f>+[1]wFG_rstar_shock_decomposition!S25</f>
        <v>1.13335427416351E-13</v>
      </c>
      <c r="Q25">
        <f>+[1]wFG_rstar_shock_decomposition!T25</f>
        <v>-0.17679415136660401</v>
      </c>
      <c r="R25">
        <f>+[1]wFG_rstar_shock_decomposition!U25</f>
        <v>0</v>
      </c>
      <c r="S25">
        <f>+[1]wFG_rstar_shock_decomposition!V25</f>
        <v>-0.943087104843225</v>
      </c>
      <c r="T25">
        <f>+[1]wFG_rstar_shock_decomposition!W25</f>
        <v>2.1314005614473299E-2</v>
      </c>
      <c r="U25" s="4">
        <f>+[1]wFG_rstar_shock_decomposition!D25</f>
        <v>-2.5420009291821901</v>
      </c>
      <c r="Y25" s="1">
        <f t="shared" si="1"/>
        <v>41274</v>
      </c>
      <c r="Z25" s="7">
        <f t="shared" si="1"/>
        <v>-8.7928026169745002E-2</v>
      </c>
      <c r="AA25" s="7">
        <f t="shared" si="1"/>
        <v>-0.83546715004463301</v>
      </c>
      <c r="AB25" s="7">
        <f t="shared" si="1"/>
        <v>-0.52003960568431895</v>
      </c>
      <c r="AC25" s="7">
        <f t="shared" si="2"/>
        <v>-0.98769031540387664</v>
      </c>
      <c r="AD25" s="7">
        <f t="shared" si="3"/>
        <v>4.4604313872376199E-2</v>
      </c>
      <c r="AE25" s="7">
        <f t="shared" si="4"/>
        <v>-0.17679415136660401</v>
      </c>
      <c r="AF25" s="7">
        <f t="shared" si="5"/>
        <v>-2.2146122261473598E-15</v>
      </c>
      <c r="AG25" s="7">
        <f t="shared" si="5"/>
        <v>1.5774363853769001E-14</v>
      </c>
      <c r="AH25" s="7">
        <f t="shared" si="6"/>
        <v>2.1314005614593352E-2</v>
      </c>
      <c r="AI25" s="7">
        <f t="shared" si="0"/>
        <v>-2.5420009291821941</v>
      </c>
      <c r="AJ25" s="8">
        <f t="shared" si="7"/>
        <v>-1.1644844667704806</v>
      </c>
      <c r="AK25" s="8">
        <f t="shared" si="8"/>
        <v>-1.3109024418565758</v>
      </c>
      <c r="AL25" s="8">
        <f t="shared" si="9"/>
        <v>-8.7928026169745002E-2</v>
      </c>
      <c r="AM25" s="8">
        <f t="shared" si="10"/>
        <v>2.1314005614593352E-2</v>
      </c>
      <c r="AN25" s="8">
        <f t="shared" si="11"/>
        <v>-2.5420009291822079</v>
      </c>
      <c r="AO25" s="9">
        <f t="shared" si="13"/>
        <v>0.92229562580007585</v>
      </c>
      <c r="AP25" s="9">
        <f t="shared" si="13"/>
        <v>3.4985865492210534E-2</v>
      </c>
      <c r="AQ25" s="9">
        <f t="shared" si="13"/>
        <v>4.4922550985135201E-2</v>
      </c>
      <c r="AR25" s="9">
        <f t="shared" si="13"/>
        <v>-2.2040422774248919E-3</v>
      </c>
      <c r="AS25" s="9">
        <f t="shared" si="13"/>
        <v>1</v>
      </c>
      <c r="AT25" s="7"/>
      <c r="AU25" s="7"/>
      <c r="AV25" s="7"/>
      <c r="AW25" s="7"/>
      <c r="AX25" s="7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</row>
    <row r="26" spans="1:87" x14ac:dyDescent="0.25">
      <c r="A26" s="1">
        <v>41364</v>
      </c>
      <c r="B26">
        <f>+[1]wFG_rstar_shock_decomposition!E26</f>
        <v>-0.10048847835562</v>
      </c>
      <c r="C26">
        <f>+[1]wFG_rstar_shock_decomposition!F26</f>
        <v>-0.83427278019528905</v>
      </c>
      <c r="D26">
        <f>+[1]wFG_rstar_shock_decomposition!G26</f>
        <v>-0.467456678300393</v>
      </c>
      <c r="E26">
        <f>+[1]wFG_rstar_shock_decomposition!H26</f>
        <v>5.9427910575460201E-2</v>
      </c>
      <c r="F26">
        <f>+[1]wFG_rstar_shock_decomposition!I26</f>
        <v>-6.76817008421359E-2</v>
      </c>
      <c r="G26">
        <f>+[1]wFG_rstar_shock_decomposition!J26</f>
        <v>-2.60156423178714E-15</v>
      </c>
      <c r="H26">
        <f>+[1]wFG_rstar_shock_decomposition!K26</f>
        <v>1.74047206256603E-14</v>
      </c>
      <c r="I26">
        <f>+[1]wFG_rstar_shock_decomposition!L26</f>
        <v>1.0803618489566E-15</v>
      </c>
      <c r="J26">
        <f>+[1]wFG_rstar_shock_decomposition!M26</f>
        <v>7.7326853121428699E-16</v>
      </c>
      <c r="K26">
        <f>+[1]wFG_rstar_shock_decomposition!N26</f>
        <v>1.26057417649996E-15</v>
      </c>
      <c r="L26">
        <f>+[1]wFG_rstar_shock_decomposition!O26</f>
        <v>9.8654567250087407E-16</v>
      </c>
      <c r="M26">
        <f>+[1]wFG_rstar_shock_decomposition!P26</f>
        <v>3.1209825876856099E-15</v>
      </c>
      <c r="N26">
        <f>+[1]wFG_rstar_shock_decomposition!Q26</f>
        <v>3.1859159955374102E-15</v>
      </c>
      <c r="O26">
        <f>+[1]wFG_rstar_shock_decomposition!R26</f>
        <v>-4.6661688240574604E-15</v>
      </c>
      <c r="P26">
        <f>+[1]wFG_rstar_shock_decomposition!S26</f>
        <v>1.1391031173898101E-13</v>
      </c>
      <c r="Q26">
        <f>+[1]wFG_rstar_shock_decomposition!T26</f>
        <v>-0.16055451944788801</v>
      </c>
      <c r="R26">
        <f>+[1]wFG_rstar_shock_decomposition!U26</f>
        <v>0</v>
      </c>
      <c r="S26">
        <f>+[1]wFG_rstar_shock_decomposition!V26</f>
        <v>-1.05453253560386</v>
      </c>
      <c r="T26">
        <f>+[1]wFG_rstar_shock_decomposition!W26</f>
        <v>2.10475712658027E-2</v>
      </c>
      <c r="U26" s="4">
        <f>+[1]wFG_rstar_shock_decomposition!D26</f>
        <v>-2.6045112109037798</v>
      </c>
      <c r="Y26" s="1">
        <f t="shared" si="1"/>
        <v>41364</v>
      </c>
      <c r="Z26" s="7">
        <f t="shared" si="1"/>
        <v>-0.10048847835562</v>
      </c>
      <c r="AA26" s="7">
        <f t="shared" si="1"/>
        <v>-0.83427278019528905</v>
      </c>
      <c r="AB26" s="7">
        <f t="shared" si="1"/>
        <v>-0.467456678300393</v>
      </c>
      <c r="AC26" s="7">
        <f t="shared" si="2"/>
        <v>-1.1222142364459959</v>
      </c>
      <c r="AD26" s="7">
        <f t="shared" si="3"/>
        <v>5.9427910575460201E-2</v>
      </c>
      <c r="AE26" s="7">
        <f t="shared" si="4"/>
        <v>-0.16055451944788801</v>
      </c>
      <c r="AF26" s="7">
        <f t="shared" si="5"/>
        <v>-2.60156423178714E-15</v>
      </c>
      <c r="AG26" s="7">
        <f t="shared" si="5"/>
        <v>1.74047206256603E-14</v>
      </c>
      <c r="AH26" s="7">
        <f t="shared" si="6"/>
        <v>2.1047571265922348E-2</v>
      </c>
      <c r="AI26" s="7">
        <f t="shared" si="0"/>
        <v>-2.6045112109037891</v>
      </c>
      <c r="AJ26" s="8">
        <f t="shared" si="7"/>
        <v>-1.2827687558938838</v>
      </c>
      <c r="AK26" s="8">
        <f t="shared" si="8"/>
        <v>-1.2423015479202217</v>
      </c>
      <c r="AL26" s="8">
        <f t="shared" si="9"/>
        <v>-0.10048847835562</v>
      </c>
      <c r="AM26" s="8">
        <f t="shared" si="10"/>
        <v>2.1047571265922348E-2</v>
      </c>
      <c r="AN26" s="8">
        <f t="shared" si="11"/>
        <v>-2.6045112109038033</v>
      </c>
      <c r="AO26" s="9">
        <f t="shared" si="13"/>
        <v>1.8922373386543154</v>
      </c>
      <c r="AP26" s="9">
        <f t="shared" si="13"/>
        <v>-1.0974337668463021</v>
      </c>
      <c r="AQ26" s="9">
        <f t="shared" si="13"/>
        <v>0.20093417978527092</v>
      </c>
      <c r="AR26" s="9">
        <f t="shared" si="13"/>
        <v>4.2622484067122591E-3</v>
      </c>
      <c r="AS26" s="9">
        <f t="shared" si="13"/>
        <v>1</v>
      </c>
      <c r="AT26" s="7"/>
      <c r="AU26" s="7"/>
      <c r="AV26" s="7"/>
      <c r="AW26" s="7"/>
      <c r="AX26" s="7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</row>
    <row r="27" spans="1:87" x14ac:dyDescent="0.25">
      <c r="A27" s="1">
        <v>41455</v>
      </c>
      <c r="B27">
        <f>+[1]wFG_rstar_shock_decomposition!E27</f>
        <v>-9.5000335052677701E-2</v>
      </c>
      <c r="C27">
        <f>+[1]wFG_rstar_shock_decomposition!F27</f>
        <v>-0.81569416031677799</v>
      </c>
      <c r="D27">
        <f>+[1]wFG_rstar_shock_decomposition!G27</f>
        <v>-0.39843797107590101</v>
      </c>
      <c r="E27">
        <f>+[1]wFG_rstar_shock_decomposition!H27</f>
        <v>6.7178437172280697E-2</v>
      </c>
      <c r="F27">
        <f>+[1]wFG_rstar_shock_decomposition!I27</f>
        <v>-7.8477805539584E-2</v>
      </c>
      <c r="G27">
        <f>+[1]wFG_rstar_shock_decomposition!J27</f>
        <v>-2.3095901050375302E-15</v>
      </c>
      <c r="H27">
        <f>+[1]wFG_rstar_shock_decomposition!K27</f>
        <v>1.8229757166513398E-14</v>
      </c>
      <c r="I27">
        <f>+[1]wFG_rstar_shock_decomposition!L27</f>
        <v>-2.48555380851121E-17</v>
      </c>
      <c r="J27">
        <f>+[1]wFG_rstar_shock_decomposition!M27</f>
        <v>5.7970266985564797E-16</v>
      </c>
      <c r="K27">
        <f>+[1]wFG_rstar_shock_decomposition!N27</f>
        <v>7.1073929595997698E-16</v>
      </c>
      <c r="L27">
        <f>+[1]wFG_rstar_shock_decomposition!O27</f>
        <v>9.2235847293481297E-16</v>
      </c>
      <c r="M27">
        <f>+[1]wFG_rstar_shock_decomposition!P27</f>
        <v>2.9877747835325901E-15</v>
      </c>
      <c r="N27">
        <f>+[1]wFG_rstar_shock_decomposition!Q27</f>
        <v>2.5365887214396001E-15</v>
      </c>
      <c r="O27">
        <f>+[1]wFG_rstar_shock_decomposition!R27</f>
        <v>-4.7494394357274704E-15</v>
      </c>
      <c r="P27">
        <f>+[1]wFG_rstar_shock_decomposition!S27</f>
        <v>1.1400592159753599E-13</v>
      </c>
      <c r="Q27">
        <f>+[1]wFG_rstar_shock_decomposition!T27</f>
        <v>-0.13620928407861299</v>
      </c>
      <c r="R27">
        <f>+[1]wFG_rstar_shock_decomposition!U27</f>
        <v>0</v>
      </c>
      <c r="S27">
        <f>+[1]wFG_rstar_shock_decomposition!V27</f>
        <v>-1.01875146528779</v>
      </c>
      <c r="T27">
        <f>+[1]wFG_rstar_shock_decomposition!W27</f>
        <v>2.0784662843631001E-2</v>
      </c>
      <c r="U27" s="4">
        <f>+[1]wFG_rstar_shock_decomposition!D27</f>
        <v>-2.4546079213352998</v>
      </c>
      <c r="Y27" s="1">
        <f t="shared" si="1"/>
        <v>41455</v>
      </c>
      <c r="Z27" s="7">
        <f t="shared" si="1"/>
        <v>-9.5000335052677701E-2</v>
      </c>
      <c r="AA27" s="7">
        <f t="shared" si="1"/>
        <v>-0.81569416031677799</v>
      </c>
      <c r="AB27" s="7">
        <f t="shared" si="1"/>
        <v>-0.39843797107590101</v>
      </c>
      <c r="AC27" s="7">
        <f t="shared" si="2"/>
        <v>-1.0972292708273741</v>
      </c>
      <c r="AD27" s="7">
        <f t="shared" si="3"/>
        <v>6.7178437172280697E-2</v>
      </c>
      <c r="AE27" s="7">
        <f t="shared" si="4"/>
        <v>-0.13620928407861299</v>
      </c>
      <c r="AF27" s="7">
        <f t="shared" si="5"/>
        <v>-2.3095901050375302E-15</v>
      </c>
      <c r="AG27" s="7">
        <f t="shared" si="5"/>
        <v>1.8229757166513398E-14</v>
      </c>
      <c r="AH27" s="7">
        <f t="shared" si="6"/>
        <v>2.078466284374797E-2</v>
      </c>
      <c r="AI27" s="7">
        <f t="shared" si="0"/>
        <v>-2.4546079213352994</v>
      </c>
      <c r="AJ27" s="8">
        <f t="shared" si="7"/>
        <v>-1.233438554905987</v>
      </c>
      <c r="AK27" s="8">
        <f t="shared" si="8"/>
        <v>-1.1469536942203982</v>
      </c>
      <c r="AL27" s="8">
        <f t="shared" si="9"/>
        <v>-9.5000335052677701E-2</v>
      </c>
      <c r="AM27" s="8">
        <f t="shared" si="10"/>
        <v>2.078466284374797E-2</v>
      </c>
      <c r="AN27" s="8">
        <f t="shared" si="11"/>
        <v>-2.4546079213353149</v>
      </c>
      <c r="AO27" s="9">
        <f t="shared" si="13"/>
        <v>0.32908017649178195</v>
      </c>
      <c r="AP27" s="9">
        <f t="shared" si="13"/>
        <v>0.63606245049252674</v>
      </c>
      <c r="AQ27" s="9">
        <f t="shared" si="13"/>
        <v>3.6611226603101676E-2</v>
      </c>
      <c r="AR27" s="9">
        <f t="shared" si="13"/>
        <v>-1.7538535874108308E-3</v>
      </c>
      <c r="AS27" s="9">
        <f t="shared" si="13"/>
        <v>1</v>
      </c>
      <c r="AT27" s="7"/>
      <c r="AU27" s="7"/>
      <c r="AV27" s="7"/>
      <c r="AW27" s="7"/>
      <c r="AX27" s="7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</row>
    <row r="28" spans="1:87" x14ac:dyDescent="0.25">
      <c r="A28" s="1">
        <v>41547</v>
      </c>
      <c r="B28">
        <f>+[1]wFG_rstar_shock_decomposition!E28</f>
        <v>-9.9459504432794402E-2</v>
      </c>
      <c r="C28">
        <f>+[1]wFG_rstar_shock_decomposition!F28</f>
        <v>-0.77734899788628598</v>
      </c>
      <c r="D28">
        <f>+[1]wFG_rstar_shock_decomposition!G28</f>
        <v>-0.43271204947258002</v>
      </c>
      <c r="E28">
        <f>+[1]wFG_rstar_shock_decomposition!H28</f>
        <v>8.8510750032914004E-2</v>
      </c>
      <c r="F28">
        <f>+[1]wFG_rstar_shock_decomposition!I28</f>
        <v>-0.101174806423609</v>
      </c>
      <c r="G28">
        <f>+[1]wFG_rstar_shock_decomposition!J28</f>
        <v>-3.1245184586860102E-15</v>
      </c>
      <c r="H28">
        <f>+[1]wFG_rstar_shock_decomposition!K28</f>
        <v>1.95100390744406E-14</v>
      </c>
      <c r="I28">
        <f>+[1]wFG_rstar_shock_decomposition!L28</f>
        <v>-8.2764100264466199E-16</v>
      </c>
      <c r="J28">
        <f>+[1]wFG_rstar_shock_decomposition!M28</f>
        <v>1.09232349957525E-15</v>
      </c>
      <c r="K28">
        <f>+[1]wFG_rstar_shock_decomposition!N28</f>
        <v>9.3942998486313201E-16</v>
      </c>
      <c r="L28">
        <f>+[1]wFG_rstar_shock_decomposition!O28</f>
        <v>1.5796265699509999E-15</v>
      </c>
      <c r="M28">
        <f>+[1]wFG_rstar_shock_decomposition!P28</f>
        <v>3.19887392239496E-15</v>
      </c>
      <c r="N28">
        <f>+[1]wFG_rstar_shock_decomposition!Q28</f>
        <v>3.3165455953169499E-15</v>
      </c>
      <c r="O28">
        <f>+[1]wFG_rstar_shock_decomposition!R28</f>
        <v>-4.7353458917090299E-15</v>
      </c>
      <c r="P28">
        <f>+[1]wFG_rstar_shock_decomposition!S28</f>
        <v>1.11151981221429E-13</v>
      </c>
      <c r="Q28">
        <f>+[1]wFG_rstar_shock_decomposition!T28</f>
        <v>-0.123329439230251</v>
      </c>
      <c r="R28">
        <f>+[1]wFG_rstar_shock_decomposition!U28</f>
        <v>0</v>
      </c>
      <c r="S28">
        <f>+[1]wFG_rstar_shock_decomposition!V28</f>
        <v>-1.03853039316728</v>
      </c>
      <c r="T28">
        <f>+[1]wFG_rstar_shock_decomposition!W28</f>
        <v>2.0525231637951301E-2</v>
      </c>
      <c r="U28" s="4">
        <f>+[1]wFG_rstar_shock_decomposition!D28</f>
        <v>-2.4635192089418099</v>
      </c>
      <c r="Y28" s="1">
        <f t="shared" si="1"/>
        <v>41547</v>
      </c>
      <c r="Z28" s="7">
        <f t="shared" si="1"/>
        <v>-9.9459504432794402E-2</v>
      </c>
      <c r="AA28" s="7">
        <f t="shared" si="1"/>
        <v>-0.77734899788628598</v>
      </c>
      <c r="AB28" s="7">
        <f t="shared" si="1"/>
        <v>-0.43271204947258002</v>
      </c>
      <c r="AC28" s="7">
        <f t="shared" si="2"/>
        <v>-1.1397051995908891</v>
      </c>
      <c r="AD28" s="7">
        <f t="shared" si="3"/>
        <v>8.8510750032914004E-2</v>
      </c>
      <c r="AE28" s="7">
        <f t="shared" si="4"/>
        <v>-0.123329439230251</v>
      </c>
      <c r="AF28" s="7">
        <f t="shared" si="5"/>
        <v>-3.1245184586860102E-15</v>
      </c>
      <c r="AG28" s="7">
        <f t="shared" si="5"/>
        <v>1.95100390744406E-14</v>
      </c>
      <c r="AH28" s="7">
        <f t="shared" si="6"/>
        <v>2.0525231638067014E-2</v>
      </c>
      <c r="AI28" s="7">
        <f t="shared" si="0"/>
        <v>-2.4635192089418028</v>
      </c>
      <c r="AJ28" s="8">
        <f t="shared" si="7"/>
        <v>-1.2630346388211402</v>
      </c>
      <c r="AK28" s="8">
        <f t="shared" si="8"/>
        <v>-1.1215502973259519</v>
      </c>
      <c r="AL28" s="8">
        <f t="shared" si="9"/>
        <v>-9.9459504432794402E-2</v>
      </c>
      <c r="AM28" s="8">
        <f t="shared" si="10"/>
        <v>2.0525231638067014E-2</v>
      </c>
      <c r="AN28" s="8">
        <f t="shared" si="11"/>
        <v>-2.4635192089418196</v>
      </c>
      <c r="AO28" s="9">
        <f t="shared" si="13"/>
        <v>3.3211905194878679</v>
      </c>
      <c r="AP28" s="9">
        <f t="shared" si="13"/>
        <v>-2.8506988009121432</v>
      </c>
      <c r="AQ28" s="9">
        <f t="shared" si="13"/>
        <v>0.50039563046554181</v>
      </c>
      <c r="AR28" s="9">
        <f t="shared" si="13"/>
        <v>2.9112650958721842E-2</v>
      </c>
      <c r="AS28" s="9">
        <f t="shared" si="13"/>
        <v>1</v>
      </c>
      <c r="AT28" s="7"/>
      <c r="AU28" s="7"/>
      <c r="AV28" s="7"/>
      <c r="AW28" s="7"/>
      <c r="AX28" s="7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</row>
    <row r="29" spans="1:87" x14ac:dyDescent="0.25">
      <c r="A29" s="1">
        <v>41639</v>
      </c>
      <c r="B29">
        <f>+[1]wFG_rstar_shock_decomposition!E29</f>
        <v>-0.11045848026907</v>
      </c>
      <c r="C29">
        <f>+[1]wFG_rstar_shock_decomposition!F29</f>
        <v>-0.76365399612470897</v>
      </c>
      <c r="D29">
        <f>+[1]wFG_rstar_shock_decomposition!G29</f>
        <v>-0.38715663446493698</v>
      </c>
      <c r="E29">
        <f>+[1]wFG_rstar_shock_decomposition!H29</f>
        <v>8.55751031330238E-2</v>
      </c>
      <c r="F29">
        <f>+[1]wFG_rstar_shock_decomposition!I29</f>
        <v>-0.13467821267022001</v>
      </c>
      <c r="G29">
        <f>+[1]wFG_rstar_shock_decomposition!J29</f>
        <v>-3.6928666610898597E-15</v>
      </c>
      <c r="H29">
        <f>+[1]wFG_rstar_shock_decomposition!K29</f>
        <v>2.0401116122654499E-14</v>
      </c>
      <c r="I29">
        <f>+[1]wFG_rstar_shock_decomposition!L29</f>
        <v>-1.70716168221467E-15</v>
      </c>
      <c r="J29">
        <f>+[1]wFG_rstar_shock_decomposition!M29</f>
        <v>1.36244305129392E-15</v>
      </c>
      <c r="K29">
        <f>+[1]wFG_rstar_shock_decomposition!N29</f>
        <v>1.19058480744414E-15</v>
      </c>
      <c r="L29">
        <f>+[1]wFG_rstar_shock_decomposition!O29</f>
        <v>2.1225679362232701E-15</v>
      </c>
      <c r="M29">
        <f>+[1]wFG_rstar_shock_decomposition!P29</f>
        <v>2.7615683813673601E-15</v>
      </c>
      <c r="N29">
        <f>+[1]wFG_rstar_shock_decomposition!Q29</f>
        <v>3.4712208582769099E-15</v>
      </c>
      <c r="O29">
        <f>+[1]wFG_rstar_shock_decomposition!R29</f>
        <v>-4.6518672383989501E-15</v>
      </c>
      <c r="P29">
        <f>+[1]wFG_rstar_shock_decomposition!S29</f>
        <v>1.1141049994639E-13</v>
      </c>
      <c r="Q29">
        <f>+[1]wFG_rstar_shock_decomposition!T29</f>
        <v>-0.12257446400395899</v>
      </c>
      <c r="R29">
        <f>+[1]wFG_rstar_shock_decomposition!U29</f>
        <v>0</v>
      </c>
      <c r="S29">
        <f>+[1]wFG_rstar_shock_decomposition!V29</f>
        <v>-1.0522910309915301</v>
      </c>
      <c r="T29">
        <f>+[1]wFG_rstar_shock_decomposition!W29</f>
        <v>2.02692296018935E-2</v>
      </c>
      <c r="U29" s="4">
        <f>+[1]wFG_rstar_shock_decomposition!D29</f>
        <v>-2.4649684857893801</v>
      </c>
      <c r="Y29" s="1">
        <f t="shared" si="1"/>
        <v>41639</v>
      </c>
      <c r="Z29" s="7">
        <f t="shared" si="1"/>
        <v>-0.11045848026907</v>
      </c>
      <c r="AA29" s="7">
        <f t="shared" si="1"/>
        <v>-0.76365399612470897</v>
      </c>
      <c r="AB29" s="7">
        <f t="shared" si="1"/>
        <v>-0.38715663446493698</v>
      </c>
      <c r="AC29" s="7">
        <f t="shared" si="2"/>
        <v>-1.1869692436617501</v>
      </c>
      <c r="AD29" s="7">
        <f t="shared" si="3"/>
        <v>8.55751031330238E-2</v>
      </c>
      <c r="AE29" s="7">
        <f t="shared" si="4"/>
        <v>-0.12257446400395899</v>
      </c>
      <c r="AF29" s="7">
        <f t="shared" si="5"/>
        <v>-3.6928666610898597E-15</v>
      </c>
      <c r="AG29" s="7">
        <f t="shared" si="5"/>
        <v>2.0401116122654499E-14</v>
      </c>
      <c r="AH29" s="7">
        <f t="shared" si="6"/>
        <v>2.0269229602009463E-2</v>
      </c>
      <c r="AI29" s="7">
        <f t="shared" si="0"/>
        <v>-2.4649684857893752</v>
      </c>
      <c r="AJ29" s="8">
        <f t="shared" si="7"/>
        <v>-1.309543707665709</v>
      </c>
      <c r="AK29" s="8">
        <f t="shared" si="8"/>
        <v>-1.0652355274566221</v>
      </c>
      <c r="AL29" s="8">
        <f t="shared" si="9"/>
        <v>-0.11045848026907</v>
      </c>
      <c r="AM29" s="8">
        <f t="shared" si="10"/>
        <v>2.0269229602009463E-2</v>
      </c>
      <c r="AN29" s="8">
        <f t="shared" si="11"/>
        <v>-2.4649684857893917</v>
      </c>
      <c r="AO29" s="9">
        <f t="shared" si="13"/>
        <v>32.091224614873241</v>
      </c>
      <c r="AP29" s="9">
        <f t="shared" si="13"/>
        <v>-38.857151388069518</v>
      </c>
      <c r="AQ29" s="9">
        <f t="shared" si="13"/>
        <v>7.5892855493429661</v>
      </c>
      <c r="AR29" s="9">
        <f t="shared" si="13"/>
        <v>0.17664122385342304</v>
      </c>
      <c r="AS29" s="9">
        <f t="shared" si="13"/>
        <v>1</v>
      </c>
      <c r="AT29" s="7"/>
      <c r="AU29" s="7"/>
      <c r="AV29" s="7"/>
      <c r="AW29" s="7"/>
      <c r="AX29" s="7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</row>
    <row r="30" spans="1:87" x14ac:dyDescent="0.25">
      <c r="A30" s="1">
        <v>41729</v>
      </c>
      <c r="B30">
        <f>+[1]wFG_rstar_shock_decomposition!E30</f>
        <v>-0.12407675743687099</v>
      </c>
      <c r="C30">
        <f>+[1]wFG_rstar_shock_decomposition!F30</f>
        <v>-0.72984968092035296</v>
      </c>
      <c r="D30">
        <f>+[1]wFG_rstar_shock_decomposition!G30</f>
        <v>-0.39725795766882199</v>
      </c>
      <c r="E30">
        <f>+[1]wFG_rstar_shock_decomposition!H30</f>
        <v>9.2730713974741599E-2</v>
      </c>
      <c r="F30">
        <f>+[1]wFG_rstar_shock_decomposition!I30</f>
        <v>-0.124190009853006</v>
      </c>
      <c r="G30">
        <f>+[1]wFG_rstar_shock_decomposition!J30</f>
        <v>-3.25020582270169E-15</v>
      </c>
      <c r="H30">
        <f>+[1]wFG_rstar_shock_decomposition!K30</f>
        <v>2.06148900568879E-14</v>
      </c>
      <c r="I30">
        <f>+[1]wFG_rstar_shock_decomposition!L30</f>
        <v>-1.98864909742059E-15</v>
      </c>
      <c r="J30">
        <f>+[1]wFG_rstar_shock_decomposition!M30</f>
        <v>1.23059706163421E-15</v>
      </c>
      <c r="K30">
        <f>+[1]wFG_rstar_shock_decomposition!N30</f>
        <v>1.3549064608252801E-15</v>
      </c>
      <c r="L30">
        <f>+[1]wFG_rstar_shock_decomposition!O30</f>
        <v>2.6480388623036199E-15</v>
      </c>
      <c r="M30">
        <f>+[1]wFG_rstar_shock_decomposition!P30</f>
        <v>2.82066417838354E-15</v>
      </c>
      <c r="N30">
        <f>+[1]wFG_rstar_shock_decomposition!Q30</f>
        <v>3.0187914908726001E-15</v>
      </c>
      <c r="O30">
        <f>+[1]wFG_rstar_shock_decomposition!R30</f>
        <v>-5.17139737464948E-15</v>
      </c>
      <c r="P30">
        <f>+[1]wFG_rstar_shock_decomposition!S30</f>
        <v>1.0863109838493099E-13</v>
      </c>
      <c r="Q30">
        <f>+[1]wFG_rstar_shock_decomposition!T30</f>
        <v>-0.115147705275277</v>
      </c>
      <c r="R30">
        <f>+[1]wFG_rstar_shock_decomposition!U30</f>
        <v>0</v>
      </c>
      <c r="S30">
        <f>+[1]wFG_rstar_shock_decomposition!V30</f>
        <v>-0.97346970217957995</v>
      </c>
      <c r="T30">
        <f>+[1]wFG_rstar_shock_decomposition!W30</f>
        <v>2.0016609344004802E-2</v>
      </c>
      <c r="U30" s="4">
        <f>+[1]wFG_rstar_shock_decomposition!D30</f>
        <v>-2.3512444900150302</v>
      </c>
      <c r="Y30" s="1">
        <f t="shared" si="1"/>
        <v>41729</v>
      </c>
      <c r="Z30" s="7">
        <f t="shared" si="1"/>
        <v>-0.12407675743687099</v>
      </c>
      <c r="AA30" s="7">
        <f t="shared" si="1"/>
        <v>-0.72984968092035296</v>
      </c>
      <c r="AB30" s="7">
        <f t="shared" si="1"/>
        <v>-0.39725795766882199</v>
      </c>
      <c r="AC30" s="7">
        <f t="shared" si="2"/>
        <v>-1.0976597120325859</v>
      </c>
      <c r="AD30" s="7">
        <f t="shared" si="3"/>
        <v>9.2730713974741599E-2</v>
      </c>
      <c r="AE30" s="7">
        <f t="shared" si="4"/>
        <v>-0.115147705275277</v>
      </c>
      <c r="AF30" s="7">
        <f t="shared" si="5"/>
        <v>-3.25020582270169E-15</v>
      </c>
      <c r="AG30" s="7">
        <f t="shared" si="5"/>
        <v>2.06148900568879E-14</v>
      </c>
      <c r="AH30" s="7">
        <f t="shared" si="6"/>
        <v>2.0016609344117347E-2</v>
      </c>
      <c r="AI30" s="7">
        <f t="shared" si="0"/>
        <v>-2.3512444900150329</v>
      </c>
      <c r="AJ30" s="8">
        <f t="shared" si="7"/>
        <v>-1.2128074173078629</v>
      </c>
      <c r="AK30" s="8">
        <f t="shared" si="8"/>
        <v>-1.0343769246144334</v>
      </c>
      <c r="AL30" s="8">
        <f t="shared" si="9"/>
        <v>-0.12407675743687099</v>
      </c>
      <c r="AM30" s="8">
        <f t="shared" si="10"/>
        <v>2.0016609344117347E-2</v>
      </c>
      <c r="AN30" s="8">
        <f t="shared" si="11"/>
        <v>-2.3512444900150502</v>
      </c>
      <c r="AO30" s="9">
        <f t="shared" si="13"/>
        <v>0.85062338602485077</v>
      </c>
      <c r="AP30" s="9">
        <f t="shared" si="13"/>
        <v>0.2713464527171584</v>
      </c>
      <c r="AQ30" s="9">
        <f t="shared" si="13"/>
        <v>-0.11974849349141113</v>
      </c>
      <c r="AR30" s="9">
        <f t="shared" si="13"/>
        <v>-2.2213452505958505E-3</v>
      </c>
      <c r="AS30" s="9">
        <f t="shared" si="13"/>
        <v>1</v>
      </c>
      <c r="AT30" s="7"/>
      <c r="AU30" s="7"/>
      <c r="AV30" s="7"/>
      <c r="AW30" s="7"/>
      <c r="AX30" s="7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</row>
    <row r="31" spans="1:87" x14ac:dyDescent="0.25">
      <c r="A31" s="1">
        <v>41820</v>
      </c>
      <c r="B31">
        <f>+[1]wFG_rstar_shock_decomposition!E31</f>
        <v>-0.11765066591697</v>
      </c>
      <c r="C31">
        <f>+[1]wFG_rstar_shock_decomposition!F31</f>
        <v>-0.74516318341305898</v>
      </c>
      <c r="D31">
        <f>+[1]wFG_rstar_shock_decomposition!G31</f>
        <v>-0.376128980011809</v>
      </c>
      <c r="E31">
        <f>+[1]wFG_rstar_shock_decomposition!H31</f>
        <v>9.8668435884457603E-2</v>
      </c>
      <c r="F31">
        <f>+[1]wFG_rstar_shock_decomposition!I31</f>
        <v>-0.14530305388068701</v>
      </c>
      <c r="G31">
        <f>+[1]wFG_rstar_shock_decomposition!J31</f>
        <v>-4.1044178198248501E-15</v>
      </c>
      <c r="H31">
        <f>+[1]wFG_rstar_shock_decomposition!K31</f>
        <v>2.19055508323665E-14</v>
      </c>
      <c r="I31">
        <f>+[1]wFG_rstar_shock_decomposition!L31</f>
        <v>-1.5882079675090601E-15</v>
      </c>
      <c r="J31">
        <f>+[1]wFG_rstar_shock_decomposition!M31</f>
        <v>1.6044157159188E-15</v>
      </c>
      <c r="K31">
        <f>+[1]wFG_rstar_shock_decomposition!N31</f>
        <v>1.4782914167743201E-15</v>
      </c>
      <c r="L31">
        <f>+[1]wFG_rstar_shock_decomposition!O31</f>
        <v>2.6236558044183702E-15</v>
      </c>
      <c r="M31">
        <f>+[1]wFG_rstar_shock_decomposition!P31</f>
        <v>3.1882537085752598E-15</v>
      </c>
      <c r="N31">
        <f>+[1]wFG_rstar_shock_decomposition!Q31</f>
        <v>2.6479894000597302E-15</v>
      </c>
      <c r="O31">
        <f>+[1]wFG_rstar_shock_decomposition!R31</f>
        <v>-5.4318837155731401E-15</v>
      </c>
      <c r="P31">
        <f>+[1]wFG_rstar_shock_decomposition!S31</f>
        <v>1.0853531952988401E-13</v>
      </c>
      <c r="Q31">
        <f>+[1]wFG_rstar_shock_decomposition!T31</f>
        <v>-9.5589872912087398E-2</v>
      </c>
      <c r="R31">
        <f>+[1]wFG_rstar_shock_decomposition!U31</f>
        <v>0</v>
      </c>
      <c r="S31">
        <f>+[1]wFG_rstar_shock_decomposition!V31</f>
        <v>-0.97685957565923798</v>
      </c>
      <c r="T31">
        <f>+[1]wFG_rstar_shock_decomposition!W31</f>
        <v>1.9767324120569401E-2</v>
      </c>
      <c r="U31" s="4">
        <f>+[1]wFG_rstar_shock_decomposition!D31</f>
        <v>-2.33825957178869</v>
      </c>
      <c r="Y31" s="1">
        <f t="shared" si="1"/>
        <v>41820</v>
      </c>
      <c r="Z31" s="7">
        <f t="shared" si="1"/>
        <v>-0.11765066591697</v>
      </c>
      <c r="AA31" s="7">
        <f t="shared" si="1"/>
        <v>-0.74516318341305898</v>
      </c>
      <c r="AB31" s="7">
        <f t="shared" si="1"/>
        <v>-0.376128980011809</v>
      </c>
      <c r="AC31" s="7">
        <f t="shared" si="2"/>
        <v>-1.122162629539925</v>
      </c>
      <c r="AD31" s="7">
        <f t="shared" si="3"/>
        <v>9.8668435884457603E-2</v>
      </c>
      <c r="AE31" s="7">
        <f t="shared" si="4"/>
        <v>-9.5589872912087398E-2</v>
      </c>
      <c r="AF31" s="7">
        <f t="shared" si="5"/>
        <v>-4.1044178198248501E-15</v>
      </c>
      <c r="AG31" s="7">
        <f t="shared" si="5"/>
        <v>2.19055508323665E-14</v>
      </c>
      <c r="AH31" s="7">
        <f t="shared" si="6"/>
        <v>1.9767324120682453E-2</v>
      </c>
      <c r="AI31" s="7">
        <f t="shared" si="0"/>
        <v>-2.3382595717886927</v>
      </c>
      <c r="AJ31" s="8">
        <f t="shared" si="7"/>
        <v>-1.2177525024520124</v>
      </c>
      <c r="AK31" s="8">
        <f t="shared" si="8"/>
        <v>-1.0226237275404104</v>
      </c>
      <c r="AL31" s="8">
        <f t="shared" si="9"/>
        <v>-0.11765066591697</v>
      </c>
      <c r="AM31" s="8">
        <f t="shared" si="10"/>
        <v>1.9767324120682453E-2</v>
      </c>
      <c r="AN31" s="8">
        <f t="shared" si="11"/>
        <v>-2.33825957178871</v>
      </c>
      <c r="AO31" s="9">
        <f t="shared" si="13"/>
        <v>-0.38083298315412384</v>
      </c>
      <c r="AP31" s="9">
        <f t="shared" si="13"/>
        <v>0.90514217102895533</v>
      </c>
      <c r="AQ31" s="9">
        <f t="shared" si="13"/>
        <v>0.49488887091067929</v>
      </c>
      <c r="AR31" s="9">
        <f t="shared" si="13"/>
        <v>-1.9198058785554278E-2</v>
      </c>
      <c r="AS31" s="9">
        <f t="shared" si="13"/>
        <v>1</v>
      </c>
      <c r="AT31" s="7"/>
      <c r="AU31" s="7"/>
      <c r="AV31" s="7"/>
      <c r="AW31" s="7"/>
      <c r="AX31" s="7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</row>
    <row r="32" spans="1:87" x14ac:dyDescent="0.25">
      <c r="A32" s="1">
        <v>41912</v>
      </c>
      <c r="B32">
        <f>+[1]wFG_rstar_shock_decomposition!E32</f>
        <v>-0.122205790077314</v>
      </c>
      <c r="C32">
        <f>+[1]wFG_rstar_shock_decomposition!F32</f>
        <v>-0.79292065503802001</v>
      </c>
      <c r="D32">
        <f>+[1]wFG_rstar_shock_decomposition!G32</f>
        <v>-0.36058546645293399</v>
      </c>
      <c r="E32">
        <f>+[1]wFG_rstar_shock_decomposition!H32</f>
        <v>8.7895204086533299E-2</v>
      </c>
      <c r="F32">
        <f>+[1]wFG_rstar_shock_decomposition!I32</f>
        <v>-0.171636627945042</v>
      </c>
      <c r="G32">
        <f>+[1]wFG_rstar_shock_decomposition!J32</f>
        <v>-4.3259702029358401E-15</v>
      </c>
      <c r="H32">
        <f>+[1]wFG_rstar_shock_decomposition!K32</f>
        <v>2.2851239009496301E-14</v>
      </c>
      <c r="I32">
        <f>+[1]wFG_rstar_shock_decomposition!L32</f>
        <v>-2.25871648781104E-15</v>
      </c>
      <c r="J32">
        <f>+[1]wFG_rstar_shock_decomposition!M32</f>
        <v>1.6838312609539499E-15</v>
      </c>
      <c r="K32">
        <f>+[1]wFG_rstar_shock_decomposition!N32</f>
        <v>1.8325304993732399E-15</v>
      </c>
      <c r="L32">
        <f>+[1]wFG_rstar_shock_decomposition!O32</f>
        <v>2.5071296300873899E-15</v>
      </c>
      <c r="M32">
        <f>+[1]wFG_rstar_shock_decomposition!P32</f>
        <v>3.0647557815872502E-15</v>
      </c>
      <c r="N32">
        <f>+[1]wFG_rstar_shock_decomposition!Q32</f>
        <v>2.5514254703496201E-15</v>
      </c>
      <c r="O32">
        <f>+[1]wFG_rstar_shock_decomposition!R32</f>
        <v>-5.5659425071384096E-15</v>
      </c>
      <c r="P32">
        <f>+[1]wFG_rstar_shock_decomposition!S32</f>
        <v>1.08698078700828E-13</v>
      </c>
      <c r="Q32">
        <f>+[1]wFG_rstar_shock_decomposition!T32</f>
        <v>-7.8805676771005306E-2</v>
      </c>
      <c r="R32">
        <f>+[1]wFG_rstar_shock_decomposition!U32</f>
        <v>0</v>
      </c>
      <c r="S32">
        <f>+[1]wFG_rstar_shock_decomposition!V32</f>
        <v>-0.949080559700337</v>
      </c>
      <c r="T32">
        <f>+[1]wFG_rstar_shock_decomposition!W32</f>
        <v>1.95213278279683E-2</v>
      </c>
      <c r="U32" s="4">
        <f>+[1]wFG_rstar_shock_decomposition!D32</f>
        <v>-2.3678182440700102</v>
      </c>
      <c r="Y32" s="1">
        <f t="shared" si="1"/>
        <v>41912</v>
      </c>
      <c r="Z32" s="7">
        <f t="shared" si="1"/>
        <v>-0.122205790077314</v>
      </c>
      <c r="AA32" s="7">
        <f t="shared" si="1"/>
        <v>-0.79292065503802001</v>
      </c>
      <c r="AB32" s="7">
        <f t="shared" si="1"/>
        <v>-0.36058546645293399</v>
      </c>
      <c r="AC32" s="7">
        <f t="shared" si="2"/>
        <v>-1.120717187645379</v>
      </c>
      <c r="AD32" s="7">
        <f t="shared" si="3"/>
        <v>8.7895204086533299E-2</v>
      </c>
      <c r="AE32" s="7">
        <f t="shared" si="4"/>
        <v>-7.8805676771005306E-2</v>
      </c>
      <c r="AF32" s="7">
        <f t="shared" si="5"/>
        <v>-4.3259702029358401E-15</v>
      </c>
      <c r="AG32" s="7">
        <f t="shared" si="5"/>
        <v>2.2851239009496301E-14</v>
      </c>
      <c r="AH32" s="7">
        <f t="shared" si="6"/>
        <v>1.952132782808081E-2</v>
      </c>
      <c r="AI32" s="7">
        <f t="shared" si="0"/>
        <v>-2.36781824407002</v>
      </c>
      <c r="AJ32" s="8">
        <f t="shared" si="7"/>
        <v>-1.1995228644163842</v>
      </c>
      <c r="AK32" s="8">
        <f t="shared" si="8"/>
        <v>-1.0656109174044206</v>
      </c>
      <c r="AL32" s="8">
        <f t="shared" si="9"/>
        <v>-0.122205790077314</v>
      </c>
      <c r="AM32" s="8">
        <f t="shared" si="10"/>
        <v>1.952132782808081E-2</v>
      </c>
      <c r="AN32" s="8">
        <f t="shared" si="11"/>
        <v>-2.3678182440700382</v>
      </c>
      <c r="AO32" s="9">
        <f t="shared" si="13"/>
        <v>-0.61672722854820539</v>
      </c>
      <c r="AP32" s="9">
        <f t="shared" si="13"/>
        <v>1.4543004318622483</v>
      </c>
      <c r="AQ32" s="9">
        <f t="shared" si="13"/>
        <v>0.15410449146666896</v>
      </c>
      <c r="AR32" s="9">
        <f t="shared" si="13"/>
        <v>8.3223052192718267E-3</v>
      </c>
      <c r="AS32" s="9">
        <f t="shared" si="13"/>
        <v>1</v>
      </c>
      <c r="AT32" s="7"/>
      <c r="AU32" s="7"/>
      <c r="AV32" s="7"/>
      <c r="AW32" s="7"/>
      <c r="AX32" s="7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</row>
    <row r="33" spans="1:87" x14ac:dyDescent="0.25">
      <c r="A33" s="1">
        <v>42004</v>
      </c>
      <c r="B33">
        <f>+[1]wFG_rstar_shock_decomposition!E33</f>
        <v>-0.12684931984071601</v>
      </c>
      <c r="C33">
        <f>+[1]wFG_rstar_shock_decomposition!F33</f>
        <v>-0.88704236973166894</v>
      </c>
      <c r="D33">
        <f>+[1]wFG_rstar_shock_decomposition!G33</f>
        <v>-0.39777607549070698</v>
      </c>
      <c r="E33">
        <f>+[1]wFG_rstar_shock_decomposition!H33</f>
        <v>4.81651994883113E-2</v>
      </c>
      <c r="F33">
        <f>+[1]wFG_rstar_shock_decomposition!I33</f>
        <v>-0.16827674420518901</v>
      </c>
      <c r="G33">
        <f>+[1]wFG_rstar_shock_decomposition!J33</f>
        <v>-3.8045495914073499E-15</v>
      </c>
      <c r="H33">
        <f>+[1]wFG_rstar_shock_decomposition!K33</f>
        <v>2.33589691384261E-14</v>
      </c>
      <c r="I33">
        <f>+[1]wFG_rstar_shock_decomposition!L33</f>
        <v>-1.7351205837513499E-15</v>
      </c>
      <c r="J33">
        <f>+[1]wFG_rstar_shock_decomposition!M33</f>
        <v>1.74457730148635E-15</v>
      </c>
      <c r="K33">
        <f>+[1]wFG_rstar_shock_decomposition!N33</f>
        <v>1.83085711387667E-15</v>
      </c>
      <c r="L33">
        <f>+[1]wFG_rstar_shock_decomposition!O33</f>
        <v>2.6595256426257599E-15</v>
      </c>
      <c r="M33">
        <f>+[1]wFG_rstar_shock_decomposition!P33</f>
        <v>3.23154579363867E-15</v>
      </c>
      <c r="N33">
        <f>+[1]wFG_rstar_shock_decomposition!Q33</f>
        <v>2.6190268186991199E-15</v>
      </c>
      <c r="O33">
        <f>+[1]wFG_rstar_shock_decomposition!R33</f>
        <v>-5.0991797428987201E-15</v>
      </c>
      <c r="P33">
        <f>+[1]wFG_rstar_shock_decomposition!S33</f>
        <v>1.09356966400974E-13</v>
      </c>
      <c r="Q33">
        <f>+[1]wFG_rstar_shock_decomposition!T33</f>
        <v>-6.6108421019990704E-2</v>
      </c>
      <c r="R33">
        <f>+[1]wFG_rstar_shock_decomposition!U33</f>
        <v>0</v>
      </c>
      <c r="S33">
        <f>+[1]wFG_rstar_shock_decomposition!V33</f>
        <v>-0.89331498985510505</v>
      </c>
      <c r="T33">
        <f>+[1]wFG_rstar_shock_decomposition!W33</f>
        <v>1.9278574995082599E-2</v>
      </c>
      <c r="U33" s="4">
        <f>+[1]wFG_rstar_shock_decomposition!D33</f>
        <v>-2.4719241456598402</v>
      </c>
      <c r="Y33" s="1">
        <f t="shared" si="1"/>
        <v>42004</v>
      </c>
      <c r="Z33" s="7">
        <f t="shared" si="1"/>
        <v>-0.12684931984071601</v>
      </c>
      <c r="AA33" s="7">
        <f t="shared" si="1"/>
        <v>-0.88704236973166894</v>
      </c>
      <c r="AB33" s="7">
        <f t="shared" si="1"/>
        <v>-0.39777607549070698</v>
      </c>
      <c r="AC33" s="7">
        <f t="shared" si="2"/>
        <v>-1.0615917340602941</v>
      </c>
      <c r="AD33" s="7">
        <f t="shared" si="3"/>
        <v>4.81651994883113E-2</v>
      </c>
      <c r="AE33" s="7">
        <f t="shared" si="4"/>
        <v>-6.6108421019990704E-2</v>
      </c>
      <c r="AF33" s="7">
        <f t="shared" si="5"/>
        <v>-3.8045495914073499E-15</v>
      </c>
      <c r="AG33" s="7">
        <f t="shared" si="5"/>
        <v>2.33589691384261E-14</v>
      </c>
      <c r="AH33" s="7">
        <f t="shared" si="6"/>
        <v>1.9278574995197209E-2</v>
      </c>
      <c r="AI33" s="7">
        <f t="shared" si="0"/>
        <v>-2.4719241456598486</v>
      </c>
      <c r="AJ33" s="8">
        <f t="shared" si="7"/>
        <v>-1.1277001550802848</v>
      </c>
      <c r="AK33" s="8">
        <f t="shared" si="8"/>
        <v>-1.2366532457340647</v>
      </c>
      <c r="AL33" s="8">
        <f t="shared" si="9"/>
        <v>-0.12684931984071601</v>
      </c>
      <c r="AM33" s="8">
        <f t="shared" si="10"/>
        <v>1.9278574995197209E-2</v>
      </c>
      <c r="AN33" s="8">
        <f t="shared" si="11"/>
        <v>-2.4719241456598682</v>
      </c>
      <c r="AO33" s="9">
        <f t="shared" si="13"/>
        <v>-0.68990045942905254</v>
      </c>
      <c r="AP33" s="9">
        <f t="shared" si="13"/>
        <v>1.6429647668154193</v>
      </c>
      <c r="AQ33" s="9">
        <f t="shared" si="13"/>
        <v>4.460390518202511E-2</v>
      </c>
      <c r="AR33" s="9">
        <f t="shared" si="13"/>
        <v>2.3317874316100776E-3</v>
      </c>
      <c r="AS33" s="9">
        <f t="shared" si="13"/>
        <v>1</v>
      </c>
      <c r="AT33" s="7"/>
      <c r="AU33" s="7"/>
      <c r="AV33" s="7"/>
      <c r="AW33" s="7"/>
      <c r="AX33" s="7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</row>
    <row r="34" spans="1:87" x14ac:dyDescent="0.25">
      <c r="A34" s="1">
        <v>42094</v>
      </c>
      <c r="B34">
        <f>+[1]wFG_rstar_shock_decomposition!E34</f>
        <v>-0.123198816062282</v>
      </c>
      <c r="C34">
        <f>+[1]wFG_rstar_shock_decomposition!F34</f>
        <v>-0.95276737021667901</v>
      </c>
      <c r="D34">
        <f>+[1]wFG_rstar_shock_decomposition!G34</f>
        <v>-0.42348341441113402</v>
      </c>
      <c r="E34">
        <f>+[1]wFG_rstar_shock_decomposition!H34</f>
        <v>4.2675092088514797E-2</v>
      </c>
      <c r="F34">
        <f>+[1]wFG_rstar_shock_decomposition!I34</f>
        <v>-0.18807420498631899</v>
      </c>
      <c r="G34">
        <f>+[1]wFG_rstar_shock_decomposition!J34</f>
        <v>-3.16563916966231E-15</v>
      </c>
      <c r="H34">
        <f>+[1]wFG_rstar_shock_decomposition!K34</f>
        <v>2.3591558580295401E-14</v>
      </c>
      <c r="I34">
        <f>+[1]wFG_rstar_shock_decomposition!L34</f>
        <v>-2.97816499494933E-15</v>
      </c>
      <c r="J34">
        <f>+[1]wFG_rstar_shock_decomposition!M34</f>
        <v>1.65527609784499E-15</v>
      </c>
      <c r="K34">
        <f>+[1]wFG_rstar_shock_decomposition!N34</f>
        <v>1.8540339031768698E-15</v>
      </c>
      <c r="L34">
        <f>+[1]wFG_rstar_shock_decomposition!O34</f>
        <v>2.6920534139873399E-15</v>
      </c>
      <c r="M34">
        <f>+[1]wFG_rstar_shock_decomposition!P34</f>
        <v>3.1591562522494899E-15</v>
      </c>
      <c r="N34">
        <f>+[1]wFG_rstar_shock_decomposition!Q34</f>
        <v>2.8120045095894002E-15</v>
      </c>
      <c r="O34">
        <f>+[1]wFG_rstar_shock_decomposition!R34</f>
        <v>-4.97092676412931E-15</v>
      </c>
      <c r="P34">
        <f>+[1]wFG_rstar_shock_decomposition!S34</f>
        <v>1.07293540224498E-13</v>
      </c>
      <c r="Q34">
        <f>+[1]wFG_rstar_shock_decomposition!T34</f>
        <v>-4.9090149813096298E-2</v>
      </c>
      <c r="R34">
        <f>+[1]wFG_rstar_shock_decomposition!U34</f>
        <v>0</v>
      </c>
      <c r="S34">
        <f>+[1]wFG_rstar_shock_decomposition!V34</f>
        <v>-0.79440808189980805</v>
      </c>
      <c r="T34">
        <f>+[1]wFG_rstar_shock_decomposition!W34</f>
        <v>1.90390207757383E-2</v>
      </c>
      <c r="U34" s="4">
        <f>+[1]wFG_rstar_shock_decomposition!D34</f>
        <v>-2.4693079245249301</v>
      </c>
      <c r="Y34" s="1">
        <f t="shared" si="1"/>
        <v>42094</v>
      </c>
      <c r="Z34" s="7">
        <f t="shared" si="1"/>
        <v>-0.123198816062282</v>
      </c>
      <c r="AA34" s="7">
        <f t="shared" si="1"/>
        <v>-0.95276737021667901</v>
      </c>
      <c r="AB34" s="7">
        <f t="shared" si="1"/>
        <v>-0.42348341441113402</v>
      </c>
      <c r="AC34" s="7">
        <f t="shared" si="2"/>
        <v>-0.98248228688612704</v>
      </c>
      <c r="AD34" s="7">
        <f t="shared" si="3"/>
        <v>4.2675092088514797E-2</v>
      </c>
      <c r="AE34" s="7">
        <f t="shared" si="4"/>
        <v>-4.9090149813096298E-2</v>
      </c>
      <c r="AF34" s="7">
        <f t="shared" si="5"/>
        <v>-3.16563916966231E-15</v>
      </c>
      <c r="AG34" s="7">
        <f t="shared" si="5"/>
        <v>2.3591558580295401E-14</v>
      </c>
      <c r="AH34" s="7">
        <f t="shared" si="6"/>
        <v>1.9039020775849819E-2</v>
      </c>
      <c r="AI34" s="7">
        <f t="shared" si="0"/>
        <v>-2.4693079245249332</v>
      </c>
      <c r="AJ34" s="8">
        <f t="shared" si="7"/>
        <v>-1.0315724366992234</v>
      </c>
      <c r="AK34" s="8">
        <f t="shared" si="8"/>
        <v>-1.3335756925392983</v>
      </c>
      <c r="AL34" s="8">
        <f t="shared" si="9"/>
        <v>-0.123198816062282</v>
      </c>
      <c r="AM34" s="8">
        <f t="shared" si="10"/>
        <v>1.9039020775849819E-2</v>
      </c>
      <c r="AN34" s="8">
        <f t="shared" si="11"/>
        <v>-2.4693079245249541</v>
      </c>
      <c r="AO34" s="9">
        <f t="shared" si="13"/>
        <v>36.742963772524242</v>
      </c>
      <c r="AP34" s="9">
        <f t="shared" si="13"/>
        <v>-37.046733363544824</v>
      </c>
      <c r="AQ34" s="9">
        <f t="shared" si="13"/>
        <v>1.39533456469606</v>
      </c>
      <c r="AR34" s="9">
        <f t="shared" si="13"/>
        <v>-9.1564973675382744E-2</v>
      </c>
      <c r="AS34" s="9">
        <f t="shared" si="13"/>
        <v>1</v>
      </c>
      <c r="AT34" s="7"/>
      <c r="AU34" s="7"/>
      <c r="AV34" s="7"/>
      <c r="AW34" s="7"/>
      <c r="AX34" s="7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</row>
    <row r="35" spans="1:87" x14ac:dyDescent="0.25">
      <c r="A35" s="1">
        <v>42185</v>
      </c>
      <c r="B35">
        <f>+[1]wFG_rstar_shock_decomposition!E35</f>
        <v>-0.12668424897153499</v>
      </c>
      <c r="C35">
        <f>+[1]wFG_rstar_shock_decomposition!F35</f>
        <v>-0.97219316774667297</v>
      </c>
      <c r="D35">
        <f>+[1]wFG_rstar_shock_decomposition!G35</f>
        <v>-0.40195218199766602</v>
      </c>
      <c r="E35">
        <f>+[1]wFG_rstar_shock_decomposition!H35</f>
        <v>3.1196392626740999E-2</v>
      </c>
      <c r="F35">
        <f>+[1]wFG_rstar_shock_decomposition!I35</f>
        <v>-0.20204988904581</v>
      </c>
      <c r="G35">
        <f>+[1]wFG_rstar_shock_decomposition!J35</f>
        <v>-4.4773785621788903E-15</v>
      </c>
      <c r="H35">
        <f>+[1]wFG_rstar_shock_decomposition!K35</f>
        <v>2.3974305600054601E-14</v>
      </c>
      <c r="I35">
        <f>+[1]wFG_rstar_shock_decomposition!L35</f>
        <v>-2.88602473659342E-15</v>
      </c>
      <c r="J35">
        <f>+[1]wFG_rstar_shock_decomposition!M35</f>
        <v>1.5836707318328899E-15</v>
      </c>
      <c r="K35">
        <f>+[1]wFG_rstar_shock_decomposition!N35</f>
        <v>1.8040708419249299E-15</v>
      </c>
      <c r="L35">
        <f>+[1]wFG_rstar_shock_decomposition!O35</f>
        <v>2.57372229462001E-15</v>
      </c>
      <c r="M35">
        <f>+[1]wFG_rstar_shock_decomposition!P35</f>
        <v>3.2832737192819499E-15</v>
      </c>
      <c r="N35">
        <f>+[1]wFG_rstar_shock_decomposition!Q35</f>
        <v>2.8396855216266902E-15</v>
      </c>
      <c r="O35">
        <f>+[1]wFG_rstar_shock_decomposition!R35</f>
        <v>-4.7752520495353397E-15</v>
      </c>
      <c r="P35">
        <f>+[1]wFG_rstar_shock_decomposition!S35</f>
        <v>1.06716106992688E-13</v>
      </c>
      <c r="Q35">
        <f>+[1]wFG_rstar_shock_decomposition!T35</f>
        <v>-4.0533219287402597E-2</v>
      </c>
      <c r="R35">
        <f>+[1]wFG_rstar_shock_decomposition!U35</f>
        <v>0</v>
      </c>
      <c r="S35">
        <f>+[1]wFG_rstar_shock_decomposition!V35</f>
        <v>-0.702416473865624</v>
      </c>
      <c r="T35">
        <f>+[1]wFG_rstar_shock_decomposition!W35</f>
        <v>1.8802620941197501E-2</v>
      </c>
      <c r="U35" s="4">
        <f>+[1]wFG_rstar_shock_decomposition!D35</f>
        <v>-2.3958301673466398</v>
      </c>
      <c r="Y35" s="1">
        <f t="shared" ref="Y35:AB66" si="14">+A35</f>
        <v>42185</v>
      </c>
      <c r="Z35" s="7">
        <f t="shared" si="14"/>
        <v>-0.12668424897153499</v>
      </c>
      <c r="AA35" s="7">
        <f t="shared" si="14"/>
        <v>-0.97219316774667297</v>
      </c>
      <c r="AB35" s="7">
        <f t="shared" si="14"/>
        <v>-0.40195218199766602</v>
      </c>
      <c r="AC35" s="7">
        <f t="shared" si="2"/>
        <v>-0.90446636291143401</v>
      </c>
      <c r="AD35" s="7">
        <f t="shared" si="3"/>
        <v>3.1196392626740999E-2</v>
      </c>
      <c r="AE35" s="7">
        <f t="shared" si="4"/>
        <v>-4.0533219287402597E-2</v>
      </c>
      <c r="AF35" s="7">
        <f t="shared" si="5"/>
        <v>-4.4773785621788903E-15</v>
      </c>
      <c r="AG35" s="7">
        <f t="shared" si="5"/>
        <v>2.3974305600054601E-14</v>
      </c>
      <c r="AH35" s="7">
        <f t="shared" si="6"/>
        <v>1.8802620941308638E-2</v>
      </c>
      <c r="AI35" s="7">
        <f t="shared" si="0"/>
        <v>-2.3958301673466416</v>
      </c>
      <c r="AJ35" s="8">
        <f t="shared" si="7"/>
        <v>-0.94499958219883662</v>
      </c>
      <c r="AK35" s="8">
        <f t="shared" si="8"/>
        <v>-1.3429489571175981</v>
      </c>
      <c r="AL35" s="8">
        <f t="shared" si="9"/>
        <v>-0.12668424897153499</v>
      </c>
      <c r="AM35" s="8">
        <f t="shared" si="10"/>
        <v>1.8802620941308638E-2</v>
      </c>
      <c r="AN35" s="8">
        <f t="shared" si="11"/>
        <v>-2.3958301673466611</v>
      </c>
      <c r="AO35" s="9">
        <f t="shared" si="13"/>
        <v>1.1782185225158504</v>
      </c>
      <c r="AP35" s="9">
        <f t="shared" si="13"/>
        <v>-0.1275660136924929</v>
      </c>
      <c r="AQ35" s="9">
        <f t="shared" si="13"/>
        <v>-4.7435210914176712E-2</v>
      </c>
      <c r="AR35" s="9">
        <f t="shared" si="13"/>
        <v>-3.2172979091830379E-3</v>
      </c>
      <c r="AS35" s="9">
        <f t="shared" si="13"/>
        <v>1</v>
      </c>
      <c r="AT35" s="7"/>
      <c r="AU35" s="7"/>
      <c r="AV35" s="7"/>
      <c r="AW35" s="7"/>
      <c r="AX35" s="7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</row>
    <row r="36" spans="1:87" x14ac:dyDescent="0.25">
      <c r="A36" s="1">
        <v>42277</v>
      </c>
      <c r="B36">
        <f>+[1]wFG_rstar_shock_decomposition!E36</f>
        <v>-0.13477040855068201</v>
      </c>
      <c r="C36">
        <f>+[1]wFG_rstar_shock_decomposition!F36</f>
        <v>-1.11634732833506</v>
      </c>
      <c r="D36">
        <f>+[1]wFG_rstar_shock_decomposition!G36</f>
        <v>-0.442634854941513</v>
      </c>
      <c r="E36">
        <f>+[1]wFG_rstar_shock_decomposition!H36</f>
        <v>1.2887355722566199E-2</v>
      </c>
      <c r="F36">
        <f>+[1]wFG_rstar_shock_decomposition!I36</f>
        <v>-0.197648970080195</v>
      </c>
      <c r="G36">
        <f>+[1]wFG_rstar_shock_decomposition!J36</f>
        <v>-4.1984328628498603E-15</v>
      </c>
      <c r="H36">
        <f>+[1]wFG_rstar_shock_decomposition!K36</f>
        <v>2.4475179376844001E-14</v>
      </c>
      <c r="I36">
        <f>+[1]wFG_rstar_shock_decomposition!L36</f>
        <v>-2.2361377204571501E-15</v>
      </c>
      <c r="J36">
        <f>+[1]wFG_rstar_shock_decomposition!M36</f>
        <v>1.73097986610455E-15</v>
      </c>
      <c r="K36">
        <f>+[1]wFG_rstar_shock_decomposition!N36</f>
        <v>1.8700705484973702E-15</v>
      </c>
      <c r="L36">
        <f>+[1]wFG_rstar_shock_decomposition!O36</f>
        <v>2.8297129349372901E-15</v>
      </c>
      <c r="M36">
        <f>+[1]wFG_rstar_shock_decomposition!P36</f>
        <v>3.4255114192909001E-15</v>
      </c>
      <c r="N36">
        <f>+[1]wFG_rstar_shock_decomposition!Q36</f>
        <v>3.0395693468810999E-15</v>
      </c>
      <c r="O36">
        <f>+[1]wFG_rstar_shock_decomposition!R36</f>
        <v>-4.5551332223423502E-15</v>
      </c>
      <c r="P36">
        <f>+[1]wFG_rstar_shock_decomposition!S36</f>
        <v>1.07279789679456E-13</v>
      </c>
      <c r="Q36">
        <f>+[1]wFG_rstar_shock_decomposition!T36</f>
        <v>-1.98997430648617E-2</v>
      </c>
      <c r="R36">
        <f>+[1]wFG_rstar_shock_decomposition!U36</f>
        <v>0</v>
      </c>
      <c r="S36">
        <f>+[1]wFG_rstar_shock_decomposition!V36</f>
        <v>-0.71970961163829195</v>
      </c>
      <c r="T36">
        <f>+[1]wFG_rstar_shock_decomposition!W36</f>
        <v>1.8569331872696101E-2</v>
      </c>
      <c r="U36" s="4">
        <f>+[1]wFG_rstar_shock_decomposition!D36</f>
        <v>-2.5995542290152098</v>
      </c>
      <c r="Y36" s="1">
        <f t="shared" si="14"/>
        <v>42277</v>
      </c>
      <c r="Z36" s="7">
        <f t="shared" si="14"/>
        <v>-0.13477040855068201</v>
      </c>
      <c r="AA36" s="7">
        <f t="shared" si="14"/>
        <v>-1.11634732833506</v>
      </c>
      <c r="AB36" s="7">
        <f t="shared" si="14"/>
        <v>-0.442634854941513</v>
      </c>
      <c r="AC36" s="7">
        <f t="shared" si="2"/>
        <v>-0.91735858171848694</v>
      </c>
      <c r="AD36" s="7">
        <f t="shared" si="3"/>
        <v>1.2887355722566199E-2</v>
      </c>
      <c r="AE36" s="7">
        <f t="shared" si="4"/>
        <v>-1.98997430648617E-2</v>
      </c>
      <c r="AF36" s="7">
        <f t="shared" si="5"/>
        <v>-4.1984328628498603E-15</v>
      </c>
      <c r="AG36" s="7">
        <f t="shared" si="5"/>
        <v>2.4475179376844001E-14</v>
      </c>
      <c r="AH36" s="7">
        <f t="shared" si="6"/>
        <v>1.8569331872809482E-2</v>
      </c>
      <c r="AI36" s="7">
        <f t="shared" si="0"/>
        <v>-2.5995542290152076</v>
      </c>
      <c r="AJ36" s="8">
        <f t="shared" si="7"/>
        <v>-0.9372583247833487</v>
      </c>
      <c r="AK36" s="8">
        <f t="shared" si="8"/>
        <v>-1.5460948275540067</v>
      </c>
      <c r="AL36" s="8">
        <f t="shared" si="9"/>
        <v>-0.13477040855068201</v>
      </c>
      <c r="AM36" s="8">
        <f t="shared" si="10"/>
        <v>1.8569331872809482E-2</v>
      </c>
      <c r="AN36" s="8">
        <f t="shared" si="11"/>
        <v>-2.5995542290152276</v>
      </c>
      <c r="AO36" s="9">
        <f t="shared" si="13"/>
        <v>-3.7998738843534247E-2</v>
      </c>
      <c r="AP36" s="9">
        <f t="shared" si="13"/>
        <v>0.99716189031662594</v>
      </c>
      <c r="AQ36" s="9">
        <f t="shared" si="13"/>
        <v>3.9691725724093338E-2</v>
      </c>
      <c r="AR36" s="9">
        <f t="shared" si="13"/>
        <v>1.1451228028169173E-3</v>
      </c>
      <c r="AS36" s="9">
        <f t="shared" si="13"/>
        <v>1</v>
      </c>
      <c r="AT36" s="7"/>
      <c r="AU36" s="7"/>
      <c r="AV36" s="7"/>
      <c r="AW36" s="7"/>
      <c r="AX36" s="7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</row>
    <row r="37" spans="1:87" x14ac:dyDescent="0.25">
      <c r="A37" s="1">
        <v>42369</v>
      </c>
      <c r="B37">
        <f>+[1]wFG_rstar_shock_decomposition!E37</f>
        <v>-0.133004716171574</v>
      </c>
      <c r="C37">
        <f>+[1]wFG_rstar_shock_decomposition!F37</f>
        <v>-1.1033280133183101</v>
      </c>
      <c r="D37">
        <f>+[1]wFG_rstar_shock_decomposition!G37</f>
        <v>-0.45807815884756897</v>
      </c>
      <c r="E37">
        <f>+[1]wFG_rstar_shock_decomposition!H37</f>
        <v>-9.8239354586208295E-3</v>
      </c>
      <c r="F37">
        <f>+[1]wFG_rstar_shock_decomposition!I37</f>
        <v>-0.183258001378728</v>
      </c>
      <c r="G37">
        <f>+[1]wFG_rstar_shock_decomposition!J37</f>
        <v>-3.8171753544476604E-15</v>
      </c>
      <c r="H37">
        <f>+[1]wFG_rstar_shock_decomposition!K37</f>
        <v>2.5278088427139501E-14</v>
      </c>
      <c r="I37">
        <f>+[1]wFG_rstar_shock_decomposition!L37</f>
        <v>-2.4722115003277998E-15</v>
      </c>
      <c r="J37">
        <f>+[1]wFG_rstar_shock_decomposition!M37</f>
        <v>1.6155518994065201E-15</v>
      </c>
      <c r="K37">
        <f>+[1]wFG_rstar_shock_decomposition!N37</f>
        <v>1.95407645286986E-15</v>
      </c>
      <c r="L37">
        <f>+[1]wFG_rstar_shock_decomposition!O37</f>
        <v>2.8381661565078702E-15</v>
      </c>
      <c r="M37">
        <f>+[1]wFG_rstar_shock_decomposition!P37</f>
        <v>3.4998982395434202E-15</v>
      </c>
      <c r="N37">
        <f>+[1]wFG_rstar_shock_decomposition!Q37</f>
        <v>3.09042362176623E-15</v>
      </c>
      <c r="O37">
        <f>+[1]wFG_rstar_shock_decomposition!R37</f>
        <v>-4.4390970311832902E-15</v>
      </c>
      <c r="P37">
        <f>+[1]wFG_rstar_shock_decomposition!S37</f>
        <v>1.07861565737413E-13</v>
      </c>
      <c r="Q37">
        <f>+[1]wFG_rstar_shock_decomposition!T37</f>
        <v>-1.2177543419582101E-2</v>
      </c>
      <c r="R37">
        <f>+[1]wFG_rstar_shock_decomposition!U37</f>
        <v>0</v>
      </c>
      <c r="S37">
        <f>+[1]wFG_rstar_shock_decomposition!V37</f>
        <v>-0.71815864178835997</v>
      </c>
      <c r="T37">
        <f>+[1]wFG_rstar_shock_decomposition!W37</f>
        <v>1.8339110554027201E-2</v>
      </c>
      <c r="U37" s="4">
        <f>+[1]wFG_rstar_shock_decomposition!D37</f>
        <v>-2.5994898998285798</v>
      </c>
      <c r="Y37" s="1">
        <f t="shared" si="14"/>
        <v>42369</v>
      </c>
      <c r="Z37" s="7">
        <f t="shared" si="14"/>
        <v>-0.133004716171574</v>
      </c>
      <c r="AA37" s="7">
        <f t="shared" si="14"/>
        <v>-1.1033280133183101</v>
      </c>
      <c r="AB37" s="7">
        <f t="shared" si="14"/>
        <v>-0.45807815884756897</v>
      </c>
      <c r="AC37" s="7">
        <f t="shared" si="2"/>
        <v>-0.90141664316708803</v>
      </c>
      <c r="AD37" s="7">
        <f t="shared" si="3"/>
        <v>-9.8239354586208295E-3</v>
      </c>
      <c r="AE37" s="7">
        <f t="shared" si="4"/>
        <v>-1.2177543419582101E-2</v>
      </c>
      <c r="AF37" s="7">
        <f t="shared" si="5"/>
        <v>-3.8171753544476604E-15</v>
      </c>
      <c r="AG37" s="7">
        <f t="shared" si="5"/>
        <v>2.5278088427139501E-14</v>
      </c>
      <c r="AH37" s="7">
        <f t="shared" si="6"/>
        <v>1.8339110554141152E-2</v>
      </c>
      <c r="AI37" s="7">
        <f t="shared" si="0"/>
        <v>-2.5994898998285811</v>
      </c>
      <c r="AJ37" s="8">
        <f t="shared" si="7"/>
        <v>-0.91359418658667013</v>
      </c>
      <c r="AK37" s="8">
        <f t="shared" si="8"/>
        <v>-1.5712301076245001</v>
      </c>
      <c r="AL37" s="8">
        <f t="shared" si="9"/>
        <v>-0.133004716171574</v>
      </c>
      <c r="AM37" s="8">
        <f t="shared" si="10"/>
        <v>1.8339110554141152E-2</v>
      </c>
      <c r="AN37" s="8">
        <f t="shared" si="11"/>
        <v>-2.5994898998286033</v>
      </c>
      <c r="AO37" s="9">
        <f t="shared" si="13"/>
        <v>367.86005604118026</v>
      </c>
      <c r="AP37" s="9">
        <f t="shared" si="13"/>
        <v>-390.72902036382777</v>
      </c>
      <c r="AQ37" s="9">
        <f t="shared" si="13"/>
        <v>27.447764720260245</v>
      </c>
      <c r="AR37" s="9">
        <f t="shared" si="13"/>
        <v>-3.5788003976030378</v>
      </c>
      <c r="AS37" s="9">
        <f t="shared" si="13"/>
        <v>1</v>
      </c>
      <c r="AT37" s="7"/>
      <c r="AU37" s="7"/>
      <c r="AV37" s="7"/>
      <c r="AW37" s="7"/>
      <c r="AX37" s="7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</row>
    <row r="38" spans="1:87" x14ac:dyDescent="0.25">
      <c r="A38" s="1">
        <v>42460</v>
      </c>
      <c r="B38">
        <f>+[1]wFG_rstar_shock_decomposition!E38</f>
        <v>-0.13194735417491199</v>
      </c>
      <c r="C38">
        <f>+[1]wFG_rstar_shock_decomposition!F38</f>
        <v>-1.2599329042393499</v>
      </c>
      <c r="D38">
        <f>+[1]wFG_rstar_shock_decomposition!G38</f>
        <v>-0.46526367204682401</v>
      </c>
      <c r="E38">
        <f>+[1]wFG_rstar_shock_decomposition!H38</f>
        <v>-2.2938741565291399E-2</v>
      </c>
      <c r="F38">
        <f>+[1]wFG_rstar_shock_decomposition!I38</f>
        <v>-0.18918108866894801</v>
      </c>
      <c r="G38">
        <f>+[1]wFG_rstar_shock_decomposition!J38</f>
        <v>-4.0936819320477097E-15</v>
      </c>
      <c r="H38">
        <f>+[1]wFG_rstar_shock_decomposition!K38</f>
        <v>2.5950379497952499E-14</v>
      </c>
      <c r="I38">
        <f>+[1]wFG_rstar_shock_decomposition!L38</f>
        <v>-1.9047692398691001E-15</v>
      </c>
      <c r="J38">
        <f>+[1]wFG_rstar_shock_decomposition!M38</f>
        <v>1.8816960092209901E-15</v>
      </c>
      <c r="K38">
        <f>+[1]wFG_rstar_shock_decomposition!N38</f>
        <v>2.1296303562730998E-15</v>
      </c>
      <c r="L38">
        <f>+[1]wFG_rstar_shock_decomposition!O38</f>
        <v>3.03791119894133E-15</v>
      </c>
      <c r="M38">
        <f>+[1]wFG_rstar_shock_decomposition!P38</f>
        <v>3.6437649799192598E-15</v>
      </c>
      <c r="N38">
        <f>+[1]wFG_rstar_shock_decomposition!Q38</f>
        <v>3.1981260422831899E-15</v>
      </c>
      <c r="O38">
        <f>+[1]wFG_rstar_shock_decomposition!R38</f>
        <v>-4.2773787781268201E-15</v>
      </c>
      <c r="P38">
        <f>+[1]wFG_rstar_shock_decomposition!S38</f>
        <v>1.08509971547193E-13</v>
      </c>
      <c r="Q38">
        <f>+[1]wFG_rstar_shock_decomposition!T38</f>
        <v>-1.07475694808329E-2</v>
      </c>
      <c r="R38">
        <f>+[1]wFG_rstar_shock_decomposition!U38</f>
        <v>0</v>
      </c>
      <c r="S38">
        <f>+[1]wFG_rstar_shock_decomposition!V38</f>
        <v>-0.69282956334352996</v>
      </c>
      <c r="T38">
        <f>+[1]wFG_rstar_shock_decomposition!W38</f>
        <v>1.8111914564175501E-2</v>
      </c>
      <c r="U38" s="4">
        <f>+[1]wFG_rstar_shock_decomposition!D38</f>
        <v>-2.7547289789553702</v>
      </c>
      <c r="Y38" s="1">
        <f t="shared" si="14"/>
        <v>42460</v>
      </c>
      <c r="Z38" s="7">
        <f t="shared" si="14"/>
        <v>-0.13194735417491199</v>
      </c>
      <c r="AA38" s="7">
        <f t="shared" si="14"/>
        <v>-1.2599329042393499</v>
      </c>
      <c r="AB38" s="7">
        <f t="shared" si="14"/>
        <v>-0.46526367204682401</v>
      </c>
      <c r="AC38" s="7">
        <f t="shared" si="2"/>
        <v>-0.88201065201247797</v>
      </c>
      <c r="AD38" s="7">
        <f t="shared" si="3"/>
        <v>-2.2938741565291399E-2</v>
      </c>
      <c r="AE38" s="7">
        <f t="shared" si="4"/>
        <v>-1.07475694808329E-2</v>
      </c>
      <c r="AF38" s="7">
        <f t="shared" si="5"/>
        <v>-4.0936819320477097E-15</v>
      </c>
      <c r="AG38" s="7">
        <f t="shared" si="5"/>
        <v>2.5950379497952499E-14</v>
      </c>
      <c r="AH38" s="7">
        <f t="shared" si="6"/>
        <v>1.8111914564291721E-2</v>
      </c>
      <c r="AI38" s="7">
        <f t="shared" si="0"/>
        <v>-2.7547289789553746</v>
      </c>
      <c r="AJ38" s="8">
        <f t="shared" si="7"/>
        <v>-0.89275822149331086</v>
      </c>
      <c r="AK38" s="8">
        <f t="shared" si="8"/>
        <v>-1.7481353178514651</v>
      </c>
      <c r="AL38" s="8">
        <f t="shared" si="9"/>
        <v>-0.13194735417491199</v>
      </c>
      <c r="AM38" s="8">
        <f t="shared" si="10"/>
        <v>1.8111914564291721E-2</v>
      </c>
      <c r="AN38" s="8">
        <f t="shared" si="11"/>
        <v>-2.7547289789553964</v>
      </c>
      <c r="AO38" s="9">
        <f t="shared" si="13"/>
        <v>-0.13421855637485006</v>
      </c>
      <c r="AP38" s="9">
        <f t="shared" si="13"/>
        <v>1.13956621761764</v>
      </c>
      <c r="AQ38" s="9">
        <f t="shared" si="13"/>
        <v>-6.8111844170268424E-3</v>
      </c>
      <c r="AR38" s="9">
        <f t="shared" si="13"/>
        <v>1.4635231742380185E-3</v>
      </c>
      <c r="AS38" s="9">
        <f t="shared" si="13"/>
        <v>1</v>
      </c>
      <c r="AT38" s="7"/>
      <c r="AU38" s="7"/>
      <c r="AV38" s="7"/>
      <c r="AW38" s="7"/>
      <c r="AX38" s="7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</row>
    <row r="39" spans="1:87" x14ac:dyDescent="0.25">
      <c r="A39" s="1">
        <v>42551</v>
      </c>
      <c r="B39">
        <f>+[1]wFG_rstar_shock_decomposition!E39</f>
        <v>-0.14498140937162601</v>
      </c>
      <c r="C39">
        <f>+[1]wFG_rstar_shock_decomposition!F39</f>
        <v>-1.12437643140966</v>
      </c>
      <c r="D39">
        <f>+[1]wFG_rstar_shock_decomposition!G39</f>
        <v>-0.428891193222874</v>
      </c>
      <c r="E39">
        <f>+[1]wFG_rstar_shock_decomposition!H39</f>
        <v>1.52694929428106E-2</v>
      </c>
      <c r="F39">
        <f>+[1]wFG_rstar_shock_decomposition!I39</f>
        <v>-0.172990188275638</v>
      </c>
      <c r="G39">
        <f>+[1]wFG_rstar_shock_decomposition!J39</f>
        <v>-5.5993200431517601E-15</v>
      </c>
      <c r="H39">
        <f>+[1]wFG_rstar_shock_decomposition!K39</f>
        <v>2.6751144559874999E-14</v>
      </c>
      <c r="I39">
        <f>+[1]wFG_rstar_shock_decomposition!L39</f>
        <v>-2.2251751580298701E-15</v>
      </c>
      <c r="J39">
        <f>+[1]wFG_rstar_shock_decomposition!M39</f>
        <v>1.73604528338232E-15</v>
      </c>
      <c r="K39">
        <f>+[1]wFG_rstar_shock_decomposition!N39</f>
        <v>2.0284342495288001E-15</v>
      </c>
      <c r="L39">
        <f>+[1]wFG_rstar_shock_decomposition!O39</f>
        <v>2.9038147735071301E-15</v>
      </c>
      <c r="M39">
        <f>+[1]wFG_rstar_shock_decomposition!P39</f>
        <v>3.4687251225590998E-15</v>
      </c>
      <c r="N39">
        <f>+[1]wFG_rstar_shock_decomposition!Q39</f>
        <v>2.9910319721406798E-15</v>
      </c>
      <c r="O39">
        <f>+[1]wFG_rstar_shock_decomposition!R39</f>
        <v>-4.2893586169068103E-15</v>
      </c>
      <c r="P39">
        <f>+[1]wFG_rstar_shock_decomposition!S39</f>
        <v>1.06340368245509E-13</v>
      </c>
      <c r="Q39">
        <f>+[1]wFG_rstar_shock_decomposition!T39</f>
        <v>-1.9302232362252002E-2</v>
      </c>
      <c r="R39">
        <f>+[1]wFG_rstar_shock_decomposition!U39</f>
        <v>0</v>
      </c>
      <c r="S39">
        <f>+[1]wFG_rstar_shock_decomposition!V39</f>
        <v>-0.70316742585055303</v>
      </c>
      <c r="T39">
        <f>+[1]wFG_rstar_shock_decomposition!W39</f>
        <v>1.7887702070000001E-2</v>
      </c>
      <c r="U39" s="4">
        <f>+[1]wFG_rstar_shock_decomposition!D39</f>
        <v>-2.5605516854796599</v>
      </c>
      <c r="Y39" s="1">
        <f t="shared" si="14"/>
        <v>42551</v>
      </c>
      <c r="Z39" s="7">
        <f t="shared" si="14"/>
        <v>-0.14498140937162601</v>
      </c>
      <c r="AA39" s="7">
        <f t="shared" si="14"/>
        <v>-1.12437643140966</v>
      </c>
      <c r="AB39" s="7">
        <f t="shared" si="14"/>
        <v>-0.428891193222874</v>
      </c>
      <c r="AC39" s="7">
        <f t="shared" si="2"/>
        <v>-0.87615761412619109</v>
      </c>
      <c r="AD39" s="7">
        <f t="shared" si="3"/>
        <v>1.52694929428106E-2</v>
      </c>
      <c r="AE39" s="7">
        <f t="shared" si="4"/>
        <v>-1.9302232362252002E-2</v>
      </c>
      <c r="AF39" s="7">
        <f t="shared" si="5"/>
        <v>-5.5993200431517601E-15</v>
      </c>
      <c r="AG39" s="7">
        <f t="shared" si="5"/>
        <v>2.6751144559874999E-14</v>
      </c>
      <c r="AH39" s="7">
        <f t="shared" si="6"/>
        <v>1.7887702070112959E-2</v>
      </c>
      <c r="AI39" s="7">
        <f t="shared" si="0"/>
        <v>-2.5605516854796582</v>
      </c>
      <c r="AJ39" s="8">
        <f t="shared" si="7"/>
        <v>-0.89545984648844312</v>
      </c>
      <c r="AK39" s="8">
        <f t="shared" si="8"/>
        <v>-1.5379981316897235</v>
      </c>
      <c r="AL39" s="8">
        <f t="shared" si="9"/>
        <v>-0.14498140937162601</v>
      </c>
      <c r="AM39" s="8">
        <f t="shared" si="10"/>
        <v>1.7887702070112959E-2</v>
      </c>
      <c r="AN39" s="8">
        <f t="shared" si="11"/>
        <v>-2.5605516854796795</v>
      </c>
      <c r="AO39" s="9">
        <f t="shared" si="13"/>
        <v>-1.3913186999231315E-2</v>
      </c>
      <c r="AP39" s="9">
        <f t="shared" si="13"/>
        <v>1.082192373785561</v>
      </c>
      <c r="AQ39" s="9">
        <f t="shared" si="13"/>
        <v>-6.7124507523038557E-2</v>
      </c>
      <c r="AR39" s="9">
        <f t="shared" si="13"/>
        <v>-1.1546792632929608E-3</v>
      </c>
      <c r="AS39" s="9">
        <f t="shared" si="13"/>
        <v>1</v>
      </c>
      <c r="AT39" s="7"/>
      <c r="AU39" s="7"/>
      <c r="AV39" s="7"/>
      <c r="AW39" s="7"/>
      <c r="AX39" s="7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</row>
    <row r="40" spans="1:87" x14ac:dyDescent="0.25">
      <c r="A40" s="1">
        <v>42643</v>
      </c>
      <c r="B40">
        <f>+[1]wFG_rstar_shock_decomposition!E40</f>
        <v>-0.14639908930706599</v>
      </c>
      <c r="C40">
        <f>+[1]wFG_rstar_shock_decomposition!F40</f>
        <v>-1.0832642945775699</v>
      </c>
      <c r="D40">
        <f>+[1]wFG_rstar_shock_decomposition!G40</f>
        <v>-0.384407744894182</v>
      </c>
      <c r="E40">
        <f>+[1]wFG_rstar_shock_decomposition!H40</f>
        <v>2.4889234861636599E-2</v>
      </c>
      <c r="F40">
        <f>+[1]wFG_rstar_shock_decomposition!I40</f>
        <v>-0.18494255405828</v>
      </c>
      <c r="G40">
        <f>+[1]wFG_rstar_shock_decomposition!J40</f>
        <v>-5.3593155067733401E-15</v>
      </c>
      <c r="H40">
        <f>+[1]wFG_rstar_shock_decomposition!K40</f>
        <v>2.75396532514738E-14</v>
      </c>
      <c r="I40">
        <f>+[1]wFG_rstar_shock_decomposition!L40</f>
        <v>-2.1071479932727602E-15</v>
      </c>
      <c r="J40">
        <f>+[1]wFG_rstar_shock_decomposition!M40</f>
        <v>1.7817143304466802E-15</v>
      </c>
      <c r="K40">
        <f>+[1]wFG_rstar_shock_decomposition!N40</f>
        <v>2.0369492161791599E-15</v>
      </c>
      <c r="L40">
        <f>+[1]wFG_rstar_shock_decomposition!O40</f>
        <v>2.8776923711875102E-15</v>
      </c>
      <c r="M40">
        <f>+[1]wFG_rstar_shock_decomposition!P40</f>
        <v>3.4085131219538799E-15</v>
      </c>
      <c r="N40">
        <f>+[1]wFG_rstar_shock_decomposition!Q40</f>
        <v>3.0312983048321802E-15</v>
      </c>
      <c r="O40">
        <f>+[1]wFG_rstar_shock_decomposition!R40</f>
        <v>-4.0546667698885401E-15</v>
      </c>
      <c r="P40">
        <f>+[1]wFG_rstar_shock_decomposition!S40</f>
        <v>1.06342042663763E-13</v>
      </c>
      <c r="Q40">
        <f>+[1]wFG_rstar_shock_decomposition!T40</f>
        <v>-1.8614333216942301E-2</v>
      </c>
      <c r="R40">
        <f>+[1]wFG_rstar_shock_decomposition!U40</f>
        <v>0</v>
      </c>
      <c r="S40">
        <f>+[1]wFG_rstar_shock_decomposition!V40</f>
        <v>-0.679685628705474</v>
      </c>
      <c r="T40">
        <f>+[1]wFG_rstar_shock_decomposition!W40</f>
        <v>1.7666431818967598E-2</v>
      </c>
      <c r="U40" s="4">
        <f>+[1]wFG_rstar_shock_decomposition!D40</f>
        <v>-2.4547579780787698</v>
      </c>
      <c r="Y40" s="1">
        <f t="shared" si="14"/>
        <v>42643</v>
      </c>
      <c r="Z40" s="7">
        <f t="shared" si="14"/>
        <v>-0.14639908930706599</v>
      </c>
      <c r="AA40" s="7">
        <f t="shared" si="14"/>
        <v>-1.0832642945775699</v>
      </c>
      <c r="AB40" s="7">
        <f t="shared" si="14"/>
        <v>-0.384407744894182</v>
      </c>
      <c r="AC40" s="7">
        <f t="shared" si="2"/>
        <v>-0.86462818276375397</v>
      </c>
      <c r="AD40" s="7">
        <f t="shared" si="3"/>
        <v>2.4889234861636599E-2</v>
      </c>
      <c r="AE40" s="7">
        <f t="shared" si="4"/>
        <v>-1.8614333216942301E-2</v>
      </c>
      <c r="AF40" s="7">
        <f t="shared" si="5"/>
        <v>-5.3593155067733401E-15</v>
      </c>
      <c r="AG40" s="7">
        <f t="shared" si="5"/>
        <v>2.75396532514738E-14</v>
      </c>
      <c r="AH40" s="7">
        <f t="shared" si="6"/>
        <v>1.7666431819080914E-2</v>
      </c>
      <c r="AI40" s="7">
        <f t="shared" si="0"/>
        <v>-2.4547579780787743</v>
      </c>
      <c r="AJ40" s="8">
        <f t="shared" si="7"/>
        <v>-0.88324251598069625</v>
      </c>
      <c r="AK40" s="8">
        <f t="shared" si="8"/>
        <v>-1.4427828046101154</v>
      </c>
      <c r="AL40" s="8">
        <f t="shared" si="9"/>
        <v>-0.14639908930706599</v>
      </c>
      <c r="AM40" s="8">
        <f t="shared" si="10"/>
        <v>1.7666431819080914E-2</v>
      </c>
      <c r="AN40" s="8">
        <f t="shared" si="11"/>
        <v>-2.4547579780787965</v>
      </c>
      <c r="AO40" s="9">
        <f t="shared" si="13"/>
        <v>0.11548258216768853</v>
      </c>
      <c r="AP40" s="9">
        <f t="shared" si="13"/>
        <v>0.90000936179322699</v>
      </c>
      <c r="AQ40" s="9">
        <f t="shared" si="13"/>
        <v>-1.3400418326091745E-2</v>
      </c>
      <c r="AR40" s="9">
        <f t="shared" si="13"/>
        <v>-2.0915256348242703E-3</v>
      </c>
      <c r="AS40" s="9">
        <f t="shared" si="13"/>
        <v>1</v>
      </c>
      <c r="AT40" s="7"/>
      <c r="AU40" s="7"/>
      <c r="AV40" s="7"/>
      <c r="AW40" s="7"/>
      <c r="AX40" s="7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</row>
    <row r="41" spans="1:87" x14ac:dyDescent="0.25">
      <c r="A41" s="1">
        <v>42735</v>
      </c>
      <c r="B41">
        <f>+[1]wFG_rstar_shock_decomposition!E41</f>
        <v>-0.14880179390116</v>
      </c>
      <c r="C41">
        <f>+[1]wFG_rstar_shock_decomposition!F41</f>
        <v>-0.93414742720614596</v>
      </c>
      <c r="D41">
        <f>+[1]wFG_rstar_shock_decomposition!G41</f>
        <v>-0.32365282323799499</v>
      </c>
      <c r="E41">
        <f>+[1]wFG_rstar_shock_decomposition!H41</f>
        <v>4.0817602844639103E-2</v>
      </c>
      <c r="F41">
        <f>+[1]wFG_rstar_shock_decomposition!I41</f>
        <v>-0.19183765107599801</v>
      </c>
      <c r="G41">
        <f>+[1]wFG_rstar_shock_decomposition!J41</f>
        <v>-5.4778526988335303E-15</v>
      </c>
      <c r="H41">
        <f>+[1]wFG_rstar_shock_decomposition!K41</f>
        <v>2.804191438763E-14</v>
      </c>
      <c r="I41">
        <f>+[1]wFG_rstar_shock_decomposition!L41</f>
        <v>-2.6510612192812001E-15</v>
      </c>
      <c r="J41">
        <f>+[1]wFG_rstar_shock_decomposition!M41</f>
        <v>1.6299792909456301E-15</v>
      </c>
      <c r="K41">
        <f>+[1]wFG_rstar_shock_decomposition!N41</f>
        <v>1.8740148203790498E-15</v>
      </c>
      <c r="L41">
        <f>+[1]wFG_rstar_shock_decomposition!O41</f>
        <v>2.7126416444546399E-15</v>
      </c>
      <c r="M41">
        <f>+[1]wFG_rstar_shock_decomposition!P41</f>
        <v>3.3347524846047002E-15</v>
      </c>
      <c r="N41">
        <f>+[1]wFG_rstar_shock_decomposition!Q41</f>
        <v>3.0662808231720401E-15</v>
      </c>
      <c r="O41">
        <f>+[1]wFG_rstar_shock_decomposition!R41</f>
        <v>-4.1432975645381398E-15</v>
      </c>
      <c r="P41">
        <f>+[1]wFG_rstar_shock_decomposition!S41</f>
        <v>1.05930982578599E-13</v>
      </c>
      <c r="Q41">
        <f>+[1]wFG_rstar_shock_decomposition!T41</f>
        <v>-1.2550744105492199E-2</v>
      </c>
      <c r="R41">
        <f>+[1]wFG_rstar_shock_decomposition!U41</f>
        <v>0</v>
      </c>
      <c r="S41">
        <f>+[1]wFG_rstar_shock_decomposition!V41</f>
        <v>-0.64744036230927104</v>
      </c>
      <c r="T41">
        <f>+[1]wFG_rstar_shock_decomposition!W41</f>
        <v>1.74480631319405E-2</v>
      </c>
      <c r="U41" s="4">
        <f>+[1]wFG_rstar_shock_decomposition!D41</f>
        <v>-2.2001651358593399</v>
      </c>
      <c r="Y41" s="1">
        <f t="shared" si="14"/>
        <v>42735</v>
      </c>
      <c r="Z41" s="7">
        <f t="shared" si="14"/>
        <v>-0.14880179390116</v>
      </c>
      <c r="AA41" s="7">
        <f t="shared" si="14"/>
        <v>-0.93414742720614596</v>
      </c>
      <c r="AB41" s="7">
        <f t="shared" si="14"/>
        <v>-0.32365282323799499</v>
      </c>
      <c r="AC41" s="7">
        <f t="shared" si="2"/>
        <v>-0.83927801338526908</v>
      </c>
      <c r="AD41" s="7">
        <f t="shared" si="3"/>
        <v>4.0817602844639103E-2</v>
      </c>
      <c r="AE41" s="7">
        <f t="shared" si="4"/>
        <v>-1.2550744105492199E-2</v>
      </c>
      <c r="AF41" s="7">
        <f t="shared" si="5"/>
        <v>-5.4778526988335303E-15</v>
      </c>
      <c r="AG41" s="7">
        <f t="shared" si="5"/>
        <v>2.804191438763E-14</v>
      </c>
      <c r="AH41" s="7">
        <f t="shared" si="6"/>
        <v>1.7448063132052258E-2</v>
      </c>
      <c r="AI41" s="7">
        <f t="shared" si="0"/>
        <v>-2.2001651358593484</v>
      </c>
      <c r="AJ41" s="8">
        <f t="shared" si="7"/>
        <v>-0.85182875749076126</v>
      </c>
      <c r="AK41" s="8">
        <f t="shared" si="8"/>
        <v>-1.2169826475995018</v>
      </c>
      <c r="AL41" s="8">
        <f t="shared" si="9"/>
        <v>-0.14880179390116</v>
      </c>
      <c r="AM41" s="8">
        <f t="shared" si="10"/>
        <v>1.7448063132052258E-2</v>
      </c>
      <c r="AN41" s="8">
        <f t="shared" si="11"/>
        <v>-2.2001651358593706</v>
      </c>
      <c r="AO41" s="9">
        <f t="shared" si="13"/>
        <v>0.12338822339262949</v>
      </c>
      <c r="AP41" s="9">
        <f t="shared" si="13"/>
        <v>0.88690693360500394</v>
      </c>
      <c r="AQ41" s="9">
        <f t="shared" si="13"/>
        <v>-9.4374396905596535E-3</v>
      </c>
      <c r="AR41" s="9">
        <f t="shared" si="13"/>
        <v>-8.5771730707358545E-4</v>
      </c>
      <c r="AS41" s="9">
        <f t="shared" si="13"/>
        <v>1</v>
      </c>
      <c r="AT41" s="7"/>
      <c r="AU41" s="7"/>
      <c r="AV41" s="7"/>
      <c r="AW41" s="7"/>
      <c r="AX41" s="7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</row>
    <row r="42" spans="1:87" x14ac:dyDescent="0.25">
      <c r="A42" s="1">
        <v>42825</v>
      </c>
      <c r="B42">
        <f>+[1]wFG_rstar_shock_decomposition!E42</f>
        <v>-0.155620411539487</v>
      </c>
      <c r="C42">
        <f>+[1]wFG_rstar_shock_decomposition!F42</f>
        <v>-0.83224877818954501</v>
      </c>
      <c r="D42">
        <f>+[1]wFG_rstar_shock_decomposition!G42</f>
        <v>-0.30069155474305698</v>
      </c>
      <c r="E42">
        <f>+[1]wFG_rstar_shock_decomposition!H42</f>
        <v>3.8768377305605901E-2</v>
      </c>
      <c r="F42">
        <f>+[1]wFG_rstar_shock_decomposition!I42</f>
        <v>-0.195525123630822</v>
      </c>
      <c r="G42">
        <f>+[1]wFG_rstar_shock_decomposition!J42</f>
        <v>-5.8293455364732001E-15</v>
      </c>
      <c r="H42">
        <f>+[1]wFG_rstar_shock_decomposition!K42</f>
        <v>2.8492063724448899E-14</v>
      </c>
      <c r="I42">
        <f>+[1]wFG_rstar_shock_decomposition!L42</f>
        <v>-2.3415528372017599E-15</v>
      </c>
      <c r="J42">
        <f>+[1]wFG_rstar_shock_decomposition!M42</f>
        <v>1.6478465097235301E-15</v>
      </c>
      <c r="K42">
        <f>+[1]wFG_rstar_shock_decomposition!N42</f>
        <v>1.86565331069964E-15</v>
      </c>
      <c r="L42">
        <f>+[1]wFG_rstar_shock_decomposition!O42</f>
        <v>2.77216026547613E-15</v>
      </c>
      <c r="M42">
        <f>+[1]wFG_rstar_shock_decomposition!P42</f>
        <v>3.4701909182461401E-15</v>
      </c>
      <c r="N42">
        <f>+[1]wFG_rstar_shock_decomposition!Q42</f>
        <v>3.0203957256879698E-15</v>
      </c>
      <c r="O42">
        <f>+[1]wFG_rstar_shock_decomposition!R42</f>
        <v>-4.1239566130674902E-15</v>
      </c>
      <c r="P42">
        <f>+[1]wFG_rstar_shock_decomposition!S42</f>
        <v>1.0554732394054999E-13</v>
      </c>
      <c r="Q42">
        <f>+[1]wFG_rstar_shock_decomposition!T42</f>
        <v>-2.2688969379257198E-2</v>
      </c>
      <c r="R42">
        <f>+[1]wFG_rstar_shock_decomposition!U42</f>
        <v>0</v>
      </c>
      <c r="S42">
        <f>+[1]wFG_rstar_shock_decomposition!V42</f>
        <v>-0.61935981605406898</v>
      </c>
      <c r="T42">
        <f>+[1]wFG_rstar_shock_decomposition!W42</f>
        <v>1.72325558960136E-2</v>
      </c>
      <c r="U42" s="4">
        <f>+[1]wFG_rstar_shock_decomposition!D42</f>
        <v>-2.0701337203344798</v>
      </c>
      <c r="Y42" s="1">
        <f t="shared" si="14"/>
        <v>42825</v>
      </c>
      <c r="Z42" s="7">
        <f t="shared" si="14"/>
        <v>-0.155620411539487</v>
      </c>
      <c r="AA42" s="7">
        <f t="shared" si="14"/>
        <v>-0.83224877818954501</v>
      </c>
      <c r="AB42" s="7">
        <f t="shared" si="14"/>
        <v>-0.30069155474305698</v>
      </c>
      <c r="AC42" s="7">
        <f t="shared" si="2"/>
        <v>-0.81488493968489095</v>
      </c>
      <c r="AD42" s="7">
        <f t="shared" si="3"/>
        <v>3.8768377305605901E-2</v>
      </c>
      <c r="AE42" s="7">
        <f t="shared" si="4"/>
        <v>-2.2688969379257198E-2</v>
      </c>
      <c r="AF42" s="7">
        <f t="shared" si="5"/>
        <v>-5.8293455364732001E-15</v>
      </c>
      <c r="AG42" s="7">
        <f t="shared" si="5"/>
        <v>2.8492063724448899E-14</v>
      </c>
      <c r="AH42" s="7">
        <f t="shared" si="6"/>
        <v>1.7232555896125459E-2</v>
      </c>
      <c r="AI42" s="7">
        <f t="shared" si="0"/>
        <v>-2.070133720334483</v>
      </c>
      <c r="AJ42" s="8">
        <f t="shared" si="7"/>
        <v>-0.83757390906414819</v>
      </c>
      <c r="AK42" s="8">
        <f t="shared" si="8"/>
        <v>-1.094171955626996</v>
      </c>
      <c r="AL42" s="8">
        <f t="shared" si="9"/>
        <v>-0.155620411539487</v>
      </c>
      <c r="AM42" s="8">
        <f t="shared" si="10"/>
        <v>1.7232555896125459E-2</v>
      </c>
      <c r="AN42" s="8">
        <f t="shared" si="11"/>
        <v>-2.0701337203345056</v>
      </c>
      <c r="AO42" s="9">
        <f t="shared" si="13"/>
        <v>0.10962618817209764</v>
      </c>
      <c r="AP42" s="9">
        <f t="shared" si="13"/>
        <v>0.94446939208334335</v>
      </c>
      <c r="AQ42" s="9">
        <f t="shared" si="13"/>
        <v>-5.2438232797851272E-2</v>
      </c>
      <c r="AR42" s="9">
        <f t="shared" si="13"/>
        <v>-1.6573474575887336E-3</v>
      </c>
      <c r="AS42" s="9">
        <f t="shared" si="13"/>
        <v>1</v>
      </c>
      <c r="AT42" s="7"/>
      <c r="AU42" s="7"/>
      <c r="AV42" s="7"/>
      <c r="AW42" s="7"/>
      <c r="AX42" s="7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</row>
    <row r="43" spans="1:87" x14ac:dyDescent="0.25">
      <c r="A43" s="1">
        <v>42916</v>
      </c>
      <c r="B43">
        <f>+[1]wFG_rstar_shock_decomposition!E43</f>
        <v>-0.15174884053153301</v>
      </c>
      <c r="C43">
        <f>+[1]wFG_rstar_shock_decomposition!F43</f>
        <v>-0.79859986214712597</v>
      </c>
      <c r="D43">
        <f>+[1]wFG_rstar_shock_decomposition!G43</f>
        <v>-0.31058661660043202</v>
      </c>
      <c r="E43">
        <f>+[1]wFG_rstar_shock_decomposition!H43</f>
        <v>4.3764540903195898E-2</v>
      </c>
      <c r="F43">
        <f>+[1]wFG_rstar_shock_decomposition!I43</f>
        <v>-0.18528046016007199</v>
      </c>
      <c r="G43">
        <f>+[1]wFG_rstar_shock_decomposition!J43</f>
        <v>-5.3166670514298398E-15</v>
      </c>
      <c r="H43">
        <f>+[1]wFG_rstar_shock_decomposition!K43</f>
        <v>2.9042770837043502E-14</v>
      </c>
      <c r="I43">
        <f>+[1]wFG_rstar_shock_decomposition!L43</f>
        <v>-2.15469226802187E-15</v>
      </c>
      <c r="J43">
        <f>+[1]wFG_rstar_shock_decomposition!M43</f>
        <v>1.6519990132261901E-15</v>
      </c>
      <c r="K43">
        <f>+[1]wFG_rstar_shock_decomposition!N43</f>
        <v>1.93502122292221E-15</v>
      </c>
      <c r="L43">
        <f>+[1]wFG_rstar_shock_decomposition!O43</f>
        <v>2.8992880372803501E-15</v>
      </c>
      <c r="M43">
        <f>+[1]wFG_rstar_shock_decomposition!P43</f>
        <v>3.4207711676479599E-15</v>
      </c>
      <c r="N43">
        <f>+[1]wFG_rstar_shock_decomposition!Q43</f>
        <v>2.9423388406103399E-15</v>
      </c>
      <c r="O43">
        <f>+[1]wFG_rstar_shock_decomposition!R43</f>
        <v>-4.10581449341767E-15</v>
      </c>
      <c r="P43">
        <f>+[1]wFG_rstar_shock_decomposition!S43</f>
        <v>1.04800831759105E-13</v>
      </c>
      <c r="Q43">
        <f>+[1]wFG_rstar_shock_decomposition!T43</f>
        <v>-1.34972037312406E-2</v>
      </c>
      <c r="R43">
        <f>+[1]wFG_rstar_shock_decomposition!U43</f>
        <v>0</v>
      </c>
      <c r="S43">
        <f>+[1]wFG_rstar_shock_decomposition!V43</f>
        <v>-0.62422651267797502</v>
      </c>
      <c r="T43">
        <f>+[1]wFG_rstar_shock_decomposition!W43</f>
        <v>1.7019870557408799E-2</v>
      </c>
      <c r="U43" s="4">
        <f>+[1]wFG_rstar_shock_decomposition!D43</f>
        <v>-2.0231550843876298</v>
      </c>
      <c r="Y43" s="1">
        <f t="shared" si="14"/>
        <v>42916</v>
      </c>
      <c r="Z43" s="7">
        <f t="shared" si="14"/>
        <v>-0.15174884053153301</v>
      </c>
      <c r="AA43" s="7">
        <f t="shared" si="14"/>
        <v>-0.79859986214712597</v>
      </c>
      <c r="AB43" s="7">
        <f t="shared" si="14"/>
        <v>-0.31058661660043202</v>
      </c>
      <c r="AC43" s="7">
        <f t="shared" si="2"/>
        <v>-0.80950697283804707</v>
      </c>
      <c r="AD43" s="7">
        <f t="shared" si="3"/>
        <v>4.3764540903195898E-2</v>
      </c>
      <c r="AE43" s="7">
        <f t="shared" si="4"/>
        <v>-1.34972037312406E-2</v>
      </c>
      <c r="AF43" s="7">
        <f t="shared" si="5"/>
        <v>-5.3166670514298398E-15</v>
      </c>
      <c r="AG43" s="7">
        <f t="shared" si="5"/>
        <v>2.9042770837043502E-14</v>
      </c>
      <c r="AH43" s="7">
        <f t="shared" si="6"/>
        <v>1.7019870557520193E-2</v>
      </c>
      <c r="AI43" s="7">
        <f t="shared" si="0"/>
        <v>-2.0231550843876391</v>
      </c>
      <c r="AJ43" s="8">
        <f t="shared" si="7"/>
        <v>-0.8230041765692877</v>
      </c>
      <c r="AK43" s="8">
        <f t="shared" si="8"/>
        <v>-1.0654219378443621</v>
      </c>
      <c r="AL43" s="8">
        <f t="shared" si="9"/>
        <v>-0.15174884053153301</v>
      </c>
      <c r="AM43" s="8">
        <f t="shared" si="10"/>
        <v>1.7019870557520193E-2</v>
      </c>
      <c r="AN43" s="8">
        <f t="shared" si="11"/>
        <v>-2.0231550843876627</v>
      </c>
      <c r="AO43" s="9">
        <f t="shared" si="13"/>
        <v>0.31013528173415617</v>
      </c>
      <c r="AP43" s="9">
        <f t="shared" si="13"/>
        <v>0.61198068447889731</v>
      </c>
      <c r="AQ43" s="9">
        <f t="shared" si="13"/>
        <v>8.2411311650996702E-2</v>
      </c>
      <c r="AR43" s="9">
        <f t="shared" si="13"/>
        <v>-4.5272778640470289E-3</v>
      </c>
      <c r="AS43" s="9">
        <f t="shared" si="13"/>
        <v>1</v>
      </c>
      <c r="AT43" s="7"/>
      <c r="AU43" s="7"/>
      <c r="AV43" s="7"/>
      <c r="AW43" s="7"/>
      <c r="AX43" s="7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</row>
    <row r="44" spans="1:87" x14ac:dyDescent="0.25">
      <c r="A44" s="1">
        <v>43008</v>
      </c>
      <c r="B44">
        <f>+[1]wFG_rstar_shock_decomposition!E44</f>
        <v>-0.15236736903801101</v>
      </c>
      <c r="C44">
        <f>+[1]wFG_rstar_shock_decomposition!F44</f>
        <v>-0.71677423421539199</v>
      </c>
      <c r="D44">
        <f>+[1]wFG_rstar_shock_decomposition!G44</f>
        <v>-0.32079100944390998</v>
      </c>
      <c r="E44">
        <f>+[1]wFG_rstar_shock_decomposition!H44</f>
        <v>3.5917425815295098E-2</v>
      </c>
      <c r="F44">
        <f>+[1]wFG_rstar_shock_decomposition!I44</f>
        <v>-0.19526608832529499</v>
      </c>
      <c r="G44">
        <f>+[1]wFG_rstar_shock_decomposition!J44</f>
        <v>-5.4386195983887604E-15</v>
      </c>
      <c r="H44">
        <f>+[1]wFG_rstar_shock_decomposition!K44</f>
        <v>2.9306772659770202E-14</v>
      </c>
      <c r="I44">
        <f>+[1]wFG_rstar_shock_decomposition!L44</f>
        <v>-2.39857375922835E-15</v>
      </c>
      <c r="J44">
        <f>+[1]wFG_rstar_shock_decomposition!M44</f>
        <v>1.6334316527170901E-15</v>
      </c>
      <c r="K44">
        <f>+[1]wFG_rstar_shock_decomposition!N44</f>
        <v>1.9860550439037798E-15</v>
      </c>
      <c r="L44">
        <f>+[1]wFG_rstar_shock_decomposition!O44</f>
        <v>2.8090983662186802E-15</v>
      </c>
      <c r="M44">
        <f>+[1]wFG_rstar_shock_decomposition!P44</f>
        <v>3.3147434698821699E-15</v>
      </c>
      <c r="N44">
        <f>+[1]wFG_rstar_shock_decomposition!Q44</f>
        <v>2.8686107708270802E-15</v>
      </c>
      <c r="O44">
        <f>+[1]wFG_rstar_shock_decomposition!R44</f>
        <v>-4.2040762579539797E-15</v>
      </c>
      <c r="P44">
        <f>+[1]wFG_rstar_shock_decomposition!S44</f>
        <v>1.02883443764807E-13</v>
      </c>
      <c r="Q44">
        <f>+[1]wFG_rstar_shock_decomposition!T44</f>
        <v>-1.7774060727591402E-2</v>
      </c>
      <c r="R44">
        <f>+[1]wFG_rstar_shock_decomposition!U44</f>
        <v>0</v>
      </c>
      <c r="S44">
        <f>+[1]wFG_rstar_shock_decomposition!V44</f>
        <v>-0.52792280538995495</v>
      </c>
      <c r="T44">
        <f>+[1]wFG_rstar_shock_decomposition!W44</f>
        <v>1.6809968114421901E-2</v>
      </c>
      <c r="U44" s="4">
        <f>+[1]wFG_rstar_shock_decomposition!D44</f>
        <v>-1.8781681732102999</v>
      </c>
      <c r="Y44" s="1">
        <f t="shared" si="14"/>
        <v>43008</v>
      </c>
      <c r="Z44" s="7">
        <f t="shared" si="14"/>
        <v>-0.15236736903801101</v>
      </c>
      <c r="AA44" s="7">
        <f t="shared" si="14"/>
        <v>-0.71677423421539199</v>
      </c>
      <c r="AB44" s="7">
        <f t="shared" si="14"/>
        <v>-0.32079100944390998</v>
      </c>
      <c r="AC44" s="7">
        <f t="shared" si="2"/>
        <v>-0.72318889371524997</v>
      </c>
      <c r="AD44" s="7">
        <f t="shared" si="3"/>
        <v>3.5917425815295098E-2</v>
      </c>
      <c r="AE44" s="7">
        <f t="shared" si="4"/>
        <v>-1.7774060727591402E-2</v>
      </c>
      <c r="AF44" s="7">
        <f t="shared" si="5"/>
        <v>-5.4386195983887604E-15</v>
      </c>
      <c r="AG44" s="7">
        <f t="shared" si="5"/>
        <v>2.9306772659770202E-14</v>
      </c>
      <c r="AH44" s="7">
        <f t="shared" si="6"/>
        <v>1.6809968114530793E-2</v>
      </c>
      <c r="AI44" s="7">
        <f t="shared" si="0"/>
        <v>-1.8781681732103044</v>
      </c>
      <c r="AJ44" s="8">
        <f t="shared" si="7"/>
        <v>-0.74096295444284133</v>
      </c>
      <c r="AK44" s="8">
        <f t="shared" si="8"/>
        <v>-1.0016478178440069</v>
      </c>
      <c r="AL44" s="8">
        <f t="shared" si="9"/>
        <v>-0.15236736903801101</v>
      </c>
      <c r="AM44" s="8">
        <f t="shared" si="10"/>
        <v>1.6809968114530793E-2</v>
      </c>
      <c r="AN44" s="8">
        <f t="shared" si="11"/>
        <v>-1.8781681732103284</v>
      </c>
      <c r="AO44" s="9">
        <f t="shared" si="13"/>
        <v>0.56585261014424459</v>
      </c>
      <c r="AP44" s="9">
        <f t="shared" si="13"/>
        <v>0.43986122252340915</v>
      </c>
      <c r="AQ44" s="9">
        <f t="shared" si="13"/>
        <v>-4.2660989288990352E-3</v>
      </c>
      <c r="AR44" s="9">
        <f t="shared" si="13"/>
        <v>-1.4477337387556809E-3</v>
      </c>
      <c r="AS44" s="9">
        <f t="shared" si="13"/>
        <v>1</v>
      </c>
      <c r="AT44" s="7"/>
      <c r="AU44" s="7"/>
      <c r="AV44" s="7"/>
      <c r="AW44" s="7"/>
      <c r="AX44" s="7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</row>
    <row r="45" spans="1:87" x14ac:dyDescent="0.25">
      <c r="A45" s="1">
        <v>43100</v>
      </c>
      <c r="B45">
        <f>+[1]wFG_rstar_shock_decomposition!E45</f>
        <v>-0.15811855472518099</v>
      </c>
      <c r="C45">
        <f>+[1]wFG_rstar_shock_decomposition!F45</f>
        <v>-0.62396588878066295</v>
      </c>
      <c r="D45">
        <f>+[1]wFG_rstar_shock_decomposition!G45</f>
        <v>-0.34195585541617102</v>
      </c>
      <c r="E45">
        <f>+[1]wFG_rstar_shock_decomposition!H45</f>
        <v>4.3094342964824797E-2</v>
      </c>
      <c r="F45">
        <f>+[1]wFG_rstar_shock_decomposition!I45</f>
        <v>-0.22001335812688999</v>
      </c>
      <c r="G45">
        <f>+[1]wFG_rstar_shock_decomposition!J45</f>
        <v>-6.0128059019120702E-15</v>
      </c>
      <c r="H45">
        <f>+[1]wFG_rstar_shock_decomposition!K45</f>
        <v>2.9480340649216501E-14</v>
      </c>
      <c r="I45">
        <f>+[1]wFG_rstar_shock_decomposition!L45</f>
        <v>-1.8643648899579199E-15</v>
      </c>
      <c r="J45">
        <f>+[1]wFG_rstar_shock_decomposition!M45</f>
        <v>1.78275795477886E-15</v>
      </c>
      <c r="K45">
        <f>+[1]wFG_rstar_shock_decomposition!N45</f>
        <v>1.9995739279293201E-15</v>
      </c>
      <c r="L45">
        <f>+[1]wFG_rstar_shock_decomposition!O45</f>
        <v>2.7886748179129801E-15</v>
      </c>
      <c r="M45">
        <f>+[1]wFG_rstar_shock_decomposition!P45</f>
        <v>3.2893684843960299E-15</v>
      </c>
      <c r="N45">
        <f>+[1]wFG_rstar_shock_decomposition!Q45</f>
        <v>2.7243304462418901E-15</v>
      </c>
      <c r="O45">
        <f>+[1]wFG_rstar_shock_decomposition!R45</f>
        <v>-4.1973375874349802E-15</v>
      </c>
      <c r="P45">
        <f>+[1]wFG_rstar_shock_decomposition!S45</f>
        <v>1.0062868048825299E-13</v>
      </c>
      <c r="Q45">
        <f>+[1]wFG_rstar_shock_decomposition!T45</f>
        <v>-3.8975879756323198E-3</v>
      </c>
      <c r="R45">
        <f>+[1]wFG_rstar_shock_decomposition!U45</f>
        <v>0</v>
      </c>
      <c r="S45">
        <f>+[1]wFG_rstar_shock_decomposition!V45</f>
        <v>-0.44230757439268398</v>
      </c>
      <c r="T45">
        <f>+[1]wFG_rstar_shock_decomposition!W45</f>
        <v>1.66028101104258E-2</v>
      </c>
      <c r="U45" s="4">
        <f>+[1]wFG_rstar_shock_decomposition!D45</f>
        <v>-1.7305616663418399</v>
      </c>
      <c r="Y45" s="1">
        <f t="shared" si="14"/>
        <v>43100</v>
      </c>
      <c r="Z45" s="7">
        <f t="shared" si="14"/>
        <v>-0.15811855472518099</v>
      </c>
      <c r="AA45" s="7">
        <f t="shared" si="14"/>
        <v>-0.62396588878066295</v>
      </c>
      <c r="AB45" s="7">
        <f t="shared" si="14"/>
        <v>-0.34195585541617102</v>
      </c>
      <c r="AC45" s="7">
        <f t="shared" si="2"/>
        <v>-0.66232093251957402</v>
      </c>
      <c r="AD45" s="7">
        <f t="shared" si="3"/>
        <v>4.3094342964824797E-2</v>
      </c>
      <c r="AE45" s="7">
        <f t="shared" si="4"/>
        <v>-3.8975879756323198E-3</v>
      </c>
      <c r="AF45" s="7">
        <f t="shared" si="5"/>
        <v>-6.0128059019120702E-15</v>
      </c>
      <c r="AG45" s="7">
        <f t="shared" si="5"/>
        <v>2.9480340649216501E-14</v>
      </c>
      <c r="AH45" s="7">
        <f t="shared" si="6"/>
        <v>1.660281011053295E-2</v>
      </c>
      <c r="AI45" s="7">
        <f t="shared" si="0"/>
        <v>-1.7305616663418402</v>
      </c>
      <c r="AJ45" s="8">
        <f t="shared" si="7"/>
        <v>-0.66621852049520636</v>
      </c>
      <c r="AK45" s="8">
        <f t="shared" si="8"/>
        <v>-0.92282740123200913</v>
      </c>
      <c r="AL45" s="8">
        <f t="shared" si="9"/>
        <v>-0.15811855472518099</v>
      </c>
      <c r="AM45" s="8">
        <f t="shared" si="10"/>
        <v>1.660281011053295E-2</v>
      </c>
      <c r="AN45" s="8">
        <f t="shared" si="11"/>
        <v>-1.7305616663418635</v>
      </c>
      <c r="AO45" s="9">
        <f t="shared" si="13"/>
        <v>0.50637628064893669</v>
      </c>
      <c r="AP45" s="9">
        <f t="shared" si="13"/>
        <v>0.53399012200889118</v>
      </c>
      <c r="AQ45" s="9">
        <f t="shared" si="13"/>
        <v>-3.896295501589897E-2</v>
      </c>
      <c r="AR45" s="9">
        <f t="shared" si="13"/>
        <v>-1.4034476419284504E-3</v>
      </c>
      <c r="AS45" s="9">
        <f t="shared" si="13"/>
        <v>1</v>
      </c>
      <c r="AT45" s="7"/>
      <c r="AU45" s="7"/>
      <c r="AV45" s="7"/>
      <c r="AW45" s="7"/>
      <c r="AX45" s="7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</row>
    <row r="46" spans="1:87" x14ac:dyDescent="0.25">
      <c r="A46" s="1">
        <v>43190</v>
      </c>
      <c r="B46">
        <f>+[1]wFG_rstar_shock_decomposition!E46</f>
        <v>-0.15894250476521901</v>
      </c>
      <c r="C46">
        <f>+[1]wFG_rstar_shock_decomposition!F46</f>
        <v>-0.53588973528596895</v>
      </c>
      <c r="D46">
        <f>+[1]wFG_rstar_shock_decomposition!G46</f>
        <v>-0.34233077060443001</v>
      </c>
      <c r="E46">
        <f>+[1]wFG_rstar_shock_decomposition!H46</f>
        <v>4.2305393891680601E-2</v>
      </c>
      <c r="F46">
        <f>+[1]wFG_rstar_shock_decomposition!I46</f>
        <v>-0.215111253364037</v>
      </c>
      <c r="G46">
        <f>+[1]wFG_rstar_shock_decomposition!J46</f>
        <v>-6.8795978121033899E-15</v>
      </c>
      <c r="H46">
        <f>+[1]wFG_rstar_shock_decomposition!K46</f>
        <v>2.9965207693004399E-14</v>
      </c>
      <c r="I46">
        <f>+[1]wFG_rstar_shock_decomposition!L46</f>
        <v>-1.5297914712787801E-15</v>
      </c>
      <c r="J46">
        <f>+[1]wFG_rstar_shock_decomposition!M46</f>
        <v>1.7206370755008301E-15</v>
      </c>
      <c r="K46">
        <f>+[1]wFG_rstar_shock_decomposition!N46</f>
        <v>1.9231438524599701E-15</v>
      </c>
      <c r="L46">
        <f>+[1]wFG_rstar_shock_decomposition!O46</f>
        <v>2.7244209393113398E-15</v>
      </c>
      <c r="M46">
        <f>+[1]wFG_rstar_shock_decomposition!P46</f>
        <v>3.1282105437720401E-15</v>
      </c>
      <c r="N46">
        <f>+[1]wFG_rstar_shock_decomposition!Q46</f>
        <v>2.6390763336470599E-15</v>
      </c>
      <c r="O46">
        <f>+[1]wFG_rstar_shock_decomposition!R46</f>
        <v>-3.7848804891020499E-15</v>
      </c>
      <c r="P46">
        <f>+[1]wFG_rstar_shock_decomposition!S46</f>
        <v>9.9551859603541906E-14</v>
      </c>
      <c r="Q46">
        <f>+[1]wFG_rstar_shock_decomposition!T46</f>
        <v>1.2906096117853E-3</v>
      </c>
      <c r="R46">
        <f>+[1]wFG_rstar_shock_decomposition!U46</f>
        <v>0</v>
      </c>
      <c r="S46">
        <f>+[1]wFG_rstar_shock_decomposition!V46</f>
        <v>-0.43748527285464101</v>
      </c>
      <c r="T46">
        <f>+[1]wFG_rstar_shock_decomposition!W46</f>
        <v>1.6398358626930499E-2</v>
      </c>
      <c r="U46" s="4">
        <f>+[1]wFG_rstar_shock_decomposition!D46</f>
        <v>-1.62976517474377</v>
      </c>
      <c r="Y46" s="1">
        <f t="shared" si="14"/>
        <v>43190</v>
      </c>
      <c r="Z46" s="7">
        <f t="shared" si="14"/>
        <v>-0.15894250476521901</v>
      </c>
      <c r="AA46" s="7">
        <f t="shared" si="14"/>
        <v>-0.53588973528596895</v>
      </c>
      <c r="AB46" s="7">
        <f t="shared" si="14"/>
        <v>-0.34233077060443001</v>
      </c>
      <c r="AC46" s="7">
        <f t="shared" si="2"/>
        <v>-0.65259652621867803</v>
      </c>
      <c r="AD46" s="7">
        <f t="shared" si="3"/>
        <v>4.2305393891680601E-2</v>
      </c>
      <c r="AE46" s="7">
        <f t="shared" si="4"/>
        <v>1.2906096117853E-3</v>
      </c>
      <c r="AF46" s="7">
        <f t="shared" si="5"/>
        <v>-6.8795978121033899E-15</v>
      </c>
      <c r="AG46" s="7">
        <f t="shared" si="5"/>
        <v>2.9965207693004399E-14</v>
      </c>
      <c r="AH46" s="7">
        <f t="shared" si="6"/>
        <v>1.6398358627036872E-2</v>
      </c>
      <c r="AI46" s="7">
        <f t="shared" si="0"/>
        <v>-1.6297651747437703</v>
      </c>
      <c r="AJ46" s="8">
        <f t="shared" si="7"/>
        <v>-0.65130591660689274</v>
      </c>
      <c r="AK46" s="8">
        <f t="shared" si="8"/>
        <v>-0.83591511199871826</v>
      </c>
      <c r="AL46" s="8">
        <f t="shared" si="9"/>
        <v>-0.15894250476521901</v>
      </c>
      <c r="AM46" s="8">
        <f t="shared" si="10"/>
        <v>1.6398358627036872E-2</v>
      </c>
      <c r="AN46" s="8">
        <f t="shared" si="11"/>
        <v>-1.6297651747437933</v>
      </c>
      <c r="AO46" s="9">
        <f t="shared" si="13"/>
        <v>0.14794764829492471</v>
      </c>
      <c r="AP46" s="9">
        <f t="shared" si="13"/>
        <v>0.86225510288450258</v>
      </c>
      <c r="AQ46" s="9">
        <f t="shared" si="13"/>
        <v>-8.1743920544729946E-3</v>
      </c>
      <c r="AR46" s="9">
        <f t="shared" si="13"/>
        <v>-2.0283591249518479E-3</v>
      </c>
      <c r="AS46" s="9">
        <f t="shared" si="13"/>
        <v>1</v>
      </c>
      <c r="AT46" s="7"/>
      <c r="AU46" s="7"/>
      <c r="AV46" s="7"/>
      <c r="AW46" s="7"/>
      <c r="AX46" s="7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</row>
    <row r="47" spans="1:87" x14ac:dyDescent="0.25">
      <c r="A47" s="1">
        <v>43281</v>
      </c>
      <c r="B47">
        <f>+[1]wFG_rstar_shock_decomposition!E47</f>
        <v>-0.154505222129946</v>
      </c>
      <c r="C47">
        <f>+[1]wFG_rstar_shock_decomposition!F47</f>
        <v>-0.58714840279428504</v>
      </c>
      <c r="D47">
        <f>+[1]wFG_rstar_shock_decomposition!G47</f>
        <v>-0.3619735452981</v>
      </c>
      <c r="E47">
        <f>+[1]wFG_rstar_shock_decomposition!H47</f>
        <v>2.6059590782198699E-2</v>
      </c>
      <c r="F47">
        <f>+[1]wFG_rstar_shock_decomposition!I47</f>
        <v>-0.212171299334209</v>
      </c>
      <c r="G47">
        <f>+[1]wFG_rstar_shock_decomposition!J47</f>
        <v>-7.2918554582758705E-15</v>
      </c>
      <c r="H47">
        <f>+[1]wFG_rstar_shock_decomposition!K47</f>
        <v>3.0636010615200998E-14</v>
      </c>
      <c r="I47">
        <f>+[1]wFG_rstar_shock_decomposition!L47</f>
        <v>-1.5576397977547201E-15</v>
      </c>
      <c r="J47">
        <f>+[1]wFG_rstar_shock_decomposition!M47</f>
        <v>1.6788148722743799E-15</v>
      </c>
      <c r="K47">
        <f>+[1]wFG_rstar_shock_decomposition!N47</f>
        <v>1.8991967945041401E-15</v>
      </c>
      <c r="L47">
        <f>+[1]wFG_rstar_shock_decomposition!O47</f>
        <v>2.62194240864538E-15</v>
      </c>
      <c r="M47">
        <f>+[1]wFG_rstar_shock_decomposition!P47</f>
        <v>3.0891886969674501E-15</v>
      </c>
      <c r="N47">
        <f>+[1]wFG_rstar_shock_decomposition!Q47</f>
        <v>2.9740476803422299E-15</v>
      </c>
      <c r="O47">
        <f>+[1]wFG_rstar_shock_decomposition!R47</f>
        <v>-2.9633389377328102E-15</v>
      </c>
      <c r="P47">
        <f>+[1]wFG_rstar_shock_decomposition!S47</f>
        <v>9.9957630662544794E-14</v>
      </c>
      <c r="Q47">
        <f>+[1]wFG_rstar_shock_decomposition!T47</f>
        <v>8.3035309344911892E-3</v>
      </c>
      <c r="R47">
        <f>+[1]wFG_rstar_shock_decomposition!U47</f>
        <v>0</v>
      </c>
      <c r="S47">
        <f>+[1]wFG_rstar_shock_decomposition!V47</f>
        <v>-0.49828803408780797</v>
      </c>
      <c r="T47">
        <f>+[1]wFG_rstar_shock_decomposition!W47</f>
        <v>1.61965762766994E-2</v>
      </c>
      <c r="U47" s="4">
        <f>+[1]wFG_rstar_shock_decomposition!D47</f>
        <v>-1.76352680565082</v>
      </c>
      <c r="Y47" s="1">
        <f t="shared" si="14"/>
        <v>43281</v>
      </c>
      <c r="Z47" s="7">
        <f t="shared" si="14"/>
        <v>-0.154505222129946</v>
      </c>
      <c r="AA47" s="7">
        <f t="shared" si="14"/>
        <v>-0.58714840279428504</v>
      </c>
      <c r="AB47" s="7">
        <f t="shared" si="14"/>
        <v>-0.3619735452981</v>
      </c>
      <c r="AC47" s="7">
        <f t="shared" si="2"/>
        <v>-0.71045933342201695</v>
      </c>
      <c r="AD47" s="7">
        <f t="shared" si="3"/>
        <v>2.6059590782198699E-2</v>
      </c>
      <c r="AE47" s="7">
        <f t="shared" si="4"/>
        <v>8.3035309344911892E-3</v>
      </c>
      <c r="AF47" s="7">
        <f t="shared" si="5"/>
        <v>-7.2918554582758705E-15</v>
      </c>
      <c r="AG47" s="7">
        <f t="shared" si="5"/>
        <v>3.0636010615200998E-14</v>
      </c>
      <c r="AH47" s="7">
        <f t="shared" si="6"/>
        <v>1.6196576276807099E-2</v>
      </c>
      <c r="AI47" s="7">
        <f t="shared" si="0"/>
        <v>-1.7635268056508278</v>
      </c>
      <c r="AJ47" s="8">
        <f t="shared" si="7"/>
        <v>-0.70215580248752574</v>
      </c>
      <c r="AK47" s="8">
        <f t="shared" si="8"/>
        <v>-0.92306235731018638</v>
      </c>
      <c r="AL47" s="8">
        <f t="shared" si="9"/>
        <v>-0.154505222129946</v>
      </c>
      <c r="AM47" s="8">
        <f t="shared" si="10"/>
        <v>1.6196576276807099E-2</v>
      </c>
      <c r="AN47" s="8">
        <f t="shared" si="11"/>
        <v>-1.7635268056508511</v>
      </c>
      <c r="AO47" s="9">
        <f t="shared" si="13"/>
        <v>0.38015300453360412</v>
      </c>
      <c r="AP47" s="9">
        <f t="shared" si="13"/>
        <v>0.651511533767266</v>
      </c>
      <c r="AQ47" s="9">
        <f t="shared" si="13"/>
        <v>-3.3173060205554723E-2</v>
      </c>
      <c r="AR47" s="9">
        <f t="shared" si="13"/>
        <v>1.5085219046856477E-3</v>
      </c>
      <c r="AS47" s="9">
        <f t="shared" si="13"/>
        <v>1</v>
      </c>
      <c r="AT47" s="7"/>
      <c r="AU47" s="7"/>
      <c r="AV47" s="7"/>
      <c r="AW47" s="7"/>
      <c r="AX47" s="7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</row>
    <row r="48" spans="1:87" x14ac:dyDescent="0.25">
      <c r="A48" s="1">
        <v>43373</v>
      </c>
      <c r="B48">
        <f>+[1]wFG_rstar_shock_decomposition!E48</f>
        <v>-0.146252175261569</v>
      </c>
      <c r="C48">
        <f>+[1]wFG_rstar_shock_decomposition!F48</f>
        <v>-0.56143841932122895</v>
      </c>
      <c r="D48">
        <f>+[1]wFG_rstar_shock_decomposition!G48</f>
        <v>-0.378408071559379</v>
      </c>
      <c r="E48">
        <f>+[1]wFG_rstar_shock_decomposition!H48</f>
        <v>1.1674742600136E-2</v>
      </c>
      <c r="F48">
        <f>+[1]wFG_rstar_shock_decomposition!I48</f>
        <v>-0.22026993479665699</v>
      </c>
      <c r="G48">
        <f>+[1]wFG_rstar_shock_decomposition!J48</f>
        <v>-6.73147316395779E-15</v>
      </c>
      <c r="H48">
        <f>+[1]wFG_rstar_shock_decomposition!K48</f>
        <v>3.1091450751650899E-14</v>
      </c>
      <c r="I48">
        <f>+[1]wFG_rstar_shock_decomposition!L48</f>
        <v>-1.8469631146033002E-15</v>
      </c>
      <c r="J48">
        <f>+[1]wFG_rstar_shock_decomposition!M48</f>
        <v>1.60024525173307E-15</v>
      </c>
      <c r="K48">
        <f>+[1]wFG_rstar_shock_decomposition!N48</f>
        <v>1.7553606101562799E-15</v>
      </c>
      <c r="L48">
        <f>+[1]wFG_rstar_shock_decomposition!O48</f>
        <v>2.5432963136550399E-15</v>
      </c>
      <c r="M48">
        <f>+[1]wFG_rstar_shock_decomposition!P48</f>
        <v>3.3279289663498E-15</v>
      </c>
      <c r="N48">
        <f>+[1]wFG_rstar_shock_decomposition!Q48</f>
        <v>3.5837444773084201E-15</v>
      </c>
      <c r="O48">
        <f>+[1]wFG_rstar_shock_decomposition!R48</f>
        <v>-3.1486988110944698E-15</v>
      </c>
      <c r="P48">
        <f>+[1]wFG_rstar_shock_decomposition!S48</f>
        <v>9.8752610356030602E-14</v>
      </c>
      <c r="Q48">
        <f>+[1]wFG_rstar_shock_decomposition!T48</f>
        <v>7.2541151139920599E-3</v>
      </c>
      <c r="R48">
        <f>+[1]wFG_rstar_shock_decomposition!U48</f>
        <v>0</v>
      </c>
      <c r="S48">
        <f>+[1]wFG_rstar_shock_decomposition!V48</f>
        <v>-0.45284337725575402</v>
      </c>
      <c r="T48">
        <f>+[1]wFG_rstar_shock_decomposition!W48</f>
        <v>1.59974261969234E-2</v>
      </c>
      <c r="U48" s="4">
        <f>+[1]wFG_rstar_shock_decomposition!D48</f>
        <v>-1.7242856942834</v>
      </c>
      <c r="Y48" s="1">
        <f t="shared" si="14"/>
        <v>43373</v>
      </c>
      <c r="Z48" s="7">
        <f t="shared" si="14"/>
        <v>-0.146252175261569</v>
      </c>
      <c r="AA48" s="7">
        <f t="shared" si="14"/>
        <v>-0.56143841932122895</v>
      </c>
      <c r="AB48" s="7">
        <f t="shared" si="14"/>
        <v>-0.378408071559379</v>
      </c>
      <c r="AC48" s="7">
        <f t="shared" si="2"/>
        <v>-0.67311331205241098</v>
      </c>
      <c r="AD48" s="7">
        <f t="shared" si="3"/>
        <v>1.1674742600136E-2</v>
      </c>
      <c r="AE48" s="7">
        <f t="shared" si="4"/>
        <v>7.2541151139920599E-3</v>
      </c>
      <c r="AF48" s="7">
        <f t="shared" si="5"/>
        <v>-6.73147316395779E-15</v>
      </c>
      <c r="AG48" s="7">
        <f t="shared" si="5"/>
        <v>3.1091450751650899E-14</v>
      </c>
      <c r="AH48" s="7">
        <f t="shared" si="6"/>
        <v>1.5997426197029967E-2</v>
      </c>
      <c r="AI48" s="7">
        <f t="shared" si="0"/>
        <v>-1.7242856942834057</v>
      </c>
      <c r="AJ48" s="8">
        <f t="shared" si="7"/>
        <v>-0.66585919693841888</v>
      </c>
      <c r="AK48" s="8">
        <f t="shared" si="8"/>
        <v>-0.92817174828047189</v>
      </c>
      <c r="AL48" s="8">
        <f t="shared" si="9"/>
        <v>-0.146252175261569</v>
      </c>
      <c r="AM48" s="8">
        <f t="shared" si="10"/>
        <v>1.5997426197029967E-2</v>
      </c>
      <c r="AN48" s="8">
        <f t="shared" si="11"/>
        <v>-1.7242856942834299</v>
      </c>
      <c r="AO48" s="9">
        <f t="shared" si="13"/>
        <v>0.92496375062509351</v>
      </c>
      <c r="AP48" s="9">
        <f t="shared" si="13"/>
        <v>-0.13020505261549351</v>
      </c>
      <c r="AQ48" s="9">
        <f t="shared" si="13"/>
        <v>0.21031633867609725</v>
      </c>
      <c r="AR48" s="9">
        <f t="shared" si="13"/>
        <v>-5.0750366856956641E-3</v>
      </c>
      <c r="AS48" s="9">
        <f t="shared" si="13"/>
        <v>1</v>
      </c>
      <c r="AT48" s="7"/>
      <c r="AU48" s="7"/>
      <c r="AV48" s="7"/>
      <c r="AW48" s="7"/>
      <c r="AX48" s="7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</row>
    <row r="49" spans="1:87" x14ac:dyDescent="0.25">
      <c r="A49" s="1">
        <v>43465</v>
      </c>
      <c r="B49">
        <f>+[1]wFG_rstar_shock_decomposition!E49</f>
        <v>-0.14174911758501199</v>
      </c>
      <c r="C49">
        <f>+[1]wFG_rstar_shock_decomposition!F49</f>
        <v>-0.61139699285145899</v>
      </c>
      <c r="D49">
        <f>+[1]wFG_rstar_shock_decomposition!G49</f>
        <v>-0.42936541839826098</v>
      </c>
      <c r="E49">
        <f>+[1]wFG_rstar_shock_decomposition!H49</f>
        <v>-1.1751911728982299E-3</v>
      </c>
      <c r="F49">
        <f>+[1]wFG_rstar_shock_decomposition!I49</f>
        <v>-0.200754303522619</v>
      </c>
      <c r="G49">
        <f>+[1]wFG_rstar_shock_decomposition!J49</f>
        <v>-7.1383372622096306E-15</v>
      </c>
      <c r="H49">
        <f>+[1]wFG_rstar_shock_decomposition!K49</f>
        <v>3.17374978587907E-14</v>
      </c>
      <c r="I49">
        <f>+[1]wFG_rstar_shock_decomposition!L49</f>
        <v>-1.61709268548566E-15</v>
      </c>
      <c r="J49">
        <f>+[1]wFG_rstar_shock_decomposition!M49</f>
        <v>1.56095648664131E-15</v>
      </c>
      <c r="K49">
        <f>+[1]wFG_rstar_shock_decomposition!N49</f>
        <v>1.76742822818265E-15</v>
      </c>
      <c r="L49">
        <f>+[1]wFG_rstar_shock_decomposition!O49</f>
        <v>2.8180795899654801E-15</v>
      </c>
      <c r="M49">
        <f>+[1]wFG_rstar_shock_decomposition!P49</f>
        <v>3.8986384831139102E-15</v>
      </c>
      <c r="N49">
        <f>+[1]wFG_rstar_shock_decomposition!Q49</f>
        <v>3.3938841137821099E-15</v>
      </c>
      <c r="O49">
        <f>+[1]wFG_rstar_shock_decomposition!R49</f>
        <v>-2.2127216264054199E-15</v>
      </c>
      <c r="P49">
        <f>+[1]wFG_rstar_shock_decomposition!S49</f>
        <v>9.8006873102095305E-14</v>
      </c>
      <c r="Q49">
        <f>+[1]wFG_rstar_shock_decomposition!T49</f>
        <v>1.0430946135317601E-2</v>
      </c>
      <c r="R49">
        <f>+[1]wFG_rstar_shock_decomposition!U49</f>
        <v>0</v>
      </c>
      <c r="S49">
        <f>+[1]wFG_rstar_shock_decomposition!V49</f>
        <v>-0.48248927523933699</v>
      </c>
      <c r="T49">
        <f>+[1]wFG_rstar_shock_decomposition!W49</f>
        <v>1.5800872042453801E-2</v>
      </c>
      <c r="U49" s="4">
        <f>+[1]wFG_rstar_shock_decomposition!D49</f>
        <v>-1.84069848059168</v>
      </c>
      <c r="Y49" s="1">
        <f t="shared" si="14"/>
        <v>43465</v>
      </c>
      <c r="Z49" s="7">
        <f t="shared" si="14"/>
        <v>-0.14174911758501199</v>
      </c>
      <c r="AA49" s="7">
        <f t="shared" si="14"/>
        <v>-0.61139699285145899</v>
      </c>
      <c r="AB49" s="7">
        <f t="shared" si="14"/>
        <v>-0.42936541839826098</v>
      </c>
      <c r="AC49" s="7">
        <f t="shared" si="2"/>
        <v>-0.68324357876195596</v>
      </c>
      <c r="AD49" s="7">
        <f t="shared" si="3"/>
        <v>-1.1751911728982299E-3</v>
      </c>
      <c r="AE49" s="7">
        <f t="shared" si="4"/>
        <v>1.0430946135317601E-2</v>
      </c>
      <c r="AF49" s="7">
        <f t="shared" si="5"/>
        <v>-7.1383372622096306E-15</v>
      </c>
      <c r="AG49" s="7">
        <f t="shared" si="5"/>
        <v>3.17374978587907E-14</v>
      </c>
      <c r="AH49" s="7">
        <f t="shared" si="6"/>
        <v>1.5800872042561417E-2</v>
      </c>
      <c r="AI49" s="7">
        <f t="shared" si="0"/>
        <v>-1.8406984805916826</v>
      </c>
      <c r="AJ49" s="8">
        <f t="shared" si="7"/>
        <v>-0.67281263262663837</v>
      </c>
      <c r="AK49" s="8">
        <f t="shared" si="8"/>
        <v>-1.0419376024226183</v>
      </c>
      <c r="AL49" s="8">
        <f t="shared" si="9"/>
        <v>-0.14174911758501199</v>
      </c>
      <c r="AM49" s="8">
        <f t="shared" si="10"/>
        <v>1.5800872042561417E-2</v>
      </c>
      <c r="AN49" s="8">
        <f t="shared" si="11"/>
        <v>-1.8406984805917075</v>
      </c>
      <c r="AO49" s="9">
        <f t="shared" si="13"/>
        <v>5.973085868596776E-2</v>
      </c>
      <c r="AP49" s="9">
        <f t="shared" si="13"/>
        <v>0.97726253060276691</v>
      </c>
      <c r="AQ49" s="9">
        <f t="shared" si="13"/>
        <v>-3.8681813393180664E-2</v>
      </c>
      <c r="AR49" s="9">
        <f t="shared" si="13"/>
        <v>1.6884241044454289E-3</v>
      </c>
      <c r="AS49" s="9">
        <f t="shared" si="13"/>
        <v>1</v>
      </c>
      <c r="AT49" s="7"/>
      <c r="AU49" s="7"/>
      <c r="AV49" s="7"/>
      <c r="AW49" s="7"/>
      <c r="AX49" s="7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</row>
    <row r="50" spans="1:87" x14ac:dyDescent="0.25">
      <c r="A50" s="1">
        <v>43555</v>
      </c>
      <c r="B50">
        <f>+[1]wFG_rstar_shock_decomposition!E50</f>
        <v>-0.127167986116826</v>
      </c>
      <c r="C50">
        <f>+[1]wFG_rstar_shock_decomposition!F50</f>
        <v>-0.65580593873903803</v>
      </c>
      <c r="D50">
        <f>+[1]wFG_rstar_shock_decomposition!G50</f>
        <v>-0.503168187816739</v>
      </c>
      <c r="E50">
        <f>+[1]wFG_rstar_shock_decomposition!H50</f>
        <v>-3.6156992360162499E-3</v>
      </c>
      <c r="F50">
        <f>+[1]wFG_rstar_shock_decomposition!I50</f>
        <v>-0.218055355311186</v>
      </c>
      <c r="G50">
        <f>+[1]wFG_rstar_shock_decomposition!J50</f>
        <v>-6.7045645061351797E-15</v>
      </c>
      <c r="H50">
        <f>+[1]wFG_rstar_shock_decomposition!K50</f>
        <v>3.1345214412574699E-14</v>
      </c>
      <c r="I50">
        <f>+[1]wFG_rstar_shock_decomposition!L50</f>
        <v>-1.99432999850369E-15</v>
      </c>
      <c r="J50">
        <f>+[1]wFG_rstar_shock_decomposition!M50</f>
        <v>1.4964815667425501E-15</v>
      </c>
      <c r="K50">
        <f>+[1]wFG_rstar_shock_decomposition!N50</f>
        <v>1.9546533174197899E-15</v>
      </c>
      <c r="L50">
        <f>+[1]wFG_rstar_shock_decomposition!O50</f>
        <v>3.2499432155017502E-15</v>
      </c>
      <c r="M50">
        <f>+[1]wFG_rstar_shock_decomposition!P50</f>
        <v>3.6617805554454003E-15</v>
      </c>
      <c r="N50">
        <f>+[1]wFG_rstar_shock_decomposition!Q50</f>
        <v>4.0701749000475497E-15</v>
      </c>
      <c r="O50">
        <f>+[1]wFG_rstar_shock_decomposition!R50</f>
        <v>-2.4088303398320299E-15</v>
      </c>
      <c r="P50">
        <f>+[1]wFG_rstar_shock_decomposition!S50</f>
        <v>9.5025100995293105E-14</v>
      </c>
      <c r="Q50">
        <f>+[1]wFG_rstar_shock_decomposition!T50</f>
        <v>1.9369290333258401E-2</v>
      </c>
      <c r="R50">
        <f>+[1]wFG_rstar_shock_decomposition!U50</f>
        <v>0</v>
      </c>
      <c r="S50">
        <f>+[1]wFG_rstar_shock_decomposition!V50</f>
        <v>-0.42988533116094302</v>
      </c>
      <c r="T50">
        <f>+[1]wFG_rstar_shock_decomposition!W50</f>
        <v>1.56068779790939E-2</v>
      </c>
      <c r="U50" s="4">
        <f>+[1]wFG_rstar_shock_decomposition!D50</f>
        <v>-1.9027223300682601</v>
      </c>
      <c r="Y50" s="1">
        <f t="shared" si="14"/>
        <v>43555</v>
      </c>
      <c r="Z50" s="7">
        <f t="shared" si="14"/>
        <v>-0.127167986116826</v>
      </c>
      <c r="AA50" s="7">
        <f t="shared" si="14"/>
        <v>-0.65580593873903803</v>
      </c>
      <c r="AB50" s="7">
        <f t="shared" si="14"/>
        <v>-0.503168187816739</v>
      </c>
      <c r="AC50" s="7">
        <f t="shared" si="2"/>
        <v>-0.64794068647212899</v>
      </c>
      <c r="AD50" s="7">
        <f t="shared" si="3"/>
        <v>-3.6156992360162499E-3</v>
      </c>
      <c r="AE50" s="7">
        <f t="shared" si="4"/>
        <v>1.9369290333258401E-2</v>
      </c>
      <c r="AF50" s="7">
        <f t="shared" si="5"/>
        <v>-6.7045645061351797E-15</v>
      </c>
      <c r="AG50" s="7">
        <f t="shared" si="5"/>
        <v>3.1345214412574699E-14</v>
      </c>
      <c r="AH50" s="7">
        <f t="shared" si="6"/>
        <v>1.5606877979198953E-2</v>
      </c>
      <c r="AI50" s="7">
        <f t="shared" si="0"/>
        <v>-1.9027223300682667</v>
      </c>
      <c r="AJ50" s="8">
        <f t="shared" si="7"/>
        <v>-0.62857139613887059</v>
      </c>
      <c r="AK50" s="8">
        <f t="shared" si="8"/>
        <v>-1.1625898257917935</v>
      </c>
      <c r="AL50" s="8">
        <f t="shared" si="9"/>
        <v>-0.127167986116826</v>
      </c>
      <c r="AM50" s="8">
        <f t="shared" si="10"/>
        <v>1.5606877979198953E-2</v>
      </c>
      <c r="AN50" s="8">
        <f t="shared" si="11"/>
        <v>-1.9027223300682912</v>
      </c>
      <c r="AO50" s="9">
        <f t="shared" si="13"/>
        <v>-0.71329394839432703</v>
      </c>
      <c r="AP50" s="9">
        <f t="shared" si="13"/>
        <v>1.9452553233530894</v>
      </c>
      <c r="AQ50" s="9">
        <f t="shared" si="13"/>
        <v>-0.2350891083226124</v>
      </c>
      <c r="AR50" s="9">
        <f t="shared" si="13"/>
        <v>3.1277333638523035E-3</v>
      </c>
      <c r="AS50" s="9">
        <f t="shared" si="13"/>
        <v>1</v>
      </c>
      <c r="AT50" s="7"/>
      <c r="AU50" s="7"/>
      <c r="AV50" s="7"/>
      <c r="AW50" s="7"/>
      <c r="AX50" s="7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</row>
    <row r="51" spans="1:87" x14ac:dyDescent="0.25">
      <c r="A51" s="1">
        <v>43646</v>
      </c>
      <c r="B51">
        <f>+[1]wFG_rstar_shock_decomposition!E51</f>
        <v>-0.14356819057544701</v>
      </c>
      <c r="C51">
        <f>+[1]wFG_rstar_shock_decomposition!F51</f>
        <v>-0.67390626051545099</v>
      </c>
      <c r="D51">
        <f>+[1]wFG_rstar_shock_decomposition!G51</f>
        <v>-0.51262041959164695</v>
      </c>
      <c r="E51">
        <f>+[1]wFG_rstar_shock_decomposition!H51</f>
        <v>8.8174179537818705E-3</v>
      </c>
      <c r="F51">
        <f>+[1]wFG_rstar_shock_decomposition!I51</f>
        <v>-0.238465739042864</v>
      </c>
      <c r="G51">
        <f>+[1]wFG_rstar_shock_decomposition!J51</f>
        <v>-7.1702808043328304E-15</v>
      </c>
      <c r="H51">
        <f>+[1]wFG_rstar_shock_decomposition!K51</f>
        <v>3.1919387436701401E-14</v>
      </c>
      <c r="I51">
        <f>+[1]wFG_rstar_shock_decomposition!L51</f>
        <v>-1.9376401230722401E-15</v>
      </c>
      <c r="J51">
        <f>+[1]wFG_rstar_shock_decomposition!M51</f>
        <v>1.68905103502753E-15</v>
      </c>
      <c r="K51">
        <f>+[1]wFG_rstar_shock_decomposition!N51</f>
        <v>2.3790263545632099E-15</v>
      </c>
      <c r="L51">
        <f>+[1]wFG_rstar_shock_decomposition!O51</f>
        <v>3.0575430997572799E-15</v>
      </c>
      <c r="M51">
        <f>+[1]wFG_rstar_shock_decomposition!P51</f>
        <v>4.2347936582218196E-15</v>
      </c>
      <c r="N51">
        <f>+[1]wFG_rstar_shock_decomposition!Q51</f>
        <v>3.8178349627115901E-15</v>
      </c>
      <c r="O51">
        <f>+[1]wFG_rstar_shock_decomposition!R51</f>
        <v>-2.2924298424315601E-15</v>
      </c>
      <c r="P51">
        <f>+[1]wFG_rstar_shock_decomposition!S51</f>
        <v>9.3634110369057902E-14</v>
      </c>
      <c r="Q51">
        <f>+[1]wFG_rstar_shock_decomposition!T51</f>
        <v>1.7581890223256201E-2</v>
      </c>
      <c r="R51">
        <f>+[1]wFG_rstar_shock_decomposition!U51</f>
        <v>0</v>
      </c>
      <c r="S51">
        <f>+[1]wFG_rstar_shock_decomposition!V51</f>
        <v>-0.49152066814802198</v>
      </c>
      <c r="T51">
        <f>+[1]wFG_rstar_shock_decomposition!W51</f>
        <v>1.54154086769494E-2</v>
      </c>
      <c r="U51" s="4">
        <f>+[1]wFG_rstar_shock_decomposition!D51</f>
        <v>-2.0182665610193098</v>
      </c>
      <c r="Y51" s="1">
        <f t="shared" si="14"/>
        <v>43646</v>
      </c>
      <c r="Z51" s="7">
        <f t="shared" si="14"/>
        <v>-0.14356819057544701</v>
      </c>
      <c r="AA51" s="7">
        <f t="shared" si="14"/>
        <v>-0.67390626051545099</v>
      </c>
      <c r="AB51" s="7">
        <f t="shared" si="14"/>
        <v>-0.51262041959164695</v>
      </c>
      <c r="AC51" s="7">
        <f t="shared" si="2"/>
        <v>-0.72998640719088592</v>
      </c>
      <c r="AD51" s="7">
        <f t="shared" si="3"/>
        <v>8.8174179537818705E-3</v>
      </c>
      <c r="AE51" s="7">
        <f t="shared" si="4"/>
        <v>1.7581890223256201E-2</v>
      </c>
      <c r="AF51" s="7">
        <f t="shared" si="5"/>
        <v>-7.1702808043328304E-15</v>
      </c>
      <c r="AG51" s="7">
        <f t="shared" si="5"/>
        <v>3.1919387436701401E-14</v>
      </c>
      <c r="AH51" s="7">
        <f t="shared" si="6"/>
        <v>1.5415408677053983E-2</v>
      </c>
      <c r="AI51" s="7">
        <f t="shared" si="0"/>
        <v>-2.0182665610193142</v>
      </c>
      <c r="AJ51" s="8">
        <f t="shared" si="7"/>
        <v>-0.71240451696762974</v>
      </c>
      <c r="AK51" s="8">
        <f t="shared" si="8"/>
        <v>-1.1777092621533161</v>
      </c>
      <c r="AL51" s="8">
        <f t="shared" si="9"/>
        <v>-0.14356819057544701</v>
      </c>
      <c r="AM51" s="8">
        <f t="shared" si="10"/>
        <v>1.5415408677053983E-2</v>
      </c>
      <c r="AN51" s="8">
        <f t="shared" si="11"/>
        <v>-2.0182665610193391</v>
      </c>
      <c r="AO51" s="9">
        <f t="shared" si="13"/>
        <v>0.72555003515732719</v>
      </c>
      <c r="AP51" s="9">
        <f t="shared" si="13"/>
        <v>0.13085410008854664</v>
      </c>
      <c r="AQ51" s="9">
        <f t="shared" si="13"/>
        <v>0.1419387564712703</v>
      </c>
      <c r="AR51" s="9">
        <f t="shared" si="13"/>
        <v>1.6571082828539406E-3</v>
      </c>
      <c r="AS51" s="9">
        <f t="shared" si="13"/>
        <v>1</v>
      </c>
      <c r="AT51" s="7"/>
      <c r="AU51" s="7"/>
      <c r="AV51" s="7"/>
      <c r="AW51" s="7"/>
      <c r="AX51" s="7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</row>
    <row r="52" spans="1:87" x14ac:dyDescent="0.25">
      <c r="A52" s="1">
        <v>43738</v>
      </c>
      <c r="B52">
        <f>+[1]wFG_rstar_shock_decomposition!E52</f>
        <v>-0.14360995690214901</v>
      </c>
      <c r="C52">
        <f>+[1]wFG_rstar_shock_decomposition!F52</f>
        <v>-0.67461405975975197</v>
      </c>
      <c r="D52">
        <f>+[1]wFG_rstar_shock_decomposition!G52</f>
        <v>-0.51710266353459899</v>
      </c>
      <c r="E52">
        <f>+[1]wFG_rstar_shock_decomposition!H52</f>
        <v>-1.1335063944641399E-2</v>
      </c>
      <c r="F52">
        <f>+[1]wFG_rstar_shock_decomposition!I52</f>
        <v>-0.247209010313646</v>
      </c>
      <c r="G52">
        <f>+[1]wFG_rstar_shock_decomposition!J52</f>
        <v>-7.0854510106694004E-15</v>
      </c>
      <c r="H52">
        <f>+[1]wFG_rstar_shock_decomposition!K52</f>
        <v>3.2601781178525902E-14</v>
      </c>
      <c r="I52">
        <f>+[1]wFG_rstar_shock_decomposition!L52</f>
        <v>-1.59228734342726E-15</v>
      </c>
      <c r="J52">
        <f>+[1]wFG_rstar_shock_decomposition!M52</f>
        <v>1.9394754563294201E-15</v>
      </c>
      <c r="K52">
        <f>+[1]wFG_rstar_shock_decomposition!N52</f>
        <v>2.1130358089693502E-15</v>
      </c>
      <c r="L52">
        <f>+[1]wFG_rstar_shock_decomposition!O52</f>
        <v>3.4972855161172898E-15</v>
      </c>
      <c r="M52">
        <f>+[1]wFG_rstar_shock_decomposition!P52</f>
        <v>3.9906654732559601E-15</v>
      </c>
      <c r="N52">
        <f>+[1]wFG_rstar_shock_decomposition!Q52</f>
        <v>3.8751908413254603E-15</v>
      </c>
      <c r="O52">
        <f>+[1]wFG_rstar_shock_decomposition!R52</f>
        <v>-1.99593994396705E-15</v>
      </c>
      <c r="P52">
        <f>+[1]wFG_rstar_shock_decomposition!S52</f>
        <v>9.3008563226478696E-14</v>
      </c>
      <c r="Q52">
        <f>+[1]wFG_rstar_shock_decomposition!T52</f>
        <v>-7.7129502157431097E-3</v>
      </c>
      <c r="R52">
        <f>+[1]wFG_rstar_shock_decomposition!U52</f>
        <v>0</v>
      </c>
      <c r="S52">
        <f>+[1]wFG_rstar_shock_decomposition!V52</f>
        <v>-0.53561266256509699</v>
      </c>
      <c r="T52">
        <f>+[1]wFG_rstar_shock_decomposition!W52</f>
        <v>1.522642930384E-2</v>
      </c>
      <c r="U52" s="4">
        <f>+[1]wFG_rstar_shock_decomposition!D52</f>
        <v>-2.1219699379316501</v>
      </c>
      <c r="Y52" s="1">
        <f t="shared" si="14"/>
        <v>43738</v>
      </c>
      <c r="Z52" s="7">
        <f t="shared" si="14"/>
        <v>-0.14360995690214901</v>
      </c>
      <c r="AA52" s="7">
        <f t="shared" si="14"/>
        <v>-0.67461405975975197</v>
      </c>
      <c r="AB52" s="7">
        <f t="shared" si="14"/>
        <v>-0.51710266353459899</v>
      </c>
      <c r="AC52" s="7">
        <f t="shared" si="2"/>
        <v>-0.78282167287874294</v>
      </c>
      <c r="AD52" s="7">
        <f t="shared" si="3"/>
        <v>-1.1335063944641399E-2</v>
      </c>
      <c r="AE52" s="7">
        <f t="shared" si="4"/>
        <v>-7.7129502157431097E-3</v>
      </c>
      <c r="AF52" s="7">
        <f t="shared" si="5"/>
        <v>-7.0854510106694004E-15</v>
      </c>
      <c r="AG52" s="7">
        <f t="shared" si="5"/>
        <v>3.2601781178525902E-14</v>
      </c>
      <c r="AH52" s="7">
        <f t="shared" si="6"/>
        <v>1.5226429303944834E-2</v>
      </c>
      <c r="AI52" s="7">
        <f t="shared" si="0"/>
        <v>-2.1219699379316572</v>
      </c>
      <c r="AJ52" s="8">
        <f t="shared" si="7"/>
        <v>-0.79053462309448608</v>
      </c>
      <c r="AK52" s="8">
        <f t="shared" si="8"/>
        <v>-1.2030517872389925</v>
      </c>
      <c r="AL52" s="8">
        <f t="shared" si="9"/>
        <v>-0.14360995690214901</v>
      </c>
      <c r="AM52" s="8">
        <f t="shared" si="10"/>
        <v>1.5226429303944834E-2</v>
      </c>
      <c r="AN52" s="8">
        <f t="shared" si="11"/>
        <v>-2.1219699379316825</v>
      </c>
      <c r="AO52" s="9">
        <f t="shared" si="13"/>
        <v>0.75339982605288525</v>
      </c>
      <c r="AP52" s="9">
        <f t="shared" si="13"/>
        <v>0.24437511911591417</v>
      </c>
      <c r="AQ52" s="9">
        <f t="shared" si="13"/>
        <v>4.0274799090969746E-4</v>
      </c>
      <c r="AR52" s="9">
        <f t="shared" si="13"/>
        <v>1.8223068402959093E-3</v>
      </c>
      <c r="AS52" s="9">
        <f t="shared" si="13"/>
        <v>1</v>
      </c>
      <c r="AT52" s="7"/>
      <c r="AU52" s="7"/>
      <c r="AV52" s="7"/>
      <c r="AW52" s="7"/>
      <c r="AX52" s="7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</row>
    <row r="53" spans="1:87" x14ac:dyDescent="0.25">
      <c r="A53" s="1">
        <v>43830</v>
      </c>
      <c r="B53">
        <f>+[1]wFG_rstar_shock_decomposition!E53</f>
        <v>-0.135974576005187</v>
      </c>
      <c r="C53">
        <f>+[1]wFG_rstar_shock_decomposition!F53</f>
        <v>-0.61580943525124399</v>
      </c>
      <c r="D53">
        <f>+[1]wFG_rstar_shock_decomposition!G53</f>
        <v>-0.53133953832335901</v>
      </c>
      <c r="E53">
        <f>+[1]wFG_rstar_shock_decomposition!H53</f>
        <v>-3.6812328347410897E-2</v>
      </c>
      <c r="F53">
        <f>+[1]wFG_rstar_shock_decomposition!I53</f>
        <v>-0.247872281145252</v>
      </c>
      <c r="G53">
        <f>+[1]wFG_rstar_shock_decomposition!J53</f>
        <v>-6.8489265443147202E-15</v>
      </c>
      <c r="H53">
        <f>+[1]wFG_rstar_shock_decomposition!K53</f>
        <v>3.2468454578501603E-14</v>
      </c>
      <c r="I53">
        <f>+[1]wFG_rstar_shock_decomposition!L53</f>
        <v>-1.35121876463366E-15</v>
      </c>
      <c r="J53">
        <f>+[1]wFG_rstar_shock_decomposition!M53</f>
        <v>1.5279394447525099E-15</v>
      </c>
      <c r="K53">
        <f>+[1]wFG_rstar_shock_decomposition!N53</f>
        <v>2.3634433869437199E-15</v>
      </c>
      <c r="L53">
        <f>+[1]wFG_rstar_shock_decomposition!O53</f>
        <v>3.16170880669054E-15</v>
      </c>
      <c r="M53">
        <f>+[1]wFG_rstar_shock_decomposition!P53</f>
        <v>3.9336618345266501E-15</v>
      </c>
      <c r="N53">
        <f>+[1]wFG_rstar_shock_decomposition!Q53</f>
        <v>3.9935475765882902E-15</v>
      </c>
      <c r="O53">
        <f>+[1]wFG_rstar_shock_decomposition!R53</f>
        <v>-1.60889782186172E-15</v>
      </c>
      <c r="P53">
        <f>+[1]wFG_rstar_shock_decomposition!S53</f>
        <v>9.0291371431560304E-14</v>
      </c>
      <c r="Q53">
        <f>+[1]wFG_rstar_shock_decomposition!T53</f>
        <v>-3.3923690741129997E-2</v>
      </c>
      <c r="R53">
        <f>+[1]wFG_rstar_shock_decomposition!U53</f>
        <v>0</v>
      </c>
      <c r="S53">
        <f>+[1]wFG_rstar_shock_decomposition!V53</f>
        <v>-0.44886422182414698</v>
      </c>
      <c r="T53">
        <f>+[1]wFG_rstar_shock_decomposition!W53</f>
        <v>1.503990551877E-2</v>
      </c>
      <c r="U53" s="4">
        <f>+[1]wFG_rstar_shock_decomposition!D53</f>
        <v>-2.0355561661188299</v>
      </c>
      <c r="Y53" s="1">
        <f t="shared" si="14"/>
        <v>43830</v>
      </c>
      <c r="Z53" s="7">
        <f t="shared" si="14"/>
        <v>-0.135974576005187</v>
      </c>
      <c r="AA53" s="7">
        <f t="shared" si="14"/>
        <v>-0.61580943525124399</v>
      </c>
      <c r="AB53" s="7">
        <f t="shared" si="14"/>
        <v>-0.53133953832335901</v>
      </c>
      <c r="AC53" s="7">
        <f t="shared" si="2"/>
        <v>-0.69673650296939904</v>
      </c>
      <c r="AD53" s="7">
        <f t="shared" si="3"/>
        <v>-3.6812328347410897E-2</v>
      </c>
      <c r="AE53" s="7">
        <f t="shared" si="4"/>
        <v>-3.3923690741129997E-2</v>
      </c>
      <c r="AF53" s="7">
        <f t="shared" si="5"/>
        <v>-6.8489265443147202E-15</v>
      </c>
      <c r="AG53" s="7">
        <f t="shared" si="5"/>
        <v>3.2468454578501603E-14</v>
      </c>
      <c r="AH53" s="7">
        <f t="shared" si="6"/>
        <v>1.5039905518872312E-2</v>
      </c>
      <c r="AI53" s="7">
        <f t="shared" si="0"/>
        <v>-2.0355561661188322</v>
      </c>
      <c r="AJ53" s="8">
        <f t="shared" si="7"/>
        <v>-0.73066019371052904</v>
      </c>
      <c r="AK53" s="8">
        <f t="shared" si="8"/>
        <v>-1.1839613019220139</v>
      </c>
      <c r="AL53" s="8">
        <f t="shared" si="9"/>
        <v>-0.135974576005187</v>
      </c>
      <c r="AM53" s="8">
        <f t="shared" si="10"/>
        <v>1.5039905518872312E-2</v>
      </c>
      <c r="AN53" s="8">
        <f t="shared" si="11"/>
        <v>-2.0355561661188579</v>
      </c>
      <c r="AO53" s="9">
        <f t="shared" si="13"/>
        <v>0.69288063844322456</v>
      </c>
      <c r="AP53" s="9">
        <f t="shared" si="13"/>
        <v>0.22091947749172833</v>
      </c>
      <c r="AQ53" s="9">
        <f t="shared" si="13"/>
        <v>8.8358380114462731E-2</v>
      </c>
      <c r="AR53" s="9">
        <f t="shared" si="13"/>
        <v>-2.158496049409105E-3</v>
      </c>
      <c r="AS53" s="9">
        <f t="shared" si="13"/>
        <v>1</v>
      </c>
      <c r="AT53" s="7"/>
      <c r="AU53" s="7"/>
      <c r="AV53" s="7"/>
      <c r="AW53" s="7"/>
      <c r="AX53" s="7"/>
    </row>
    <row r="54" spans="1:87" x14ac:dyDescent="0.25">
      <c r="A54" s="1">
        <v>43921</v>
      </c>
      <c r="B54">
        <f>+[1]wFG_rstar_shock_decomposition!E54</f>
        <v>-0.14070548318876799</v>
      </c>
      <c r="C54">
        <f>+[1]wFG_rstar_shock_decomposition!F54</f>
        <v>-0.82818985368917697</v>
      </c>
      <c r="D54">
        <f>+[1]wFG_rstar_shock_decomposition!G54</f>
        <v>-0.65634565566833103</v>
      </c>
      <c r="E54">
        <f>+[1]wFG_rstar_shock_decomposition!H54</f>
        <v>-4.3387879872656E-2</v>
      </c>
      <c r="F54">
        <f>+[1]wFG_rstar_shock_decomposition!I54</f>
        <v>-0.225099686578732</v>
      </c>
      <c r="G54">
        <f>+[1]wFG_rstar_shock_decomposition!J54</f>
        <v>-7.1425610309918408E-15</v>
      </c>
      <c r="H54">
        <f>+[1]wFG_rstar_shock_decomposition!K54</f>
        <v>3.24591065324231E-14</v>
      </c>
      <c r="I54">
        <f>+[1]wFG_rstar_shock_decomposition!L54</f>
        <v>-3.45031531360218E-15</v>
      </c>
      <c r="J54">
        <f>+[1]wFG_rstar_shock_decomposition!M54</f>
        <v>1.62016146528883E-15</v>
      </c>
      <c r="K54">
        <f>+[1]wFG_rstar_shock_decomposition!N54</f>
        <v>1.9469564869553801E-15</v>
      </c>
      <c r="L54">
        <f>+[1]wFG_rstar_shock_decomposition!O54</f>
        <v>3.0060249395139901E-15</v>
      </c>
      <c r="M54">
        <f>+[1]wFG_rstar_shock_decomposition!P54</f>
        <v>3.9124926512206204E-15</v>
      </c>
      <c r="N54">
        <f>+[1]wFG_rstar_shock_decomposition!Q54</f>
        <v>4.1340093017734E-15</v>
      </c>
      <c r="O54">
        <f>+[1]wFG_rstar_shock_decomposition!R54</f>
        <v>-1.0143900053863299E-15</v>
      </c>
      <c r="P54">
        <f>+[1]wFG_rstar_shock_decomposition!S54</f>
        <v>8.5387646345057703E-14</v>
      </c>
      <c r="Q54">
        <f>+[1]wFG_rstar_shock_decomposition!T54</f>
        <v>-4.4550044338998E-2</v>
      </c>
      <c r="R54">
        <f>+[1]wFG_rstar_shock_decomposition!U54</f>
        <v>0</v>
      </c>
      <c r="S54">
        <f>+[1]wFG_rstar_shock_decomposition!V54</f>
        <v>-0.52862365939507805</v>
      </c>
      <c r="T54">
        <f>+[1]wFG_rstar_shock_decomposition!W54</f>
        <v>1.48558034654604E-2</v>
      </c>
      <c r="U54" s="4">
        <f>+[1]wFG_rstar_shock_decomposition!D54</f>
        <v>-2.4520464592661599</v>
      </c>
      <c r="Y54" s="1">
        <f t="shared" si="14"/>
        <v>43921</v>
      </c>
      <c r="Z54" s="7">
        <f t="shared" si="14"/>
        <v>-0.14070548318876799</v>
      </c>
      <c r="AA54" s="7">
        <f t="shared" si="14"/>
        <v>-0.82818985368917697</v>
      </c>
      <c r="AB54" s="7">
        <f t="shared" si="14"/>
        <v>-0.65634565566833103</v>
      </c>
      <c r="AC54" s="7">
        <f t="shared" si="2"/>
        <v>-0.75372334597381008</v>
      </c>
      <c r="AD54" s="7">
        <f t="shared" si="3"/>
        <v>-4.3387879872656E-2</v>
      </c>
      <c r="AE54" s="7">
        <f t="shared" si="4"/>
        <v>-4.4550044338998E-2</v>
      </c>
      <c r="AF54" s="7">
        <f t="shared" si="5"/>
        <v>-7.1425610309918408E-15</v>
      </c>
      <c r="AG54" s="7">
        <f t="shared" si="5"/>
        <v>3.24591065324231E-14</v>
      </c>
      <c r="AH54" s="7">
        <f t="shared" si="6"/>
        <v>1.4855803465555942E-2</v>
      </c>
      <c r="AI54" s="7">
        <f t="shared" si="0"/>
        <v>-2.4520464592661586</v>
      </c>
      <c r="AJ54" s="8">
        <f t="shared" si="7"/>
        <v>-0.79827339031280808</v>
      </c>
      <c r="AK54" s="8">
        <f t="shared" si="8"/>
        <v>-1.5279233892301638</v>
      </c>
      <c r="AL54" s="8">
        <f t="shared" si="9"/>
        <v>-0.14070548318876799</v>
      </c>
      <c r="AM54" s="8">
        <f t="shared" si="10"/>
        <v>1.4855803465555942E-2</v>
      </c>
      <c r="AN54" s="8">
        <f t="shared" si="11"/>
        <v>-2.4520464592661839</v>
      </c>
      <c r="AO54" s="9">
        <f t="shared" si="13"/>
        <v>0.16234038995564798</v>
      </c>
      <c r="AP54" s="9">
        <f t="shared" si="13"/>
        <v>0.82585859254702843</v>
      </c>
      <c r="AQ54" s="9">
        <f t="shared" si="13"/>
        <v>1.1358985458773984E-2</v>
      </c>
      <c r="AR54" s="9">
        <f t="shared" si="13"/>
        <v>4.4203203855041067E-4</v>
      </c>
      <c r="AS54" s="9">
        <f t="shared" si="13"/>
        <v>1</v>
      </c>
      <c r="AT54" s="7"/>
      <c r="AU54" s="7"/>
      <c r="AV54" s="7"/>
      <c r="AW54" s="7"/>
      <c r="AX54" s="7"/>
    </row>
    <row r="55" spans="1:87" x14ac:dyDescent="0.25">
      <c r="A55" s="1">
        <v>44012</v>
      </c>
      <c r="B55">
        <f>+[1]wFG_rstar_shock_decomposition!E55</f>
        <v>-0.14597519741200499</v>
      </c>
      <c r="C55">
        <f>+[1]wFG_rstar_shock_decomposition!F55</f>
        <v>-0.89960537957736797</v>
      </c>
      <c r="D55">
        <f>+[1]wFG_rstar_shock_decomposition!G55</f>
        <v>-0.71173025959106195</v>
      </c>
      <c r="E55">
        <f>+[1]wFG_rstar_shock_decomposition!H55</f>
        <v>-4.1064196067013198E-2</v>
      </c>
      <c r="F55">
        <f>+[1]wFG_rstar_shock_decomposition!I55</f>
        <v>-0.19603882114506499</v>
      </c>
      <c r="G55">
        <f>+[1]wFG_rstar_shock_decomposition!J55</f>
        <v>-4.5013732369686302E-15</v>
      </c>
      <c r="H55">
        <f>+[1]wFG_rstar_shock_decomposition!K55</f>
        <v>3.2212548942759802E-14</v>
      </c>
      <c r="I55">
        <f>+[1]wFG_rstar_shock_decomposition!L55</f>
        <v>-6.09981048851339E-15</v>
      </c>
      <c r="J55">
        <f>+[1]wFG_rstar_shock_decomposition!M55</f>
        <v>7.4081107410975805E-16</v>
      </c>
      <c r="K55">
        <f>+[1]wFG_rstar_shock_decomposition!N55</f>
        <v>1.8951385356314801E-15</v>
      </c>
      <c r="L55">
        <f>+[1]wFG_rstar_shock_decomposition!O55</f>
        <v>3.1804462584913699E-15</v>
      </c>
      <c r="M55">
        <f>+[1]wFG_rstar_shock_decomposition!P55</f>
        <v>4.3049045144390601E-15</v>
      </c>
      <c r="N55">
        <f>+[1]wFG_rstar_shock_decomposition!Q55</f>
        <v>4.6193085352541102E-15</v>
      </c>
      <c r="O55">
        <f>+[1]wFG_rstar_shock_decomposition!R55</f>
        <v>5.3721699310281799E-17</v>
      </c>
      <c r="P55">
        <f>+[1]wFG_rstar_shock_decomposition!S55</f>
        <v>8.4095699789528194E-14</v>
      </c>
      <c r="Q55">
        <f>+[1]wFG_rstar_shock_decomposition!T55</f>
        <v>1.3759978528344799E-2</v>
      </c>
      <c r="R55">
        <f>+[1]wFG_rstar_shock_decomposition!U55</f>
        <v>0</v>
      </c>
      <c r="S55">
        <f>+[1]wFG_rstar_shock_decomposition!V55</f>
        <v>-0.54600772629656802</v>
      </c>
      <c r="T55">
        <f>+[1]wFG_rstar_shock_decomposition!W55</f>
        <v>1.4674089765942099E-2</v>
      </c>
      <c r="U55" s="4">
        <f>+[1]wFG_rstar_shock_decomposition!D55</f>
        <v>-2.5119875117946702</v>
      </c>
      <c r="Y55" s="1">
        <f t="shared" si="14"/>
        <v>44012</v>
      </c>
      <c r="Z55" s="7">
        <f t="shared" si="14"/>
        <v>-0.14597519741200499</v>
      </c>
      <c r="AA55" s="7">
        <f t="shared" si="14"/>
        <v>-0.89960537957736797</v>
      </c>
      <c r="AB55" s="7">
        <f t="shared" si="14"/>
        <v>-0.71173025959106195</v>
      </c>
      <c r="AC55" s="7">
        <f t="shared" si="2"/>
        <v>-0.74204654744163301</v>
      </c>
      <c r="AD55" s="7">
        <f t="shared" si="3"/>
        <v>-4.1064196067013198E-2</v>
      </c>
      <c r="AE55" s="7">
        <f t="shared" si="4"/>
        <v>1.3759978528344799E-2</v>
      </c>
      <c r="AF55" s="7">
        <f t="shared" si="5"/>
        <v>-4.5013732369686302E-15</v>
      </c>
      <c r="AG55" s="7">
        <f t="shared" si="5"/>
        <v>3.2212548942759802E-14</v>
      </c>
      <c r="AH55" s="7">
        <f t="shared" si="6"/>
        <v>1.467408976603489E-2</v>
      </c>
      <c r="AI55" s="7">
        <f t="shared" si="0"/>
        <v>-2.5119875117946733</v>
      </c>
      <c r="AJ55" s="8">
        <f t="shared" si="7"/>
        <v>-0.72828656891328825</v>
      </c>
      <c r="AK55" s="8">
        <f t="shared" si="8"/>
        <v>-1.6523998352354432</v>
      </c>
      <c r="AL55" s="8">
        <f t="shared" si="9"/>
        <v>-0.14597519741200499</v>
      </c>
      <c r="AM55" s="8">
        <f t="shared" si="10"/>
        <v>1.467408976603489E-2</v>
      </c>
      <c r="AN55" s="8">
        <f t="shared" si="11"/>
        <v>-2.5119875117947013</v>
      </c>
      <c r="AO55" s="9">
        <f t="shared" si="13"/>
        <v>-1.1675941353586203</v>
      </c>
      <c r="AP55" s="9">
        <f t="shared" si="13"/>
        <v>2.0766476522256418</v>
      </c>
      <c r="AQ55" s="9">
        <f t="shared" si="13"/>
        <v>8.7914943113985081E-2</v>
      </c>
      <c r="AR55" s="9">
        <f t="shared" si="13"/>
        <v>3.0315400189978438E-3</v>
      </c>
      <c r="AS55" s="9">
        <f t="shared" si="13"/>
        <v>1</v>
      </c>
      <c r="AT55" s="7"/>
      <c r="AU55" s="7"/>
      <c r="AV55" s="7"/>
      <c r="AW55" s="7"/>
      <c r="AX55" s="7"/>
    </row>
    <row r="56" spans="1:87" x14ac:dyDescent="0.25">
      <c r="A56" s="1">
        <v>44104</v>
      </c>
      <c r="B56">
        <f>+[1]wFG_rstar_shock_decomposition!E56</f>
        <v>-0.15723250297962801</v>
      </c>
      <c r="C56">
        <f>+[1]wFG_rstar_shock_decomposition!F56</f>
        <v>-0.76223677357929298</v>
      </c>
      <c r="D56">
        <f>+[1]wFG_rstar_shock_decomposition!G56</f>
        <v>-0.756876861060503</v>
      </c>
      <c r="E56">
        <f>+[1]wFG_rstar_shock_decomposition!H56</f>
        <v>6.6234981521532598E-3</v>
      </c>
      <c r="F56">
        <f>+[1]wFG_rstar_shock_decomposition!I56</f>
        <v>-0.187296817735459</v>
      </c>
      <c r="G56">
        <f>+[1]wFG_rstar_shock_decomposition!J56</f>
        <v>-7.6421999786640398E-15</v>
      </c>
      <c r="H56">
        <f>+[1]wFG_rstar_shock_decomposition!K56</f>
        <v>3.21265570237615E-14</v>
      </c>
      <c r="I56">
        <f>+[1]wFG_rstar_shock_decomposition!L56</f>
        <v>-6.2751995532625599E-15</v>
      </c>
      <c r="J56">
        <f>+[1]wFG_rstar_shock_decomposition!M56</f>
        <v>1.16312507466638E-15</v>
      </c>
      <c r="K56">
        <f>+[1]wFG_rstar_shock_decomposition!N56</f>
        <v>2.5723348489165702E-15</v>
      </c>
      <c r="L56">
        <f>+[1]wFG_rstar_shock_decomposition!O56</f>
        <v>3.89394844377372E-15</v>
      </c>
      <c r="M56">
        <f>+[1]wFG_rstar_shock_decomposition!P56</f>
        <v>5.0820949671594803E-15</v>
      </c>
      <c r="N56">
        <f>+[1]wFG_rstar_shock_decomposition!Q56</f>
        <v>5.2933731058087399E-15</v>
      </c>
      <c r="O56">
        <f>+[1]wFG_rstar_shock_decomposition!R56</f>
        <v>1.5060919116229699E-15</v>
      </c>
      <c r="P56">
        <f>+[1]wFG_rstar_shock_decomposition!S56</f>
        <v>7.5471288601400494E-14</v>
      </c>
      <c r="Q56">
        <f>+[1]wFG_rstar_shock_decomposition!T56</f>
        <v>-2.1867603732011799E-3</v>
      </c>
      <c r="R56">
        <f>+[1]wFG_rstar_shock_decomposition!U56</f>
        <v>0</v>
      </c>
      <c r="S56">
        <f>+[1]wFG_rstar_shock_decomposition!V56</f>
        <v>-0.39915482200795899</v>
      </c>
      <c r="T56">
        <f>+[1]wFG_rstar_shock_decomposition!W56</f>
        <v>1.4494731514209901E-2</v>
      </c>
      <c r="U56" s="4">
        <f>+[1]wFG_rstar_shock_decomposition!D56</f>
        <v>-2.2438663080695598</v>
      </c>
      <c r="Y56" s="1">
        <f t="shared" si="14"/>
        <v>44104</v>
      </c>
      <c r="Z56" s="7">
        <f t="shared" si="14"/>
        <v>-0.15723250297962801</v>
      </c>
      <c r="AA56" s="7">
        <f t="shared" si="14"/>
        <v>-0.76223677357929298</v>
      </c>
      <c r="AB56" s="7">
        <f t="shared" si="14"/>
        <v>-0.756876861060503</v>
      </c>
      <c r="AC56" s="7">
        <f t="shared" si="2"/>
        <v>-0.58645163974341796</v>
      </c>
      <c r="AD56" s="7">
        <f t="shared" si="3"/>
        <v>6.6234981521532598E-3</v>
      </c>
      <c r="AE56" s="7">
        <f t="shared" si="4"/>
        <v>-2.1867603732011799E-3</v>
      </c>
      <c r="AF56" s="7">
        <f t="shared" si="5"/>
        <v>-7.6421999786640398E-15</v>
      </c>
      <c r="AG56" s="7">
        <f t="shared" si="5"/>
        <v>3.21265570237615E-14</v>
      </c>
      <c r="AH56" s="7">
        <f t="shared" si="6"/>
        <v>1.4494731514298607E-2</v>
      </c>
      <c r="AI56" s="7">
        <f t="shared" si="0"/>
        <v>-2.2438663080695673</v>
      </c>
      <c r="AJ56" s="8">
        <f t="shared" si="7"/>
        <v>-0.58863840011661916</v>
      </c>
      <c r="AK56" s="8">
        <f t="shared" si="8"/>
        <v>-1.5124901364876426</v>
      </c>
      <c r="AL56" s="8">
        <f t="shared" si="9"/>
        <v>-0.15723250297962801</v>
      </c>
      <c r="AM56" s="8">
        <f t="shared" si="10"/>
        <v>1.4494731514298607E-2</v>
      </c>
      <c r="AN56" s="8">
        <f t="shared" si="11"/>
        <v>-2.2438663080695913</v>
      </c>
      <c r="AO56" s="9">
        <f t="shared" si="13"/>
        <v>0.52083970553795789</v>
      </c>
      <c r="AP56" s="9">
        <f t="shared" si="13"/>
        <v>0.52181512242963957</v>
      </c>
      <c r="AQ56" s="9">
        <f t="shared" si="13"/>
        <v>-4.1985883291664354E-2</v>
      </c>
      <c r="AR56" s="9">
        <f t="shared" si="13"/>
        <v>-6.6894467593159237E-4</v>
      </c>
      <c r="AS56" s="9">
        <f t="shared" si="13"/>
        <v>1</v>
      </c>
      <c r="AT56" s="7"/>
      <c r="AU56" s="7"/>
      <c r="AV56" s="7"/>
      <c r="AW56" s="7"/>
      <c r="AX56" s="7"/>
    </row>
    <row r="57" spans="1:87" x14ac:dyDescent="0.25">
      <c r="A57" s="1">
        <v>44196</v>
      </c>
      <c r="B57">
        <f>+[1]wFG_rstar_shock_decomposition!E57</f>
        <v>-0.14900861625697101</v>
      </c>
      <c r="C57">
        <f>+[1]wFG_rstar_shock_decomposition!F57</f>
        <v>-0.67657394850098895</v>
      </c>
      <c r="D57">
        <f>+[1]wFG_rstar_shock_decomposition!G57</f>
        <v>-0.79308256715760805</v>
      </c>
      <c r="E57">
        <f>+[1]wFG_rstar_shock_decomposition!H57</f>
        <v>4.4418893885012703E-2</v>
      </c>
      <c r="F57">
        <f>+[1]wFG_rstar_shock_decomposition!I57</f>
        <v>-0.24265937753717201</v>
      </c>
      <c r="G57">
        <f>+[1]wFG_rstar_shock_decomposition!J57</f>
        <v>-7.3952964073849608E-15</v>
      </c>
      <c r="H57">
        <f>+[1]wFG_rstar_shock_decomposition!K57</f>
        <v>3.1341951615385499E-14</v>
      </c>
      <c r="I57">
        <f>+[1]wFG_rstar_shock_decomposition!L57</f>
        <v>-5.07263912896296E-15</v>
      </c>
      <c r="J57">
        <f>+[1]wFG_rstar_shock_decomposition!M57</f>
        <v>2.6462707841995801E-15</v>
      </c>
      <c r="K57">
        <f>+[1]wFG_rstar_shock_decomposition!N57</f>
        <v>3.9485108778945001E-15</v>
      </c>
      <c r="L57">
        <f>+[1]wFG_rstar_shock_decomposition!O57</f>
        <v>4.9100509950473198E-15</v>
      </c>
      <c r="M57">
        <f>+[1]wFG_rstar_shock_decomposition!P57</f>
        <v>5.9548590876016799E-15</v>
      </c>
      <c r="N57">
        <f>+[1]wFG_rstar_shock_decomposition!Q57</f>
        <v>6.10126920226193E-15</v>
      </c>
      <c r="O57">
        <f>+[1]wFG_rstar_shock_decomposition!R57</f>
        <v>3.2679231777089802E-15</v>
      </c>
      <c r="P57">
        <f>+[1]wFG_rstar_shock_decomposition!S57</f>
        <v>7.1592475154323196E-14</v>
      </c>
      <c r="Q57">
        <f>+[1]wFG_rstar_shock_decomposition!T57</f>
        <v>1.8677991794626599E-2</v>
      </c>
      <c r="R57">
        <f>+[1]wFG_rstar_shock_decomposition!U57</f>
        <v>0</v>
      </c>
      <c r="S57">
        <f>+[1]wFG_rstar_shock_decomposition!V57</f>
        <v>-0.42937744815658502</v>
      </c>
      <c r="T57">
        <f>+[1]wFG_rstar_shock_decomposition!W57</f>
        <v>1.43176962699393E-2</v>
      </c>
      <c r="U57" s="4">
        <f>+[1]wFG_rstar_shock_decomposition!D57</f>
        <v>-2.2132873756596299</v>
      </c>
      <c r="Y57" s="1">
        <f t="shared" si="14"/>
        <v>44196</v>
      </c>
      <c r="Z57" s="7">
        <f t="shared" si="14"/>
        <v>-0.14900861625697101</v>
      </c>
      <c r="AA57" s="7">
        <f t="shared" si="14"/>
        <v>-0.67657394850098895</v>
      </c>
      <c r="AB57" s="7">
        <f t="shared" si="14"/>
        <v>-0.79308256715760805</v>
      </c>
      <c r="AC57" s="7">
        <f t="shared" si="2"/>
        <v>-0.672036825693757</v>
      </c>
      <c r="AD57" s="7">
        <f t="shared" si="3"/>
        <v>4.4418893885012703E-2</v>
      </c>
      <c r="AE57" s="7">
        <f t="shared" si="4"/>
        <v>1.8677991794626599E-2</v>
      </c>
      <c r="AF57" s="7">
        <f t="shared" si="5"/>
        <v>-7.3952964073849608E-15</v>
      </c>
      <c r="AG57" s="7">
        <f t="shared" si="5"/>
        <v>3.1341951615385499E-14</v>
      </c>
      <c r="AH57" s="7">
        <f t="shared" si="6"/>
        <v>1.4317696270032647E-2</v>
      </c>
      <c r="AI57" s="7">
        <f t="shared" si="0"/>
        <v>-2.2132873756596294</v>
      </c>
      <c r="AJ57" s="8">
        <f t="shared" si="7"/>
        <v>-0.65335883389913041</v>
      </c>
      <c r="AK57" s="8">
        <f t="shared" si="8"/>
        <v>-1.4252376217735843</v>
      </c>
      <c r="AL57" s="8">
        <f t="shared" si="9"/>
        <v>-0.14900861625697101</v>
      </c>
      <c r="AM57" s="8">
        <f t="shared" si="10"/>
        <v>1.4317696270032647E-2</v>
      </c>
      <c r="AN57" s="8">
        <f t="shared" si="11"/>
        <v>-2.2132873756596534</v>
      </c>
      <c r="AO57" s="9">
        <f t="shared" si="13"/>
        <v>-2.1165040333938405</v>
      </c>
      <c r="AP57" s="9">
        <f t="shared" si="13"/>
        <v>2.8533538563204375</v>
      </c>
      <c r="AQ57" s="9">
        <f t="shared" si="13"/>
        <v>0.26893962851313613</v>
      </c>
      <c r="AR57" s="9">
        <f t="shared" si="13"/>
        <v>-5.7894514397247403E-3</v>
      </c>
      <c r="AS57" s="9">
        <f t="shared" si="13"/>
        <v>1</v>
      </c>
      <c r="AT57" s="7"/>
      <c r="AU57" s="7"/>
      <c r="AV57" s="7"/>
      <c r="AW57" s="7"/>
      <c r="AX57" s="7"/>
    </row>
    <row r="58" spans="1:87" x14ac:dyDescent="0.25">
      <c r="A58" s="1">
        <v>44286</v>
      </c>
      <c r="B58">
        <f>+[1]wFG_rstar_shock_decomposition!E58</f>
        <v>-0.17723473717681201</v>
      </c>
      <c r="C58">
        <f>+[1]wFG_rstar_shock_decomposition!F58</f>
        <v>-0.54943673284987704</v>
      </c>
      <c r="D58">
        <f>+[1]wFG_rstar_shock_decomposition!G58</f>
        <v>-0.69420756494740299</v>
      </c>
      <c r="E58">
        <f>+[1]wFG_rstar_shock_decomposition!H58</f>
        <v>-9.4263462583822101E-4</v>
      </c>
      <c r="F58">
        <f>+[1]wFG_rstar_shock_decomposition!I58</f>
        <v>-0.26118771436381299</v>
      </c>
      <c r="G58">
        <f>+[1]wFG_rstar_shock_decomposition!J58</f>
        <v>-9.8280855959158793E-15</v>
      </c>
      <c r="H58">
        <f>+[1]wFG_rstar_shock_decomposition!K58</f>
        <v>3.1660426578401998E-14</v>
      </c>
      <c r="I58">
        <f>+[1]wFG_rstar_shock_decomposition!L58</f>
        <v>-4.4430933256219699E-15</v>
      </c>
      <c r="J58">
        <f>+[1]wFG_rstar_shock_decomposition!M58</f>
        <v>3.5975718485340301E-15</v>
      </c>
      <c r="K58">
        <f>+[1]wFG_rstar_shock_decomposition!N58</f>
        <v>4.6102039682832603E-15</v>
      </c>
      <c r="L58">
        <f>+[1]wFG_rstar_shock_decomposition!O58</f>
        <v>5.4214633855324501E-15</v>
      </c>
      <c r="M58">
        <f>+[1]wFG_rstar_shock_decomposition!P58</f>
        <v>6.1775228723234302E-15</v>
      </c>
      <c r="N58">
        <f>+[1]wFG_rstar_shock_decomposition!Q58</f>
        <v>6.2465174567009404E-15</v>
      </c>
      <c r="O58">
        <f>+[1]wFG_rstar_shock_decomposition!R58</f>
        <v>4.5188425329120802E-15</v>
      </c>
      <c r="P58">
        <f>+[1]wFG_rstar_shock_decomposition!S58</f>
        <v>7.1115063386916398E-14</v>
      </c>
      <c r="Q58">
        <f>+[1]wFG_rstar_shock_decomposition!T58</f>
        <v>-2.8450032999036399E-2</v>
      </c>
      <c r="R58">
        <f>+[1]wFG_rstar_shock_decomposition!U58</f>
        <v>0</v>
      </c>
      <c r="S58">
        <f>+[1]wFG_rstar_shock_decomposition!V58</f>
        <v>-0.36773218545328401</v>
      </c>
      <c r="T58">
        <f>+[1]wFG_rstar_shock_decomposition!W58</f>
        <v>1.41429520522639E-2</v>
      </c>
      <c r="U58" s="4">
        <f>+[1]wFG_rstar_shock_decomposition!D58</f>
        <v>-2.0650486503636798</v>
      </c>
      <c r="Y58" s="1">
        <f t="shared" si="14"/>
        <v>44286</v>
      </c>
      <c r="Z58" s="7">
        <f t="shared" si="14"/>
        <v>-0.17723473717681201</v>
      </c>
      <c r="AA58" s="7">
        <f t="shared" si="14"/>
        <v>-0.54943673284987704</v>
      </c>
      <c r="AB58" s="7">
        <f t="shared" si="14"/>
        <v>-0.69420756494740299</v>
      </c>
      <c r="AC58" s="7">
        <f t="shared" si="2"/>
        <v>-0.62891989981709706</v>
      </c>
      <c r="AD58" s="7">
        <f t="shared" si="3"/>
        <v>-9.4263462583822101E-4</v>
      </c>
      <c r="AE58" s="7">
        <f t="shared" si="4"/>
        <v>-2.8450032999036399E-2</v>
      </c>
      <c r="AF58" s="7">
        <f t="shared" si="5"/>
        <v>-9.8280855959158793E-15</v>
      </c>
      <c r="AG58" s="7">
        <f t="shared" si="5"/>
        <v>3.1660426578401998E-14</v>
      </c>
      <c r="AH58" s="7">
        <f t="shared" si="6"/>
        <v>1.4142952052361145E-2</v>
      </c>
      <c r="AI58" s="7">
        <f t="shared" si="0"/>
        <v>-2.0650486503636811</v>
      </c>
      <c r="AJ58" s="8">
        <f t="shared" si="7"/>
        <v>-0.65736993281613343</v>
      </c>
      <c r="AK58" s="8">
        <f t="shared" si="8"/>
        <v>-1.2445869324231182</v>
      </c>
      <c r="AL58" s="8">
        <f t="shared" si="9"/>
        <v>-0.17723473717681201</v>
      </c>
      <c r="AM58" s="8">
        <f t="shared" si="10"/>
        <v>1.4142952052361145E-2</v>
      </c>
      <c r="AN58" s="8">
        <f t="shared" si="11"/>
        <v>-2.0650486503637024</v>
      </c>
      <c r="AO58" s="9">
        <f t="shared" si="13"/>
        <v>-2.7058374314775497E-2</v>
      </c>
      <c r="AP58" s="9">
        <f t="shared" si="13"/>
        <v>1.2186470774745686</v>
      </c>
      <c r="AQ58" s="9">
        <f t="shared" si="13"/>
        <v>-0.19040990040550479</v>
      </c>
      <c r="AR58" s="9">
        <f t="shared" si="13"/>
        <v>-1.1788027542913217E-3</v>
      </c>
      <c r="AS58" s="9">
        <f t="shared" si="13"/>
        <v>1</v>
      </c>
      <c r="AT58" s="7"/>
      <c r="AU58" s="7"/>
      <c r="AV58" s="7"/>
      <c r="AW58" s="7"/>
      <c r="AX58" s="7"/>
    </row>
    <row r="59" spans="1:87" x14ac:dyDescent="0.25">
      <c r="A59" s="1">
        <v>44377</v>
      </c>
      <c r="B59">
        <f>+[1]wFG_rstar_shock_decomposition!E59</f>
        <v>-0.21742854947951701</v>
      </c>
      <c r="C59">
        <f>+[1]wFG_rstar_shock_decomposition!F59</f>
        <v>-0.49451860889835803</v>
      </c>
      <c r="D59">
        <f>+[1]wFG_rstar_shock_decomposition!G59</f>
        <v>-0.66875265851152899</v>
      </c>
      <c r="E59">
        <f>+[1]wFG_rstar_shock_decomposition!H59</f>
        <v>-6.5658593233314702E-2</v>
      </c>
      <c r="F59">
        <f>+[1]wFG_rstar_shock_decomposition!I59</f>
        <v>-0.28225243983443099</v>
      </c>
      <c r="G59">
        <f>+[1]wFG_rstar_shock_decomposition!J59</f>
        <v>-1.3036399749259299E-14</v>
      </c>
      <c r="H59">
        <f>+[1]wFG_rstar_shock_decomposition!K59</f>
        <v>3.15830022601922E-14</v>
      </c>
      <c r="I59">
        <f>+[1]wFG_rstar_shock_decomposition!L59</f>
        <v>-2.1629780863442599E-15</v>
      </c>
      <c r="J59">
        <f>+[1]wFG_rstar_shock_decomposition!M59</f>
        <v>4.8836108059319101E-15</v>
      </c>
      <c r="K59">
        <f>+[1]wFG_rstar_shock_decomposition!N59</f>
        <v>5.3432596410694099E-15</v>
      </c>
      <c r="L59">
        <f>+[1]wFG_rstar_shock_decomposition!O59</f>
        <v>5.7975797037954803E-15</v>
      </c>
      <c r="M59">
        <f>+[1]wFG_rstar_shock_decomposition!P59</f>
        <v>6.2810001096677398E-15</v>
      </c>
      <c r="N59">
        <f>+[1]wFG_rstar_shock_decomposition!Q59</f>
        <v>6.2647099706298897E-15</v>
      </c>
      <c r="O59">
        <f>+[1]wFG_rstar_shock_decomposition!R59</f>
        <v>5.2580189142197199E-15</v>
      </c>
      <c r="P59">
        <f>+[1]wFG_rstar_shock_decomposition!S59</f>
        <v>7.0628679568519902E-14</v>
      </c>
      <c r="Q59">
        <f>+[1]wFG_rstar_shock_decomposition!T59</f>
        <v>-7.1922955562220003E-2</v>
      </c>
      <c r="R59">
        <f>+[1]wFG_rstar_shock_decomposition!U59</f>
        <v>0</v>
      </c>
      <c r="S59">
        <f>+[1]wFG_rstar_shock_decomposition!V59</f>
        <v>-0.278996634522994</v>
      </c>
      <c r="T59">
        <f>+[1]wFG_rstar_shock_decomposition!W59</f>
        <v>1.39704673336158E-2</v>
      </c>
      <c r="U59" s="4">
        <f>+[1]wFG_rstar_shock_decomposition!D59</f>
        <v>-2.06555997270863</v>
      </c>
      <c r="Y59" s="1">
        <f t="shared" si="14"/>
        <v>44377</v>
      </c>
      <c r="Z59" s="7">
        <f t="shared" si="14"/>
        <v>-0.21742854947951701</v>
      </c>
      <c r="AA59" s="7">
        <f t="shared" si="14"/>
        <v>-0.49451860889835803</v>
      </c>
      <c r="AB59" s="7">
        <f t="shared" si="14"/>
        <v>-0.66875265851152899</v>
      </c>
      <c r="AC59" s="7">
        <f t="shared" si="2"/>
        <v>-0.56124907435742499</v>
      </c>
      <c r="AD59" s="7">
        <f t="shared" si="3"/>
        <v>-6.5658593233314702E-2</v>
      </c>
      <c r="AE59" s="7">
        <f t="shared" si="4"/>
        <v>-7.1922955562220003E-2</v>
      </c>
      <c r="AF59" s="7">
        <f t="shared" si="5"/>
        <v>-1.3036399749259299E-14</v>
      </c>
      <c r="AG59" s="7">
        <f t="shared" si="5"/>
        <v>3.15830022601922E-14</v>
      </c>
      <c r="AH59" s="7">
        <f t="shared" si="6"/>
        <v>1.3970467333718093E-2</v>
      </c>
      <c r="AI59" s="7">
        <f t="shared" si="0"/>
        <v>-2.0655599727086269</v>
      </c>
      <c r="AJ59" s="8">
        <f t="shared" si="7"/>
        <v>-0.63317202991964505</v>
      </c>
      <c r="AK59" s="8">
        <f t="shared" si="8"/>
        <v>-1.2289298606432018</v>
      </c>
      <c r="AL59" s="8">
        <f t="shared" si="9"/>
        <v>-0.21742854947951701</v>
      </c>
      <c r="AM59" s="8">
        <f t="shared" si="10"/>
        <v>1.3970467333718093E-2</v>
      </c>
      <c r="AN59" s="8">
        <f t="shared" si="11"/>
        <v>-2.065559972708646</v>
      </c>
      <c r="AO59" s="9">
        <f t="shared" si="13"/>
        <v>-47.324164757868374</v>
      </c>
      <c r="AP59" s="9">
        <f t="shared" si="13"/>
        <v>-30.620746256737309</v>
      </c>
      <c r="AQ59" s="9">
        <f t="shared" si="13"/>
        <v>78.607580326148366</v>
      </c>
      <c r="AR59" s="9">
        <f t="shared" si="13"/>
        <v>0.33733068845659908</v>
      </c>
      <c r="AS59" s="9">
        <f t="shared" si="13"/>
        <v>1</v>
      </c>
      <c r="AT59" s="7"/>
      <c r="AU59" s="7"/>
      <c r="AV59" s="7"/>
      <c r="AW59" s="7"/>
      <c r="AX59" s="7"/>
    </row>
    <row r="60" spans="1:87" x14ac:dyDescent="0.25">
      <c r="A60" s="1">
        <v>44469</v>
      </c>
      <c r="B60">
        <f>+[1]wFG_rstar_shock_decomposition!E60</f>
        <v>-0.20354087391530101</v>
      </c>
      <c r="C60">
        <f>+[1]wFG_rstar_shock_decomposition!F60</f>
        <v>-0.357021753687077</v>
      </c>
      <c r="D60">
        <f>+[1]wFG_rstar_shock_decomposition!G60</f>
        <v>-0.49208540065170803</v>
      </c>
      <c r="E60">
        <f>+[1]wFG_rstar_shock_decomposition!H60</f>
        <v>-4.3690376227012502E-2</v>
      </c>
      <c r="F60">
        <f>+[1]wFG_rstar_shock_decomposition!I60</f>
        <v>-0.274476732830291</v>
      </c>
      <c r="G60">
        <f>+[1]wFG_rstar_shock_decomposition!J60</f>
        <v>-1.44572534728109E-14</v>
      </c>
      <c r="H60">
        <f>+[1]wFG_rstar_shock_decomposition!K60</f>
        <v>3.1756248562054997E-14</v>
      </c>
      <c r="I60">
        <f>+[1]wFG_rstar_shock_decomposition!L60</f>
        <v>-3.48544277282826E-15</v>
      </c>
      <c r="J60">
        <f>+[1]wFG_rstar_shock_decomposition!M60</f>
        <v>3.99551403775414E-15</v>
      </c>
      <c r="K60">
        <f>+[1]wFG_rstar_shock_decomposition!N60</f>
        <v>3.8537336031715503E-15</v>
      </c>
      <c r="L60">
        <f>+[1]wFG_rstar_shock_decomposition!O60</f>
        <v>5.1038164706279704E-15</v>
      </c>
      <c r="M60">
        <f>+[1]wFG_rstar_shock_decomposition!P60</f>
        <v>5.1189455812072799E-15</v>
      </c>
      <c r="N60">
        <f>+[1]wFG_rstar_shock_decomposition!Q60</f>
        <v>5.2645920536594897E-15</v>
      </c>
      <c r="O60">
        <f>+[1]wFG_rstar_shock_decomposition!R60</f>
        <v>4.8192422007488201E-15</v>
      </c>
      <c r="P60">
        <f>+[1]wFG_rstar_shock_decomposition!S60</f>
        <v>7.2667507075800605E-14</v>
      </c>
      <c r="Q60">
        <f>+[1]wFG_rstar_shock_decomposition!T60</f>
        <v>-9.0928797707925096E-3</v>
      </c>
      <c r="R60">
        <f>+[1]wFG_rstar_shock_decomposition!U60</f>
        <v>0</v>
      </c>
      <c r="S60">
        <f>+[1]wFG_rstar_shock_decomposition!V60</f>
        <v>-0.295071739034236</v>
      </c>
      <c r="T60">
        <f>+[1]wFG_rstar_shock_decomposition!W60</f>
        <v>1.3800211033628501E-2</v>
      </c>
      <c r="U60" s="4">
        <f>+[1]wFG_rstar_shock_decomposition!D60</f>
        <v>-1.6611795450826701</v>
      </c>
      <c r="Y60" s="1">
        <f t="shared" si="14"/>
        <v>44469</v>
      </c>
      <c r="Z60" s="7">
        <f t="shared" si="14"/>
        <v>-0.20354087391530101</v>
      </c>
      <c r="AA60" s="7">
        <f t="shared" si="14"/>
        <v>-0.357021753687077</v>
      </c>
      <c r="AB60" s="7">
        <f t="shared" si="14"/>
        <v>-0.49208540065170803</v>
      </c>
      <c r="AC60" s="7">
        <f t="shared" si="2"/>
        <v>-0.56954847186452695</v>
      </c>
      <c r="AD60" s="7">
        <f t="shared" si="3"/>
        <v>-4.3690376227012502E-2</v>
      </c>
      <c r="AE60" s="7">
        <f t="shared" si="4"/>
        <v>-9.0928797707925096E-3</v>
      </c>
      <c r="AF60" s="7">
        <f t="shared" si="5"/>
        <v>-1.44572534728109E-14</v>
      </c>
      <c r="AG60" s="7">
        <f t="shared" si="5"/>
        <v>3.1756248562054997E-14</v>
      </c>
      <c r="AH60" s="7">
        <f t="shared" si="6"/>
        <v>1.380021103372584E-2</v>
      </c>
      <c r="AI60" s="7">
        <f t="shared" si="0"/>
        <v>-1.661179545082675</v>
      </c>
      <c r="AJ60" s="8">
        <f t="shared" si="7"/>
        <v>-0.57864135163531949</v>
      </c>
      <c r="AK60" s="8">
        <f t="shared" si="8"/>
        <v>-0.89279753056579758</v>
      </c>
      <c r="AL60" s="8">
        <f t="shared" si="9"/>
        <v>-0.20354087391530101</v>
      </c>
      <c r="AM60" s="8">
        <f t="shared" si="10"/>
        <v>1.380021103372584E-2</v>
      </c>
      <c r="AN60" s="8">
        <f t="shared" si="11"/>
        <v>-1.6611795450826923</v>
      </c>
      <c r="AO60" s="9">
        <f t="shared" si="13"/>
        <v>0.13484994465351741</v>
      </c>
      <c r="AP60" s="9">
        <f t="shared" si="13"/>
        <v>0.83122799006563663</v>
      </c>
      <c r="AQ60" s="9">
        <f t="shared" si="13"/>
        <v>3.4343095301986037E-2</v>
      </c>
      <c r="AR60" s="9">
        <f t="shared" si="13"/>
        <v>-4.2103002114073275E-4</v>
      </c>
      <c r="AS60" s="9">
        <f t="shared" si="13"/>
        <v>1</v>
      </c>
      <c r="AT60" s="7"/>
      <c r="AU60" s="7"/>
      <c r="AV60" s="7"/>
      <c r="AW60" s="7"/>
      <c r="AX60" s="7"/>
    </row>
    <row r="61" spans="1:87" x14ac:dyDescent="0.25">
      <c r="A61" s="1">
        <v>44561</v>
      </c>
      <c r="B61">
        <f>+[1]wFG_rstar_shock_decomposition!E61</f>
        <v>-0.18437691906169901</v>
      </c>
      <c r="C61">
        <f>+[1]wFG_rstar_shock_decomposition!F61</f>
        <v>-0.40926937205261998</v>
      </c>
      <c r="D61">
        <f>+[1]wFG_rstar_shock_decomposition!G61</f>
        <v>-0.49051648935910103</v>
      </c>
      <c r="E61">
        <f>+[1]wFG_rstar_shock_decomposition!H61</f>
        <v>-5.8323422634952403E-2</v>
      </c>
      <c r="F61">
        <f>+[1]wFG_rstar_shock_decomposition!I61</f>
        <v>-0.28112480036520998</v>
      </c>
      <c r="G61">
        <f>+[1]wFG_rstar_shock_decomposition!J61</f>
        <v>-1.6071938190224899E-14</v>
      </c>
      <c r="H61">
        <f>+[1]wFG_rstar_shock_decomposition!K61</f>
        <v>3.20289125928848E-14</v>
      </c>
      <c r="I61">
        <f>+[1]wFG_rstar_shock_decomposition!L61</f>
        <v>-9.3557446276990296E-16</v>
      </c>
      <c r="J61">
        <f>+[1]wFG_rstar_shock_decomposition!M61</f>
        <v>5.5193458678949002E-15</v>
      </c>
      <c r="K61">
        <f>+[1]wFG_rstar_shock_decomposition!N61</f>
        <v>4.2296384372668101E-15</v>
      </c>
      <c r="L61">
        <f>+[1]wFG_rstar_shock_decomposition!O61</f>
        <v>5.8776005428875502E-15</v>
      </c>
      <c r="M61">
        <f>+[1]wFG_rstar_shock_decomposition!P61</f>
        <v>5.5979385323396201E-15</v>
      </c>
      <c r="N61">
        <f>+[1]wFG_rstar_shock_decomposition!Q61</f>
        <v>5.5215676603989301E-15</v>
      </c>
      <c r="O61">
        <f>+[1]wFG_rstar_shock_decomposition!R61</f>
        <v>4.5503954441030501E-15</v>
      </c>
      <c r="P61">
        <f>+[1]wFG_rstar_shock_decomposition!S61</f>
        <v>7.2684179869095504E-14</v>
      </c>
      <c r="Q61">
        <f>+[1]wFG_rstar_shock_decomposition!T61</f>
        <v>-1.2267871401191E-2</v>
      </c>
      <c r="R61">
        <f>+[1]wFG_rstar_shock_decomposition!U61</f>
        <v>0</v>
      </c>
      <c r="S61">
        <f>+[1]wFG_rstar_shock_decomposition!V61</f>
        <v>-0.389356047040682</v>
      </c>
      <c r="T61">
        <f>+[1]wFG_rstar_shock_decomposition!W61</f>
        <v>1.36321525131011E-2</v>
      </c>
      <c r="U61" s="4">
        <f>+[1]wFG_rstar_shock_decomposition!D61</f>
        <v>-1.8116027694022301</v>
      </c>
      <c r="Y61" s="1">
        <f t="shared" si="14"/>
        <v>44561</v>
      </c>
      <c r="Z61" s="7">
        <f t="shared" si="14"/>
        <v>-0.18437691906169901</v>
      </c>
      <c r="AA61" s="7">
        <f t="shared" si="14"/>
        <v>-0.40926937205261998</v>
      </c>
      <c r="AB61" s="7">
        <f t="shared" si="14"/>
        <v>-0.49051648935910103</v>
      </c>
      <c r="AC61" s="7">
        <f t="shared" si="2"/>
        <v>-0.67048084740589198</v>
      </c>
      <c r="AD61" s="7">
        <f t="shared" si="3"/>
        <v>-5.8323422634952403E-2</v>
      </c>
      <c r="AE61" s="7">
        <f t="shared" si="4"/>
        <v>-1.2267871401191E-2</v>
      </c>
      <c r="AF61" s="7">
        <f t="shared" si="5"/>
        <v>-1.6071938190224899E-14</v>
      </c>
      <c r="AG61" s="7">
        <f t="shared" si="5"/>
        <v>3.20289125928848E-14</v>
      </c>
      <c r="AH61" s="7">
        <f t="shared" si="6"/>
        <v>1.3632152513204146E-2</v>
      </c>
      <c r="AI61" s="7">
        <f t="shared" si="0"/>
        <v>-1.8116027694022352</v>
      </c>
      <c r="AJ61" s="8">
        <f t="shared" si="7"/>
        <v>-0.68274871880708299</v>
      </c>
      <c r="AK61" s="8">
        <f t="shared" si="8"/>
        <v>-0.95810928404667339</v>
      </c>
      <c r="AL61" s="8">
        <f t="shared" si="9"/>
        <v>-0.18437691906169901</v>
      </c>
      <c r="AM61" s="8">
        <f t="shared" si="10"/>
        <v>1.3632152513204146E-2</v>
      </c>
      <c r="AN61" s="8">
        <f t="shared" si="11"/>
        <v>-1.8116027694022514</v>
      </c>
      <c r="AO61" s="9">
        <f t="shared" si="13"/>
        <v>0.69209636771644911</v>
      </c>
      <c r="AP61" s="9">
        <f t="shared" si="13"/>
        <v>0.43418663425354792</v>
      </c>
      <c r="AQ61" s="9">
        <f t="shared" si="13"/>
        <v>-0.12740023982526857</v>
      </c>
      <c r="AR61" s="9">
        <f t="shared" si="13"/>
        <v>1.1172378552707417E-3</v>
      </c>
      <c r="AS61" s="9">
        <f t="shared" si="13"/>
        <v>1</v>
      </c>
      <c r="AT61" s="7"/>
      <c r="AU61" s="7"/>
      <c r="AV61" s="7"/>
      <c r="AW61" s="7"/>
      <c r="AX61" s="7"/>
    </row>
    <row r="62" spans="1:87" x14ac:dyDescent="0.25">
      <c r="A62" s="1">
        <v>44651</v>
      </c>
      <c r="B62">
        <f>+[1]wFG_rstar_shock_decomposition!E62</f>
        <v>-0.182100768215638</v>
      </c>
      <c r="C62">
        <f>+[1]wFG_rstar_shock_decomposition!F62</f>
        <v>-0.50853150992892704</v>
      </c>
      <c r="D62">
        <f>+[1]wFG_rstar_shock_decomposition!G62</f>
        <v>-0.38741366169684799</v>
      </c>
      <c r="E62">
        <f>+[1]wFG_rstar_shock_decomposition!H62</f>
        <v>-1.8182181828015599E-2</v>
      </c>
      <c r="F62">
        <f>+[1]wFG_rstar_shock_decomposition!I62</f>
        <v>-0.241698779672118</v>
      </c>
      <c r="G62">
        <f>+[1]wFG_rstar_shock_decomposition!J62</f>
        <v>-1.84761899386877E-14</v>
      </c>
      <c r="H62">
        <f>+[1]wFG_rstar_shock_decomposition!K62</f>
        <v>3.3038815873052397E-14</v>
      </c>
      <c r="I62">
        <f>+[1]wFG_rstar_shock_decomposition!L62</f>
        <v>5.4240987367443895E-16</v>
      </c>
      <c r="J62">
        <f>+[1]wFG_rstar_shock_decomposition!M62</f>
        <v>4.80655986554104E-15</v>
      </c>
      <c r="K62">
        <f>+[1]wFG_rstar_shock_decomposition!N62</f>
        <v>4.3327689126807298E-15</v>
      </c>
      <c r="L62">
        <f>+[1]wFG_rstar_shock_decomposition!O62</f>
        <v>5.3489088553056897E-15</v>
      </c>
      <c r="M62">
        <f>+[1]wFG_rstar_shock_decomposition!P62</f>
        <v>5.2931623283881298E-15</v>
      </c>
      <c r="N62">
        <f>+[1]wFG_rstar_shock_decomposition!Q62</f>
        <v>5.6277581196101103E-15</v>
      </c>
      <c r="O62">
        <f>+[1]wFG_rstar_shock_decomposition!R62</f>
        <v>4.4603876778688902E-15</v>
      </c>
      <c r="P62">
        <f>+[1]wFG_rstar_shock_decomposition!S62</f>
        <v>7.44587857772954E-14</v>
      </c>
      <c r="Q62">
        <f>+[1]wFG_rstar_shock_decomposition!T62</f>
        <v>7.6834077820794697E-2</v>
      </c>
      <c r="R62">
        <f>+[1]wFG_rstar_shock_decomposition!U62</f>
        <v>0</v>
      </c>
      <c r="S62">
        <f>+[1]wFG_rstar_shock_decomposition!V62</f>
        <v>-0.45029310612484702</v>
      </c>
      <c r="T62">
        <f>+[1]wFG_rstar_shock_decomposition!W62</f>
        <v>1.34662615680264E-2</v>
      </c>
      <c r="U62" s="4">
        <f>+[1]wFG_rstar_shock_decomposition!D62</f>
        <v>-1.69791966807745</v>
      </c>
      <c r="Y62" s="1">
        <f t="shared" si="14"/>
        <v>44651</v>
      </c>
      <c r="Z62" s="7">
        <f t="shared" si="14"/>
        <v>-0.182100768215638</v>
      </c>
      <c r="AA62" s="7">
        <f t="shared" si="14"/>
        <v>-0.50853150992892704</v>
      </c>
      <c r="AB62" s="7">
        <f t="shared" si="14"/>
        <v>-0.38741366169684799</v>
      </c>
      <c r="AC62" s="7">
        <f t="shared" si="2"/>
        <v>-0.69199188579696502</v>
      </c>
      <c r="AD62" s="7">
        <f t="shared" si="3"/>
        <v>-1.8182181828015599E-2</v>
      </c>
      <c r="AE62" s="7">
        <f t="shared" si="4"/>
        <v>7.6834077820794697E-2</v>
      </c>
      <c r="AF62" s="7">
        <f t="shared" si="5"/>
        <v>-1.84761899386877E-14</v>
      </c>
      <c r="AG62" s="7">
        <f t="shared" si="5"/>
        <v>3.3038815873052397E-14</v>
      </c>
      <c r="AH62" s="7">
        <f t="shared" si="6"/>
        <v>1.3466261568131271E-2</v>
      </c>
      <c r="AI62" s="7">
        <f t="shared" si="0"/>
        <v>-1.6979196680774529</v>
      </c>
      <c r="AJ62" s="8">
        <f t="shared" si="7"/>
        <v>-0.61515780797617037</v>
      </c>
      <c r="AK62" s="8">
        <f t="shared" si="8"/>
        <v>-0.91412735345379059</v>
      </c>
      <c r="AL62" s="8">
        <f t="shared" si="9"/>
        <v>-0.182100768215638</v>
      </c>
      <c r="AM62" s="8">
        <f t="shared" si="10"/>
        <v>1.3466261568131271E-2</v>
      </c>
      <c r="AN62" s="8">
        <f t="shared" si="11"/>
        <v>-1.6979196680774675</v>
      </c>
      <c r="AO62" s="9">
        <f t="shared" si="13"/>
        <v>0.59455547960299382</v>
      </c>
      <c r="AP62" s="9">
        <f t="shared" si="13"/>
        <v>0.38688186793241863</v>
      </c>
      <c r="AQ62" s="9">
        <f t="shared" si="13"/>
        <v>2.0021892607927853E-2</v>
      </c>
      <c r="AR62" s="9">
        <f t="shared" si="13"/>
        <v>-1.4592401433431747E-3</v>
      </c>
      <c r="AS62" s="9">
        <f t="shared" si="13"/>
        <v>1</v>
      </c>
      <c r="AT62" s="7"/>
      <c r="AU62" s="7"/>
      <c r="AV62" s="7"/>
      <c r="AW62" s="7"/>
      <c r="AX62" s="7"/>
    </row>
    <row r="63" spans="1:87" x14ac:dyDescent="0.25">
      <c r="A63" s="1">
        <v>44742</v>
      </c>
      <c r="B63">
        <f>+[1]wFG_rstar_shock_decomposition!E63</f>
        <v>-0.18647299575634599</v>
      </c>
      <c r="C63">
        <f>+[1]wFG_rstar_shock_decomposition!F63</f>
        <v>-0.28091443540622302</v>
      </c>
      <c r="D63">
        <f>+[1]wFG_rstar_shock_decomposition!G63</f>
        <v>-6.33510770980657E-2</v>
      </c>
      <c r="E63">
        <f>+[1]wFG_rstar_shock_decomposition!H63</f>
        <v>-5.5865439249847798E-2</v>
      </c>
      <c r="F63">
        <f>+[1]wFG_rstar_shock_decomposition!I63</f>
        <v>-0.21907434520508301</v>
      </c>
      <c r="G63">
        <f>+[1]wFG_rstar_shock_decomposition!J63</f>
        <v>-2.0291502401997101E-14</v>
      </c>
      <c r="H63">
        <f>+[1]wFG_rstar_shock_decomposition!K63</f>
        <v>3.4708802506276299E-14</v>
      </c>
      <c r="I63">
        <f>+[1]wFG_rstar_shock_decomposition!L63</f>
        <v>9.8669741525671695E-16</v>
      </c>
      <c r="J63">
        <f>+[1]wFG_rstar_shock_decomposition!M63</f>
        <v>3.8094220125943197E-15</v>
      </c>
      <c r="K63">
        <f>+[1]wFG_rstar_shock_decomposition!N63</f>
        <v>1.7956959164357098E-15</v>
      </c>
      <c r="L63">
        <f>+[1]wFG_rstar_shock_decomposition!O63</f>
        <v>3.2341132937133799E-15</v>
      </c>
      <c r="M63">
        <f>+[1]wFG_rstar_shock_decomposition!P63</f>
        <v>1.7476978585298399E-15</v>
      </c>
      <c r="N63">
        <f>+[1]wFG_rstar_shock_decomposition!Q63</f>
        <v>4.8668904660459503E-15</v>
      </c>
      <c r="O63">
        <f>+[1]wFG_rstar_shock_decomposition!R63</f>
        <v>3.7018506423867404E-15</v>
      </c>
      <c r="P63">
        <f>+[1]wFG_rstar_shock_decomposition!S63</f>
        <v>8.7281427187083094E-14</v>
      </c>
      <c r="Q63">
        <f>+[1]wFG_rstar_shock_decomposition!T63</f>
        <v>0.13347880608198201</v>
      </c>
      <c r="R63">
        <f>+[1]wFG_rstar_shock_decomposition!U63</f>
        <v>0</v>
      </c>
      <c r="S63">
        <f>+[1]wFG_rstar_shock_decomposition!V63</f>
        <v>-0.51581623208876004</v>
      </c>
      <c r="T63">
        <f>+[1]wFG_rstar_shock_decomposition!W63</f>
        <v>1.3302508423680699E-2</v>
      </c>
      <c r="U63" s="4">
        <f>+[1]wFG_rstar_shock_decomposition!D63</f>
        <v>-1.17471321029854</v>
      </c>
      <c r="Y63" s="1">
        <f t="shared" si="14"/>
        <v>44742</v>
      </c>
      <c r="Z63" s="7">
        <f t="shared" si="14"/>
        <v>-0.18647299575634599</v>
      </c>
      <c r="AA63" s="7">
        <f t="shared" si="14"/>
        <v>-0.28091443540622302</v>
      </c>
      <c r="AB63" s="7">
        <f t="shared" si="14"/>
        <v>-6.33510770980657E-2</v>
      </c>
      <c r="AC63" s="7">
        <f t="shared" si="2"/>
        <v>-0.73489057729384299</v>
      </c>
      <c r="AD63" s="7">
        <f t="shared" si="3"/>
        <v>-5.5865439249847798E-2</v>
      </c>
      <c r="AE63" s="7">
        <f t="shared" si="4"/>
        <v>0.13347880608198201</v>
      </c>
      <c r="AF63" s="7">
        <f t="shared" si="5"/>
        <v>-2.0291502401997101E-14</v>
      </c>
      <c r="AG63" s="7">
        <f t="shared" si="5"/>
        <v>3.4708802506276299E-14</v>
      </c>
      <c r="AH63" s="7">
        <f t="shared" si="6"/>
        <v>1.3302508423788122E-2</v>
      </c>
      <c r="AI63" s="7">
        <f t="shared" si="0"/>
        <v>-1.1747132102985409</v>
      </c>
      <c r="AJ63" s="8">
        <f t="shared" si="7"/>
        <v>-0.60141177121186096</v>
      </c>
      <c r="AK63" s="8">
        <f t="shared" si="8"/>
        <v>-0.40013095175413649</v>
      </c>
      <c r="AL63" s="8">
        <f t="shared" si="9"/>
        <v>-0.18647299575634599</v>
      </c>
      <c r="AM63" s="8">
        <f t="shared" si="10"/>
        <v>1.3302508423788122E-2</v>
      </c>
      <c r="AN63" s="8">
        <f t="shared" si="11"/>
        <v>-1.1747132102985554</v>
      </c>
      <c r="AO63" s="9">
        <f t="shared" si="13"/>
        <v>2.6272681768232265E-2</v>
      </c>
      <c r="AP63" s="9">
        <f t="shared" si="13"/>
        <v>0.98239689907812666</v>
      </c>
      <c r="AQ63" s="9">
        <f t="shared" si="13"/>
        <v>-8.3566008708469107E-3</v>
      </c>
      <c r="AR63" s="9">
        <f t="shared" si="13"/>
        <v>-3.1297997551158949E-4</v>
      </c>
      <c r="AS63" s="9">
        <f t="shared" si="13"/>
        <v>1</v>
      </c>
      <c r="AT63" s="7"/>
      <c r="AU63" s="7"/>
      <c r="AV63" s="7"/>
      <c r="AW63" s="7"/>
      <c r="AX63" s="7"/>
    </row>
    <row r="64" spans="1:87" x14ac:dyDescent="0.25">
      <c r="A64" s="1">
        <v>44834</v>
      </c>
      <c r="B64">
        <f>+[1]wFG_rstar_shock_decomposition!E64</f>
        <v>-0.17668812436853101</v>
      </c>
      <c r="C64">
        <f>+[1]wFG_rstar_shock_decomposition!F64</f>
        <v>-0.29000435859491802</v>
      </c>
      <c r="D64">
        <f>+[1]wFG_rstar_shock_decomposition!G64</f>
        <v>-3.86112704935231E-2</v>
      </c>
      <c r="E64">
        <f>+[1]wFG_rstar_shock_decomposition!H64</f>
        <v>-7.6108775763447503E-2</v>
      </c>
      <c r="F64">
        <f>+[1]wFG_rstar_shock_decomposition!I64</f>
        <v>-0.24063757040643399</v>
      </c>
      <c r="G64">
        <f>+[1]wFG_rstar_shock_decomposition!J64</f>
        <v>-2.0391414134976199E-14</v>
      </c>
      <c r="H64">
        <f>+[1]wFG_rstar_shock_decomposition!K64</f>
        <v>3.53663045251247E-14</v>
      </c>
      <c r="I64">
        <f>+[1]wFG_rstar_shock_decomposition!L64</f>
        <v>-4.0257984607589002E-16</v>
      </c>
      <c r="J64">
        <f>+[1]wFG_rstar_shock_decomposition!M64</f>
        <v>4.54463719823712E-15</v>
      </c>
      <c r="K64">
        <f>+[1]wFG_rstar_shock_decomposition!N64</f>
        <v>1.1987840954965E-15</v>
      </c>
      <c r="L64">
        <f>+[1]wFG_rstar_shock_decomposition!O64</f>
        <v>5.1014544304687901E-15</v>
      </c>
      <c r="M64">
        <f>+[1]wFG_rstar_shock_decomposition!P64</f>
        <v>2.0016458420134898E-15</v>
      </c>
      <c r="N64">
        <f>+[1]wFG_rstar_shock_decomposition!Q64</f>
        <v>5.3030678826137896E-15</v>
      </c>
      <c r="O64">
        <f>+[1]wFG_rstar_shock_decomposition!R64</f>
        <v>3.9825663901061399E-15</v>
      </c>
      <c r="P64">
        <f>+[1]wFG_rstar_shock_decomposition!S64</f>
        <v>9.0041753234265998E-14</v>
      </c>
      <c r="Q64">
        <f>+[1]wFG_rstar_shock_decomposition!T64</f>
        <v>0.13402580236141701</v>
      </c>
      <c r="R64">
        <f>+[1]wFG_rstar_shock_decomposition!U64</f>
        <v>0</v>
      </c>
      <c r="S64">
        <f>+[1]wFG_rstar_shock_decomposition!V64</f>
        <v>-0.554627682306571</v>
      </c>
      <c r="T64">
        <f>+[1]wFG_rstar_shock_decomposition!W64</f>
        <v>1.3140863728776399E-2</v>
      </c>
      <c r="U64" s="4">
        <f>+[1]wFG_rstar_shock_decomposition!D64</f>
        <v>-1.2295111158431</v>
      </c>
      <c r="Y64" s="1">
        <f t="shared" si="14"/>
        <v>44834</v>
      </c>
      <c r="Z64" s="7">
        <f t="shared" si="14"/>
        <v>-0.17668812436853101</v>
      </c>
      <c r="AA64" s="7">
        <f t="shared" si="14"/>
        <v>-0.29000435859491802</v>
      </c>
      <c r="AB64" s="7">
        <f t="shared" si="14"/>
        <v>-3.86112704935231E-2</v>
      </c>
      <c r="AC64" s="7">
        <f t="shared" si="2"/>
        <v>-0.79526525271300497</v>
      </c>
      <c r="AD64" s="7">
        <f t="shared" si="3"/>
        <v>-7.6108775763447503E-2</v>
      </c>
      <c r="AE64" s="7">
        <f t="shared" si="4"/>
        <v>0.13402580236141701</v>
      </c>
      <c r="AF64" s="7">
        <f t="shared" si="5"/>
        <v>-2.0391414134976199E-14</v>
      </c>
      <c r="AG64" s="7">
        <f t="shared" si="5"/>
        <v>3.53663045251247E-14</v>
      </c>
      <c r="AH64" s="7">
        <f t="shared" si="6"/>
        <v>1.3140863728888173E-2</v>
      </c>
      <c r="AI64" s="7">
        <f t="shared" si="0"/>
        <v>-1.2295111158431047</v>
      </c>
      <c r="AJ64" s="8">
        <f t="shared" si="7"/>
        <v>-0.66123945035158793</v>
      </c>
      <c r="AK64" s="8">
        <f t="shared" si="8"/>
        <v>-0.4047244048518886</v>
      </c>
      <c r="AL64" s="8">
        <f t="shared" si="9"/>
        <v>-0.17668812436853101</v>
      </c>
      <c r="AM64" s="8">
        <f t="shared" si="10"/>
        <v>1.3140863728888173E-2</v>
      </c>
      <c r="AN64" s="8">
        <f t="shared" si="11"/>
        <v>-1.2295111158431193</v>
      </c>
      <c r="AO64" s="9">
        <f t="shared" si="13"/>
        <v>1.0917876978176213</v>
      </c>
      <c r="AP64" s="9">
        <f t="shared" si="13"/>
        <v>8.3825340623949904E-2</v>
      </c>
      <c r="AQ64" s="9">
        <f t="shared" si="13"/>
        <v>-0.17856287189402709</v>
      </c>
      <c r="AR64" s="9">
        <f t="shared" si="13"/>
        <v>2.9498334524572793E-3</v>
      </c>
      <c r="AS64" s="9">
        <f t="shared" si="13"/>
        <v>1</v>
      </c>
      <c r="AT64" s="7"/>
      <c r="AU64" s="7"/>
      <c r="AV64" s="7"/>
      <c r="AW64" s="7"/>
      <c r="AX64" s="7"/>
    </row>
    <row r="65" spans="1:50" x14ac:dyDescent="0.25">
      <c r="A65" s="1">
        <v>44926</v>
      </c>
      <c r="B65">
        <f>+[1]wFG_rstar_shock_decomposition!E65</f>
        <v>-0.177210965600924</v>
      </c>
      <c r="C65">
        <f>+[1]wFG_rstar_shock_decomposition!F65</f>
        <v>-0.171490970456812</v>
      </c>
      <c r="D65">
        <f>+[1]wFG_rstar_shock_decomposition!G65</f>
        <v>0.15090416471766099</v>
      </c>
      <c r="E65">
        <f>+[1]wFG_rstar_shock_decomposition!H65</f>
        <v>-8.5434899795986702E-2</v>
      </c>
      <c r="F65">
        <f>+[1]wFG_rstar_shock_decomposition!I65</f>
        <v>-0.24627943810095801</v>
      </c>
      <c r="G65">
        <f>+[1]wFG_rstar_shock_decomposition!J65</f>
        <v>-2.1164890859327999E-14</v>
      </c>
      <c r="H65">
        <f>+[1]wFG_rstar_shock_decomposition!K65</f>
        <v>3.6583290247098298E-14</v>
      </c>
      <c r="I65">
        <f>+[1]wFG_rstar_shock_decomposition!L65</f>
        <v>-1.9596754023685E-15</v>
      </c>
      <c r="J65">
        <f>+[1]wFG_rstar_shock_decomposition!M65</f>
        <v>3.8274296625531696E-15</v>
      </c>
      <c r="K65">
        <f>+[1]wFG_rstar_shock_decomposition!N65</f>
        <v>-3.4572671163077202E-16</v>
      </c>
      <c r="L65">
        <f>+[1]wFG_rstar_shock_decomposition!O65</f>
        <v>3.46008452700826E-15</v>
      </c>
      <c r="M65">
        <f>+[1]wFG_rstar_shock_decomposition!P65</f>
        <v>2.20308799937841E-15</v>
      </c>
      <c r="N65">
        <f>+[1]wFG_rstar_shock_decomposition!Q65</f>
        <v>5.3574967983584197E-15</v>
      </c>
      <c r="O65">
        <f>+[1]wFG_rstar_shock_decomposition!R65</f>
        <v>4.8470526615174702E-15</v>
      </c>
      <c r="P65">
        <f>+[1]wFG_rstar_shock_decomposition!S65</f>
        <v>9.8071445413625298E-14</v>
      </c>
      <c r="Q65">
        <f>+[1]wFG_rstar_shock_decomposition!T65</f>
        <v>0.16408172052063699</v>
      </c>
      <c r="R65">
        <f>+[1]wFG_rstar_shock_decomposition!U65</f>
        <v>0</v>
      </c>
      <c r="S65">
        <f>+[1]wFG_rstar_shock_decomposition!V65</f>
        <v>-0.58392874614564805</v>
      </c>
      <c r="T65">
        <f>+[1]wFG_rstar_shock_decomposition!W65</f>
        <v>1.29812985496777E-2</v>
      </c>
      <c r="U65" s="4">
        <f>+[1]wFG_rstar_shock_decomposition!D65</f>
        <v>-0.93637783631222005</v>
      </c>
      <c r="Y65" s="1">
        <f t="shared" si="14"/>
        <v>44926</v>
      </c>
      <c r="Z65" s="7">
        <f t="shared" si="14"/>
        <v>-0.177210965600924</v>
      </c>
      <c r="AA65" s="7">
        <f t="shared" si="14"/>
        <v>-0.171490970456812</v>
      </c>
      <c r="AB65" s="7">
        <f t="shared" si="14"/>
        <v>0.15090416471766099</v>
      </c>
      <c r="AC65" s="7">
        <f t="shared" si="2"/>
        <v>-0.83020818424660603</v>
      </c>
      <c r="AD65" s="7">
        <f t="shared" si="3"/>
        <v>-8.5434899795986702E-2</v>
      </c>
      <c r="AE65" s="7">
        <f t="shared" si="4"/>
        <v>0.16408172052063699</v>
      </c>
      <c r="AF65" s="7">
        <f t="shared" si="5"/>
        <v>-2.1164890859327999E-14</v>
      </c>
      <c r="AG65" s="7">
        <f t="shared" si="5"/>
        <v>3.6583290247098298E-14</v>
      </c>
      <c r="AH65" s="7">
        <f t="shared" si="6"/>
        <v>1.2981298549793159E-2</v>
      </c>
      <c r="AI65" s="7">
        <f t="shared" si="0"/>
        <v>-0.93637783631222227</v>
      </c>
      <c r="AJ65" s="8">
        <f t="shared" si="7"/>
        <v>-0.66612646372596906</v>
      </c>
      <c r="AK65" s="8">
        <f t="shared" si="8"/>
        <v>-0.10602170553513771</v>
      </c>
      <c r="AL65" s="8">
        <f t="shared" si="9"/>
        <v>-0.177210965600924</v>
      </c>
      <c r="AM65" s="8">
        <f t="shared" si="10"/>
        <v>1.2981298549793159E-2</v>
      </c>
      <c r="AN65" s="8">
        <f t="shared" si="11"/>
        <v>-0.93637783631223759</v>
      </c>
      <c r="AO65" s="9">
        <f t="shared" si="13"/>
        <v>-1.6671642954365688E-2</v>
      </c>
      <c r="AP65" s="9">
        <f t="shared" si="13"/>
        <v>1.0189996161295032</v>
      </c>
      <c r="AQ65" s="9">
        <f t="shared" si="13"/>
        <v>-1.7836297305775827E-3</v>
      </c>
      <c r="AR65" s="9">
        <f t="shared" si="13"/>
        <v>-5.4434344456001367E-4</v>
      </c>
      <c r="AS65" s="9">
        <f t="shared" si="13"/>
        <v>1</v>
      </c>
      <c r="AT65" s="7"/>
      <c r="AU65" s="7"/>
      <c r="AV65" s="7"/>
      <c r="AW65" s="7"/>
      <c r="AX65" s="7"/>
    </row>
    <row r="66" spans="1:50" x14ac:dyDescent="0.25">
      <c r="A66" s="1">
        <v>45016</v>
      </c>
      <c r="B66">
        <f>+[1]wFG_rstar_shock_decomposition!E66</f>
        <v>-0.177323933130202</v>
      </c>
      <c r="C66">
        <f>+[1]wFG_rstar_shock_decomposition!F66</f>
        <v>-0.15413710853983001</v>
      </c>
      <c r="D66">
        <f>+[1]wFG_rstar_shock_decomposition!G66</f>
        <v>0.18346758395021501</v>
      </c>
      <c r="E66">
        <f>+[1]wFG_rstar_shock_decomposition!H66</f>
        <v>-7.1398242008570798E-2</v>
      </c>
      <c r="F66">
        <f>+[1]wFG_rstar_shock_decomposition!I66</f>
        <v>-0.21783783491217601</v>
      </c>
      <c r="G66">
        <f>+[1]wFG_rstar_shock_decomposition!J66</f>
        <v>-2.2137445958048002E-14</v>
      </c>
      <c r="H66">
        <f>+[1]wFG_rstar_shock_decomposition!K66</f>
        <v>3.7595622885945201E-14</v>
      </c>
      <c r="I66">
        <f>+[1]wFG_rstar_shock_decomposition!L66</f>
        <v>1.5499201374087999E-15</v>
      </c>
      <c r="J66">
        <f>+[1]wFG_rstar_shock_decomposition!M66</f>
        <v>4.0253331321986402E-15</v>
      </c>
      <c r="K66">
        <f>+[1]wFG_rstar_shock_decomposition!N66</f>
        <v>-5.7902631605318101E-16</v>
      </c>
      <c r="L66">
        <f>+[1]wFG_rstar_shock_decomposition!O66</f>
        <v>2.1506268026653202E-15</v>
      </c>
      <c r="M66">
        <f>+[1]wFG_rstar_shock_decomposition!P66</f>
        <v>1.2146769142255601E-15</v>
      </c>
      <c r="N66">
        <f>+[1]wFG_rstar_shock_decomposition!Q66</f>
        <v>4.90671850764569E-15</v>
      </c>
      <c r="O66">
        <f>+[1]wFG_rstar_shock_decomposition!R66</f>
        <v>5.0051917931702198E-15</v>
      </c>
      <c r="P66">
        <f>+[1]wFG_rstar_shock_decomposition!S66</f>
        <v>9.6724238065664502E-14</v>
      </c>
      <c r="Q66">
        <f>+[1]wFG_rstar_shock_decomposition!T66</f>
        <v>0.183760012509363</v>
      </c>
      <c r="R66">
        <f>+[1]wFG_rstar_shock_decomposition!U66</f>
        <v>0</v>
      </c>
      <c r="S66">
        <f>+[1]wFG_rstar_shock_decomposition!V66</f>
        <v>-0.23504547686666</v>
      </c>
      <c r="T66">
        <f>+[1]wFG_rstar_shock_decomposition!W66</f>
        <v>1.28237843646784E-2</v>
      </c>
      <c r="U66" s="4">
        <f>+[1]wFG_rstar_shock_decomposition!D66</f>
        <v>-0.47569121463305097</v>
      </c>
      <c r="Y66" s="1">
        <f t="shared" si="14"/>
        <v>45016</v>
      </c>
      <c r="Z66" s="7">
        <f t="shared" si="14"/>
        <v>-0.177323933130202</v>
      </c>
      <c r="AA66" s="7">
        <f t="shared" si="14"/>
        <v>-0.15413710853983001</v>
      </c>
      <c r="AB66" s="7">
        <f t="shared" si="14"/>
        <v>0.18346758395021501</v>
      </c>
      <c r="AC66" s="7">
        <f t="shared" si="2"/>
        <v>-0.45288331177883601</v>
      </c>
      <c r="AD66" s="7">
        <f t="shared" si="3"/>
        <v>-7.1398242008570798E-2</v>
      </c>
      <c r="AE66" s="7">
        <f t="shared" si="4"/>
        <v>0.183760012509363</v>
      </c>
      <c r="AF66" s="7">
        <f t="shared" si="5"/>
        <v>-2.2137445958048002E-14</v>
      </c>
      <c r="AG66" s="7">
        <f t="shared" si="5"/>
        <v>3.7595622885945201E-14</v>
      </c>
      <c r="AH66" s="7">
        <f t="shared" si="6"/>
        <v>1.2823784364793396E-2</v>
      </c>
      <c r="AI66" s="7">
        <f t="shared" ref="AI66:AI129" si="15">+SUM(Z66:AH66)</f>
        <v>-0.47569121463305192</v>
      </c>
      <c r="AJ66" s="8">
        <f t="shared" si="7"/>
        <v>-0.26912329926947298</v>
      </c>
      <c r="AK66" s="8">
        <f t="shared" si="8"/>
        <v>-4.2067766598185799E-2</v>
      </c>
      <c r="AL66" s="8">
        <f t="shared" si="9"/>
        <v>-0.177323933130202</v>
      </c>
      <c r="AM66" s="8">
        <f t="shared" si="10"/>
        <v>1.2823784364793396E-2</v>
      </c>
      <c r="AN66" s="8">
        <f t="shared" si="11"/>
        <v>-0.47569121463306735</v>
      </c>
      <c r="AO66" s="9">
        <f t="shared" si="13"/>
        <v>0.86176404040006105</v>
      </c>
      <c r="AP66" s="9">
        <f t="shared" si="13"/>
        <v>0.1388230869475747</v>
      </c>
      <c r="AQ66" s="9">
        <f t="shared" si="13"/>
        <v>-2.4521556294872042E-4</v>
      </c>
      <c r="AR66" s="9">
        <f t="shared" si="13"/>
        <v>-3.4191178468702849E-4</v>
      </c>
      <c r="AS66" s="9">
        <f t="shared" si="13"/>
        <v>1</v>
      </c>
      <c r="AT66" s="7"/>
      <c r="AU66" s="7"/>
      <c r="AV66" s="7"/>
      <c r="AW66" s="7"/>
      <c r="AX66" s="7"/>
    </row>
    <row r="67" spans="1:50" x14ac:dyDescent="0.25">
      <c r="A67" s="1">
        <v>45107</v>
      </c>
      <c r="B67">
        <f>+[1]wFG_rstar_shock_decomposition!E67</f>
        <v>-0.18290673431329299</v>
      </c>
      <c r="C67">
        <f>+[1]wFG_rstar_shock_decomposition!F67</f>
        <v>-0.17310101550182999</v>
      </c>
      <c r="D67">
        <f>+[1]wFG_rstar_shock_decomposition!G67</f>
        <v>0.232561079504427</v>
      </c>
      <c r="E67">
        <f>+[1]wFG_rstar_shock_decomposition!H67</f>
        <v>-3.4379977701879803E-2</v>
      </c>
      <c r="F67">
        <f>+[1]wFG_rstar_shock_decomposition!I67</f>
        <v>-0.24122599886816101</v>
      </c>
      <c r="G67">
        <f>+[1]wFG_rstar_shock_decomposition!J67</f>
        <v>-2.1880191541809701E-14</v>
      </c>
      <c r="H67">
        <f>+[1]wFG_rstar_shock_decomposition!K67</f>
        <v>3.8086657234101801E-14</v>
      </c>
      <c r="I67">
        <f>+[1]wFG_rstar_shock_decomposition!L67</f>
        <v>4.4519872848782597E-16</v>
      </c>
      <c r="J67">
        <f>+[1]wFG_rstar_shock_decomposition!M67</f>
        <v>3.48542117054284E-15</v>
      </c>
      <c r="K67">
        <f>+[1]wFG_rstar_shock_decomposition!N67</f>
        <v>-8.8446807375296602E-16</v>
      </c>
      <c r="L67">
        <f>+[1]wFG_rstar_shock_decomposition!O67</f>
        <v>2.0574606835246601E-15</v>
      </c>
      <c r="M67">
        <f>+[1]wFG_rstar_shock_decomposition!P67</f>
        <v>8.0171539121929002E-16</v>
      </c>
      <c r="N67">
        <f>+[1]wFG_rstar_shock_decomposition!Q67</f>
        <v>5.0132401098617499E-15</v>
      </c>
      <c r="O67">
        <f>+[1]wFG_rstar_shock_decomposition!R67</f>
        <v>5.6403654139256596E-15</v>
      </c>
      <c r="P67">
        <f>+[1]wFG_rstar_shock_decomposition!S67</f>
        <v>9.8041793689856101E-14</v>
      </c>
      <c r="Q67">
        <f>+[1]wFG_rstar_shock_decomposition!T67</f>
        <v>0.207891588927512</v>
      </c>
      <c r="R67">
        <f>+[1]wFG_rstar_shock_decomposition!U67</f>
        <v>0</v>
      </c>
      <c r="S67">
        <f>+[1]wFG_rstar_shock_decomposition!V67</f>
        <v>-0.26374708205297298</v>
      </c>
      <c r="T67">
        <f>+[1]wFG_rstar_shock_decomposition!W67</f>
        <v>1.26682930583426E-2</v>
      </c>
      <c r="U67" s="4">
        <f>+[1]wFG_rstar_shock_decomposition!D67</f>
        <v>-0.442239846947723</v>
      </c>
      <c r="Y67" s="1">
        <f t="shared" ref="Y67:AB98" si="16">+A67</f>
        <v>45107</v>
      </c>
      <c r="Z67" s="7">
        <f t="shared" si="16"/>
        <v>-0.18290673431329299</v>
      </c>
      <c r="AA67" s="7">
        <f t="shared" si="16"/>
        <v>-0.17310101550182999</v>
      </c>
      <c r="AB67" s="7">
        <f t="shared" si="16"/>
        <v>0.232561079504427</v>
      </c>
      <c r="AC67" s="7">
        <f t="shared" ref="AC67:AC130" si="17">+F67+S67</f>
        <v>-0.50497308092113402</v>
      </c>
      <c r="AD67" s="7">
        <f t="shared" ref="AD67:AD130" si="18">+E67</f>
        <v>-3.4379977701879803E-2</v>
      </c>
      <c r="AE67" s="7">
        <f t="shared" ref="AE67:AE130" si="19">+Q67</f>
        <v>0.207891588927512</v>
      </c>
      <c r="AF67" s="7">
        <f t="shared" ref="AF67:AG130" si="20">+G67</f>
        <v>-2.1880191541809701E-14</v>
      </c>
      <c r="AG67" s="7">
        <f t="shared" si="20"/>
        <v>3.8086657234101801E-14</v>
      </c>
      <c r="AH67" s="7">
        <f t="shared" ref="AH67:AH130" si="21">+SUM(T67,I67:P67)</f>
        <v>1.26682930584572E-2</v>
      </c>
      <c r="AI67" s="7">
        <f t="shared" si="15"/>
        <v>-0.44223984694772434</v>
      </c>
      <c r="AJ67" s="8">
        <f t="shared" ref="AJ67:AJ130" si="22">SUM(AC67+AE67)</f>
        <v>-0.29708149199362199</v>
      </c>
      <c r="AK67" s="8">
        <f t="shared" ref="AK67:AK130" si="23">AB67+AA67+AD67</f>
        <v>2.508008630071721E-2</v>
      </c>
      <c r="AL67" s="8">
        <f t="shared" ref="AL67:AL130" si="24">Z67</f>
        <v>-0.18290673431329299</v>
      </c>
      <c r="AM67" s="8">
        <f t="shared" ref="AM67:AM130" si="25">AH67</f>
        <v>1.26682930584572E-2</v>
      </c>
      <c r="AN67" s="8">
        <f t="shared" ref="AN67:AN130" si="26">SUM(AJ67:AM67)</f>
        <v>-0.44223984694774054</v>
      </c>
      <c r="AO67" s="9">
        <f t="shared" ref="AO67:AS130" si="27">(AJ67-AJ66)/($AN67-$AN66)</f>
        <v>-0.83578623711737399</v>
      </c>
      <c r="AP67" s="9">
        <f t="shared" si="27"/>
        <v>2.0073275786674913</v>
      </c>
      <c r="AQ67" s="9">
        <f t="shared" si="27"/>
        <v>-0.16689306205975665</v>
      </c>
      <c r="AR67" s="9">
        <f t="shared" si="27"/>
        <v>-4.6482794903600234E-3</v>
      </c>
      <c r="AS67" s="9">
        <f t="shared" si="27"/>
        <v>1</v>
      </c>
      <c r="AT67" s="7"/>
      <c r="AU67" s="7"/>
      <c r="AV67" s="7"/>
      <c r="AW67" s="7"/>
      <c r="AX67" s="7"/>
    </row>
    <row r="68" spans="1:50" x14ac:dyDescent="0.25">
      <c r="A68" s="1">
        <v>45199</v>
      </c>
      <c r="B68">
        <f>+[1]wFG_rstar_shock_decomposition!E68</f>
        <v>-0.17327065089414501</v>
      </c>
      <c r="C68">
        <f>+[1]wFG_rstar_shock_decomposition!F68</f>
        <v>2.76898209863315E-2</v>
      </c>
      <c r="D68">
        <f>+[1]wFG_rstar_shock_decomposition!G68</f>
        <v>0.38188857174816698</v>
      </c>
      <c r="E68">
        <f>+[1]wFG_rstar_shock_decomposition!H68</f>
        <v>-5.2776747097178701E-2</v>
      </c>
      <c r="F68">
        <f>+[1]wFG_rstar_shock_decomposition!I68</f>
        <v>-0.24600919047844699</v>
      </c>
      <c r="G68">
        <f>+[1]wFG_rstar_shock_decomposition!J68</f>
        <v>-2.17227009755139E-14</v>
      </c>
      <c r="H68">
        <f>+[1]wFG_rstar_shock_decomposition!K68</f>
        <v>3.8660207282593803E-14</v>
      </c>
      <c r="I68">
        <f>+[1]wFG_rstar_shock_decomposition!L68</f>
        <v>6.84416771242102E-16</v>
      </c>
      <c r="J68">
        <f>+[1]wFG_rstar_shock_decomposition!M68</f>
        <v>2.8421585519481901E-15</v>
      </c>
      <c r="K68">
        <f>+[1]wFG_rstar_shock_decomposition!N68</f>
        <v>-2.2205495896558001E-15</v>
      </c>
      <c r="L68">
        <f>+[1]wFG_rstar_shock_decomposition!O68</f>
        <v>9.8340386656749705E-16</v>
      </c>
      <c r="M68">
        <f>+[1]wFG_rstar_shock_decomposition!P68</f>
        <v>-3.39341205814561E-16</v>
      </c>
      <c r="N68">
        <f>+[1]wFG_rstar_shock_decomposition!Q68</f>
        <v>3.6332563835919701E-15</v>
      </c>
      <c r="O68">
        <f>+[1]wFG_rstar_shock_decomposition!R68</f>
        <v>5.1568265766832797E-15</v>
      </c>
      <c r="P68">
        <f>+[1]wFG_rstar_shock_decomposition!S68</f>
        <v>1.02038818848323E-13</v>
      </c>
      <c r="Q68">
        <f>+[1]wFG_rstar_shock_decomposition!T68</f>
        <v>0.192397938057358</v>
      </c>
      <c r="R68">
        <f>+[1]wFG_rstar_shock_decomposition!U68</f>
        <v>0</v>
      </c>
      <c r="S68">
        <f>+[1]wFG_rstar_shock_decomposition!V68</f>
        <v>-0.14004940252071399</v>
      </c>
      <c r="T68">
        <f>+[1]wFG_rstar_shock_decomposition!W68</f>
        <v>1.25147969159079E-2</v>
      </c>
      <c r="U68" s="4">
        <f>+[1]wFG_rstar_shock_decomposition!D68</f>
        <v>2.3851367174090301E-3</v>
      </c>
      <c r="Y68" s="1">
        <f t="shared" si="16"/>
        <v>45199</v>
      </c>
      <c r="Z68" s="7">
        <f t="shared" si="16"/>
        <v>-0.17327065089414501</v>
      </c>
      <c r="AA68" s="7">
        <f t="shared" si="16"/>
        <v>2.76898209863315E-2</v>
      </c>
      <c r="AB68" s="7">
        <f t="shared" si="16"/>
        <v>0.38188857174816698</v>
      </c>
      <c r="AC68" s="7">
        <f t="shared" si="17"/>
        <v>-0.38605859299916101</v>
      </c>
      <c r="AD68" s="7">
        <f t="shared" si="18"/>
        <v>-5.2776747097178701E-2</v>
      </c>
      <c r="AE68" s="7">
        <f t="shared" si="19"/>
        <v>0.192397938057358</v>
      </c>
      <c r="AF68" s="7">
        <f t="shared" si="20"/>
        <v>-2.17227009755139E-14</v>
      </c>
      <c r="AG68" s="7">
        <f t="shared" si="20"/>
        <v>3.8660207282593803E-14</v>
      </c>
      <c r="AH68" s="7">
        <f t="shared" si="21"/>
        <v>1.2514796916020678E-2</v>
      </c>
      <c r="AI68" s="7">
        <f t="shared" si="15"/>
        <v>2.3851367174093779E-3</v>
      </c>
      <c r="AJ68" s="8">
        <f t="shared" si="22"/>
        <v>-0.19366065494180301</v>
      </c>
      <c r="AK68" s="8">
        <f t="shared" si="23"/>
        <v>0.35680164563731975</v>
      </c>
      <c r="AL68" s="8">
        <f t="shared" si="24"/>
        <v>-0.17327065089414501</v>
      </c>
      <c r="AM68" s="8">
        <f t="shared" si="25"/>
        <v>1.2514796916020678E-2</v>
      </c>
      <c r="AN68" s="8">
        <f t="shared" si="26"/>
        <v>2.3851367173924123E-3</v>
      </c>
      <c r="AO68" s="9">
        <f t="shared" si="27"/>
        <v>0.23260239719167436</v>
      </c>
      <c r="AP68" s="9">
        <f t="shared" si="27"/>
        <v>0.7460704448098151</v>
      </c>
      <c r="AQ68" s="9">
        <f t="shared" si="27"/>
        <v>2.167238408358391E-2</v>
      </c>
      <c r="AR68" s="9">
        <f t="shared" si="27"/>
        <v>-3.4522608507336368E-4</v>
      </c>
      <c r="AS68" s="9">
        <f t="shared" si="27"/>
        <v>1</v>
      </c>
      <c r="AT68" s="7"/>
      <c r="AU68" s="7"/>
      <c r="AV68" s="7"/>
      <c r="AW68" s="7"/>
      <c r="AX68" s="7"/>
    </row>
    <row r="69" spans="1:50" x14ac:dyDescent="0.25">
      <c r="A69" s="1">
        <v>45291</v>
      </c>
      <c r="B69">
        <f>+[1]wFG_rstar_shock_decomposition!E69</f>
        <v>-0.173017359007167</v>
      </c>
      <c r="C69">
        <f>+[1]wFG_rstar_shock_decomposition!F69</f>
        <v>1.28054676815732E-2</v>
      </c>
      <c r="D69">
        <f>+[1]wFG_rstar_shock_decomposition!G69</f>
        <v>0.35780253944451301</v>
      </c>
      <c r="E69">
        <f>+[1]wFG_rstar_shock_decomposition!H69</f>
        <v>-4.5924833188823497E-2</v>
      </c>
      <c r="F69">
        <f>+[1]wFG_rstar_shock_decomposition!I69</f>
        <v>-0.27315676513517001</v>
      </c>
      <c r="G69">
        <f>+[1]wFG_rstar_shock_decomposition!J69</f>
        <v>-2.1076980258482201E-14</v>
      </c>
      <c r="H69">
        <f>+[1]wFG_rstar_shock_decomposition!K69</f>
        <v>3.9154078594620997E-14</v>
      </c>
      <c r="I69">
        <f>+[1]wFG_rstar_shock_decomposition!L69</f>
        <v>5.7474899660091896E-16</v>
      </c>
      <c r="J69">
        <f>+[1]wFG_rstar_shock_decomposition!M69</f>
        <v>2.8135479572808001E-15</v>
      </c>
      <c r="K69">
        <f>+[1]wFG_rstar_shock_decomposition!N69</f>
        <v>-2.3524691178354898E-15</v>
      </c>
      <c r="L69">
        <f>+[1]wFG_rstar_shock_decomposition!O69</f>
        <v>9.7227419775324304E-16</v>
      </c>
      <c r="M69">
        <f>+[1]wFG_rstar_shock_decomposition!P69</f>
        <v>2.0328293755423501E-16</v>
      </c>
      <c r="N69">
        <f>+[1]wFG_rstar_shock_decomposition!Q69</f>
        <v>4.2395561291874399E-15</v>
      </c>
      <c r="O69">
        <f>+[1]wFG_rstar_shock_decomposition!R69</f>
        <v>5.5838669101554698E-15</v>
      </c>
      <c r="P69">
        <f>+[1]wFG_rstar_shock_decomposition!S69</f>
        <v>1.02111835371659E-13</v>
      </c>
      <c r="Q69">
        <f>+[1]wFG_rstar_shock_decomposition!T69</f>
        <v>0.165478383348337</v>
      </c>
      <c r="R69">
        <f>+[1]wFG_rstar_shock_decomposition!U69</f>
        <v>0</v>
      </c>
      <c r="S69">
        <f>+[1]wFG_rstar_shock_decomposition!V69</f>
        <v>-0.18625791696778901</v>
      </c>
      <c r="T69">
        <f>+[1]wFG_rstar_shock_decomposition!W69</f>
        <v>1.2363268617750601E-2</v>
      </c>
      <c r="U69" s="4">
        <f>+[1]wFG_rstar_shock_decomposition!D69</f>
        <v>-0.129907215206642</v>
      </c>
      <c r="Y69" s="1">
        <f t="shared" si="16"/>
        <v>45291</v>
      </c>
      <c r="Z69" s="7">
        <f t="shared" si="16"/>
        <v>-0.173017359007167</v>
      </c>
      <c r="AA69" s="7">
        <f t="shared" si="16"/>
        <v>1.28054676815732E-2</v>
      </c>
      <c r="AB69" s="7">
        <f t="shared" si="16"/>
        <v>0.35780253944451301</v>
      </c>
      <c r="AC69" s="7">
        <f t="shared" si="17"/>
        <v>-0.45941468210295899</v>
      </c>
      <c r="AD69" s="7">
        <f t="shared" si="18"/>
        <v>-4.5924833188823497E-2</v>
      </c>
      <c r="AE69" s="7">
        <f t="shared" si="19"/>
        <v>0.165478383348337</v>
      </c>
      <c r="AF69" s="7">
        <f t="shared" si="20"/>
        <v>-2.1076980258482201E-14</v>
      </c>
      <c r="AG69" s="7">
        <f t="shared" si="20"/>
        <v>3.9154078594620997E-14</v>
      </c>
      <c r="AH69" s="7">
        <f t="shared" si="21"/>
        <v>1.2363268617864746E-2</v>
      </c>
      <c r="AI69" s="7">
        <f t="shared" si="15"/>
        <v>-0.12990721520664342</v>
      </c>
      <c r="AJ69" s="8">
        <f t="shared" si="22"/>
        <v>-0.29393629875462202</v>
      </c>
      <c r="AK69" s="8">
        <f t="shared" si="23"/>
        <v>0.3246831739372627</v>
      </c>
      <c r="AL69" s="8">
        <f t="shared" si="24"/>
        <v>-0.173017359007167</v>
      </c>
      <c r="AM69" s="8">
        <f t="shared" si="25"/>
        <v>1.2363268617864746E-2</v>
      </c>
      <c r="AN69" s="8">
        <f t="shared" si="26"/>
        <v>-0.12990721520666157</v>
      </c>
      <c r="AO69" s="9">
        <f t="shared" si="27"/>
        <v>0.75798519229883343</v>
      </c>
      <c r="AP69" s="9">
        <f t="shared" si="27"/>
        <v>0.2427840402935427</v>
      </c>
      <c r="AQ69" s="9">
        <f t="shared" si="27"/>
        <v>-1.9146374170096903E-3</v>
      </c>
      <c r="AR69" s="9">
        <f t="shared" si="27"/>
        <v>1.1454048246335579E-3</v>
      </c>
      <c r="AS69" s="9">
        <f t="shared" si="27"/>
        <v>1</v>
      </c>
      <c r="AT69" s="7"/>
      <c r="AU69" s="7"/>
      <c r="AV69" s="7"/>
      <c r="AW69" s="7"/>
      <c r="AX69" s="7"/>
    </row>
    <row r="70" spans="1:50" x14ac:dyDescent="0.25">
      <c r="A70" s="1">
        <v>45382</v>
      </c>
      <c r="B70">
        <f>+[1]wFG_rstar_shock_decomposition!E70</f>
        <v>-0.18225651324893299</v>
      </c>
      <c r="C70">
        <f>+[1]wFG_rstar_shock_decomposition!F70</f>
        <v>-2.24714031504188E-2</v>
      </c>
      <c r="D70">
        <f>+[1]wFG_rstar_shock_decomposition!G70</f>
        <v>0.37466533133736102</v>
      </c>
      <c r="E70">
        <f>+[1]wFG_rstar_shock_decomposition!H70</f>
        <v>-1.35602103590377E-2</v>
      </c>
      <c r="F70">
        <f>+[1]wFG_rstar_shock_decomposition!I70</f>
        <v>-0.29194409406837801</v>
      </c>
      <c r="G70">
        <f>+[1]wFG_rstar_shock_decomposition!J70</f>
        <v>-2.2486432440819001E-14</v>
      </c>
      <c r="H70">
        <f>+[1]wFG_rstar_shock_decomposition!K70</f>
        <v>3.8939821739521199E-14</v>
      </c>
      <c r="I70">
        <f>+[1]wFG_rstar_shock_decomposition!L70</f>
        <v>2.0112718454962699E-17</v>
      </c>
      <c r="J70">
        <f>+[1]wFG_rstar_shock_decomposition!M70</f>
        <v>2.5625567648463999E-15</v>
      </c>
      <c r="K70">
        <f>+[1]wFG_rstar_shock_decomposition!N70</f>
        <v>-2.59190389563909E-15</v>
      </c>
      <c r="L70">
        <f>+[1]wFG_rstar_shock_decomposition!O70</f>
        <v>3.5613228951090901E-16</v>
      </c>
      <c r="M70">
        <f>+[1]wFG_rstar_shock_decomposition!P70</f>
        <v>-5.9116572693215995E-16</v>
      </c>
      <c r="N70">
        <f>+[1]wFG_rstar_shock_decomposition!Q70</f>
        <v>3.4028781557782501E-15</v>
      </c>
      <c r="O70">
        <f>+[1]wFG_rstar_shock_decomposition!R70</f>
        <v>5.3631613014484898E-15</v>
      </c>
      <c r="P70">
        <f>+[1]wFG_rstar_shock_decomposition!S70</f>
        <v>9.8488717361344404E-14</v>
      </c>
      <c r="Q70">
        <f>+[1]wFG_rstar_shock_decomposition!T70</f>
        <v>0.164524636966671</v>
      </c>
      <c r="R70">
        <f>+[1]wFG_rstar_shock_decomposition!U70</f>
        <v>0</v>
      </c>
      <c r="S70">
        <f>+[1]wFG_rstar_shock_decomposition!V70</f>
        <v>5.7055629443233799E-3</v>
      </c>
      <c r="T70">
        <f>+[1]wFG_rstar_shock_decomposition!W70</f>
        <v>1.2213681233914499E-2</v>
      </c>
      <c r="U70" s="4">
        <f>+[1]wFG_rstar_shock_decomposition!D70</f>
        <v>4.6876991655627497E-2</v>
      </c>
      <c r="Y70" s="1">
        <f t="shared" si="16"/>
        <v>45382</v>
      </c>
      <c r="Z70" s="7">
        <f t="shared" si="16"/>
        <v>-0.18225651324893299</v>
      </c>
      <c r="AA70" s="7">
        <f t="shared" si="16"/>
        <v>-2.24714031504188E-2</v>
      </c>
      <c r="AB70" s="7">
        <f t="shared" si="16"/>
        <v>0.37466533133736102</v>
      </c>
      <c r="AC70" s="7">
        <f t="shared" si="17"/>
        <v>-0.28623853112405462</v>
      </c>
      <c r="AD70" s="7">
        <f t="shared" si="18"/>
        <v>-1.35602103590377E-2</v>
      </c>
      <c r="AE70" s="7">
        <f t="shared" si="19"/>
        <v>0.164524636966671</v>
      </c>
      <c r="AF70" s="7">
        <f t="shared" si="20"/>
        <v>-2.2486432440819001E-14</v>
      </c>
      <c r="AG70" s="7">
        <f t="shared" si="20"/>
        <v>3.8939821739521199E-14</v>
      </c>
      <c r="AH70" s="7">
        <f t="shared" si="21"/>
        <v>1.2213681234021511E-2</v>
      </c>
      <c r="AI70" s="7">
        <f t="shared" si="15"/>
        <v>4.6876991655625866E-2</v>
      </c>
      <c r="AJ70" s="8">
        <f t="shared" si="22"/>
        <v>-0.12171389415738362</v>
      </c>
      <c r="AK70" s="8">
        <f t="shared" si="23"/>
        <v>0.33863371782790452</v>
      </c>
      <c r="AL70" s="8">
        <f t="shared" si="24"/>
        <v>-0.18225651324893299</v>
      </c>
      <c r="AM70" s="8">
        <f t="shared" si="25"/>
        <v>1.2213681234021511E-2</v>
      </c>
      <c r="AN70" s="8">
        <f t="shared" si="26"/>
        <v>4.6876991655609421E-2</v>
      </c>
      <c r="AO70" s="9">
        <f t="shared" si="27"/>
        <v>0.97419564594598318</v>
      </c>
      <c r="AP70" s="9">
        <f t="shared" si="27"/>
        <v>7.891284033935457E-2</v>
      </c>
      <c r="AQ70" s="9">
        <f t="shared" si="27"/>
        <v>-5.2262328212180374E-2</v>
      </c>
      <c r="AR70" s="9">
        <f t="shared" si="27"/>
        <v>-8.4615807315737844E-4</v>
      </c>
      <c r="AS70" s="9">
        <f t="shared" si="27"/>
        <v>1</v>
      </c>
      <c r="AT70" s="7"/>
      <c r="AU70" s="7"/>
      <c r="AV70" s="7"/>
      <c r="AW70" s="7"/>
      <c r="AX70" s="7"/>
    </row>
    <row r="71" spans="1:50" x14ac:dyDescent="0.25">
      <c r="A71" s="1">
        <v>45473</v>
      </c>
      <c r="B71">
        <f>+[1]wFG_rstar_shock_decomposition!E71</f>
        <v>-0.18375688302281101</v>
      </c>
      <c r="C71">
        <f>+[1]wFG_rstar_shock_decomposition!F71</f>
        <v>-9.4500506641697096E-2</v>
      </c>
      <c r="D71">
        <f>+[1]wFG_rstar_shock_decomposition!G71</f>
        <v>0.31979034430031</v>
      </c>
      <c r="E71">
        <f>+[1]wFG_rstar_shock_decomposition!H71</f>
        <v>-2.7945953294800301E-2</v>
      </c>
      <c r="F71">
        <f>+[1]wFG_rstar_shock_decomposition!I71</f>
        <v>-0.30476547967551798</v>
      </c>
      <c r="G71">
        <f>+[1]wFG_rstar_shock_decomposition!J71</f>
        <v>-2.24107890511158E-14</v>
      </c>
      <c r="H71">
        <f>+[1]wFG_rstar_shock_decomposition!K71</f>
        <v>3.9698738026061002E-14</v>
      </c>
      <c r="I71">
        <f>+[1]wFG_rstar_shock_decomposition!L71</f>
        <v>-6.2852771521553297E-16</v>
      </c>
      <c r="J71">
        <f>+[1]wFG_rstar_shock_decomposition!M71</f>
        <v>2.82145403538167E-15</v>
      </c>
      <c r="K71">
        <f>+[1]wFG_rstar_shock_decomposition!N71</f>
        <v>-1.5299776244675401E-15</v>
      </c>
      <c r="L71">
        <f>+[1]wFG_rstar_shock_decomposition!O71</f>
        <v>1.39924745678737E-15</v>
      </c>
      <c r="M71">
        <f>+[1]wFG_rstar_shock_decomposition!P71</f>
        <v>4.1861738812215001E-16</v>
      </c>
      <c r="N71">
        <f>+[1]wFG_rstar_shock_decomposition!Q71</f>
        <v>3.8955025918790302E-15</v>
      </c>
      <c r="O71">
        <f>+[1]wFG_rstar_shock_decomposition!R71</f>
        <v>5.5901826295546604E-15</v>
      </c>
      <c r="P71">
        <f>+[1]wFG_rstar_shock_decomposition!S71</f>
        <v>9.8185521111863595E-14</v>
      </c>
      <c r="Q71">
        <f>+[1]wFG_rstar_shock_decomposition!T71</f>
        <v>0.112218444218849</v>
      </c>
      <c r="R71">
        <f>+[1]wFG_rstar_shock_decomposition!U71</f>
        <v>0</v>
      </c>
      <c r="S71">
        <f>+[1]wFG_rstar_shock_decomposition!V71</f>
        <v>-0.167823145546942</v>
      </c>
      <c r="T71">
        <f>+[1]wFG_rstar_shock_decomposition!W71</f>
        <v>1.20660082186996E-2</v>
      </c>
      <c r="U71" s="4">
        <f>+[1]wFG_rstar_shock_decomposition!D71</f>
        <v>-0.33471717144378099</v>
      </c>
      <c r="Y71" s="1">
        <f t="shared" si="16"/>
        <v>45473</v>
      </c>
      <c r="Z71" s="7">
        <f t="shared" si="16"/>
        <v>-0.18375688302281101</v>
      </c>
      <c r="AA71" s="7">
        <f t="shared" si="16"/>
        <v>-9.4500506641697096E-2</v>
      </c>
      <c r="AB71" s="7">
        <f t="shared" si="16"/>
        <v>0.31979034430031</v>
      </c>
      <c r="AC71" s="7">
        <f t="shared" si="17"/>
        <v>-0.47258862522245998</v>
      </c>
      <c r="AD71" s="7">
        <f t="shared" si="18"/>
        <v>-2.7945953294800301E-2</v>
      </c>
      <c r="AE71" s="7">
        <f t="shared" si="19"/>
        <v>0.112218444218849</v>
      </c>
      <c r="AF71" s="7">
        <f t="shared" si="20"/>
        <v>-2.24107890511158E-14</v>
      </c>
      <c r="AG71" s="7">
        <f t="shared" si="20"/>
        <v>3.9698738026061002E-14</v>
      </c>
      <c r="AH71" s="7">
        <f t="shared" si="21"/>
        <v>1.2066008218809753E-2</v>
      </c>
      <c r="AI71" s="7">
        <f t="shared" si="15"/>
        <v>-0.33471717144378238</v>
      </c>
      <c r="AJ71" s="8">
        <f t="shared" si="22"/>
        <v>-0.36037018100361096</v>
      </c>
      <c r="AK71" s="8">
        <f t="shared" si="23"/>
        <v>0.19734388436381262</v>
      </c>
      <c r="AL71" s="8">
        <f t="shared" si="24"/>
        <v>-0.18375688302281101</v>
      </c>
      <c r="AM71" s="8">
        <f t="shared" si="25"/>
        <v>1.2066008218809753E-2</v>
      </c>
      <c r="AN71" s="8">
        <f t="shared" si="26"/>
        <v>-0.33471717144379959</v>
      </c>
      <c r="AO71" s="9">
        <f t="shared" si="27"/>
        <v>0.62541912304894198</v>
      </c>
      <c r="AP71" s="9">
        <f t="shared" si="27"/>
        <v>0.37026204047907441</v>
      </c>
      <c r="AQ71" s="9">
        <f t="shared" si="27"/>
        <v>3.9318467601590582E-3</v>
      </c>
      <c r="AR71" s="9">
        <f t="shared" si="27"/>
        <v>3.8698971182451726E-4</v>
      </c>
      <c r="AS71" s="9">
        <f t="shared" si="27"/>
        <v>1</v>
      </c>
      <c r="AT71" s="7"/>
      <c r="AU71" s="7"/>
      <c r="AV71" s="7"/>
      <c r="AW71" s="7"/>
      <c r="AX71" s="7"/>
    </row>
    <row r="72" spans="1:50" x14ac:dyDescent="0.25">
      <c r="A72" s="1">
        <v>45565</v>
      </c>
      <c r="B72">
        <f>+[1]wFG_rstar_shock_decomposition!E72</f>
        <v>-0.19188343666194799</v>
      </c>
      <c r="C72">
        <f>+[1]wFG_rstar_shock_decomposition!F72</f>
        <v>-0.154932393131886</v>
      </c>
      <c r="D72">
        <f>+[1]wFG_rstar_shock_decomposition!G72</f>
        <v>0.273651245990018</v>
      </c>
      <c r="E72">
        <f>+[1]wFG_rstar_shock_decomposition!H72</f>
        <v>-2.9170070590070301E-2</v>
      </c>
      <c r="F72">
        <f>+[1]wFG_rstar_shock_decomposition!I72</f>
        <v>-0.31110182694439897</v>
      </c>
      <c r="G72">
        <f>+[1]wFG_rstar_shock_decomposition!J72</f>
        <v>-2.21469824987669E-14</v>
      </c>
      <c r="H72">
        <f>+[1]wFG_rstar_shock_decomposition!K72</f>
        <v>4.0537499580228702E-14</v>
      </c>
      <c r="I72">
        <f>+[1]wFG_rstar_shock_decomposition!L72</f>
        <v>-1.44419686439848E-15</v>
      </c>
      <c r="J72">
        <f>+[1]wFG_rstar_shock_decomposition!M72</f>
        <v>2.93032905003664E-15</v>
      </c>
      <c r="K72">
        <f>+[1]wFG_rstar_shock_decomposition!N72</f>
        <v>-1.30630085037055E-15</v>
      </c>
      <c r="L72">
        <f>+[1]wFG_rstar_shock_decomposition!O72</f>
        <v>2.1956971690414499E-15</v>
      </c>
      <c r="M72">
        <f>+[1]wFG_rstar_shock_decomposition!P72</f>
        <v>1.13652631006834E-15</v>
      </c>
      <c r="N72">
        <f>+[1]wFG_rstar_shock_decomposition!Q72</f>
        <v>4.2574545558243002E-15</v>
      </c>
      <c r="O72">
        <f>+[1]wFG_rstar_shock_decomposition!R72</f>
        <v>5.8259256103454102E-15</v>
      </c>
      <c r="P72">
        <f>+[1]wFG_rstar_shock_decomposition!S72</f>
        <v>9.7737055826856197E-14</v>
      </c>
      <c r="Q72">
        <f>+[1]wFG_rstar_shock_decomposition!T72</f>
        <v>9.5232374820941906E-2</v>
      </c>
      <c r="R72">
        <f>+[1]wFG_rstar_shock_decomposition!U72</f>
        <v>0</v>
      </c>
      <c r="S72">
        <f>+[1]wFG_rstar_shock_decomposition!V72</f>
        <v>-0.26597354015729602</v>
      </c>
      <c r="T72">
        <f>+[1]wFG_rstar_shock_decomposition!W72</f>
        <v>1.1920223405315299E-2</v>
      </c>
      <c r="U72" s="4">
        <f>+[1]wFG_rstar_shock_decomposition!D72</f>
        <v>-0.57225742326919304</v>
      </c>
      <c r="Y72" s="1">
        <f t="shared" si="16"/>
        <v>45565</v>
      </c>
      <c r="Z72" s="7">
        <f t="shared" si="16"/>
        <v>-0.19188343666194799</v>
      </c>
      <c r="AA72" s="7">
        <f t="shared" si="16"/>
        <v>-0.154932393131886</v>
      </c>
      <c r="AB72" s="7">
        <f t="shared" si="16"/>
        <v>0.273651245990018</v>
      </c>
      <c r="AC72" s="7">
        <f t="shared" si="17"/>
        <v>-0.57707536710169505</v>
      </c>
      <c r="AD72" s="7">
        <f t="shared" si="18"/>
        <v>-2.9170070590070301E-2</v>
      </c>
      <c r="AE72" s="7">
        <f t="shared" si="19"/>
        <v>9.5232374820941906E-2</v>
      </c>
      <c r="AF72" s="7">
        <f t="shared" si="20"/>
        <v>-2.21469824987669E-14</v>
      </c>
      <c r="AG72" s="7">
        <f t="shared" si="20"/>
        <v>4.0537499580228702E-14</v>
      </c>
      <c r="AH72" s="7">
        <f t="shared" si="21"/>
        <v>1.192022340542663E-2</v>
      </c>
      <c r="AI72" s="7">
        <f t="shared" si="15"/>
        <v>-0.57225742326919427</v>
      </c>
      <c r="AJ72" s="8">
        <f t="shared" si="22"/>
        <v>-0.48184299228075311</v>
      </c>
      <c r="AK72" s="8">
        <f t="shared" si="23"/>
        <v>8.9548782268061691E-2</v>
      </c>
      <c r="AL72" s="8">
        <f t="shared" si="24"/>
        <v>-0.19188343666194799</v>
      </c>
      <c r="AM72" s="8">
        <f t="shared" si="25"/>
        <v>1.192022340542663E-2</v>
      </c>
      <c r="AN72" s="8">
        <f t="shared" si="26"/>
        <v>-0.57225742326921281</v>
      </c>
      <c r="AO72" s="9">
        <f t="shared" si="27"/>
        <v>0.51137779952520201</v>
      </c>
      <c r="AP72" s="9">
        <f t="shared" si="27"/>
        <v>0.45379720391547751</v>
      </c>
      <c r="AQ72" s="9">
        <f t="shared" si="27"/>
        <v>3.4211269781383453E-2</v>
      </c>
      <c r="AR72" s="9">
        <f t="shared" si="27"/>
        <v>6.1372677793686563E-4</v>
      </c>
      <c r="AS72" s="9">
        <f t="shared" si="27"/>
        <v>1</v>
      </c>
      <c r="AT72" s="7"/>
      <c r="AU72" s="7"/>
      <c r="AV72" s="7"/>
      <c r="AW72" s="7"/>
      <c r="AX72" s="7"/>
    </row>
    <row r="73" spans="1:50" x14ac:dyDescent="0.25">
      <c r="A73" s="1">
        <v>45657</v>
      </c>
      <c r="B73">
        <f>+[1]wFG_rstar_shock_decomposition!E73</f>
        <v>-0.189659205835919</v>
      </c>
      <c r="C73">
        <f>+[1]wFG_rstar_shock_decomposition!F73</f>
        <v>-0.153383566285893</v>
      </c>
      <c r="D73">
        <f>+[1]wFG_rstar_shock_decomposition!G73</f>
        <v>0.27070547089783797</v>
      </c>
      <c r="E73">
        <f>+[1]wFG_rstar_shock_decomposition!H73</f>
        <v>-3.3458911614965697E-2</v>
      </c>
      <c r="F73">
        <f>+[1]wFG_rstar_shock_decomposition!I73</f>
        <v>-0.30331991799463698</v>
      </c>
      <c r="G73">
        <f>+[1]wFG_rstar_shock_decomposition!J73</f>
        <v>-2.1803529188159499E-14</v>
      </c>
      <c r="H73">
        <f>+[1]wFG_rstar_shock_decomposition!K73</f>
        <v>4.0999910242542599E-14</v>
      </c>
      <c r="I73">
        <f>+[1]wFG_rstar_shock_decomposition!L73</f>
        <v>-1.40050701209614E-15</v>
      </c>
      <c r="J73">
        <f>+[1]wFG_rstar_shock_decomposition!M73</f>
        <v>2.89287044608248E-15</v>
      </c>
      <c r="K73">
        <f>+[1]wFG_rstar_shock_decomposition!N73</f>
        <v>-1.31502615234535E-15</v>
      </c>
      <c r="L73">
        <f>+[1]wFG_rstar_shock_decomposition!O73</f>
        <v>2.1586128823062499E-15</v>
      </c>
      <c r="M73">
        <f>+[1]wFG_rstar_shock_decomposition!P73</f>
        <v>1.10691290213815E-15</v>
      </c>
      <c r="N73">
        <f>+[1]wFG_rstar_shock_decomposition!Q73</f>
        <v>4.2110532198212203E-15</v>
      </c>
      <c r="O73">
        <f>+[1]wFG_rstar_shock_decomposition!R73</f>
        <v>5.7861279973092802E-15</v>
      </c>
      <c r="P73">
        <f>+[1]wFG_rstar_shock_decomposition!S73</f>
        <v>9.7763225071504206E-14</v>
      </c>
      <c r="Q73">
        <f>+[1]wFG_rstar_shock_decomposition!T73</f>
        <v>8.9719402389175099E-2</v>
      </c>
      <c r="R73">
        <f>+[1]wFG_rstar_shock_decomposition!U73</f>
        <v>0</v>
      </c>
      <c r="S73">
        <f>+[1]wFG_rstar_shock_decomposition!V73</f>
        <v>-0.26299425783848601</v>
      </c>
      <c r="T73">
        <f>+[1]wFG_rstar_shock_decomposition!W73</f>
        <v>1.1776301000593599E-2</v>
      </c>
      <c r="U73" s="4">
        <f>+[1]wFG_rstar_shock_decomposition!D73</f>
        <v>-0.57061468528216197</v>
      </c>
      <c r="Y73" s="1">
        <f t="shared" si="16"/>
        <v>45657</v>
      </c>
      <c r="Z73" s="7">
        <f t="shared" si="16"/>
        <v>-0.189659205835919</v>
      </c>
      <c r="AA73" s="7">
        <f t="shared" si="16"/>
        <v>-0.153383566285893</v>
      </c>
      <c r="AB73" s="7">
        <f t="shared" si="16"/>
        <v>0.27070547089783797</v>
      </c>
      <c r="AC73" s="7">
        <f t="shared" si="17"/>
        <v>-0.56631417583312293</v>
      </c>
      <c r="AD73" s="7">
        <f t="shared" si="18"/>
        <v>-3.3458911614965697E-2</v>
      </c>
      <c r="AE73" s="7">
        <f t="shared" si="19"/>
        <v>8.9719402389175099E-2</v>
      </c>
      <c r="AF73" s="7">
        <f t="shared" si="20"/>
        <v>-2.1803529188159499E-14</v>
      </c>
      <c r="AG73" s="7">
        <f t="shared" si="20"/>
        <v>4.0999910242542599E-14</v>
      </c>
      <c r="AH73" s="7">
        <f t="shared" si="21"/>
        <v>1.1776301000704804E-2</v>
      </c>
      <c r="AI73" s="7">
        <f t="shared" si="15"/>
        <v>-0.57061468528216364</v>
      </c>
      <c r="AJ73" s="8">
        <f t="shared" si="22"/>
        <v>-0.47659477344394785</v>
      </c>
      <c r="AK73" s="8">
        <f t="shared" si="23"/>
        <v>8.3862992996979274E-2</v>
      </c>
      <c r="AL73" s="8">
        <f t="shared" si="24"/>
        <v>-0.189659205835919</v>
      </c>
      <c r="AM73" s="8">
        <f t="shared" si="25"/>
        <v>1.1776301000704804E-2</v>
      </c>
      <c r="AN73" s="8">
        <f t="shared" si="26"/>
        <v>-0.57061468528218273</v>
      </c>
      <c r="AO73" s="9">
        <f t="shared" si="27"/>
        <v>3.1947997052734998</v>
      </c>
      <c r="AP73" s="9">
        <f t="shared" si="27"/>
        <v>-3.4611662456054995</v>
      </c>
      <c r="AQ73" s="9">
        <f t="shared" si="27"/>
        <v>1.3539778367518016</v>
      </c>
      <c r="AR73" s="9">
        <f t="shared" si="27"/>
        <v>-8.7611296419842194E-2</v>
      </c>
      <c r="AS73" s="9">
        <f t="shared" si="27"/>
        <v>1</v>
      </c>
      <c r="AT73" s="7"/>
      <c r="AU73" s="7"/>
      <c r="AV73" s="7"/>
      <c r="AW73" s="7"/>
      <c r="AX73" s="7"/>
    </row>
    <row r="74" spans="1:50" x14ac:dyDescent="0.25">
      <c r="A74" s="1">
        <v>45747</v>
      </c>
      <c r="B74">
        <f>+[1]wFG_rstar_shock_decomposition!E74</f>
        <v>-0.18744074218276599</v>
      </c>
      <c r="C74">
        <f>+[1]wFG_rstar_shock_decomposition!F74</f>
        <v>-0.15184998866115601</v>
      </c>
      <c r="D74">
        <f>+[1]wFG_rstar_shock_decomposition!G74</f>
        <v>0.26785264575203499</v>
      </c>
      <c r="E74">
        <f>+[1]wFG_rstar_shock_decomposition!H74</f>
        <v>-3.7167146911832802E-2</v>
      </c>
      <c r="F74">
        <f>+[1]wFG_rstar_shock_decomposition!I74</f>
        <v>-0.29509439893802297</v>
      </c>
      <c r="G74">
        <f>+[1]wFG_rstar_shock_decomposition!J74</f>
        <v>-2.1450908426621399E-14</v>
      </c>
      <c r="H74">
        <f>+[1]wFG_rstar_shock_decomposition!K74</f>
        <v>4.1442486555669701E-14</v>
      </c>
      <c r="I74">
        <f>+[1]wFG_rstar_shock_decomposition!L74</f>
        <v>-1.36094735395031E-15</v>
      </c>
      <c r="J74">
        <f>+[1]wFG_rstar_shock_decomposition!M74</f>
        <v>2.8546517088600499E-15</v>
      </c>
      <c r="K74">
        <f>+[1]wFG_rstar_shock_decomposition!N74</f>
        <v>-1.3228647767400099E-15</v>
      </c>
      <c r="L74">
        <f>+[1]wFG_rstar_shock_decomposition!O74</f>
        <v>2.1220433058838901E-15</v>
      </c>
      <c r="M74">
        <f>+[1]wFG_rstar_shock_decomposition!P74</f>
        <v>1.0781908356884599E-15</v>
      </c>
      <c r="N74">
        <f>+[1]wFG_rstar_shock_decomposition!Q74</f>
        <v>4.16429154414319E-15</v>
      </c>
      <c r="O74">
        <f>+[1]wFG_rstar_shock_decomposition!R74</f>
        <v>5.7441757771442898E-15</v>
      </c>
      <c r="P74">
        <f>+[1]wFG_rstar_shock_decomposition!S74</f>
        <v>9.7779284669593104E-14</v>
      </c>
      <c r="Q74">
        <f>+[1]wFG_rstar_shock_decomposition!T74</f>
        <v>8.4764872434021296E-2</v>
      </c>
      <c r="R74">
        <f>+[1]wFG_rstar_shock_decomposition!U74</f>
        <v>0</v>
      </c>
      <c r="S74">
        <f>+[1]wFG_rstar_shock_decomposition!V74</f>
        <v>-0.26011499896624302</v>
      </c>
      <c r="T74">
        <f>+[1]wFG_rstar_shock_decomposition!W74</f>
        <v>1.1634215579764901E-2</v>
      </c>
      <c r="U74" s="4">
        <f>+[1]wFG_rstar_shock_decomposition!D74</f>
        <v>-0.56741554189406695</v>
      </c>
      <c r="Y74" s="1">
        <f t="shared" si="16"/>
        <v>45747</v>
      </c>
      <c r="Z74" s="7">
        <f t="shared" si="16"/>
        <v>-0.18744074218276599</v>
      </c>
      <c r="AA74" s="7">
        <f t="shared" si="16"/>
        <v>-0.15184998866115601</v>
      </c>
      <c r="AB74" s="7">
        <f t="shared" si="16"/>
        <v>0.26785264575203499</v>
      </c>
      <c r="AC74" s="7">
        <f t="shared" si="17"/>
        <v>-0.55520939790426604</v>
      </c>
      <c r="AD74" s="7">
        <f t="shared" si="18"/>
        <v>-3.7167146911832802E-2</v>
      </c>
      <c r="AE74" s="7">
        <f t="shared" si="19"/>
        <v>8.4764872434021296E-2</v>
      </c>
      <c r="AF74" s="7">
        <f t="shared" si="20"/>
        <v>-2.1450908426621399E-14</v>
      </c>
      <c r="AG74" s="7">
        <f t="shared" si="20"/>
        <v>4.1442486555669701E-14</v>
      </c>
      <c r="AH74" s="7">
        <f t="shared" si="21"/>
        <v>1.163421557987596E-2</v>
      </c>
      <c r="AI74" s="7">
        <f t="shared" si="15"/>
        <v>-0.56741554189406851</v>
      </c>
      <c r="AJ74" s="8">
        <f t="shared" si="22"/>
        <v>-0.47044452547024473</v>
      </c>
      <c r="AK74" s="8">
        <f t="shared" si="23"/>
        <v>7.8835510179046178E-2</v>
      </c>
      <c r="AL74" s="8">
        <f t="shared" si="24"/>
        <v>-0.18744074218276599</v>
      </c>
      <c r="AM74" s="8">
        <f t="shared" si="25"/>
        <v>1.163421557987596E-2</v>
      </c>
      <c r="AN74" s="8">
        <f t="shared" si="26"/>
        <v>-0.5674155418940886</v>
      </c>
      <c r="AO74" s="9">
        <f t="shared" si="27"/>
        <v>1.9224671193519376</v>
      </c>
      <c r="AP74" s="9">
        <f t="shared" si="27"/>
        <v>-1.5715090597824661</v>
      </c>
      <c r="AQ74" s="9">
        <f t="shared" si="27"/>
        <v>0.69345552356583973</v>
      </c>
      <c r="AR74" s="9">
        <f t="shared" si="27"/>
        <v>-4.4413583135293831E-2</v>
      </c>
      <c r="AS74" s="9">
        <f t="shared" si="27"/>
        <v>1</v>
      </c>
      <c r="AT74" s="7"/>
      <c r="AU74" s="7"/>
      <c r="AV74" s="7"/>
      <c r="AW74" s="7"/>
      <c r="AX74" s="7"/>
    </row>
    <row r="75" spans="1:50" x14ac:dyDescent="0.25">
      <c r="A75" s="1">
        <v>45838</v>
      </c>
      <c r="B75">
        <f>+[1]wFG_rstar_shock_decomposition!E75</f>
        <v>-0.18523233876197001</v>
      </c>
      <c r="C75">
        <f>+[1]wFG_rstar_shock_decomposition!F75</f>
        <v>-0.15033162272271899</v>
      </c>
      <c r="D75">
        <f>+[1]wFG_rstar_shock_decomposition!G75</f>
        <v>0.26507257694067898</v>
      </c>
      <c r="E75">
        <f>+[1]wFG_rstar_shock_decomposition!H75</f>
        <v>-4.0344708865340598E-2</v>
      </c>
      <c r="F75">
        <f>+[1]wFG_rstar_shock_decomposition!I75</f>
        <v>-0.28651298424222099</v>
      </c>
      <c r="G75">
        <f>+[1]wFG_rstar_shock_decomposition!J75</f>
        <v>-2.1090147215265301E-14</v>
      </c>
      <c r="H75">
        <f>+[1]wFG_rstar_shock_decomposition!K75</f>
        <v>4.18659795462736E-14</v>
      </c>
      <c r="I75">
        <f>+[1]wFG_rstar_shock_decomposition!L75</f>
        <v>-1.32533722762361E-15</v>
      </c>
      <c r="J75">
        <f>+[1]wFG_rstar_shock_decomposition!M75</f>
        <v>2.8158900377318798E-15</v>
      </c>
      <c r="K75">
        <f>+[1]wFG_rstar_shock_decomposition!N75</f>
        <v>-1.3293936439020601E-15</v>
      </c>
      <c r="L75">
        <f>+[1]wFG_rstar_shock_decomposition!O75</f>
        <v>2.0863366015562401E-15</v>
      </c>
      <c r="M75">
        <f>+[1]wFG_rstar_shock_decomposition!P75</f>
        <v>1.0507218716132901E-15</v>
      </c>
      <c r="N75">
        <f>+[1]wFG_rstar_shock_decomposition!Q75</f>
        <v>4.1173765459657903E-15</v>
      </c>
      <c r="O75">
        <f>+[1]wFG_rstar_shock_decomposition!R75</f>
        <v>5.70018846781497E-15</v>
      </c>
      <c r="P75">
        <f>+[1]wFG_rstar_shock_decomposition!S75</f>
        <v>9.7785141653681199E-14</v>
      </c>
      <c r="Q75">
        <f>+[1]wFG_rstar_shock_decomposition!T75</f>
        <v>8.0305545719614804E-2</v>
      </c>
      <c r="R75">
        <f>+[1]wFG_rstar_shock_decomposition!U75</f>
        <v>0</v>
      </c>
      <c r="S75">
        <f>+[1]wFG_rstar_shock_decomposition!V75</f>
        <v>-0.25732012234137702</v>
      </c>
      <c r="T75">
        <f>+[1]wFG_rstar_shock_decomposition!W75</f>
        <v>1.1493942081294201E-2</v>
      </c>
      <c r="U75" s="4">
        <f>+[1]wFG_rstar_shock_decomposition!D75</f>
        <v>-0.56286971219190796</v>
      </c>
      <c r="Y75" s="1">
        <f t="shared" si="16"/>
        <v>45838</v>
      </c>
      <c r="Z75" s="7">
        <f t="shared" si="16"/>
        <v>-0.18523233876197001</v>
      </c>
      <c r="AA75" s="7">
        <f t="shared" si="16"/>
        <v>-0.15033162272271899</v>
      </c>
      <c r="AB75" s="7">
        <f t="shared" si="16"/>
        <v>0.26507257694067898</v>
      </c>
      <c r="AC75" s="7">
        <f t="shared" si="17"/>
        <v>-0.54383310658359796</v>
      </c>
      <c r="AD75" s="7">
        <f t="shared" si="18"/>
        <v>-4.0344708865340598E-2</v>
      </c>
      <c r="AE75" s="7">
        <f t="shared" si="19"/>
        <v>8.0305545719614804E-2</v>
      </c>
      <c r="AF75" s="7">
        <f t="shared" si="20"/>
        <v>-2.1090147215265301E-14</v>
      </c>
      <c r="AG75" s="7">
        <f t="shared" si="20"/>
        <v>4.18659795462736E-14</v>
      </c>
      <c r="AH75" s="7">
        <f t="shared" si="21"/>
        <v>1.1493942081405103E-2</v>
      </c>
      <c r="AI75" s="7">
        <f t="shared" si="15"/>
        <v>-0.56286971219190796</v>
      </c>
      <c r="AJ75" s="8">
        <f t="shared" si="22"/>
        <v>-0.46352756086398317</v>
      </c>
      <c r="AK75" s="8">
        <f t="shared" si="23"/>
        <v>7.4396245352619392E-2</v>
      </c>
      <c r="AL75" s="8">
        <f t="shared" si="24"/>
        <v>-0.18523233876197001</v>
      </c>
      <c r="AM75" s="8">
        <f t="shared" si="25"/>
        <v>1.1493942081405103E-2</v>
      </c>
      <c r="AN75" s="8">
        <f t="shared" si="26"/>
        <v>-0.56286971219192872</v>
      </c>
      <c r="AO75" s="9">
        <f t="shared" si="27"/>
        <v>1.5216066283730487</v>
      </c>
      <c r="AP75" s="9">
        <f t="shared" si="27"/>
        <v>-0.97655766213977002</v>
      </c>
      <c r="AQ75" s="9">
        <f t="shared" si="27"/>
        <v>0.4858086566126063</v>
      </c>
      <c r="AR75" s="9">
        <f t="shared" si="27"/>
        <v>-3.0857622845881668E-2</v>
      </c>
      <c r="AS75" s="9">
        <f t="shared" si="27"/>
        <v>1</v>
      </c>
      <c r="AT75" s="7"/>
      <c r="AU75" s="7"/>
      <c r="AV75" s="7"/>
      <c r="AW75" s="7"/>
      <c r="AX75" s="7"/>
    </row>
    <row r="76" spans="1:50" x14ac:dyDescent="0.25">
      <c r="A76" s="1">
        <v>45930</v>
      </c>
      <c r="B76">
        <f>+[1]wFG_rstar_shock_decomposition!E76</f>
        <v>-0.18303739874705399</v>
      </c>
      <c r="C76">
        <f>+[1]wFG_rstar_shock_decomposition!F76</f>
        <v>-0.14882837602829399</v>
      </c>
      <c r="D76">
        <f>+[1]wFG_rstar_shock_decomposition!G76</f>
        <v>0.26235111769576502</v>
      </c>
      <c r="E76">
        <f>+[1]wFG_rstar_shock_decomposition!H76</f>
        <v>-4.3040141884107597E-2</v>
      </c>
      <c r="F76">
        <f>+[1]wFG_rstar_shock_decomposition!I76</f>
        <v>-0.27765865488206698</v>
      </c>
      <c r="G76">
        <f>+[1]wFG_rstar_shock_decomposition!J76</f>
        <v>-2.0722079366089401E-14</v>
      </c>
      <c r="H76">
        <f>+[1]wFG_rstar_shock_decomposition!K76</f>
        <v>4.2271066709581498E-14</v>
      </c>
      <c r="I76">
        <f>+[1]wFG_rstar_shock_decomposition!L76</f>
        <v>-1.29337933639341E-15</v>
      </c>
      <c r="J76">
        <f>+[1]wFG_rstar_shock_decomposition!M76</f>
        <v>2.7767879701531099E-15</v>
      </c>
      <c r="K76">
        <f>+[1]wFG_rstar_shock_decomposition!N76</f>
        <v>-1.3343021345260901E-15</v>
      </c>
      <c r="L76">
        <f>+[1]wFG_rstar_shock_decomposition!O76</f>
        <v>2.05173833911782E-15</v>
      </c>
      <c r="M76">
        <f>+[1]wFG_rstar_shock_decomposition!P76</f>
        <v>1.0247554327713701E-15</v>
      </c>
      <c r="N76">
        <f>+[1]wFG_rstar_shock_decomposition!Q76</f>
        <v>4.0704834826582798E-15</v>
      </c>
      <c r="O76">
        <f>+[1]wFG_rstar_shock_decomposition!R76</f>
        <v>5.6542750365390496E-15</v>
      </c>
      <c r="P76">
        <f>+[1]wFG_rstar_shock_decomposition!S76</f>
        <v>9.7780709700376706E-14</v>
      </c>
      <c r="Q76">
        <f>+[1]wFG_rstar_shock_decomposition!T76</f>
        <v>7.6285276770788196E-2</v>
      </c>
      <c r="R76">
        <f>+[1]wFG_rstar_shock_decomposition!U76</f>
        <v>0</v>
      </c>
      <c r="S76">
        <f>+[1]wFG_rstar_shock_decomposition!V76</f>
        <v>-0.25459714675175898</v>
      </c>
      <c r="T76">
        <f>+[1]wFG_rstar_shock_decomposition!W76</f>
        <v>1.13554558017799E-2</v>
      </c>
      <c r="U76" s="4">
        <f>+[1]wFG_rstar_shock_decomposition!D76</f>
        <v>-0.55716986802481605</v>
      </c>
      <c r="Y76" s="1">
        <f t="shared" si="16"/>
        <v>45930</v>
      </c>
      <c r="Z76" s="7">
        <f t="shared" si="16"/>
        <v>-0.18303739874705399</v>
      </c>
      <c r="AA76" s="7">
        <f t="shared" si="16"/>
        <v>-0.14882837602829399</v>
      </c>
      <c r="AB76" s="7">
        <f t="shared" si="16"/>
        <v>0.26235111769576502</v>
      </c>
      <c r="AC76" s="7">
        <f t="shared" si="17"/>
        <v>-0.53225580163382591</v>
      </c>
      <c r="AD76" s="7">
        <f t="shared" si="18"/>
        <v>-4.3040141884107597E-2</v>
      </c>
      <c r="AE76" s="7">
        <f t="shared" si="19"/>
        <v>7.6285276770788196E-2</v>
      </c>
      <c r="AF76" s="7">
        <f t="shared" si="20"/>
        <v>-2.0722079366089401E-14</v>
      </c>
      <c r="AG76" s="7">
        <f t="shared" si="20"/>
        <v>4.2271066709581498E-14</v>
      </c>
      <c r="AH76" s="7">
        <f t="shared" si="21"/>
        <v>1.1355455801890631E-2</v>
      </c>
      <c r="AI76" s="7">
        <f t="shared" si="15"/>
        <v>-0.55716986802481605</v>
      </c>
      <c r="AJ76" s="8">
        <f t="shared" si="22"/>
        <v>-0.45597052486303769</v>
      </c>
      <c r="AK76" s="8">
        <f t="shared" si="23"/>
        <v>7.0482599783363437E-2</v>
      </c>
      <c r="AL76" s="8">
        <f t="shared" si="24"/>
        <v>-0.18303739874705399</v>
      </c>
      <c r="AM76" s="8">
        <f t="shared" si="25"/>
        <v>1.1355455801890631E-2</v>
      </c>
      <c r="AN76" s="8">
        <f t="shared" si="26"/>
        <v>-0.55716986802483759</v>
      </c>
      <c r="AO76" s="9">
        <f t="shared" si="27"/>
        <v>1.3258320367032348</v>
      </c>
      <c r="AP76" s="9">
        <f t="shared" si="27"/>
        <v>-0.68662325750095976</v>
      </c>
      <c r="AQ76" s="9">
        <f t="shared" si="27"/>
        <v>0.38508772355371079</v>
      </c>
      <c r="AR76" s="9">
        <f t="shared" si="27"/>
        <v>-2.4296502755995153E-2</v>
      </c>
      <c r="AS76" s="9">
        <f t="shared" si="27"/>
        <v>1</v>
      </c>
      <c r="AT76" s="7"/>
      <c r="AU76" s="7"/>
      <c r="AV76" s="7"/>
      <c r="AW76" s="7"/>
      <c r="AX76" s="7"/>
    </row>
    <row r="77" spans="1:50" x14ac:dyDescent="0.25">
      <c r="A77" s="1">
        <v>46022</v>
      </c>
      <c r="B77">
        <f>+[1]wFG_rstar_shock_decomposition!E77</f>
        <v>-0.18085860840628001</v>
      </c>
      <c r="C77">
        <f>+[1]wFG_rstar_shock_decomposition!F77</f>
        <v>-0.14734012836264701</v>
      </c>
      <c r="D77">
        <f>+[1]wFG_rstar_shock_decomposition!G77</f>
        <v>0.25967833422632902</v>
      </c>
      <c r="E77">
        <f>+[1]wFG_rstar_shock_decomposition!H77</f>
        <v>-4.5299844015065399E-2</v>
      </c>
      <c r="F77">
        <f>+[1]wFG_rstar_shock_decomposition!I77</f>
        <v>-0.26860840106598899</v>
      </c>
      <c r="G77">
        <f>+[1]wFG_rstar_shock_decomposition!J77</f>
        <v>-2.0347420300364899E-14</v>
      </c>
      <c r="H77">
        <f>+[1]wFG_rstar_shock_decomposition!K77</f>
        <v>4.2658349666420402E-14</v>
      </c>
      <c r="I77">
        <f>+[1]wFG_rstar_shock_decomposition!L77</f>
        <v>-1.2647083044021201E-15</v>
      </c>
      <c r="J77">
        <f>+[1]wFG_rstar_shock_decomposition!M77</f>
        <v>2.7375305177144602E-15</v>
      </c>
      <c r="K77">
        <f>+[1]wFG_rstar_shock_decomposition!N77</f>
        <v>-1.3373790503552101E-15</v>
      </c>
      <c r="L77">
        <f>+[1]wFG_rstar_shock_decomposition!O77</f>
        <v>2.0184100419868302E-15</v>
      </c>
      <c r="M77">
        <f>+[1]wFG_rstar_shock_decomposition!P77</f>
        <v>1.0004475183307701E-15</v>
      </c>
      <c r="N77">
        <f>+[1]wFG_rstar_shock_decomposition!Q77</f>
        <v>4.0237587363582196E-15</v>
      </c>
      <c r="O77">
        <f>+[1]wFG_rstar_shock_decomposition!R77</f>
        <v>5.6065439518127202E-15</v>
      </c>
      <c r="P77">
        <f>+[1]wFG_rstar_shock_decomposition!S77</f>
        <v>9.7765914581708998E-14</v>
      </c>
      <c r="Q77">
        <f>+[1]wFG_rstar_shock_decomposition!T77</f>
        <v>7.2654250315626695E-2</v>
      </c>
      <c r="R77">
        <f>+[1]wFG_rstar_shock_decomposition!U77</f>
        <v>0</v>
      </c>
      <c r="S77">
        <f>+[1]wFG_rstar_shock_decomposition!V77</f>
        <v>-0.25193610785495801</v>
      </c>
      <c r="T77">
        <f>+[1]wFG_rstar_shock_decomposition!W77</f>
        <v>1.12187323909116E-2</v>
      </c>
      <c r="U77" s="4">
        <f>+[1]wFG_rstar_shock_decomposition!D77</f>
        <v>-0.55049177277193895</v>
      </c>
      <c r="Y77" s="1">
        <f t="shared" si="16"/>
        <v>46022</v>
      </c>
      <c r="Z77" s="7">
        <f t="shared" si="16"/>
        <v>-0.18085860840628001</v>
      </c>
      <c r="AA77" s="7">
        <f t="shared" si="16"/>
        <v>-0.14734012836264701</v>
      </c>
      <c r="AB77" s="7">
        <f t="shared" si="16"/>
        <v>0.25967833422632902</v>
      </c>
      <c r="AC77" s="7">
        <f t="shared" si="17"/>
        <v>-0.52054450892094706</v>
      </c>
      <c r="AD77" s="7">
        <f t="shared" si="18"/>
        <v>-4.5299844015065399E-2</v>
      </c>
      <c r="AE77" s="7">
        <f t="shared" si="19"/>
        <v>7.2654250315626695E-2</v>
      </c>
      <c r="AF77" s="7">
        <f t="shared" si="20"/>
        <v>-2.0347420300364899E-14</v>
      </c>
      <c r="AG77" s="7">
        <f t="shared" si="20"/>
        <v>4.2658349666420402E-14</v>
      </c>
      <c r="AH77" s="7">
        <f t="shared" si="21"/>
        <v>1.1218732391022153E-2</v>
      </c>
      <c r="AI77" s="7">
        <f t="shared" si="15"/>
        <v>-0.55049177277193939</v>
      </c>
      <c r="AJ77" s="8">
        <f t="shared" si="22"/>
        <v>-0.44789025860532039</v>
      </c>
      <c r="AK77" s="8">
        <f t="shared" si="23"/>
        <v>6.7038361848616612E-2</v>
      </c>
      <c r="AL77" s="8">
        <f t="shared" si="24"/>
        <v>-0.18085860840628001</v>
      </c>
      <c r="AM77" s="8">
        <f t="shared" si="25"/>
        <v>1.1218732391022153E-2</v>
      </c>
      <c r="AN77" s="8">
        <f t="shared" si="26"/>
        <v>-0.55049177277196171</v>
      </c>
      <c r="AO77" s="9">
        <f t="shared" si="27"/>
        <v>1.2099657090451916</v>
      </c>
      <c r="AP77" s="9">
        <f t="shared" si="27"/>
        <v>-0.51575154356529784</v>
      </c>
      <c r="AQ77" s="9">
        <f t="shared" si="27"/>
        <v>0.32625924882333707</v>
      </c>
      <c r="AR77" s="9">
        <f t="shared" si="27"/>
        <v>-2.0473414303217533E-2</v>
      </c>
      <c r="AS77" s="9">
        <f t="shared" si="27"/>
        <v>1</v>
      </c>
      <c r="AT77" s="7"/>
      <c r="AU77" s="7"/>
      <c r="AV77" s="7"/>
      <c r="AW77" s="7"/>
      <c r="AX77" s="7"/>
    </row>
    <row r="78" spans="1:50" x14ac:dyDescent="0.25">
      <c r="A78" s="1">
        <v>46112</v>
      </c>
      <c r="B78">
        <f>+[1]wFG_rstar_shock_decomposition!E78</f>
        <v>-0.178698076126418</v>
      </c>
      <c r="C78">
        <f>+[1]wFG_rstar_shock_decomposition!F78</f>
        <v>-0.14586674581582701</v>
      </c>
      <c r="D78">
        <f>+[1]wFG_rstar_shock_decomposition!G78</f>
        <v>0.25704722825551202</v>
      </c>
      <c r="E78">
        <f>+[1]wFG_rstar_shock_decomposition!H78</f>
        <v>-4.7167583845686298E-2</v>
      </c>
      <c r="F78">
        <f>+[1]wFG_rstar_shock_decomposition!I78</f>
        <v>-0.25943251588537303</v>
      </c>
      <c r="G78">
        <f>+[1]wFG_rstar_shock_decomposition!J78</f>
        <v>-1.99668230430521E-14</v>
      </c>
      <c r="H78">
        <f>+[1]wFG_rstar_shock_decomposition!K78</f>
        <v>4.30283563961805E-14</v>
      </c>
      <c r="I78">
        <f>+[1]wFG_rstar_shock_decomposition!L78</f>
        <v>-1.23892702465151E-15</v>
      </c>
      <c r="J78">
        <f>+[1]wFG_rstar_shock_decomposition!M78</f>
        <v>2.6982836249068701E-15</v>
      </c>
      <c r="K78">
        <f>+[1]wFG_rstar_shock_decomposition!N78</f>
        <v>-1.33849901650091E-15</v>
      </c>
      <c r="L78">
        <f>+[1]wFG_rstar_shock_decomposition!O78</f>
        <v>1.9864456062744499E-15</v>
      </c>
      <c r="M78">
        <f>+[1]wFG_rstar_shock_decomposition!P78</f>
        <v>9.7787801942042605E-16</v>
      </c>
      <c r="N78">
        <f>+[1]wFG_rstar_shock_decomposition!Q78</f>
        <v>3.9773229177861297E-15</v>
      </c>
      <c r="O78">
        <f>+[1]wFG_rstar_shock_decomposition!R78</f>
        <v>5.55710932675891E-15</v>
      </c>
      <c r="P78">
        <f>+[1]wFG_rstar_shock_decomposition!S78</f>
        <v>9.7740698336876003E-14</v>
      </c>
      <c r="Q78">
        <f>+[1]wFG_rstar_shock_decomposition!T78</f>
        <v>6.9368293177873797E-2</v>
      </c>
      <c r="R78">
        <f>+[1]wFG_rstar_shock_decomposition!U78</f>
        <v>0</v>
      </c>
      <c r="S78">
        <f>+[1]wFG_rstar_shock_decomposition!V78</f>
        <v>-0.24932904547704099</v>
      </c>
      <c r="T78">
        <f>+[1]wFG_rstar_shock_decomposition!W78</f>
        <v>1.1083747846490201E-2</v>
      </c>
      <c r="U78" s="4">
        <f>+[1]wFG_rstar_shock_decomposition!D78</f>
        <v>-0.54299469787033505</v>
      </c>
      <c r="Y78" s="1">
        <f t="shared" si="16"/>
        <v>46112</v>
      </c>
      <c r="Z78" s="7">
        <f t="shared" si="16"/>
        <v>-0.178698076126418</v>
      </c>
      <c r="AA78" s="7">
        <f t="shared" si="16"/>
        <v>-0.14586674581582701</v>
      </c>
      <c r="AB78" s="7">
        <f t="shared" si="16"/>
        <v>0.25704722825551202</v>
      </c>
      <c r="AC78" s="7">
        <f t="shared" si="17"/>
        <v>-0.50876156136241402</v>
      </c>
      <c r="AD78" s="7">
        <f t="shared" si="18"/>
        <v>-4.7167583845686298E-2</v>
      </c>
      <c r="AE78" s="7">
        <f t="shared" si="19"/>
        <v>6.9368293177873797E-2</v>
      </c>
      <c r="AF78" s="7">
        <f t="shared" si="20"/>
        <v>-1.99668230430521E-14</v>
      </c>
      <c r="AG78" s="7">
        <f t="shared" si="20"/>
        <v>4.30283563961805E-14</v>
      </c>
      <c r="AH78" s="7">
        <f t="shared" si="21"/>
        <v>1.108374784660056E-2</v>
      </c>
      <c r="AI78" s="7">
        <f t="shared" si="15"/>
        <v>-0.54299469787033594</v>
      </c>
      <c r="AJ78" s="8">
        <f t="shared" si="22"/>
        <v>-0.43939326818454022</v>
      </c>
      <c r="AK78" s="8">
        <f t="shared" si="23"/>
        <v>6.401289859399871E-2</v>
      </c>
      <c r="AL78" s="8">
        <f t="shared" si="24"/>
        <v>-0.178698076126418</v>
      </c>
      <c r="AM78" s="8">
        <f t="shared" si="25"/>
        <v>1.108374784660056E-2</v>
      </c>
      <c r="AN78" s="8">
        <f t="shared" si="26"/>
        <v>-0.54299469787035892</v>
      </c>
      <c r="AO78" s="9">
        <f t="shared" si="27"/>
        <v>1.1333740868673481</v>
      </c>
      <c r="AP78" s="9">
        <f t="shared" si="27"/>
        <v>-0.40355249138181803</v>
      </c>
      <c r="AQ78" s="9">
        <f t="shared" si="27"/>
        <v>0.28818336594184479</v>
      </c>
      <c r="AR78" s="9">
        <f t="shared" si="27"/>
        <v>-1.80049614273874E-2</v>
      </c>
      <c r="AS78" s="9">
        <f t="shared" si="27"/>
        <v>1</v>
      </c>
      <c r="AT78" s="7"/>
      <c r="AU78" s="7"/>
      <c r="AV78" s="7"/>
      <c r="AW78" s="7"/>
      <c r="AX78" s="7"/>
    </row>
    <row r="79" spans="1:50" x14ac:dyDescent="0.25">
      <c r="A79" s="1">
        <v>46203</v>
      </c>
      <c r="B79">
        <f>+[1]wFG_rstar_shock_decomposition!E79</f>
        <v>-0.17655744421438699</v>
      </c>
      <c r="C79">
        <f>+[1]wFG_rstar_shock_decomposition!F79</f>
        <v>-0.144408088083988</v>
      </c>
      <c r="D79">
        <f>+[1]wFG_rstar_shock_decomposition!G79</f>
        <v>0.25445284714364202</v>
      </c>
      <c r="E79">
        <f>+[1]wFG_rstar_shock_decomposition!H79</f>
        <v>-4.86842228078187E-2</v>
      </c>
      <c r="F79">
        <f>+[1]wFG_rstar_shock_decomposition!I79</f>
        <v>-0.25019429181521302</v>
      </c>
      <c r="G79">
        <f>+[1]wFG_rstar_shock_decomposition!J79</f>
        <v>-1.9580918139271899E-14</v>
      </c>
      <c r="H79">
        <f>+[1]wFG_rstar_shock_decomposition!K79</f>
        <v>4.3381546548681398E-14</v>
      </c>
      <c r="I79">
        <f>+[1]wFG_rstar_shock_decomposition!L79</f>
        <v>-1.21563312118809E-15</v>
      </c>
      <c r="J79">
        <f>+[1]wFG_rstar_shock_decomposition!M79</f>
        <v>2.6591936246855299E-15</v>
      </c>
      <c r="K79">
        <f>+[1]wFG_rstar_shock_decomposition!N79</f>
        <v>-1.33760905429181E-15</v>
      </c>
      <c r="L79">
        <f>+[1]wFG_rstar_shock_decomposition!O79</f>
        <v>1.95588554707953E-15</v>
      </c>
      <c r="M79">
        <f>+[1]wFG_rstar_shock_decomposition!P79</f>
        <v>9.5706616390963004E-16</v>
      </c>
      <c r="N79">
        <f>+[1]wFG_rstar_shock_decomposition!Q79</f>
        <v>3.9312739629504997E-15</v>
      </c>
      <c r="O79">
        <f>+[1]wFG_rstar_shock_decomposition!R79</f>
        <v>5.5060940725552999E-15</v>
      </c>
      <c r="P79">
        <f>+[1]wFG_rstar_shock_decomposition!S79</f>
        <v>9.7705022295022702E-14</v>
      </c>
      <c r="Q79">
        <f>+[1]wFG_rstar_shock_decomposition!T79</f>
        <v>6.6388255635028606E-2</v>
      </c>
      <c r="R79">
        <f>+[1]wFG_rstar_shock_decomposition!U79</f>
        <v>0</v>
      </c>
      <c r="S79">
        <f>+[1]wFG_rstar_shock_decomposition!V79</f>
        <v>-0.246769594945172</v>
      </c>
      <c r="T79">
        <f>+[1]wFG_rstar_shock_decomposition!W79</f>
        <v>1.0950478509507E-2</v>
      </c>
      <c r="U79" s="4">
        <f>+[1]wFG_rstar_shock_decomposition!D79</f>
        <v>-0.53482206057826698</v>
      </c>
      <c r="Y79" s="1">
        <f t="shared" si="16"/>
        <v>46203</v>
      </c>
      <c r="Z79" s="7">
        <f t="shared" si="16"/>
        <v>-0.17655744421438699</v>
      </c>
      <c r="AA79" s="7">
        <f t="shared" si="16"/>
        <v>-0.144408088083988</v>
      </c>
      <c r="AB79" s="7">
        <f t="shared" si="16"/>
        <v>0.25445284714364202</v>
      </c>
      <c r="AC79" s="7">
        <f t="shared" si="17"/>
        <v>-0.49696388676038505</v>
      </c>
      <c r="AD79" s="7">
        <f t="shared" si="18"/>
        <v>-4.86842228078187E-2</v>
      </c>
      <c r="AE79" s="7">
        <f t="shared" si="19"/>
        <v>6.6388255635028606E-2</v>
      </c>
      <c r="AF79" s="7">
        <f t="shared" si="20"/>
        <v>-1.9580918139271899E-14</v>
      </c>
      <c r="AG79" s="7">
        <f t="shared" si="20"/>
        <v>4.3381546548681398E-14</v>
      </c>
      <c r="AH79" s="7">
        <f t="shared" si="21"/>
        <v>1.0950478509617161E-2</v>
      </c>
      <c r="AI79" s="7">
        <f t="shared" si="15"/>
        <v>-0.53482206057826709</v>
      </c>
      <c r="AJ79" s="8">
        <f t="shared" si="22"/>
        <v>-0.43057563112535646</v>
      </c>
      <c r="AK79" s="8">
        <f t="shared" si="23"/>
        <v>6.1360536251835324E-2</v>
      </c>
      <c r="AL79" s="8">
        <f t="shared" si="24"/>
        <v>-0.17655744421438699</v>
      </c>
      <c r="AM79" s="8">
        <f t="shared" si="25"/>
        <v>1.0950478509617161E-2</v>
      </c>
      <c r="AN79" s="8">
        <f t="shared" si="26"/>
        <v>-0.53482206057829096</v>
      </c>
      <c r="AO79" s="9">
        <f t="shared" si="27"/>
        <v>1.0789218637834088</v>
      </c>
      <c r="AP79" s="9">
        <f t="shared" si="27"/>
        <v>-0.32454179078002932</v>
      </c>
      <c r="AQ79" s="9">
        <f t="shared" si="27"/>
        <v>0.2619266994888691</v>
      </c>
      <c r="AR79" s="9">
        <f t="shared" si="27"/>
        <v>-1.6306772492246234E-2</v>
      </c>
      <c r="AS79" s="9">
        <f t="shared" si="27"/>
        <v>1</v>
      </c>
      <c r="AT79" s="7"/>
      <c r="AU79" s="7"/>
      <c r="AV79" s="7"/>
      <c r="AW79" s="7"/>
      <c r="AX79" s="7"/>
    </row>
    <row r="80" spans="1:50" x14ac:dyDescent="0.25">
      <c r="A80" s="1">
        <v>46295</v>
      </c>
      <c r="B80">
        <f>+[1]wFG_rstar_shock_decomposition!E80</f>
        <v>-0.17443797886708901</v>
      </c>
      <c r="C80">
        <f>+[1]wFG_rstar_shock_decomposition!F80</f>
        <v>-0.14296401225210301</v>
      </c>
      <c r="D80">
        <f>+[1]wFG_rstar_shock_decomposition!G80</f>
        <v>0.25189166400024998</v>
      </c>
      <c r="E80">
        <f>+[1]wFG_rstar_shock_decomposition!H80</f>
        <v>-4.9887588776409399E-2</v>
      </c>
      <c r="F80">
        <f>+[1]wFG_rstar_shock_decomposition!I80</f>
        <v>-0.24095000630615199</v>
      </c>
      <c r="G80">
        <f>+[1]wFG_rstar_shock_decomposition!J80</f>
        <v>-1.9190340222849801E-14</v>
      </c>
      <c r="H80">
        <f>+[1]wFG_rstar_shock_decomposition!K80</f>
        <v>4.3718318660099597E-14</v>
      </c>
      <c r="I80">
        <f>+[1]wFG_rstar_shock_decomposition!L80</f>
        <v>-1.1944375282684499E-15</v>
      </c>
      <c r="J80">
        <f>+[1]wFG_rstar_shock_decomposition!M80</f>
        <v>2.62038742883089E-15</v>
      </c>
      <c r="K80">
        <f>+[1]wFG_rstar_shock_decomposition!N80</f>
        <v>-1.33471581598857E-15</v>
      </c>
      <c r="L80">
        <f>+[1]wFG_rstar_shock_decomposition!O80</f>
        <v>1.92672915306042E-15</v>
      </c>
      <c r="M80">
        <f>+[1]wFG_rstar_shock_decomposition!P80</f>
        <v>9.3798400888398702E-16</v>
      </c>
      <c r="N80">
        <f>+[1]wFG_rstar_shock_decomposition!Q80</f>
        <v>3.8856900881417098E-15</v>
      </c>
      <c r="O80">
        <f>+[1]wFG_rstar_shock_decomposition!R80</f>
        <v>5.4536308553500603E-15</v>
      </c>
      <c r="P80">
        <f>+[1]wFG_rstar_shock_decomposition!S80</f>
        <v>9.7658869089420002E-14</v>
      </c>
      <c r="Q80">
        <f>+[1]wFG_rstar_shock_decomposition!T80</f>
        <v>6.3679456380369495E-2</v>
      </c>
      <c r="R80">
        <f>+[1]wFG_rstar_shock_decomposition!U80</f>
        <v>0</v>
      </c>
      <c r="S80">
        <f>+[1]wFG_rstar_shock_decomposition!V80</f>
        <v>-0.24425266140106899</v>
      </c>
      <c r="T80">
        <f>+[1]wFG_rstar_shock_decomposition!W80</f>
        <v>1.0818901059283501E-2</v>
      </c>
      <c r="U80" s="4">
        <f>+[1]wFG_rstar_shock_decomposition!D80</f>
        <v>-0.52610222616278401</v>
      </c>
      <c r="Y80" s="1">
        <f t="shared" si="16"/>
        <v>46295</v>
      </c>
      <c r="Z80" s="7">
        <f t="shared" si="16"/>
        <v>-0.17443797886708901</v>
      </c>
      <c r="AA80" s="7">
        <f t="shared" si="16"/>
        <v>-0.14296401225210301</v>
      </c>
      <c r="AB80" s="7">
        <f t="shared" si="16"/>
        <v>0.25189166400024998</v>
      </c>
      <c r="AC80" s="7">
        <f t="shared" si="17"/>
        <v>-0.48520266770722098</v>
      </c>
      <c r="AD80" s="7">
        <f t="shared" si="18"/>
        <v>-4.9887588776409399E-2</v>
      </c>
      <c r="AE80" s="7">
        <f t="shared" si="19"/>
        <v>6.3679456380369495E-2</v>
      </c>
      <c r="AF80" s="7">
        <f t="shared" si="20"/>
        <v>-1.9190340222849801E-14</v>
      </c>
      <c r="AG80" s="7">
        <f t="shared" si="20"/>
        <v>4.3718318660099597E-14</v>
      </c>
      <c r="AH80" s="7">
        <f t="shared" si="21"/>
        <v>1.0818901059393458E-2</v>
      </c>
      <c r="AI80" s="7">
        <f t="shared" si="15"/>
        <v>-0.5261022261627849</v>
      </c>
      <c r="AJ80" s="8">
        <f t="shared" si="22"/>
        <v>-0.4215232113268515</v>
      </c>
      <c r="AK80" s="8">
        <f t="shared" si="23"/>
        <v>5.9040062971737577E-2</v>
      </c>
      <c r="AL80" s="8">
        <f t="shared" si="24"/>
        <v>-0.17443797886708901</v>
      </c>
      <c r="AM80" s="8">
        <f t="shared" si="25"/>
        <v>1.0818901059393458E-2</v>
      </c>
      <c r="AN80" s="8">
        <f t="shared" si="26"/>
        <v>-0.52610222616280955</v>
      </c>
      <c r="AO80" s="9">
        <f t="shared" si="27"/>
        <v>1.0381412498422073</v>
      </c>
      <c r="AP80" s="9">
        <f t="shared" si="27"/>
        <v>-0.2661143743713667</v>
      </c>
      <c r="AQ80" s="9">
        <f t="shared" si="27"/>
        <v>0.24306256819911992</v>
      </c>
      <c r="AR80" s="9">
        <f t="shared" si="27"/>
        <v>-1.5089443669950544E-2</v>
      </c>
      <c r="AS80" s="9">
        <f t="shared" si="27"/>
        <v>1</v>
      </c>
      <c r="AT80" s="7"/>
      <c r="AU80" s="7"/>
      <c r="AV80" s="7"/>
      <c r="AW80" s="7"/>
      <c r="AX80" s="7"/>
    </row>
    <row r="81" spans="1:50" x14ac:dyDescent="0.25">
      <c r="A81" s="1">
        <v>46387</v>
      </c>
      <c r="B81">
        <f>+[1]wFG_rstar_shock_decomposition!E81</f>
        <v>-0.17234064262458201</v>
      </c>
      <c r="C81">
        <f>+[1]wFG_rstar_shock_decomposition!F81</f>
        <v>-0.14153437475050601</v>
      </c>
      <c r="D81">
        <f>+[1]wFG_rstar_shock_decomposition!G81</f>
        <v>0.24936114586800001</v>
      </c>
      <c r="E81">
        <f>+[1]wFG_rstar_shock_decomposition!H81</f>
        <v>-5.0812459256178097E-2</v>
      </c>
      <c r="F81">
        <f>+[1]wFG_rstar_shock_decomposition!I81</f>
        <v>-0.231749109572222</v>
      </c>
      <c r="G81">
        <f>+[1]wFG_rstar_shock_decomposition!J81</f>
        <v>-1.8795743823561999E-14</v>
      </c>
      <c r="H81">
        <f>+[1]wFG_rstar_shock_decomposition!K81</f>
        <v>4.4039018373036899E-14</v>
      </c>
      <c r="I81">
        <f>+[1]wFG_rstar_shock_decomposition!L81</f>
        <v>-1.1749768828737901E-15</v>
      </c>
      <c r="J81">
        <f>+[1]wFG_rstar_shock_decomposition!M81</f>
        <v>2.5819732440973899E-15</v>
      </c>
      <c r="K81">
        <f>+[1]wFG_rstar_shock_decomposition!N81</f>
        <v>-1.32987379338335E-15</v>
      </c>
      <c r="L81">
        <f>+[1]wFG_rstar_shock_decomposition!O81</f>
        <v>1.8989447028307899E-15</v>
      </c>
      <c r="M81">
        <f>+[1]wFG_rstar_shock_decomposition!P81</f>
        <v>9.2056802012097995E-16</v>
      </c>
      <c r="N81">
        <f>+[1]wFG_rstar_shock_decomposition!Q81</f>
        <v>3.8406325285320298E-15</v>
      </c>
      <c r="O81">
        <f>+[1]wFG_rstar_shock_decomposition!R81</f>
        <v>5.3998615161710102E-15</v>
      </c>
      <c r="P81">
        <f>+[1]wFG_rstar_shock_decomposition!S81</f>
        <v>9.7602243804844895E-14</v>
      </c>
      <c r="Q81">
        <f>+[1]wFG_rstar_shock_decomposition!T81</f>
        <v>6.1211185452191202E-2</v>
      </c>
      <c r="R81">
        <f>+[1]wFG_rstar_shock_decomposition!U81</f>
        <v>0</v>
      </c>
      <c r="S81">
        <f>+[1]wFG_rstar_shock_decomposition!V81</f>
        <v>-0.24177416029604201</v>
      </c>
      <c r="T81">
        <f>+[1]wFG_rstar_shock_decomposition!W81</f>
        <v>1.0688992508670499E-2</v>
      </c>
      <c r="U81" s="4">
        <f>+[1]wFG_rstar_shock_decomposition!D81</f>
        <v>-0.51694942267053201</v>
      </c>
      <c r="Y81" s="1">
        <f t="shared" si="16"/>
        <v>46387</v>
      </c>
      <c r="Z81" s="7">
        <f t="shared" si="16"/>
        <v>-0.17234064262458201</v>
      </c>
      <c r="AA81" s="7">
        <f t="shared" si="16"/>
        <v>-0.14153437475050601</v>
      </c>
      <c r="AB81" s="7">
        <f t="shared" si="16"/>
        <v>0.24936114586800001</v>
      </c>
      <c r="AC81" s="7">
        <f t="shared" si="17"/>
        <v>-0.47352326986826399</v>
      </c>
      <c r="AD81" s="7">
        <f t="shared" si="18"/>
        <v>-5.0812459256178097E-2</v>
      </c>
      <c r="AE81" s="7">
        <f t="shared" si="19"/>
        <v>6.1211185452191202E-2</v>
      </c>
      <c r="AF81" s="7">
        <f t="shared" si="20"/>
        <v>-1.8795743823561999E-14</v>
      </c>
      <c r="AG81" s="7">
        <f t="shared" si="20"/>
        <v>4.4039018373036899E-14</v>
      </c>
      <c r="AH81" s="7">
        <f t="shared" si="21"/>
        <v>1.068899250878024E-2</v>
      </c>
      <c r="AI81" s="7">
        <f t="shared" si="15"/>
        <v>-0.51694942267053334</v>
      </c>
      <c r="AJ81" s="8">
        <f t="shared" si="22"/>
        <v>-0.41231208441607281</v>
      </c>
      <c r="AK81" s="8">
        <f t="shared" si="23"/>
        <v>5.7014311861315906E-2</v>
      </c>
      <c r="AL81" s="8">
        <f t="shared" si="24"/>
        <v>-0.17234064262458201</v>
      </c>
      <c r="AM81" s="8">
        <f t="shared" si="25"/>
        <v>1.068899250878024E-2</v>
      </c>
      <c r="AN81" s="8">
        <f t="shared" si="26"/>
        <v>-0.51694942267055877</v>
      </c>
      <c r="AO81" s="9">
        <f t="shared" si="27"/>
        <v>1.0063721917090525</v>
      </c>
      <c r="AP81" s="9">
        <f t="shared" si="27"/>
        <v>-0.22132575140903793</v>
      </c>
      <c r="AQ81" s="9">
        <f t="shared" si="27"/>
        <v>0.22914686678051166</v>
      </c>
      <c r="AR81" s="9">
        <f t="shared" si="27"/>
        <v>-1.4193307080525108E-2</v>
      </c>
      <c r="AS81" s="9">
        <f t="shared" si="27"/>
        <v>1</v>
      </c>
      <c r="AT81" s="7"/>
      <c r="AU81" s="7"/>
      <c r="AV81" s="7"/>
      <c r="AW81" s="7"/>
      <c r="AX81" s="7"/>
    </row>
    <row r="82" spans="1:50" x14ac:dyDescent="0.25">
      <c r="A82" s="1">
        <v>46477</v>
      </c>
      <c r="B82">
        <f>+[1]wFG_rstar_shock_decomposition!E82</f>
        <v>-0.17026615276201701</v>
      </c>
      <c r="C82">
        <f>+[1]wFG_rstar_shock_decomposition!F82</f>
        <v>-0.14011903236352799</v>
      </c>
      <c r="D82">
        <f>+[1]wFG_rstar_shock_decomposition!G82</f>
        <v>0.246859452915867</v>
      </c>
      <c r="E82">
        <f>+[1]wFG_rstar_shock_decomposition!H82</f>
        <v>-5.1490622174020603E-2</v>
      </c>
      <c r="F82">
        <f>+[1]wFG_rstar_shock_decomposition!I82</f>
        <v>-0.22263454865930099</v>
      </c>
      <c r="G82">
        <f>+[1]wFG_rstar_shock_decomposition!J82</f>
        <v>-1.8397810767058701E-14</v>
      </c>
      <c r="H82">
        <f>+[1]wFG_rstar_shock_decomposition!K82</f>
        <v>4.4343946990084498E-14</v>
      </c>
      <c r="I82">
        <f>+[1]wFG_rstar_shock_decomposition!L82</f>
        <v>-1.15692114498435E-15</v>
      </c>
      <c r="J82">
        <f>+[1]wFG_rstar_shock_decomposition!M82</f>
        <v>2.5440416489161701E-15</v>
      </c>
      <c r="K82">
        <f>+[1]wFG_rstar_shock_decomposition!N82</f>
        <v>-1.32317467858984E-15</v>
      </c>
      <c r="L82">
        <f>+[1]wFG_rstar_shock_decomposition!O82</f>
        <v>1.8724779332849698E-15</v>
      </c>
      <c r="M82">
        <f>+[1]wFG_rstar_shock_decomposition!P82</f>
        <v>9.0472885102264005E-16</v>
      </c>
      <c r="N82">
        <f>+[1]wFG_rstar_shock_decomposition!Q82</f>
        <v>3.79614802455695E-15</v>
      </c>
      <c r="O82">
        <f>+[1]wFG_rstar_shock_decomposition!R82</f>
        <v>5.3449354849152997E-15</v>
      </c>
      <c r="P82">
        <f>+[1]wFG_rstar_shock_decomposition!S82</f>
        <v>9.7535174395596494E-14</v>
      </c>
      <c r="Q82">
        <f>+[1]wFG_rstar_shock_decomposition!T82</f>
        <v>5.8956259785594697E-2</v>
      </c>
      <c r="R82">
        <f>+[1]wFG_rstar_shock_decomposition!U82</f>
        <v>0</v>
      </c>
      <c r="S82">
        <f>+[1]wFG_rstar_shock_decomposition!V82</f>
        <v>-0.23933081066339501</v>
      </c>
      <c r="T82">
        <f>+[1]wFG_rstar_shock_decomposition!W82</f>
        <v>1.05607301993064E-2</v>
      </c>
      <c r="U82" s="4">
        <f>+[1]wFG_rstar_shock_decomposition!D82</f>
        <v>-0.50746472372135698</v>
      </c>
      <c r="Y82" s="1">
        <f t="shared" si="16"/>
        <v>46477</v>
      </c>
      <c r="Z82" s="7">
        <f t="shared" si="16"/>
        <v>-0.17026615276201701</v>
      </c>
      <c r="AA82" s="7">
        <f t="shared" si="16"/>
        <v>-0.14011903236352799</v>
      </c>
      <c r="AB82" s="7">
        <f t="shared" si="16"/>
        <v>0.246859452915867</v>
      </c>
      <c r="AC82" s="7">
        <f t="shared" si="17"/>
        <v>-0.461965359322696</v>
      </c>
      <c r="AD82" s="7">
        <f t="shared" si="18"/>
        <v>-5.1490622174020603E-2</v>
      </c>
      <c r="AE82" s="7">
        <f t="shared" si="19"/>
        <v>5.8956259785594697E-2</v>
      </c>
      <c r="AF82" s="7">
        <f t="shared" si="20"/>
        <v>-1.8397810767058701E-14</v>
      </c>
      <c r="AG82" s="7">
        <f t="shared" si="20"/>
        <v>4.4343946990084498E-14</v>
      </c>
      <c r="AH82" s="7">
        <f t="shared" si="21"/>
        <v>1.0560730199415917E-2</v>
      </c>
      <c r="AI82" s="7">
        <f t="shared" si="15"/>
        <v>-0.50746472372135809</v>
      </c>
      <c r="AJ82" s="8">
        <f t="shared" si="22"/>
        <v>-0.40300909953710129</v>
      </c>
      <c r="AK82" s="8">
        <f t="shared" si="23"/>
        <v>5.5249798378318407E-2</v>
      </c>
      <c r="AL82" s="8">
        <f t="shared" si="24"/>
        <v>-0.17026615276201701</v>
      </c>
      <c r="AM82" s="8">
        <f t="shared" si="25"/>
        <v>1.0560730199415917E-2</v>
      </c>
      <c r="AN82" s="8">
        <f t="shared" si="26"/>
        <v>-0.50746472372138396</v>
      </c>
      <c r="AO82" s="9">
        <f t="shared" si="27"/>
        <v>0.98084134550004909</v>
      </c>
      <c r="AP82" s="9">
        <f t="shared" si="27"/>
        <v>-0.1860379008815051</v>
      </c>
      <c r="AQ82" s="9">
        <f t="shared" si="27"/>
        <v>0.21871963187039165</v>
      </c>
      <c r="AR82" s="9">
        <f t="shared" si="27"/>
        <v>-1.3523076488946652E-2</v>
      </c>
      <c r="AS82" s="9">
        <f t="shared" si="27"/>
        <v>1</v>
      </c>
      <c r="AT82" s="7"/>
      <c r="AU82" s="7"/>
      <c r="AV82" s="7"/>
      <c r="AW82" s="7"/>
      <c r="AX82" s="7"/>
    </row>
    <row r="83" spans="1:50" x14ac:dyDescent="0.25">
      <c r="A83" s="1">
        <v>46568</v>
      </c>
      <c r="B83">
        <f>+[1]wFG_rstar_shock_decomposition!E83</f>
        <v>-0.16821502838812399</v>
      </c>
      <c r="C83">
        <f>+[1]wFG_rstar_shock_decomposition!F83</f>
        <v>-0.13871784274614599</v>
      </c>
      <c r="D83">
        <f>+[1]wFG_rstar_shock_decomposition!G83</f>
        <v>0.24438522889223999</v>
      </c>
      <c r="E83">
        <f>+[1]wFG_rstar_shock_decomposition!H83</f>
        <v>-5.1950989904456402E-2</v>
      </c>
      <c r="F83">
        <f>+[1]wFG_rstar_shock_decomposition!I83</f>
        <v>-0.21364317821798201</v>
      </c>
      <c r="G83">
        <f>+[1]wFG_rstar_shock_decomposition!J83</f>
        <v>-1.79972512418824E-14</v>
      </c>
      <c r="H83">
        <f>+[1]wFG_rstar_shock_decomposition!K83</f>
        <v>4.4633369877675297E-14</v>
      </c>
      <c r="I83">
        <f>+[1]wFG_rstar_shock_decomposition!L83</f>
        <v>-1.1399776083408E-15</v>
      </c>
      <c r="J83">
        <f>+[1]wFG_rstar_shock_decomposition!M83</f>
        <v>2.50666690141451E-15</v>
      </c>
      <c r="K83">
        <f>+[1]wFG_rstar_shock_decomposition!N83</f>
        <v>-1.3147379572510601E-15</v>
      </c>
      <c r="L83">
        <f>+[1]wFG_rstar_shock_decomposition!O83</f>
        <v>1.84725896326398E-15</v>
      </c>
      <c r="M83">
        <f>+[1]wFG_rstar_shock_decomposition!P83</f>
        <v>8.90359474350931E-16</v>
      </c>
      <c r="N83">
        <f>+[1]wFG_rstar_shock_decomposition!Q83</f>
        <v>3.7522710450816498E-15</v>
      </c>
      <c r="O83">
        <f>+[1]wFG_rstar_shock_decomposition!R83</f>
        <v>5.2890076036798996E-15</v>
      </c>
      <c r="P83">
        <f>+[1]wFG_rstar_shock_decomposition!S83</f>
        <v>9.7457711503321806E-14</v>
      </c>
      <c r="Q83">
        <f>+[1]wFG_rstar_shock_decomposition!T83</f>
        <v>5.6890626374534903E-2</v>
      </c>
      <c r="R83">
        <f>+[1]wFG_rstar_shock_decomposition!U83</f>
        <v>0</v>
      </c>
      <c r="S83">
        <f>+[1]wFG_rstar_shock_decomposition!V83</f>
        <v>-0.236919970473563</v>
      </c>
      <c r="T83">
        <f>+[1]wFG_rstar_shock_decomposition!W83</f>
        <v>1.04340917969347E-2</v>
      </c>
      <c r="U83" s="4">
        <f>+[1]wFG_rstar_shock_decomposition!D83</f>
        <v>-0.49773706266642498</v>
      </c>
      <c r="Y83" s="1">
        <f t="shared" si="16"/>
        <v>46568</v>
      </c>
      <c r="Z83" s="7">
        <f t="shared" si="16"/>
        <v>-0.16821502838812399</v>
      </c>
      <c r="AA83" s="7">
        <f t="shared" si="16"/>
        <v>-0.13871784274614599</v>
      </c>
      <c r="AB83" s="7">
        <f t="shared" si="16"/>
        <v>0.24438522889223999</v>
      </c>
      <c r="AC83" s="7">
        <f t="shared" si="17"/>
        <v>-0.45056314869154501</v>
      </c>
      <c r="AD83" s="7">
        <f t="shared" si="18"/>
        <v>-5.1950989904456402E-2</v>
      </c>
      <c r="AE83" s="7">
        <f t="shared" si="19"/>
        <v>5.6890626374534903E-2</v>
      </c>
      <c r="AF83" s="7">
        <f t="shared" si="20"/>
        <v>-1.79972512418824E-14</v>
      </c>
      <c r="AG83" s="7">
        <f t="shared" si="20"/>
        <v>4.4633369877675297E-14</v>
      </c>
      <c r="AH83" s="7">
        <f t="shared" si="21"/>
        <v>1.0434091797043989E-2</v>
      </c>
      <c r="AI83" s="7">
        <f t="shared" si="15"/>
        <v>-0.49773706266642587</v>
      </c>
      <c r="AJ83" s="8">
        <f t="shared" si="22"/>
        <v>-0.39367252231701011</v>
      </c>
      <c r="AK83" s="8">
        <f t="shared" si="23"/>
        <v>5.3716396241637598E-2</v>
      </c>
      <c r="AL83" s="8">
        <f t="shared" si="24"/>
        <v>-0.16821502838812399</v>
      </c>
      <c r="AM83" s="8">
        <f t="shared" si="25"/>
        <v>1.0434091797043989E-2</v>
      </c>
      <c r="AN83" s="8">
        <f t="shared" si="26"/>
        <v>-0.49773706266645251</v>
      </c>
      <c r="AO83" s="9">
        <f t="shared" si="27"/>
        <v>0.95979672475923627</v>
      </c>
      <c r="AP83" s="9">
        <f t="shared" si="27"/>
        <v>-0.15763317903674789</v>
      </c>
      <c r="AQ83" s="9">
        <f t="shared" si="27"/>
        <v>0.2108548357421639</v>
      </c>
      <c r="AR83" s="9">
        <f t="shared" si="27"/>
        <v>-1.3018381464651061E-2</v>
      </c>
      <c r="AS83" s="9">
        <f t="shared" si="27"/>
        <v>1</v>
      </c>
      <c r="AT83" s="7"/>
      <c r="AU83" s="7"/>
      <c r="AV83" s="7"/>
      <c r="AW83" s="7"/>
      <c r="AX83" s="7"/>
    </row>
    <row r="84" spans="1:50" x14ac:dyDescent="0.25">
      <c r="A84" s="1">
        <v>46660</v>
      </c>
      <c r="B84">
        <f>+[1]wFG_rstar_shock_decomposition!E84</f>
        <v>-0.166187628467965</v>
      </c>
      <c r="C84">
        <f>+[1]wFG_rstar_shock_decomposition!F84</f>
        <v>-0.137330664685302</v>
      </c>
      <c r="D84">
        <f>+[1]wFG_rstar_shock_decomposition!G84</f>
        <v>0.241937455148929</v>
      </c>
      <c r="E84">
        <f>+[1]wFG_rstar_shock_decomposition!H84</f>
        <v>-5.2219748094377398E-2</v>
      </c>
      <c r="F84">
        <f>+[1]wFG_rstar_shock_decomposition!I84</f>
        <v>-0.204806221085783</v>
      </c>
      <c r="G84">
        <f>+[1]wFG_rstar_shock_decomposition!J84</f>
        <v>-1.7594800311552099E-14</v>
      </c>
      <c r="H84">
        <f>+[1]wFG_rstar_shock_decomposition!K84</f>
        <v>4.49075243873945E-14</v>
      </c>
      <c r="I84">
        <f>+[1]wFG_rstar_shock_decomposition!L84</f>
        <v>-1.1238922447929201E-15</v>
      </c>
      <c r="J84">
        <f>+[1]wFG_rstar_shock_decomposition!M84</f>
        <v>2.46990837895858E-15</v>
      </c>
      <c r="K84">
        <f>+[1]wFG_rstar_shock_decomposition!N84</f>
        <v>-1.30470274403224E-15</v>
      </c>
      <c r="L84">
        <f>+[1]wFG_rstar_shock_decomposition!O84</f>
        <v>1.8232078745956101E-15</v>
      </c>
      <c r="M84">
        <f>+[1]wFG_rstar_shock_decomposition!P84</f>
        <v>8.7734183929836703E-16</v>
      </c>
      <c r="N84">
        <f>+[1]wFG_rstar_shock_decomposition!Q84</f>
        <v>3.7090257518092701E-15</v>
      </c>
      <c r="O84">
        <f>+[1]wFG_rstar_shock_decomposition!R84</f>
        <v>5.2322356744309497E-15</v>
      </c>
      <c r="P84">
        <f>+[1]wFG_rstar_shock_decomposition!S84</f>
        <v>9.7369927793149696E-14</v>
      </c>
      <c r="Q84">
        <f>+[1]wFG_rstar_shock_decomposition!T84</f>
        <v>5.4993008384713001E-2</v>
      </c>
      <c r="R84">
        <f>+[1]wFG_rstar_shock_decomposition!U84</f>
        <v>0</v>
      </c>
      <c r="S84">
        <f>+[1]wFG_rstar_shock_decomposition!V84</f>
        <v>-0.23453950553985101</v>
      </c>
      <c r="T84">
        <f>+[1]wFG_rstar_shock_decomposition!W84</f>
        <v>1.03090552867803E-2</v>
      </c>
      <c r="U84" s="4">
        <f>+[1]wFG_rstar_shock_decomposition!D84</f>
        <v>-0.487844249052719</v>
      </c>
      <c r="Y84" s="1">
        <f t="shared" si="16"/>
        <v>46660</v>
      </c>
      <c r="Z84" s="7">
        <f t="shared" si="16"/>
        <v>-0.166187628467965</v>
      </c>
      <c r="AA84" s="7">
        <f t="shared" si="16"/>
        <v>-0.137330664685302</v>
      </c>
      <c r="AB84" s="7">
        <f t="shared" si="16"/>
        <v>0.241937455148929</v>
      </c>
      <c r="AC84" s="7">
        <f t="shared" si="17"/>
        <v>-0.43934572662563398</v>
      </c>
      <c r="AD84" s="7">
        <f t="shared" si="18"/>
        <v>-5.2219748094377398E-2</v>
      </c>
      <c r="AE84" s="7">
        <f t="shared" si="19"/>
        <v>5.4993008384713001E-2</v>
      </c>
      <c r="AF84" s="7">
        <f t="shared" si="20"/>
        <v>-1.7594800311552099E-14</v>
      </c>
      <c r="AG84" s="7">
        <f t="shared" si="20"/>
        <v>4.49075243873945E-14</v>
      </c>
      <c r="AH84" s="7">
        <f t="shared" si="21"/>
        <v>1.0309055286889354E-2</v>
      </c>
      <c r="AI84" s="7">
        <f t="shared" si="15"/>
        <v>-0.48784424905271967</v>
      </c>
      <c r="AJ84" s="8">
        <f t="shared" si="22"/>
        <v>-0.38435271824092099</v>
      </c>
      <c r="AK84" s="8">
        <f t="shared" si="23"/>
        <v>5.2387042369249605E-2</v>
      </c>
      <c r="AL84" s="8">
        <f t="shared" si="24"/>
        <v>-0.166187628467965</v>
      </c>
      <c r="AM84" s="8">
        <f t="shared" si="25"/>
        <v>1.0309055286889354E-2</v>
      </c>
      <c r="AN84" s="8">
        <f t="shared" si="26"/>
        <v>-0.48784424905274698</v>
      </c>
      <c r="AO84" s="9">
        <f t="shared" si="27"/>
        <v>0.94207820343218029</v>
      </c>
      <c r="AP84" s="9">
        <f t="shared" si="27"/>
        <v>-0.13437571193561185</v>
      </c>
      <c r="AQ84" s="9">
        <f t="shared" si="27"/>
        <v>0.20493663373483803</v>
      </c>
      <c r="AR84" s="9">
        <f t="shared" si="27"/>
        <v>-1.2639125231411403E-2</v>
      </c>
      <c r="AS84" s="9">
        <f t="shared" si="27"/>
        <v>1</v>
      </c>
      <c r="AT84" s="7"/>
      <c r="AU84" s="7"/>
      <c r="AV84" s="7"/>
      <c r="AW84" s="7"/>
      <c r="AX84" s="7"/>
    </row>
    <row r="85" spans="1:50" x14ac:dyDescent="0.25">
      <c r="A85" s="1">
        <v>46752</v>
      </c>
      <c r="B85">
        <f>+[1]wFG_rstar_shock_decomposition!E85</f>
        <v>-0.164184182547572</v>
      </c>
      <c r="C85">
        <f>+[1]wFG_rstar_shock_decomposition!F85</f>
        <v>-0.13595735822876101</v>
      </c>
      <c r="D85">
        <f>+[1]wFG_rstar_shock_decomposition!G85</f>
        <v>0.23951534894815801</v>
      </c>
      <c r="E85">
        <f>+[1]wFG_rstar_shock_decomposition!H85</f>
        <v>-5.2320525474556699E-2</v>
      </c>
      <c r="F85">
        <f>+[1]wFG_rstar_shock_decomposition!I85</f>
        <v>-0.19614975158773901</v>
      </c>
      <c r="G85">
        <f>+[1]wFG_rstar_shock_decomposition!J85</f>
        <v>-1.7191211356912001E-14</v>
      </c>
      <c r="H85">
        <f>+[1]wFG_rstar_shock_decomposition!K85</f>
        <v>4.5166627080318902E-14</v>
      </c>
      <c r="I85">
        <f>+[1]wFG_rstar_shock_decomposition!L85</f>
        <v>-1.1084491371005599E-15</v>
      </c>
      <c r="J85">
        <f>+[1]wFG_rstar_shock_decomposition!M85</f>
        <v>2.4338120733656498E-15</v>
      </c>
      <c r="K85">
        <f>+[1]wFG_rstar_shock_decomposition!N85</f>
        <v>-1.29322082132871E-15</v>
      </c>
      <c r="L85">
        <f>+[1]wFG_rstar_shock_decomposition!O85</f>
        <v>1.8002391422719301E-15</v>
      </c>
      <c r="M85">
        <f>+[1]wFG_rstar_shock_decomposition!P85</f>
        <v>8.6555223124935E-16</v>
      </c>
      <c r="N85">
        <f>+[1]wFG_rstar_shock_decomposition!Q85</f>
        <v>3.6664277185793099E-15</v>
      </c>
      <c r="O85">
        <f>+[1]wFG_rstar_shock_decomposition!R85</f>
        <v>5.1747779618717599E-15</v>
      </c>
      <c r="P85">
        <f>+[1]wFG_rstar_shock_decomposition!S85</f>
        <v>9.7271916914627302E-14</v>
      </c>
      <c r="Q85">
        <f>+[1]wFG_rstar_shock_decomposition!T85</f>
        <v>5.3244589916898698E-2</v>
      </c>
      <c r="R85">
        <f>+[1]wFG_rstar_shock_decomposition!U85</f>
        <v>0</v>
      </c>
      <c r="S85">
        <f>+[1]wFG_rstar_shock_decomposition!V85</f>
        <v>-0.23218768516840901</v>
      </c>
      <c r="T85">
        <f>+[1]wFG_rstar_shock_decomposition!W85</f>
        <v>1.01855989689826E-2</v>
      </c>
      <c r="U85" s="4">
        <f>+[1]wFG_rstar_shock_decomposition!D85</f>
        <v>-0.47785396517286099</v>
      </c>
      <c r="Y85" s="1">
        <f t="shared" si="16"/>
        <v>46752</v>
      </c>
      <c r="Z85" s="7">
        <f t="shared" si="16"/>
        <v>-0.164184182547572</v>
      </c>
      <c r="AA85" s="7">
        <f t="shared" si="16"/>
        <v>-0.13595735822876101</v>
      </c>
      <c r="AB85" s="7">
        <f t="shared" si="16"/>
        <v>0.23951534894815801</v>
      </c>
      <c r="AC85" s="7">
        <f t="shared" si="17"/>
        <v>-0.42833743675614799</v>
      </c>
      <c r="AD85" s="7">
        <f t="shared" si="18"/>
        <v>-5.2320525474556699E-2</v>
      </c>
      <c r="AE85" s="7">
        <f t="shared" si="19"/>
        <v>5.3244589916898698E-2</v>
      </c>
      <c r="AF85" s="7">
        <f t="shared" si="20"/>
        <v>-1.7191211356912001E-14</v>
      </c>
      <c r="AG85" s="7">
        <f t="shared" si="20"/>
        <v>4.5166627080318902E-14</v>
      </c>
      <c r="AH85" s="7">
        <f t="shared" si="21"/>
        <v>1.0185598969091412E-2</v>
      </c>
      <c r="AI85" s="7">
        <f t="shared" si="15"/>
        <v>-0.47785396517286166</v>
      </c>
      <c r="AJ85" s="8">
        <f t="shared" si="22"/>
        <v>-0.37509284683924932</v>
      </c>
      <c r="AK85" s="8">
        <f t="shared" si="23"/>
        <v>5.1237465244840304E-2</v>
      </c>
      <c r="AL85" s="8">
        <f t="shared" si="24"/>
        <v>-0.164184182547572</v>
      </c>
      <c r="AM85" s="8">
        <f t="shared" si="25"/>
        <v>1.0185598969091412E-2</v>
      </c>
      <c r="AN85" s="8">
        <f t="shared" si="26"/>
        <v>-0.47785396517288958</v>
      </c>
      <c r="AO85" s="9">
        <f t="shared" si="27"/>
        <v>0.92688771540732706</v>
      </c>
      <c r="AP85" s="9">
        <f t="shared" si="27"/>
        <v>-0.1150695153645334</v>
      </c>
      <c r="AQ85" s="9">
        <f t="shared" si="27"/>
        <v>0.20053943856714529</v>
      </c>
      <c r="AR85" s="9">
        <f t="shared" si="27"/>
        <v>-1.2357638609935469E-2</v>
      </c>
      <c r="AS85" s="9">
        <f t="shared" si="27"/>
        <v>1</v>
      </c>
      <c r="AT85" s="7"/>
      <c r="AU85" s="7"/>
      <c r="AV85" s="7"/>
      <c r="AW85" s="7"/>
      <c r="AX85" s="7"/>
    </row>
    <row r="86" spans="1:50" x14ac:dyDescent="0.25">
      <c r="A86" s="1">
        <v>46843</v>
      </c>
      <c r="B86">
        <f>+[1]wFG_rstar_shock_decomposition!E86</f>
        <v>-0.162204815605898</v>
      </c>
      <c r="C86">
        <f>+[1]wFG_rstar_shock_decomposition!F86</f>
        <v>-0.13459778474526399</v>
      </c>
      <c r="D86">
        <f>+[1]wFG_rstar_shock_decomposition!G86</f>
        <v>0.23711829261675599</v>
      </c>
      <c r="E86">
        <f>+[1]wFG_rstar_shock_decomposition!H86</f>
        <v>-5.2274574428617201E-2</v>
      </c>
      <c r="F86">
        <f>+[1]wFG_rstar_shock_decomposition!I86</f>
        <v>-0.187695182009401</v>
      </c>
      <c r="G86">
        <f>+[1]wFG_rstar_shock_decomposition!J86</f>
        <v>-1.67872476581987E-14</v>
      </c>
      <c r="H86">
        <f>+[1]wFG_rstar_shock_decomposition!K86</f>
        <v>4.54108801313141E-14</v>
      </c>
      <c r="I86">
        <f>+[1]wFG_rstar_shock_decomposition!L86</f>
        <v>-1.0934685961342199E-15</v>
      </c>
      <c r="J86">
        <f>+[1]wFG_rstar_shock_decomposition!M86</f>
        <v>2.3984120852656401E-15</v>
      </c>
      <c r="K86">
        <f>+[1]wFG_rstar_shock_decomposition!N86</f>
        <v>-1.28045080959483E-15</v>
      </c>
      <c r="L86">
        <f>+[1]wFG_rstar_shock_decomposition!O86</f>
        <v>1.7782650902614199E-15</v>
      </c>
      <c r="M86">
        <f>+[1]wFG_rstar_shock_decomposition!P86</f>
        <v>8.5486550715891996E-16</v>
      </c>
      <c r="N86">
        <f>+[1]wFG_rstar_shock_decomposition!Q86</f>
        <v>3.6244854242391002E-15</v>
      </c>
      <c r="O86">
        <f>+[1]wFG_rstar_shock_decomposition!R86</f>
        <v>5.11679081356384E-15</v>
      </c>
      <c r="P86">
        <f>+[1]wFG_rstar_shock_decomposition!S86</f>
        <v>9.7163792181450199E-14</v>
      </c>
      <c r="Q86">
        <f>+[1]wFG_rstar_shock_decomposition!T86</f>
        <v>5.16287354750554E-2</v>
      </c>
      <c r="R86">
        <f>+[1]wFG_rstar_shock_decomposition!U86</f>
        <v>0</v>
      </c>
      <c r="S86">
        <f>+[1]wFG_rstar_shock_decomposition!V86</f>
        <v>-0.229863099123263</v>
      </c>
      <c r="T86">
        <f>+[1]wFG_rstar_shock_decomposition!W86</f>
        <v>1.00637014540884E-2</v>
      </c>
      <c r="U86" s="4">
        <f>+[1]wFG_rstar_shock_decomposition!D86</f>
        <v>-0.46782472636640499</v>
      </c>
      <c r="Y86" s="1">
        <f t="shared" si="16"/>
        <v>46843</v>
      </c>
      <c r="Z86" s="7">
        <f t="shared" si="16"/>
        <v>-0.162204815605898</v>
      </c>
      <c r="AA86" s="7">
        <f t="shared" si="16"/>
        <v>-0.13459778474526399</v>
      </c>
      <c r="AB86" s="7">
        <f t="shared" si="16"/>
        <v>0.23711829261675599</v>
      </c>
      <c r="AC86" s="7">
        <f t="shared" si="17"/>
        <v>-0.41755828113266402</v>
      </c>
      <c r="AD86" s="7">
        <f t="shared" si="18"/>
        <v>-5.2274574428617201E-2</v>
      </c>
      <c r="AE86" s="7">
        <f t="shared" si="19"/>
        <v>5.16287354750554E-2</v>
      </c>
      <c r="AF86" s="7">
        <f t="shared" si="20"/>
        <v>-1.67872476581987E-14</v>
      </c>
      <c r="AG86" s="7">
        <f t="shared" si="20"/>
        <v>4.54108801313141E-14</v>
      </c>
      <c r="AH86" s="7">
        <f t="shared" si="21"/>
        <v>1.0063701454196964E-2</v>
      </c>
      <c r="AI86" s="7">
        <f t="shared" si="15"/>
        <v>-0.46782472636640621</v>
      </c>
      <c r="AJ86" s="8">
        <f t="shared" si="22"/>
        <v>-0.3659295456576086</v>
      </c>
      <c r="AK86" s="8">
        <f t="shared" si="23"/>
        <v>5.0245933442874799E-2</v>
      </c>
      <c r="AL86" s="8">
        <f t="shared" si="24"/>
        <v>-0.162204815605898</v>
      </c>
      <c r="AM86" s="8">
        <f t="shared" si="25"/>
        <v>1.0063701454196964E-2</v>
      </c>
      <c r="AN86" s="8">
        <f t="shared" si="26"/>
        <v>-0.46782472636643485</v>
      </c>
      <c r="AO86" s="9">
        <f t="shared" si="27"/>
        <v>0.91365868920613325</v>
      </c>
      <c r="AP86" s="9">
        <f t="shared" si="27"/>
        <v>-9.8864113329055786E-2</v>
      </c>
      <c r="AQ86" s="9">
        <f t="shared" si="27"/>
        <v>0.19735963814124113</v>
      </c>
      <c r="AR86" s="9">
        <f t="shared" si="27"/>
        <v>-1.2154214018315661E-2</v>
      </c>
      <c r="AS86" s="9">
        <f t="shared" si="27"/>
        <v>1</v>
      </c>
      <c r="AT86" s="7"/>
      <c r="AU86" s="7"/>
      <c r="AV86" s="7"/>
      <c r="AW86" s="7"/>
      <c r="AX86" s="7"/>
    </row>
    <row r="87" spans="1:50" x14ac:dyDescent="0.25">
      <c r="A87" s="1">
        <v>46934</v>
      </c>
      <c r="B87">
        <f>+[1]wFG_rstar_shock_decomposition!E87</f>
        <v>-0.16024956817757599</v>
      </c>
      <c r="C87">
        <f>+[1]wFG_rstar_shock_decomposition!F87</f>
        <v>-0.133251806949094</v>
      </c>
      <c r="D87">
        <f>+[1]wFG_rstar_shock_decomposition!G87</f>
        <v>0.2347457841883</v>
      </c>
      <c r="E87">
        <f>+[1]wFG_rstar_shock_decomposition!H87</f>
        <v>-5.2100954857201003E-2</v>
      </c>
      <c r="F87">
        <f>+[1]wFG_rstar_shock_decomposition!I87</f>
        <v>-0.179459738470996</v>
      </c>
      <c r="G87">
        <f>+[1]wFG_rstar_shock_decomposition!J87</f>
        <v>-1.6383673075577299E-14</v>
      </c>
      <c r="H87">
        <f>+[1]wFG_rstar_shock_decomposition!K87</f>
        <v>4.5640476859126997E-14</v>
      </c>
      <c r="I87">
        <f>+[1]wFG_rstar_shock_decomposition!L87</f>
        <v>-1.0788044260193399E-15</v>
      </c>
      <c r="J87">
        <f>+[1]wFG_rstar_shock_decomposition!M87</f>
        <v>2.3637320765880199E-15</v>
      </c>
      <c r="K87">
        <f>+[1]wFG_rstar_shock_decomposition!N87</f>
        <v>-1.2665533776115501E-15</v>
      </c>
      <c r="L87">
        <f>+[1]wFG_rstar_shock_decomposition!O87</f>
        <v>1.7571985317841901E-15</v>
      </c>
      <c r="M87">
        <f>+[1]wFG_rstar_shock_decomposition!P87</f>
        <v>8.45158369353323E-16</v>
      </c>
      <c r="N87">
        <f>+[1]wFG_rstar_shock_decomposition!Q87</f>
        <v>3.5832015400768304E-15</v>
      </c>
      <c r="O87">
        <f>+[1]wFG_rstar_shock_decomposition!R87</f>
        <v>5.0584265043997702E-15</v>
      </c>
      <c r="P87">
        <f>+[1]wFG_rstar_shock_decomposition!S87</f>
        <v>9.7045685051550496E-14</v>
      </c>
      <c r="Q87">
        <f>+[1]wFG_rstar_shock_decomposition!T87</f>
        <v>5.0130740537087402E-2</v>
      </c>
      <c r="R87">
        <f>+[1]wFG_rstar_shock_decomposition!U87</f>
        <v>0</v>
      </c>
      <c r="S87">
        <f>+[1]wFG_rstar_shock_decomposition!V87</f>
        <v>-0.22756459157615</v>
      </c>
      <c r="T87">
        <f>+[1]wFG_rstar_shock_decomposition!W87</f>
        <v>9.9433416586007291E-3</v>
      </c>
      <c r="U87" s="4">
        <f>+[1]wFG_rstar_shock_decomposition!D87</f>
        <v>-0.45780679364688998</v>
      </c>
      <c r="Y87" s="1">
        <f t="shared" si="16"/>
        <v>46934</v>
      </c>
      <c r="Z87" s="7">
        <f t="shared" si="16"/>
        <v>-0.16024956817757599</v>
      </c>
      <c r="AA87" s="7">
        <f t="shared" si="16"/>
        <v>-0.133251806949094</v>
      </c>
      <c r="AB87" s="7">
        <f t="shared" si="16"/>
        <v>0.2347457841883</v>
      </c>
      <c r="AC87" s="7">
        <f t="shared" si="17"/>
        <v>-0.407024330047146</v>
      </c>
      <c r="AD87" s="7">
        <f t="shared" si="18"/>
        <v>-5.2100954857201003E-2</v>
      </c>
      <c r="AE87" s="7">
        <f t="shared" si="19"/>
        <v>5.0130740537087402E-2</v>
      </c>
      <c r="AF87" s="7">
        <f t="shared" si="20"/>
        <v>-1.6383673075577299E-14</v>
      </c>
      <c r="AG87" s="7">
        <f t="shared" si="20"/>
        <v>4.5640476859126997E-14</v>
      </c>
      <c r="AH87" s="7">
        <f t="shared" si="21"/>
        <v>9.9433416587090383E-3</v>
      </c>
      <c r="AI87" s="7">
        <f t="shared" si="15"/>
        <v>-0.45780679364689125</v>
      </c>
      <c r="AJ87" s="8">
        <f t="shared" si="22"/>
        <v>-0.35689358951005862</v>
      </c>
      <c r="AK87" s="8">
        <f t="shared" si="23"/>
        <v>4.9393022382004999E-2</v>
      </c>
      <c r="AL87" s="8">
        <f t="shared" si="24"/>
        <v>-0.16024956817757599</v>
      </c>
      <c r="AM87" s="8">
        <f t="shared" si="25"/>
        <v>9.9433416587090383E-3</v>
      </c>
      <c r="AN87" s="8">
        <f t="shared" si="26"/>
        <v>-0.45780679364692056</v>
      </c>
      <c r="AO87" s="9">
        <f t="shared" si="27"/>
        <v>0.90197812268678168</v>
      </c>
      <c r="AP87" s="9">
        <f t="shared" si="27"/>
        <v>-8.5138429728958367E-2</v>
      </c>
      <c r="AQ87" s="9">
        <f t="shared" si="27"/>
        <v>0.19517474144274435</v>
      </c>
      <c r="AR87" s="9">
        <f t="shared" si="27"/>
        <v>-1.2014434400569773E-2</v>
      </c>
      <c r="AS87" s="9">
        <f t="shared" si="27"/>
        <v>1</v>
      </c>
      <c r="AT87" s="7"/>
      <c r="AU87" s="7"/>
      <c r="AV87" s="7"/>
      <c r="AW87" s="7"/>
      <c r="AX87" s="7"/>
    </row>
    <row r="88" spans="1:50" x14ac:dyDescent="0.25">
      <c r="A88" s="1">
        <v>47026</v>
      </c>
      <c r="B88">
        <f>+[1]wFG_rstar_shock_decomposition!E88</f>
        <v>-0.15831841266427499</v>
      </c>
      <c r="C88">
        <f>+[1]wFG_rstar_shock_decomposition!F88</f>
        <v>-0.13191928890622501</v>
      </c>
      <c r="D88">
        <f>+[1]wFG_rstar_shock_decomposition!G88</f>
        <v>0.23239740301363901</v>
      </c>
      <c r="E88">
        <f>+[1]wFG_rstar_shock_decomposition!H88</f>
        <v>-5.1816716001492298E-2</v>
      </c>
      <c r="F88">
        <f>+[1]wFG_rstar_shock_decomposition!I88</f>
        <v>-0.17145691682239</v>
      </c>
      <c r="G88">
        <f>+[1]wFG_rstar_shock_decomposition!J88</f>
        <v>-1.5981242565364102E-14</v>
      </c>
      <c r="H88">
        <f>+[1]wFG_rstar_shock_decomposition!K88</f>
        <v>4.5855606378661699E-14</v>
      </c>
      <c r="I88">
        <f>+[1]wFG_rstar_shock_decomposition!L88</f>
        <v>-1.0643406917881301E-15</v>
      </c>
      <c r="J88">
        <f>+[1]wFG_rstar_shock_decomposition!M88</f>
        <v>2.3297866524635402E-15</v>
      </c>
      <c r="K88">
        <f>+[1]wFG_rstar_shock_decomposition!N88</f>
        <v>-1.25168739020953E-15</v>
      </c>
      <c r="L88">
        <f>+[1]wFG_rstar_shock_decomposition!O88</f>
        <v>1.7369547345038099E-15</v>
      </c>
      <c r="M88">
        <f>+[1]wFG_rstar_shock_decomposition!P88</f>
        <v>8.3631182720516998E-16</v>
      </c>
      <c r="N88">
        <f>+[1]wFG_rstar_shock_decomposition!Q88</f>
        <v>3.54257403335209E-15</v>
      </c>
      <c r="O88">
        <f>+[1]wFG_rstar_shock_decomposition!R88</f>
        <v>4.9998313696474797E-15</v>
      </c>
      <c r="P88">
        <f>+[1]wFG_rstar_shock_decomposition!S88</f>
        <v>9.6917743477175803E-14</v>
      </c>
      <c r="Q88">
        <f>+[1]wFG_rstar_shock_decomposition!T88</f>
        <v>4.8737609953314803E-2</v>
      </c>
      <c r="R88">
        <f>+[1]wFG_rstar_shock_decomposition!U88</f>
        <v>0</v>
      </c>
      <c r="S88">
        <f>+[1]wFG_rstar_shock_decomposition!V88</f>
        <v>-0.22529120858781401</v>
      </c>
      <c r="T88">
        <f>+[1]wFG_rstar_shock_decomposition!W88</f>
        <v>9.8244988005847592E-3</v>
      </c>
      <c r="U88" s="4">
        <f>+[1]wFG_rstar_shock_decomposition!D88</f>
        <v>-0.44784303121451902</v>
      </c>
      <c r="Y88" s="1">
        <f t="shared" si="16"/>
        <v>47026</v>
      </c>
      <c r="Z88" s="7">
        <f t="shared" si="16"/>
        <v>-0.15831841266427499</v>
      </c>
      <c r="AA88" s="7">
        <f t="shared" si="16"/>
        <v>-0.13191928890622501</v>
      </c>
      <c r="AB88" s="7">
        <f t="shared" si="16"/>
        <v>0.23239740301363901</v>
      </c>
      <c r="AC88" s="7">
        <f t="shared" si="17"/>
        <v>-0.39674812541020399</v>
      </c>
      <c r="AD88" s="7">
        <f t="shared" si="18"/>
        <v>-5.1816716001492298E-2</v>
      </c>
      <c r="AE88" s="7">
        <f t="shared" si="19"/>
        <v>4.8737609953314803E-2</v>
      </c>
      <c r="AF88" s="7">
        <f t="shared" si="20"/>
        <v>-1.5981242565364102E-14</v>
      </c>
      <c r="AG88" s="7">
        <f t="shared" si="20"/>
        <v>4.5855606378661699E-14</v>
      </c>
      <c r="AH88" s="7">
        <f t="shared" si="21"/>
        <v>9.8244988006928029E-3</v>
      </c>
      <c r="AI88" s="7">
        <f t="shared" si="15"/>
        <v>-0.44784303121451985</v>
      </c>
      <c r="AJ88" s="8">
        <f t="shared" si="22"/>
        <v>-0.34801051545688921</v>
      </c>
      <c r="AK88" s="8">
        <f t="shared" si="23"/>
        <v>4.8661398105921704E-2</v>
      </c>
      <c r="AL88" s="8">
        <f t="shared" si="24"/>
        <v>-0.15831841266427499</v>
      </c>
      <c r="AM88" s="8">
        <f t="shared" si="25"/>
        <v>9.8244988006928029E-3</v>
      </c>
      <c r="AN88" s="8">
        <f t="shared" si="26"/>
        <v>-0.44784303121454971</v>
      </c>
      <c r="AO88" s="9">
        <f t="shared" si="27"/>
        <v>0.89153812261817467</v>
      </c>
      <c r="AP88" s="9">
        <f t="shared" si="27"/>
        <v>-7.3428514685010146E-2</v>
      </c>
      <c r="AQ88" s="9">
        <f t="shared" si="27"/>
        <v>0.19381790025693035</v>
      </c>
      <c r="AR88" s="9">
        <f t="shared" si="27"/>
        <v>-1.1927508190092112E-2</v>
      </c>
      <c r="AS88" s="9">
        <f t="shared" si="27"/>
        <v>1</v>
      </c>
      <c r="AT88" s="7"/>
      <c r="AU88" s="7"/>
      <c r="AV88" s="7"/>
      <c r="AW88" s="7"/>
      <c r="AX88" s="7"/>
    </row>
    <row r="89" spans="1:50" x14ac:dyDescent="0.25">
      <c r="A89" s="1">
        <v>47118</v>
      </c>
      <c r="B89">
        <f>+[1]wFG_rstar_shock_decomposition!E89</f>
        <v>-0.15641126657162599</v>
      </c>
      <c r="C89">
        <f>+[1]wFG_rstar_shock_decomposition!F89</f>
        <v>-0.13060009603098099</v>
      </c>
      <c r="D89">
        <f>+[1]wFG_rstar_shock_decomposition!G89</f>
        <v>0.23007278579832999</v>
      </c>
      <c r="E89">
        <f>+[1]wFG_rstar_shock_decomposition!H89</f>
        <v>-5.1437072514890797E-2</v>
      </c>
      <c r="F89">
        <f>+[1]wFG_rstar_shock_decomposition!I89</f>
        <v>-0.16369691249055801</v>
      </c>
      <c r="G89">
        <f>+[1]wFG_rstar_shock_decomposition!J89</f>
        <v>-1.5580693078139001E-14</v>
      </c>
      <c r="H89">
        <f>+[1]wFG_rstar_shock_decomposition!K89</f>
        <v>4.6056457407609998E-14</v>
      </c>
      <c r="I89">
        <f>+[1]wFG_rstar_shock_decomposition!L89</f>
        <v>-1.04998825543765E-15</v>
      </c>
      <c r="J89">
        <f>+[1]wFG_rstar_shock_decomposition!M89</f>
        <v>2.2965826535179302E-15</v>
      </c>
      <c r="K89">
        <f>+[1]wFG_rstar_shock_decomposition!N89</f>
        <v>-1.2360068869744499E-15</v>
      </c>
      <c r="L89">
        <f>+[1]wFG_rstar_shock_decomposition!O89</f>
        <v>1.71745283308668E-15</v>
      </c>
      <c r="M89">
        <f>+[1]wFG_rstar_shock_decomposition!P89</f>
        <v>8.2821298124360999E-16</v>
      </c>
      <c r="N89">
        <f>+[1]wFG_rstar_shock_decomposition!Q89</f>
        <v>3.5025971079108599E-15</v>
      </c>
      <c r="O89">
        <f>+[1]wFG_rstar_shock_decomposition!R89</f>
        <v>4.9411442581535997E-15</v>
      </c>
      <c r="P89">
        <f>+[1]wFG_rstar_shock_decomposition!S89</f>
        <v>9.6780130183419003E-14</v>
      </c>
      <c r="Q89">
        <f>+[1]wFG_rstar_shock_decomposition!T89</f>
        <v>4.7437861205966998E-2</v>
      </c>
      <c r="R89">
        <f>+[1]wFG_rstar_shock_decomposition!U89</f>
        <v>0</v>
      </c>
      <c r="S89">
        <f>+[1]wFG_rstar_shock_decomposition!V89</f>
        <v>-0.223042156367039</v>
      </c>
      <c r="T89">
        <f>+[1]wFG_rstar_shock_decomposition!W89</f>
        <v>9.7071523953310198E-3</v>
      </c>
      <c r="U89" s="4">
        <f>+[1]wFG_rstar_shock_decomposition!D89</f>
        <v>-0.43796970457532802</v>
      </c>
      <c r="Y89" s="1">
        <f t="shared" si="16"/>
        <v>47118</v>
      </c>
      <c r="Z89" s="7">
        <f t="shared" si="16"/>
        <v>-0.15641126657162599</v>
      </c>
      <c r="AA89" s="7">
        <f t="shared" si="16"/>
        <v>-0.13060009603098099</v>
      </c>
      <c r="AB89" s="7">
        <f t="shared" si="16"/>
        <v>0.23007278579832999</v>
      </c>
      <c r="AC89" s="7">
        <f t="shared" si="17"/>
        <v>-0.38673906885759701</v>
      </c>
      <c r="AD89" s="7">
        <f t="shared" si="18"/>
        <v>-5.1437072514890797E-2</v>
      </c>
      <c r="AE89" s="7">
        <f t="shared" si="19"/>
        <v>4.7437861205966998E-2</v>
      </c>
      <c r="AF89" s="7">
        <f t="shared" si="20"/>
        <v>-1.5580693078139001E-14</v>
      </c>
      <c r="AG89" s="7">
        <f t="shared" si="20"/>
        <v>4.6056457407609998E-14</v>
      </c>
      <c r="AH89" s="7">
        <f t="shared" si="21"/>
        <v>9.7071523954387982E-3</v>
      </c>
      <c r="AI89" s="7">
        <f t="shared" si="15"/>
        <v>-0.43796970457532852</v>
      </c>
      <c r="AJ89" s="8">
        <f t="shared" si="22"/>
        <v>-0.33930120765163002</v>
      </c>
      <c r="AK89" s="8">
        <f t="shared" si="23"/>
        <v>4.8035617252458196E-2</v>
      </c>
      <c r="AL89" s="8">
        <f t="shared" si="24"/>
        <v>-0.15641126657162599</v>
      </c>
      <c r="AM89" s="8">
        <f t="shared" si="25"/>
        <v>9.7071523954387982E-3</v>
      </c>
      <c r="AN89" s="8">
        <f t="shared" si="26"/>
        <v>-0.43796970457535905</v>
      </c>
      <c r="AO89" s="9">
        <f t="shared" si="27"/>
        <v>0.88210469718371587</v>
      </c>
      <c r="AP89" s="9">
        <f t="shared" si="27"/>
        <v>-6.3380953181429875E-2</v>
      </c>
      <c r="AQ89" s="9">
        <f t="shared" si="27"/>
        <v>0.19316145027339349</v>
      </c>
      <c r="AR89" s="9">
        <f t="shared" si="27"/>
        <v>-1.1885194275677679E-2</v>
      </c>
      <c r="AS89" s="9">
        <f t="shared" si="27"/>
        <v>1</v>
      </c>
      <c r="AT89" s="7"/>
      <c r="AU89" s="7"/>
      <c r="AV89" s="7"/>
      <c r="AW89" s="7"/>
      <c r="AX89" s="7"/>
    </row>
    <row r="90" spans="1:50" x14ac:dyDescent="0.25">
      <c r="A90" s="1">
        <v>47208</v>
      </c>
      <c r="B90">
        <f>+[1]wFG_rstar_shock_decomposition!E90</f>
        <v>-0.15452800326388699</v>
      </c>
      <c r="C90">
        <f>+[1]wFG_rstar_shock_decomposition!F90</f>
        <v>-0.12929409507784501</v>
      </c>
      <c r="D90">
        <f>+[1]wFG_rstar_shock_decomposition!G90</f>
        <v>0.22777160990343401</v>
      </c>
      <c r="E90">
        <f>+[1]wFG_rstar_shock_decomposition!H90</f>
        <v>-5.0975572304267698E-2</v>
      </c>
      <c r="F90">
        <f>+[1]wFG_rstar_shock_decomposition!I90</f>
        <v>-0.15618702068496201</v>
      </c>
      <c r="G90">
        <f>+[1]wFG_rstar_shock_decomposition!J90</f>
        <v>-1.5182735223931801E-14</v>
      </c>
      <c r="H90">
        <f>+[1]wFG_rstar_shock_decomposition!K90</f>
        <v>4.6243221283694697E-14</v>
      </c>
      <c r="I90">
        <f>+[1]wFG_rstar_shock_decomposition!L90</f>
        <v>-1.03568127498554E-15</v>
      </c>
      <c r="J90">
        <f>+[1]wFG_rstar_shock_decomposition!M90</f>
        <v>2.26412034706784E-15</v>
      </c>
      <c r="K90">
        <f>+[1]wFG_rstar_shock_decomposition!N90</f>
        <v>-1.2196587863432E-15</v>
      </c>
      <c r="L90">
        <f>+[1]wFG_rstar_shock_decomposition!O90</f>
        <v>1.69861679460201E-15</v>
      </c>
      <c r="M90">
        <f>+[1]wFG_rstar_shock_decomposition!P90</f>
        <v>8.2075624896424903E-16</v>
      </c>
      <c r="N90">
        <f>+[1]wFG_rstar_shock_decomposition!Q90</f>
        <v>3.46326200167279E-15</v>
      </c>
      <c r="O90">
        <f>+[1]wFG_rstar_shock_decomposition!R90</f>
        <v>4.8824953131701598E-15</v>
      </c>
      <c r="P90">
        <f>+[1]wFG_rstar_shock_decomposition!S90</f>
        <v>9.6633020923414297E-14</v>
      </c>
      <c r="Q90">
        <f>+[1]wFG_rstar_shock_decomposition!T90</f>
        <v>4.6221349850387498E-2</v>
      </c>
      <c r="R90">
        <f>+[1]wFG_rstar_shock_decomposition!U90</f>
        <v>0</v>
      </c>
      <c r="S90">
        <f>+[1]wFG_rstar_shock_decomposition!V90</f>
        <v>-0.22081676811187301</v>
      </c>
      <c r="T90">
        <f>+[1]wFG_rstar_shock_decomposition!W90</f>
        <v>9.5912822510739598E-3</v>
      </c>
      <c r="U90" s="4">
        <f>+[1]wFG_rstar_shock_decomposition!D90</f>
        <v>-0.428217217437799</v>
      </c>
      <c r="Y90" s="1">
        <f t="shared" si="16"/>
        <v>47208</v>
      </c>
      <c r="Z90" s="7">
        <f t="shared" si="16"/>
        <v>-0.15452800326388699</v>
      </c>
      <c r="AA90" s="7">
        <f t="shared" si="16"/>
        <v>-0.12929409507784501</v>
      </c>
      <c r="AB90" s="7">
        <f t="shared" si="16"/>
        <v>0.22777160990343401</v>
      </c>
      <c r="AC90" s="7">
        <f t="shared" si="17"/>
        <v>-0.37700378879683505</v>
      </c>
      <c r="AD90" s="7">
        <f t="shared" si="18"/>
        <v>-5.0975572304267698E-2</v>
      </c>
      <c r="AE90" s="7">
        <f t="shared" si="19"/>
        <v>4.6221349850387498E-2</v>
      </c>
      <c r="AF90" s="7">
        <f t="shared" si="20"/>
        <v>-1.5182735223931801E-14</v>
      </c>
      <c r="AG90" s="7">
        <f t="shared" si="20"/>
        <v>4.6243221283694697E-14</v>
      </c>
      <c r="AH90" s="7">
        <f t="shared" si="21"/>
        <v>9.5912822511814658E-3</v>
      </c>
      <c r="AI90" s="7">
        <f t="shared" si="15"/>
        <v>-0.42821721743780072</v>
      </c>
      <c r="AJ90" s="8">
        <f t="shared" si="22"/>
        <v>-0.33078243894644754</v>
      </c>
      <c r="AK90" s="8">
        <f t="shared" si="23"/>
        <v>4.7501942521321304E-2</v>
      </c>
      <c r="AL90" s="8">
        <f t="shared" si="24"/>
        <v>-0.15452800326388699</v>
      </c>
      <c r="AM90" s="8">
        <f t="shared" si="25"/>
        <v>9.5912822511814658E-3</v>
      </c>
      <c r="AN90" s="8">
        <f t="shared" si="26"/>
        <v>-0.42821721743783181</v>
      </c>
      <c r="AO90" s="9">
        <f t="shared" si="27"/>
        <v>0.87349704593841926</v>
      </c>
      <c r="AP90" s="9">
        <f t="shared" si="27"/>
        <v>-5.4721910791692252E-2</v>
      </c>
      <c r="AQ90" s="9">
        <f t="shared" si="27"/>
        <v>0.19310595145440007</v>
      </c>
      <c r="AR90" s="9">
        <f t="shared" si="27"/>
        <v>-1.1881086601126384E-2</v>
      </c>
      <c r="AS90" s="9">
        <f t="shared" si="27"/>
        <v>1</v>
      </c>
      <c r="AT90" s="7"/>
      <c r="AU90" s="7"/>
      <c r="AV90" s="7"/>
      <c r="AW90" s="7"/>
      <c r="AX90" s="7"/>
    </row>
    <row r="91" spans="1:50" x14ac:dyDescent="0.25">
      <c r="A91" s="1">
        <v>47299</v>
      </c>
      <c r="B91">
        <f>+[1]wFG_rstar_shock_decomposition!E91</f>
        <v>-0.15266846071241899</v>
      </c>
      <c r="C91">
        <f>+[1]wFG_rstar_shock_decomposition!F91</f>
        <v>-0.12800115413079</v>
      </c>
      <c r="D91">
        <f>+[1]wFG_rstar_shock_decomposition!G91</f>
        <v>0.22549358170598199</v>
      </c>
      <c r="E91">
        <f>+[1]wFG_rstar_shock_decomposition!H91</f>
        <v>-5.04442545894591E-2</v>
      </c>
      <c r="F91">
        <f>+[1]wFG_rstar_shock_decomposition!I91</f>
        <v>-0.14893200519081001</v>
      </c>
      <c r="G91">
        <f>+[1]wFG_rstar_shock_decomposition!J91</f>
        <v>-1.47880459568759E-14</v>
      </c>
      <c r="H91">
        <f>+[1]wFG_rstar_shock_decomposition!K91</f>
        <v>4.64160942637587E-14</v>
      </c>
      <c r="I91">
        <f>+[1]wFG_rstar_shock_decomposition!L91</f>
        <v>-1.0213738044478601E-15</v>
      </c>
      <c r="J91">
        <f>+[1]wFG_rstar_shock_decomposition!M91</f>
        <v>2.23239451150456E-15</v>
      </c>
      <c r="K91">
        <f>+[1]wFG_rstar_shock_decomposition!N91</f>
        <v>-1.2027812137506699E-15</v>
      </c>
      <c r="L91">
        <f>+[1]wFG_rstar_shock_decomposition!O91</f>
        <v>1.68037602664618E-15</v>
      </c>
      <c r="M91">
        <f>+[1]wFG_rstar_shock_decomposition!P91</f>
        <v>8.1384413665035595E-16</v>
      </c>
      <c r="N91">
        <f>+[1]wFG_rstar_shock_decomposition!Q91</f>
        <v>3.4245576592283302E-15</v>
      </c>
      <c r="O91">
        <f>+[1]wFG_rstar_shock_decomposition!R91</f>
        <v>4.8240050710669298E-15</v>
      </c>
      <c r="P91">
        <f>+[1]wFG_rstar_shock_decomposition!S91</f>
        <v>9.6476602749188398E-14</v>
      </c>
      <c r="Q91">
        <f>+[1]wFG_rstar_shock_decomposition!T91</f>
        <v>4.5079114724604602E-2</v>
      </c>
      <c r="R91">
        <f>+[1]wFG_rstar_shock_decomposition!U91</f>
        <v>0</v>
      </c>
      <c r="S91">
        <f>+[1]wFG_rstar_shock_decomposition!V91</f>
        <v>-0.21861447768283501</v>
      </c>
      <c r="T91">
        <f>+[1]wFG_rstar_shock_decomposition!W91</f>
        <v>9.4768684647666898E-3</v>
      </c>
      <c r="U91" s="4">
        <f>+[1]wFG_rstar_shock_decomposition!D91</f>
        <v>-0.41861078741082097</v>
      </c>
      <c r="Y91" s="1">
        <f t="shared" si="16"/>
        <v>47299</v>
      </c>
      <c r="Z91" s="7">
        <f t="shared" si="16"/>
        <v>-0.15266846071241899</v>
      </c>
      <c r="AA91" s="7">
        <f t="shared" si="16"/>
        <v>-0.12800115413079</v>
      </c>
      <c r="AB91" s="7">
        <f t="shared" si="16"/>
        <v>0.22549358170598199</v>
      </c>
      <c r="AC91" s="7">
        <f t="shared" si="17"/>
        <v>-0.367546482873645</v>
      </c>
      <c r="AD91" s="7">
        <f t="shared" si="18"/>
        <v>-5.04442545894591E-2</v>
      </c>
      <c r="AE91" s="7">
        <f t="shared" si="19"/>
        <v>4.5079114724604602E-2</v>
      </c>
      <c r="AF91" s="7">
        <f t="shared" si="20"/>
        <v>-1.47880459568759E-14</v>
      </c>
      <c r="AG91" s="7">
        <f t="shared" si="20"/>
        <v>4.64160942637587E-14</v>
      </c>
      <c r="AH91" s="7">
        <f t="shared" si="21"/>
        <v>9.4768684648739183E-3</v>
      </c>
      <c r="AI91" s="7">
        <f t="shared" si="15"/>
        <v>-0.41861078741082092</v>
      </c>
      <c r="AJ91" s="8">
        <f t="shared" si="22"/>
        <v>-0.32246736814904042</v>
      </c>
      <c r="AK91" s="8">
        <f t="shared" si="23"/>
        <v>4.7048172985732897E-2</v>
      </c>
      <c r="AL91" s="8">
        <f t="shared" si="24"/>
        <v>-0.15266846071241899</v>
      </c>
      <c r="AM91" s="8">
        <f t="shared" si="25"/>
        <v>9.4768684648739183E-3</v>
      </c>
      <c r="AN91" s="8">
        <f t="shared" si="26"/>
        <v>-0.41861078741085256</v>
      </c>
      <c r="AO91" s="9">
        <f t="shared" si="27"/>
        <v>0.8655734517458199</v>
      </c>
      <c r="AP91" s="9">
        <f t="shared" si="27"/>
        <v>-4.7236021530788666E-2</v>
      </c>
      <c r="AQ91" s="9">
        <f t="shared" si="27"/>
        <v>0.19357269518911349</v>
      </c>
      <c r="AR91" s="9">
        <f t="shared" si="27"/>
        <v>-1.1910125404153395E-2</v>
      </c>
      <c r="AS91" s="9">
        <f t="shared" si="27"/>
        <v>1</v>
      </c>
      <c r="AT91" s="7"/>
      <c r="AU91" s="7"/>
      <c r="AV91" s="7"/>
      <c r="AW91" s="7"/>
      <c r="AX91" s="7"/>
    </row>
    <row r="92" spans="1:50" x14ac:dyDescent="0.25">
      <c r="A92" s="1">
        <v>47391</v>
      </c>
      <c r="B92">
        <f>+[1]wFG_rstar_shock_decomposition!E92</f>
        <v>-0.150832448620983</v>
      </c>
      <c r="C92">
        <f>+[1]wFG_rstar_shock_decomposition!F92</f>
        <v>-0.12672114259141601</v>
      </c>
      <c r="D92">
        <f>+[1]wFG_rstar_shock_decomposition!G92</f>
        <v>0.22323842848401701</v>
      </c>
      <c r="E92">
        <f>+[1]wFG_rstar_shock_decomposition!H92</f>
        <v>-4.98537973197151E-2</v>
      </c>
      <c r="F92">
        <f>+[1]wFG_rstar_shock_decomposition!I92</f>
        <v>-0.1419344353044</v>
      </c>
      <c r="G92">
        <f>+[1]wFG_rstar_shock_decomposition!J92</f>
        <v>-1.4397262424662201E-14</v>
      </c>
      <c r="H92">
        <f>+[1]wFG_rstar_shock_decomposition!K92</f>
        <v>4.6575279183945898E-14</v>
      </c>
      <c r="I92">
        <f>+[1]wFG_rstar_shock_decomposition!L92</f>
        <v>-1.0070365882055699E-15</v>
      </c>
      <c r="J92">
        <f>+[1]wFG_rstar_shock_decomposition!M92</f>
        <v>2.2013954125019101E-15</v>
      </c>
      <c r="K92">
        <f>+[1]wFG_rstar_shock_decomposition!N92</f>
        <v>-1.1855023589520399E-15</v>
      </c>
      <c r="L92">
        <f>+[1]wFG_rstar_shock_decomposition!O92</f>
        <v>1.6626657040433699E-15</v>
      </c>
      <c r="M92">
        <f>+[1]wFG_rstar_shock_decomposition!P92</f>
        <v>8.0738764737438595E-16</v>
      </c>
      <c r="N92">
        <f>+[1]wFG_rstar_shock_decomposition!Q92</f>
        <v>3.38647129608099E-15</v>
      </c>
      <c r="O92">
        <f>+[1]wFG_rstar_shock_decomposition!R92</f>
        <v>4.7657838565185998E-15</v>
      </c>
      <c r="P92">
        <f>+[1]wFG_rstar_shock_decomposition!S92</f>
        <v>9.6311072328965099E-14</v>
      </c>
      <c r="Q92">
        <f>+[1]wFG_rstar_shock_decomposition!T92</f>
        <v>4.4003240758485003E-2</v>
      </c>
      <c r="R92">
        <f>+[1]wFG_rstar_shock_decomposition!U92</f>
        <v>0</v>
      </c>
      <c r="S92">
        <f>+[1]wFG_rstar_shock_decomposition!V92</f>
        <v>-0.21643479871305299</v>
      </c>
      <c r="T92">
        <f>+[1]wFG_rstar_shock_decomposition!W92</f>
        <v>9.3638914179102802E-3</v>
      </c>
      <c r="U92" s="4">
        <f>+[1]wFG_rstar_shock_decomposition!D92</f>
        <v>-0.40917106188901398</v>
      </c>
      <c r="Y92" s="1">
        <f t="shared" si="16"/>
        <v>47391</v>
      </c>
      <c r="Z92" s="7">
        <f t="shared" si="16"/>
        <v>-0.150832448620983</v>
      </c>
      <c r="AA92" s="7">
        <f t="shared" si="16"/>
        <v>-0.12672114259141601</v>
      </c>
      <c r="AB92" s="7">
        <f t="shared" si="16"/>
        <v>0.22323842848401701</v>
      </c>
      <c r="AC92" s="7">
        <f t="shared" si="17"/>
        <v>-0.35836923401745302</v>
      </c>
      <c r="AD92" s="7">
        <f t="shared" si="18"/>
        <v>-4.98537973197151E-2</v>
      </c>
      <c r="AE92" s="7">
        <f t="shared" si="19"/>
        <v>4.4003240758485003E-2</v>
      </c>
      <c r="AF92" s="7">
        <f t="shared" si="20"/>
        <v>-1.4397262424662201E-14</v>
      </c>
      <c r="AG92" s="7">
        <f t="shared" si="20"/>
        <v>4.6575279183945898E-14</v>
      </c>
      <c r="AH92" s="7">
        <f t="shared" si="21"/>
        <v>9.3638914180172207E-3</v>
      </c>
      <c r="AI92" s="7">
        <f t="shared" si="15"/>
        <v>-0.4091710618890157</v>
      </c>
      <c r="AJ92" s="8">
        <f t="shared" si="22"/>
        <v>-0.31436599325896802</v>
      </c>
      <c r="AK92" s="8">
        <f t="shared" si="23"/>
        <v>4.6663488572885901E-2</v>
      </c>
      <c r="AL92" s="8">
        <f t="shared" si="24"/>
        <v>-0.150832448620983</v>
      </c>
      <c r="AM92" s="8">
        <f t="shared" si="25"/>
        <v>9.3638914180172207E-3</v>
      </c>
      <c r="AN92" s="8">
        <f t="shared" si="26"/>
        <v>-0.40917106188904789</v>
      </c>
      <c r="AO92" s="9">
        <f t="shared" si="27"/>
        <v>0.85822144630785802</v>
      </c>
      <c r="AP92" s="9">
        <f t="shared" si="27"/>
        <v>-4.0751652360910259E-2</v>
      </c>
      <c r="AQ92" s="9">
        <f t="shared" si="27"/>
        <v>0.19449846154901665</v>
      </c>
      <c r="AR92" s="9">
        <f t="shared" si="27"/>
        <v>-1.196825549596053E-2</v>
      </c>
      <c r="AS92" s="9">
        <f t="shared" si="27"/>
        <v>1</v>
      </c>
      <c r="AT92" s="7"/>
      <c r="AU92" s="7"/>
      <c r="AV92" s="7"/>
      <c r="AW92" s="7"/>
      <c r="AX92" s="7"/>
    </row>
    <row r="93" spans="1:50" x14ac:dyDescent="0.25">
      <c r="A93" s="1">
        <v>47483</v>
      </c>
      <c r="B93">
        <f>+[1]wFG_rstar_shock_decomposition!E93</f>
        <v>-0.14901975423622199</v>
      </c>
      <c r="C93">
        <f>+[1]wFG_rstar_shock_decomposition!F93</f>
        <v>-0.12545393116650499</v>
      </c>
      <c r="D93">
        <f>+[1]wFG_rstar_shock_decomposition!G93</f>
        <v>0.22100589275690799</v>
      </c>
      <c r="E93">
        <f>+[1]wFG_rstar_shock_decomposition!H93</f>
        <v>-4.9213653592448697E-2</v>
      </c>
      <c r="F93">
        <f>+[1]wFG_rstar_shock_decomposition!I93</f>
        <v>-0.13519499140517199</v>
      </c>
      <c r="G93">
        <f>+[1]wFG_rstar_shock_decomposition!J93</f>
        <v>-1.4010977043921801E-14</v>
      </c>
      <c r="H93">
        <f>+[1]wFG_rstar_shock_decomposition!K93</f>
        <v>4.6720986563031802E-14</v>
      </c>
      <c r="I93">
        <f>+[1]wFG_rstar_shock_decomposition!L93</f>
        <v>-9.9265410883992493E-16</v>
      </c>
      <c r="J93">
        <f>+[1]wFG_rstar_shock_decomposition!M93</f>
        <v>2.17110967288925E-15</v>
      </c>
      <c r="K93">
        <f>+[1]wFG_rstar_shock_decomposition!N93</f>
        <v>-1.1679397754485499E-15</v>
      </c>
      <c r="L93">
        <f>+[1]wFG_rstar_shock_decomposition!O93</f>
        <v>1.64542687753936E-15</v>
      </c>
      <c r="M93">
        <f>+[1]wFG_rstar_shock_decomposition!P93</f>
        <v>8.0130640228998201E-16</v>
      </c>
      <c r="N93">
        <f>+[1]wFG_rstar_shock_decomposition!Q93</f>
        <v>3.34898886934216E-15</v>
      </c>
      <c r="O93">
        <f>+[1]wFG_rstar_shock_decomposition!R93</f>
        <v>4.7079314454130102E-15</v>
      </c>
      <c r="P93">
        <f>+[1]wFG_rstar_shock_decomposition!S93</f>
        <v>9.6136634334561597E-14</v>
      </c>
      <c r="Q93">
        <f>+[1]wFG_rstar_shock_decomposition!T93</f>
        <v>4.2986737437364898E-2</v>
      </c>
      <c r="R93">
        <f>+[1]wFG_rstar_shock_decomposition!U93</f>
        <v>0</v>
      </c>
      <c r="S93">
        <f>+[1]wFG_rstar_shock_decomposition!V93</f>
        <v>-0.214277308043653</v>
      </c>
      <c r="T93">
        <f>+[1]wFG_rstar_shock_decomposition!W93</f>
        <v>9.2523317724387301E-3</v>
      </c>
      <c r="U93" s="4">
        <f>+[1]wFG_rstar_shock_decomposition!D93</f>
        <v>-0.39991467647714801</v>
      </c>
      <c r="Y93" s="1">
        <f t="shared" si="16"/>
        <v>47483</v>
      </c>
      <c r="Z93" s="7">
        <f t="shared" si="16"/>
        <v>-0.14901975423622199</v>
      </c>
      <c r="AA93" s="7">
        <f t="shared" si="16"/>
        <v>-0.12545393116650499</v>
      </c>
      <c r="AB93" s="7">
        <f t="shared" si="16"/>
        <v>0.22100589275690799</v>
      </c>
      <c r="AC93" s="7">
        <f t="shared" si="17"/>
        <v>-0.34947229944882496</v>
      </c>
      <c r="AD93" s="7">
        <f t="shared" si="18"/>
        <v>-4.9213653592448697E-2</v>
      </c>
      <c r="AE93" s="7">
        <f t="shared" si="19"/>
        <v>4.2986737437364898E-2</v>
      </c>
      <c r="AF93" s="7">
        <f t="shared" si="20"/>
        <v>-1.4010977043921801E-14</v>
      </c>
      <c r="AG93" s="7">
        <f t="shared" si="20"/>
        <v>4.6720986563031802E-14</v>
      </c>
      <c r="AH93" s="7">
        <f t="shared" si="21"/>
        <v>9.2523317725453844E-3</v>
      </c>
      <c r="AI93" s="7">
        <f t="shared" si="15"/>
        <v>-0.39991467647714962</v>
      </c>
      <c r="AJ93" s="8">
        <f t="shared" si="22"/>
        <v>-0.30648556201146004</v>
      </c>
      <c r="AK93" s="8">
        <f t="shared" si="23"/>
        <v>4.6338307997954298E-2</v>
      </c>
      <c r="AL93" s="8">
        <f t="shared" si="24"/>
        <v>-0.14901975423622199</v>
      </c>
      <c r="AM93" s="8">
        <f t="shared" si="25"/>
        <v>9.2523317725453844E-3</v>
      </c>
      <c r="AN93" s="8">
        <f t="shared" si="26"/>
        <v>-0.39991467647718237</v>
      </c>
      <c r="AO93" s="9">
        <f t="shared" si="27"/>
        <v>0.85135081318094852</v>
      </c>
      <c r="AP93" s="9">
        <f t="shared" si="27"/>
        <v>-3.5130405710501543E-2</v>
      </c>
      <c r="AQ93" s="9">
        <f t="shared" si="27"/>
        <v>0.19583177494287982</v>
      </c>
      <c r="AR93" s="9">
        <f t="shared" si="27"/>
        <v>-1.2052182413324206E-2</v>
      </c>
      <c r="AS93" s="9">
        <f t="shared" si="27"/>
        <v>1</v>
      </c>
      <c r="AT93" s="7"/>
      <c r="AU93" s="7"/>
      <c r="AV93" s="7"/>
      <c r="AW93" s="7"/>
      <c r="AX93" s="7"/>
    </row>
    <row r="94" spans="1:50" x14ac:dyDescent="0.25">
      <c r="A94" s="1">
        <v>47573</v>
      </c>
      <c r="B94">
        <f>+[1]wFG_rstar_shock_decomposition!E94</f>
        <v>-0.147230147091792</v>
      </c>
      <c r="C94">
        <f>+[1]wFG_rstar_shock_decomposition!F94</f>
        <v>-0.124199391855361</v>
      </c>
      <c r="D94">
        <f>+[1]wFG_rstar_shock_decomposition!G94</f>
        <v>0.218795728336038</v>
      </c>
      <c r="E94">
        <f>+[1]wFG_rstar_shock_decomposition!H94</f>
        <v>-4.8532177084998303E-2</v>
      </c>
      <c r="F94">
        <f>+[1]wFG_rstar_shock_decomposition!I94</f>
        <v>-0.12871274030709401</v>
      </c>
      <c r="G94">
        <f>+[1]wFG_rstar_shock_decomposition!J94</f>
        <v>-1.3629733798303499E-14</v>
      </c>
      <c r="H94">
        <f>+[1]wFG_rstar_shock_decomposition!K94</f>
        <v>4.6853435229995102E-14</v>
      </c>
      <c r="I94">
        <f>+[1]wFG_rstar_shock_decomposition!L94</f>
        <v>-9.7822192135687901E-16</v>
      </c>
      <c r="J94">
        <f>+[1]wFG_rstar_shock_decomposition!M94</f>
        <v>2.1415210403193699E-15</v>
      </c>
      <c r="K94">
        <f>+[1]wFG_rstar_shock_decomposition!N94</f>
        <v>-1.15020004343051E-15</v>
      </c>
      <c r="L94">
        <f>+[1]wFG_rstar_shock_decomposition!O94</f>
        <v>1.6286064170259E-15</v>
      </c>
      <c r="M94">
        <f>+[1]wFG_rstar_shock_decomposition!P94</f>
        <v>7.95528540486166E-16</v>
      </c>
      <c r="N94">
        <f>+[1]wFG_rstar_shock_decomposition!Q94</f>
        <v>3.3120954680131402E-15</v>
      </c>
      <c r="O94">
        <f>+[1]wFG_rstar_shock_decomposition!R94</f>
        <v>4.65053696270525E-15</v>
      </c>
      <c r="P94">
        <f>+[1]wFG_rstar_shock_decomposition!S94</f>
        <v>9.59534999163362E-14</v>
      </c>
      <c r="Q94">
        <f>+[1]wFG_rstar_shock_decomposition!T94</f>
        <v>4.2023431178732099E-2</v>
      </c>
      <c r="R94">
        <f>+[1]wFG_rstar_shock_decomposition!U94</f>
        <v>0</v>
      </c>
      <c r="S94">
        <f>+[1]wFG_rstar_shock_decomposition!V94</f>
        <v>-0.212141632598637</v>
      </c>
      <c r="T94">
        <f>+[1]wFG_rstar_shock_decomposition!W94</f>
        <v>9.1421704666574798E-3</v>
      </c>
      <c r="U94" s="4">
        <f>+[1]wFG_rstar_shock_decomposition!D94</f>
        <v>-0.390854758956314</v>
      </c>
      <c r="Y94" s="1">
        <f t="shared" si="16"/>
        <v>47573</v>
      </c>
      <c r="Z94" s="7">
        <f t="shared" si="16"/>
        <v>-0.147230147091792</v>
      </c>
      <c r="AA94" s="7">
        <f t="shared" si="16"/>
        <v>-0.124199391855361</v>
      </c>
      <c r="AB94" s="7">
        <f t="shared" si="16"/>
        <v>0.218795728336038</v>
      </c>
      <c r="AC94" s="7">
        <f t="shared" si="17"/>
        <v>-0.34085437290573101</v>
      </c>
      <c r="AD94" s="7">
        <f t="shared" si="18"/>
        <v>-4.8532177084998303E-2</v>
      </c>
      <c r="AE94" s="7">
        <f t="shared" si="19"/>
        <v>4.2023431178732099E-2</v>
      </c>
      <c r="AF94" s="7">
        <f t="shared" si="20"/>
        <v>-1.3629733798303499E-14</v>
      </c>
      <c r="AG94" s="7">
        <f t="shared" si="20"/>
        <v>4.6853435229995102E-14</v>
      </c>
      <c r="AH94" s="7">
        <f t="shared" si="21"/>
        <v>9.142170466763834E-3</v>
      </c>
      <c r="AI94" s="7">
        <f t="shared" si="15"/>
        <v>-0.39085475895631516</v>
      </c>
      <c r="AJ94" s="8">
        <f t="shared" si="22"/>
        <v>-0.29883094172699892</v>
      </c>
      <c r="AK94" s="8">
        <f t="shared" si="23"/>
        <v>4.6064159395678698E-2</v>
      </c>
      <c r="AL94" s="8">
        <f t="shared" si="24"/>
        <v>-0.147230147091792</v>
      </c>
      <c r="AM94" s="8">
        <f t="shared" si="25"/>
        <v>9.142170466763834E-3</v>
      </c>
      <c r="AN94" s="8">
        <f t="shared" si="26"/>
        <v>-0.39085475895634836</v>
      </c>
      <c r="AO94" s="9">
        <f t="shared" si="27"/>
        <v>0.84488851767785988</v>
      </c>
      <c r="AP94" s="9">
        <f t="shared" si="27"/>
        <v>-3.0259503096487613E-2</v>
      </c>
      <c r="AQ94" s="9">
        <f t="shared" si="27"/>
        <v>0.19753018063516004</v>
      </c>
      <c r="AR94" s="9">
        <f t="shared" si="27"/>
        <v>-1.2159195216537624E-2</v>
      </c>
      <c r="AS94" s="9">
        <f t="shared" si="27"/>
        <v>1</v>
      </c>
      <c r="AT94" s="7"/>
      <c r="AU94" s="7"/>
      <c r="AV94" s="7"/>
      <c r="AW94" s="7"/>
      <c r="AX94" s="7"/>
    </row>
    <row r="95" spans="1:50" x14ac:dyDescent="0.25">
      <c r="A95" s="1">
        <v>47664</v>
      </c>
      <c r="B95">
        <f>+[1]wFG_rstar_shock_decomposition!E95</f>
        <v>-0.14546338288652</v>
      </c>
      <c r="C95">
        <f>+[1]wFG_rstar_shock_decomposition!F95</f>
        <v>-0.122957397937077</v>
      </c>
      <c r="D95">
        <f>+[1]wFG_rstar_shock_decomposition!G95</f>
        <v>0.21660769756700901</v>
      </c>
      <c r="E95">
        <f>+[1]wFG_rstar_shock_decomposition!H95</f>
        <v>-4.78167367673E-2</v>
      </c>
      <c r="F95">
        <f>+[1]wFG_rstar_shock_decomposition!I95</f>
        <v>-0.122485381958665</v>
      </c>
      <c r="G95">
        <f>+[1]wFG_rstar_shock_decomposition!J95</f>
        <v>-1.3254025708554E-14</v>
      </c>
      <c r="H95">
        <f>+[1]wFG_rstar_shock_decomposition!K95</f>
        <v>4.6972852553310199E-14</v>
      </c>
      <c r="I95">
        <f>+[1]wFG_rstar_shock_decomposition!L95</f>
        <v>-9.6374428720953192E-16</v>
      </c>
      <c r="J95">
        <f>+[1]wFG_rstar_shock_decomposition!M95</f>
        <v>2.1126110584263799E-15</v>
      </c>
      <c r="K95">
        <f>+[1]wFG_rstar_shock_decomposition!N95</f>
        <v>-1.1323787263392501E-15</v>
      </c>
      <c r="L95">
        <f>+[1]wFG_rstar_shock_decomposition!O95</f>
        <v>1.6121568324174099E-15</v>
      </c>
      <c r="M95">
        <f>+[1]wFG_rstar_shock_decomposition!P95</f>
        <v>7.8999045210140196E-16</v>
      </c>
      <c r="N95">
        <f>+[1]wFG_rstar_shock_decomposition!Q95</f>
        <v>3.2757756344174702E-15</v>
      </c>
      <c r="O95">
        <f>+[1]wFG_rstar_shock_decomposition!R95</f>
        <v>4.5936789809100303E-15</v>
      </c>
      <c r="P95">
        <f>+[1]wFG_rstar_shock_decomposition!S95</f>
        <v>9.5761885277887798E-14</v>
      </c>
      <c r="Q95">
        <f>+[1]wFG_rstar_shock_decomposition!T95</f>
        <v>4.1107870065289001E-2</v>
      </c>
      <c r="R95">
        <f>+[1]wFG_rstar_shock_decomposition!U95</f>
        <v>0</v>
      </c>
      <c r="S95">
        <f>+[1]wFG_rstar_shock_decomposition!V95</f>
        <v>-0.21002743899371101</v>
      </c>
      <c r="T95">
        <f>+[1]wFG_rstar_shock_decomposition!W95</f>
        <v>9.0333887112359901E-3</v>
      </c>
      <c r="U95" s="4">
        <f>+[1]wFG_rstar_shock_decomposition!D95</f>
        <v>-0.382001382199599</v>
      </c>
      <c r="Y95" s="1">
        <f t="shared" si="16"/>
        <v>47664</v>
      </c>
      <c r="Z95" s="7">
        <f t="shared" si="16"/>
        <v>-0.14546338288652</v>
      </c>
      <c r="AA95" s="7">
        <f t="shared" si="16"/>
        <v>-0.122957397937077</v>
      </c>
      <c r="AB95" s="7">
        <f t="shared" si="16"/>
        <v>0.21660769756700901</v>
      </c>
      <c r="AC95" s="7">
        <f t="shared" si="17"/>
        <v>-0.332512820952376</v>
      </c>
      <c r="AD95" s="7">
        <f t="shared" si="18"/>
        <v>-4.78167367673E-2</v>
      </c>
      <c r="AE95" s="7">
        <f t="shared" si="19"/>
        <v>4.1107870065289001E-2</v>
      </c>
      <c r="AF95" s="7">
        <f t="shared" si="20"/>
        <v>-1.3254025708554E-14</v>
      </c>
      <c r="AG95" s="7">
        <f t="shared" si="20"/>
        <v>4.6972852553310199E-14</v>
      </c>
      <c r="AH95" s="7">
        <f t="shared" si="21"/>
        <v>9.0333887113420372E-3</v>
      </c>
      <c r="AI95" s="7">
        <f t="shared" si="15"/>
        <v>-0.38200138219959928</v>
      </c>
      <c r="AJ95" s="8">
        <f t="shared" si="22"/>
        <v>-0.29140495088708701</v>
      </c>
      <c r="AK95" s="8">
        <f t="shared" si="23"/>
        <v>4.5833562862632016E-2</v>
      </c>
      <c r="AL95" s="8">
        <f t="shared" si="24"/>
        <v>-0.14546338288652</v>
      </c>
      <c r="AM95" s="8">
        <f t="shared" si="25"/>
        <v>9.0333887113420372E-3</v>
      </c>
      <c r="AN95" s="8">
        <f t="shared" si="26"/>
        <v>-0.38200138219963298</v>
      </c>
      <c r="AO95" s="9">
        <f t="shared" si="27"/>
        <v>0.83877497185231809</v>
      </c>
      <c r="AP95" s="9">
        <f t="shared" si="27"/>
        <v>-2.6046167398419234E-2</v>
      </c>
      <c r="AQ95" s="9">
        <f t="shared" si="27"/>
        <v>0.19955823114970098</v>
      </c>
      <c r="AR95" s="9">
        <f t="shared" si="27"/>
        <v>-1.2287035603594378E-2</v>
      </c>
      <c r="AS95" s="9">
        <f t="shared" si="27"/>
        <v>1</v>
      </c>
      <c r="AT95" s="7"/>
      <c r="AU95" s="7"/>
      <c r="AV95" s="7"/>
      <c r="AW95" s="7"/>
      <c r="AX95" s="7"/>
    </row>
    <row r="96" spans="1:50" x14ac:dyDescent="0.25">
      <c r="A96" s="1">
        <v>47756</v>
      </c>
      <c r="B96">
        <f>+[1]wFG_rstar_shock_decomposition!E96</f>
        <v>-0.143719206658318</v>
      </c>
      <c r="C96">
        <f>+[1]wFG_rstar_shock_decomposition!F96</f>
        <v>-0.121727823957847</v>
      </c>
      <c r="D96">
        <f>+[1]wFG_rstar_shock_decomposition!G96</f>
        <v>0.21444156940189299</v>
      </c>
      <c r="E96">
        <f>+[1]wFG_rstar_shock_decomposition!H96</f>
        <v>-4.7073821338242297E-2</v>
      </c>
      <c r="F96">
        <f>+[1]wFG_rstar_shock_decomposition!I96</f>
        <v>-0.11650946932165</v>
      </c>
      <c r="G96">
        <f>+[1]wFG_rstar_shock_decomposition!J96</f>
        <v>-1.28842933905536E-14</v>
      </c>
      <c r="H96">
        <f>+[1]wFG_rstar_shock_decomposition!K96</f>
        <v>4.7079474344075E-14</v>
      </c>
      <c r="I96">
        <f>+[1]wFG_rstar_shock_decomposition!L96</f>
        <v>-9.4923210733618599E-16</v>
      </c>
      <c r="J96">
        <f>+[1]wFG_rstar_shock_decomposition!M96</f>
        <v>2.0843596481665302E-15</v>
      </c>
      <c r="K96">
        <f>+[1]wFG_rstar_shock_decomposition!N96</f>
        <v>-1.1145605596977101E-15</v>
      </c>
      <c r="L96">
        <f>+[1]wFG_rstar_shock_decomposition!O96</f>
        <v>1.5960360072295699E-15</v>
      </c>
      <c r="M96">
        <f>+[1]wFG_rstar_shock_decomposition!P96</f>
        <v>7.8463639006703101E-16</v>
      </c>
      <c r="N96">
        <f>+[1]wFG_rstar_shock_decomposition!Q96</f>
        <v>3.2400136269016199E-15</v>
      </c>
      <c r="O96">
        <f>+[1]wFG_rstar_shock_decomposition!R96</f>
        <v>4.5374257852013796E-15</v>
      </c>
      <c r="P96">
        <f>+[1]wFG_rstar_shock_decomposition!S96</f>
        <v>9.5562010358292902E-14</v>
      </c>
      <c r="Q96">
        <f>+[1]wFG_rstar_shock_decomposition!T96</f>
        <v>4.0235239544777902E-2</v>
      </c>
      <c r="R96">
        <f>+[1]wFG_rstar_shock_decomposition!U96</f>
        <v>0</v>
      </c>
      <c r="S96">
        <f>+[1]wFG_rstar_shock_decomposition!V96</f>
        <v>-0.20793442531716799</v>
      </c>
      <c r="T96">
        <f>+[1]wFG_rstar_shock_decomposition!W96</f>
        <v>8.9259679852539808E-3</v>
      </c>
      <c r="U96" s="4">
        <f>+[1]wFG_rstar_shock_decomposition!D96</f>
        <v>-0.37336196966115898</v>
      </c>
      <c r="Y96" s="1">
        <f t="shared" si="16"/>
        <v>47756</v>
      </c>
      <c r="Z96" s="7">
        <f t="shared" si="16"/>
        <v>-0.143719206658318</v>
      </c>
      <c r="AA96" s="7">
        <f t="shared" si="16"/>
        <v>-0.121727823957847</v>
      </c>
      <c r="AB96" s="7">
        <f t="shared" si="16"/>
        <v>0.21444156940189299</v>
      </c>
      <c r="AC96" s="7">
        <f t="shared" si="17"/>
        <v>-0.32444389463881801</v>
      </c>
      <c r="AD96" s="7">
        <f t="shared" si="18"/>
        <v>-4.7073821338242297E-2</v>
      </c>
      <c r="AE96" s="7">
        <f t="shared" si="19"/>
        <v>4.0235239544777902E-2</v>
      </c>
      <c r="AF96" s="7">
        <f t="shared" si="20"/>
        <v>-1.28842933905536E-14</v>
      </c>
      <c r="AG96" s="7">
        <f t="shared" si="20"/>
        <v>4.7079474344075E-14</v>
      </c>
      <c r="AH96" s="7">
        <f t="shared" si="21"/>
        <v>8.9259679853597226E-3</v>
      </c>
      <c r="AI96" s="7">
        <f t="shared" si="15"/>
        <v>-0.37336196966116048</v>
      </c>
      <c r="AJ96" s="8">
        <f t="shared" si="22"/>
        <v>-0.28420865509404009</v>
      </c>
      <c r="AK96" s="8">
        <f t="shared" si="23"/>
        <v>4.5639924105803698E-2</v>
      </c>
      <c r="AL96" s="8">
        <f t="shared" si="24"/>
        <v>-0.143719206658318</v>
      </c>
      <c r="AM96" s="8">
        <f t="shared" si="25"/>
        <v>8.9259679853597226E-3</v>
      </c>
      <c r="AN96" s="8">
        <f t="shared" si="26"/>
        <v>-0.37336196966119467</v>
      </c>
      <c r="AO96" s="9">
        <f t="shared" si="27"/>
        <v>0.83296124140724903</v>
      </c>
      <c r="AP96" s="9">
        <f t="shared" si="27"/>
        <v>-2.2413417112191879E-2</v>
      </c>
      <c r="AQ96" s="9">
        <f t="shared" si="27"/>
        <v>0.20188597551533091</v>
      </c>
      <c r="AR96" s="9">
        <f t="shared" si="27"/>
        <v>-1.2433799810389933E-2</v>
      </c>
      <c r="AS96" s="9">
        <f t="shared" si="27"/>
        <v>1</v>
      </c>
      <c r="AT96" s="7"/>
      <c r="AU96" s="7"/>
      <c r="AV96" s="7"/>
      <c r="AW96" s="7"/>
      <c r="AX96" s="7"/>
    </row>
    <row r="97" spans="1:50" x14ac:dyDescent="0.25">
      <c r="A97" s="1">
        <v>47848</v>
      </c>
      <c r="B97">
        <f>+[1]wFG_rstar_shock_decomposition!E97</f>
        <v>-0.141997355384547</v>
      </c>
      <c r="C97">
        <f>+[1]wFG_rstar_shock_decomposition!F97</f>
        <v>-0.12051054571834099</v>
      </c>
      <c r="D97">
        <f>+[1]wFG_rstar_shock_decomposition!G97</f>
        <v>0.212297118049775</v>
      </c>
      <c r="E97">
        <f>+[1]wFG_rstar_shock_decomposition!H97</f>
        <v>-4.6309133941196602E-2</v>
      </c>
      <c r="F97">
        <f>+[1]wFG_rstar_shock_decomposition!I97</f>
        <v>-0.110780603396589</v>
      </c>
      <c r="G97">
        <f>+[1]wFG_rstar_shock_decomposition!J97</f>
        <v>-1.25209245954693E-14</v>
      </c>
      <c r="H97">
        <f>+[1]wFG_rstar_shock_decomposition!K97</f>
        <v>4.7173544498667297E-14</v>
      </c>
      <c r="I97">
        <f>+[1]wFG_rstar_shock_decomposition!L97</f>
        <v>-9.3470114344877107E-16</v>
      </c>
      <c r="J97">
        <f>+[1]wFG_rstar_shock_decomposition!M97</f>
        <v>2.0567456065945602E-15</v>
      </c>
      <c r="K97">
        <f>+[1]wFG_rstar_shock_decomposition!N97</f>
        <v>-1.09681981902935E-15</v>
      </c>
      <c r="L97">
        <f>+[1]wFG_rstar_shock_decomposition!O97</f>
        <v>1.58020687304939E-15</v>
      </c>
      <c r="M97">
        <f>+[1]wFG_rstar_shock_decomposition!P97</f>
        <v>7.7941799770903504E-16</v>
      </c>
      <c r="N97">
        <f>+[1]wFG_rstar_shock_decomposition!Q97</f>
        <v>3.2047936326135201E-15</v>
      </c>
      <c r="O97">
        <f>+[1]wFG_rstar_shock_decomposition!R97</f>
        <v>4.4818357726314398E-15</v>
      </c>
      <c r="P97">
        <f>+[1]wFG_rstar_shock_decomposition!S97</f>
        <v>9.5354097626010599E-14</v>
      </c>
      <c r="Q97">
        <f>+[1]wFG_rstar_shock_decomposition!T97</f>
        <v>3.9401287857566698E-2</v>
      </c>
      <c r="R97">
        <f>+[1]wFG_rstar_shock_decomposition!U97</f>
        <v>0</v>
      </c>
      <c r="S97">
        <f>+[1]wFG_rstar_shock_decomposition!V97</f>
        <v>-0.20586231463548599</v>
      </c>
      <c r="T97">
        <f>+[1]wFG_rstar_shock_decomposition!W97</f>
        <v>8.8198900322999391E-3</v>
      </c>
      <c r="U97" s="4">
        <f>+[1]wFG_rstar_shock_decomposition!D97</f>
        <v>-0.36494165713637799</v>
      </c>
      <c r="Y97" s="1">
        <f t="shared" si="16"/>
        <v>47848</v>
      </c>
      <c r="Z97" s="7">
        <f t="shared" si="16"/>
        <v>-0.141997355384547</v>
      </c>
      <c r="AA97" s="7">
        <f t="shared" si="16"/>
        <v>-0.12051054571834099</v>
      </c>
      <c r="AB97" s="7">
        <f t="shared" si="16"/>
        <v>0.212297118049775</v>
      </c>
      <c r="AC97" s="7">
        <f t="shared" si="17"/>
        <v>-0.316642918032075</v>
      </c>
      <c r="AD97" s="7">
        <f t="shared" si="18"/>
        <v>-4.6309133941196602E-2</v>
      </c>
      <c r="AE97" s="7">
        <f t="shared" si="19"/>
        <v>3.9401287857566698E-2</v>
      </c>
      <c r="AF97" s="7">
        <f t="shared" si="20"/>
        <v>-1.25209245954693E-14</v>
      </c>
      <c r="AG97" s="7">
        <f t="shared" si="20"/>
        <v>4.7173544498667297E-14</v>
      </c>
      <c r="AH97" s="7">
        <f t="shared" si="21"/>
        <v>8.8198900324053652E-3</v>
      </c>
      <c r="AI97" s="7">
        <f t="shared" si="15"/>
        <v>-0.36494165713637794</v>
      </c>
      <c r="AJ97" s="8">
        <f t="shared" si="22"/>
        <v>-0.27724163017450831</v>
      </c>
      <c r="AK97" s="8">
        <f t="shared" si="23"/>
        <v>4.54774383902374E-2</v>
      </c>
      <c r="AL97" s="8">
        <f t="shared" si="24"/>
        <v>-0.141997355384547</v>
      </c>
      <c r="AM97" s="8">
        <f t="shared" si="25"/>
        <v>8.8198900324053652E-3</v>
      </c>
      <c r="AN97" s="8">
        <f t="shared" si="26"/>
        <v>-0.36494165713641258</v>
      </c>
      <c r="AO97" s="9">
        <f t="shared" si="27"/>
        <v>0.82740692807148164</v>
      </c>
      <c r="AP97" s="9">
        <f t="shared" si="27"/>
        <v>-1.9296874681085846E-2</v>
      </c>
      <c r="AQ97" s="9">
        <f t="shared" si="27"/>
        <v>0.20448781072001385</v>
      </c>
      <c r="AR97" s="9">
        <f t="shared" si="27"/>
        <v>-1.2597864110406344E-2</v>
      </c>
      <c r="AS97" s="9">
        <f t="shared" si="27"/>
        <v>1</v>
      </c>
      <c r="AT97" s="7"/>
      <c r="AU97" s="7"/>
      <c r="AV97" s="7"/>
      <c r="AW97" s="7"/>
      <c r="AX97" s="7"/>
    </row>
    <row r="98" spans="1:50" x14ac:dyDescent="0.25">
      <c r="A98" s="1">
        <v>47938</v>
      </c>
      <c r="B98">
        <f>+[1]wFG_rstar_shock_decomposition!E98</f>
        <v>-0.14029756011455399</v>
      </c>
      <c r="C98">
        <f>+[1]wFG_rstar_shock_decomposition!F98</f>
        <v>-0.11930544026119599</v>
      </c>
      <c r="D98">
        <f>+[1]wFG_rstar_shock_decomposition!G98</f>
        <v>0.210174122030171</v>
      </c>
      <c r="E98">
        <f>+[1]wFG_rstar_shock_decomposition!H98</f>
        <v>-4.5527677780493402E-2</v>
      </c>
      <c r="F98">
        <f>+[1]wFG_rstar_shock_decomposition!I98</f>
        <v>-0.105293605411307</v>
      </c>
      <c r="G98">
        <f>+[1]wFG_rstar_shock_decomposition!J98</f>
        <v>-1.2164254613669E-14</v>
      </c>
      <c r="H98">
        <f>+[1]wFG_rstar_shock_decomposition!K98</f>
        <v>4.7255314439659102E-14</v>
      </c>
      <c r="I98">
        <f>+[1]wFG_rstar_shock_decomposition!L98</f>
        <v>-9.2017051011272391E-16</v>
      </c>
      <c r="J98">
        <f>+[1]wFG_rstar_shock_decomposition!M98</f>
        <v>2.02974703055426E-15</v>
      </c>
      <c r="K98">
        <f>+[1]wFG_rstar_shock_decomposition!N98</f>
        <v>-1.0792208213241201E-15</v>
      </c>
      <c r="L98">
        <f>+[1]wFG_rstar_shock_decomposition!O98</f>
        <v>1.56463704730351E-15</v>
      </c>
      <c r="M98">
        <f>+[1]wFG_rstar_shock_decomposition!P98</f>
        <v>7.7429378240157798E-16</v>
      </c>
      <c r="N98">
        <f>+[1]wFG_rstar_shock_decomposition!Q98</f>
        <v>3.1700999379970399E-15</v>
      </c>
      <c r="O98">
        <f>+[1]wFG_rstar_shock_decomposition!R98</f>
        <v>4.42695795536044E-15</v>
      </c>
      <c r="P98">
        <f>+[1]wFG_rstar_shock_decomposition!S98</f>
        <v>9.5138370985617105E-14</v>
      </c>
      <c r="Q98">
        <f>+[1]wFG_rstar_shock_decomposition!T98</f>
        <v>3.86022600884681E-2</v>
      </c>
      <c r="R98">
        <f>+[1]wFG_rstar_shock_decomposition!U98</f>
        <v>0</v>
      </c>
      <c r="S98">
        <f>+[1]wFG_rstar_shock_decomposition!V98</f>
        <v>-0.20381084986759501</v>
      </c>
      <c r="T98">
        <f>+[1]wFG_rstar_shock_decomposition!W98</f>
        <v>8.7151368566226392E-3</v>
      </c>
      <c r="U98" s="4">
        <f>+[1]wFG_rstar_shock_decomposition!D98</f>
        <v>-0.35674361445974301</v>
      </c>
      <c r="Y98" s="1">
        <f t="shared" si="16"/>
        <v>47938</v>
      </c>
      <c r="Z98" s="7">
        <f t="shared" si="16"/>
        <v>-0.14029756011455399</v>
      </c>
      <c r="AA98" s="7">
        <f t="shared" si="16"/>
        <v>-0.11930544026119599</v>
      </c>
      <c r="AB98" s="7">
        <f t="shared" si="16"/>
        <v>0.210174122030171</v>
      </c>
      <c r="AC98" s="7">
        <f t="shared" si="17"/>
        <v>-0.30910445527890201</v>
      </c>
      <c r="AD98" s="7">
        <f t="shared" si="18"/>
        <v>-4.5527677780493402E-2</v>
      </c>
      <c r="AE98" s="7">
        <f t="shared" si="19"/>
        <v>3.86022600884681E-2</v>
      </c>
      <c r="AF98" s="7">
        <f t="shared" si="20"/>
        <v>-1.2164254613669E-14</v>
      </c>
      <c r="AG98" s="7">
        <f t="shared" si="20"/>
        <v>4.7255314439659102E-14</v>
      </c>
      <c r="AH98" s="7">
        <f t="shared" si="21"/>
        <v>8.7151368567277444E-3</v>
      </c>
      <c r="AI98" s="7">
        <f t="shared" si="15"/>
        <v>-0.35674361445974345</v>
      </c>
      <c r="AJ98" s="8">
        <f t="shared" si="22"/>
        <v>-0.27050219519043389</v>
      </c>
      <c r="AK98" s="8">
        <f t="shared" si="23"/>
        <v>4.53410039884816E-2</v>
      </c>
      <c r="AL98" s="8">
        <f t="shared" si="24"/>
        <v>-0.14029756011455399</v>
      </c>
      <c r="AM98" s="8">
        <f t="shared" si="25"/>
        <v>8.7151368567277444E-3</v>
      </c>
      <c r="AN98" s="8">
        <f t="shared" si="26"/>
        <v>-0.35674361445977854</v>
      </c>
      <c r="AO98" s="9">
        <f t="shared" si="27"/>
        <v>0.82207854361176647</v>
      </c>
      <c r="AP98" s="9">
        <f t="shared" si="27"/>
        <v>-1.6642314164167945E-2</v>
      </c>
      <c r="AQ98" s="9">
        <f t="shared" si="27"/>
        <v>0.2073415981155769</v>
      </c>
      <c r="AR98" s="9">
        <f t="shared" si="27"/>
        <v>-1.2777827563180053E-2</v>
      </c>
      <c r="AS98" s="9">
        <f t="shared" si="27"/>
        <v>1</v>
      </c>
      <c r="AT98" s="7"/>
      <c r="AU98" s="7"/>
      <c r="AV98" s="7"/>
      <c r="AW98" s="7"/>
      <c r="AX98" s="7"/>
    </row>
    <row r="99" spans="1:50" x14ac:dyDescent="0.25">
      <c r="A99" s="1">
        <v>48029</v>
      </c>
      <c r="B99">
        <f>+[1]wFG_rstar_shock_decomposition!E99</f>
        <v>-0.13861954771996701</v>
      </c>
      <c r="C99">
        <f>+[1]wFG_rstar_shock_decomposition!F99</f>
        <v>-0.11811238585860299</v>
      </c>
      <c r="D99">
        <f>+[1]wFG_rstar_shock_decomposition!G99</f>
        <v>0.20807236350717501</v>
      </c>
      <c r="E99">
        <f>+[1]wFG_rstar_shock_decomposition!H99</f>
        <v>-4.47338332925762E-2</v>
      </c>
      <c r="F99">
        <f>+[1]wFG_rstar_shock_decomposition!I99</f>
        <v>-0.100042668172638</v>
      </c>
      <c r="G99">
        <f>+[1]wFG_rstar_shock_decomposition!J99</f>
        <v>-1.18145674188064E-14</v>
      </c>
      <c r="H99">
        <f>+[1]wFG_rstar_shock_decomposition!K99</f>
        <v>4.7325042406611798E-14</v>
      </c>
      <c r="I99">
        <f>+[1]wFG_rstar_shock_decomposition!L99</f>
        <v>-9.0566141600146498E-16</v>
      </c>
      <c r="J99">
        <f>+[1]wFG_rstar_shock_decomposition!M99</f>
        <v>2.0033416727384502E-15</v>
      </c>
      <c r="K99">
        <f>+[1]wFG_rstar_shock_decomposition!N99</f>
        <v>-1.0618185215248601E-15</v>
      </c>
      <c r="L99">
        <f>+[1]wFG_rstar_shock_decomposition!O99</f>
        <v>1.54929845189389E-15</v>
      </c>
      <c r="M99">
        <f>+[1]wFG_rstar_shock_decomposition!P99</f>
        <v>7.6922855944007604E-16</v>
      </c>
      <c r="N99">
        <f>+[1]wFG_rstar_shock_decomposition!Q99</f>
        <v>3.1359170636015898E-15</v>
      </c>
      <c r="O99">
        <f>+[1]wFG_rstar_shock_decomposition!R99</f>
        <v>4.3728325406750401E-15</v>
      </c>
      <c r="P99">
        <f>+[1]wFG_rstar_shock_decomposition!S99</f>
        <v>9.4915054796154204E-14</v>
      </c>
      <c r="Q99">
        <f>+[1]wFG_rstar_shock_decomposition!T99</f>
        <v>3.7834839860857103E-2</v>
      </c>
      <c r="R99">
        <f>+[1]wFG_rstar_shock_decomposition!U99</f>
        <v>0</v>
      </c>
      <c r="S99">
        <f>+[1]wFG_rstar_shock_decomposition!V99</f>
        <v>-0.201779789744538</v>
      </c>
      <c r="T99">
        <f>+[1]wFG_rstar_shock_decomposition!W99</f>
        <v>8.6116907193342605E-3</v>
      </c>
      <c r="U99" s="4">
        <f>+[1]wFG_rstar_shock_decomposition!D99</f>
        <v>-0.34876933070081501</v>
      </c>
      <c r="Y99" s="1">
        <f t="shared" ref="Y99:AB132" si="28">+A99</f>
        <v>48029</v>
      </c>
      <c r="Z99" s="7">
        <f t="shared" si="28"/>
        <v>-0.13861954771996701</v>
      </c>
      <c r="AA99" s="7">
        <f t="shared" si="28"/>
        <v>-0.11811238585860299</v>
      </c>
      <c r="AB99" s="7">
        <f t="shared" si="28"/>
        <v>0.20807236350717501</v>
      </c>
      <c r="AC99" s="7">
        <f t="shared" si="17"/>
        <v>-0.30182245791717599</v>
      </c>
      <c r="AD99" s="7">
        <f t="shared" si="18"/>
        <v>-4.47338332925762E-2</v>
      </c>
      <c r="AE99" s="7">
        <f t="shared" si="19"/>
        <v>3.7834839860857103E-2</v>
      </c>
      <c r="AF99" s="7">
        <f t="shared" si="20"/>
        <v>-1.18145674188064E-14</v>
      </c>
      <c r="AG99" s="7">
        <f t="shared" si="20"/>
        <v>4.7325042406611798E-14</v>
      </c>
      <c r="AH99" s="7">
        <f t="shared" si="21"/>
        <v>8.6116907194390396E-3</v>
      </c>
      <c r="AI99" s="7">
        <f t="shared" si="15"/>
        <v>-0.34876933070081551</v>
      </c>
      <c r="AJ99" s="8">
        <f t="shared" si="22"/>
        <v>-0.26398761805631887</v>
      </c>
      <c r="AK99" s="8">
        <f t="shared" si="23"/>
        <v>4.5226144355995812E-2</v>
      </c>
      <c r="AL99" s="8">
        <f t="shared" si="24"/>
        <v>-0.13861954771996701</v>
      </c>
      <c r="AM99" s="8">
        <f t="shared" si="25"/>
        <v>8.6116907194390396E-3</v>
      </c>
      <c r="AN99" s="8">
        <f t="shared" si="26"/>
        <v>-0.34876933070085103</v>
      </c>
      <c r="AO99" s="9">
        <f t="shared" si="27"/>
        <v>0.81694824652078757</v>
      </c>
      <c r="AP99" s="9">
        <f t="shared" si="27"/>
        <v>-1.4403755366392408E-2</v>
      </c>
      <c r="AQ99" s="9">
        <f t="shared" si="27"/>
        <v>0.21042797639454255</v>
      </c>
      <c r="AR99" s="9">
        <f t="shared" si="27"/>
        <v>-1.2972467548937303E-2</v>
      </c>
      <c r="AS99" s="9">
        <f t="shared" si="27"/>
        <v>1</v>
      </c>
      <c r="AT99" s="7"/>
      <c r="AU99" s="7"/>
      <c r="AV99" s="7"/>
      <c r="AW99" s="7"/>
      <c r="AX99" s="7"/>
    </row>
    <row r="100" spans="1:50" x14ac:dyDescent="0.25">
      <c r="A100" s="1">
        <v>48121</v>
      </c>
      <c r="B100">
        <f>+[1]wFG_rstar_shock_decomposition!E100</f>
        <v>-0.136963042332194</v>
      </c>
      <c r="C100">
        <f>+[1]wFG_rstar_shock_decomposition!F100</f>
        <v>-0.116931262000028</v>
      </c>
      <c r="D100">
        <f>+[1]wFG_rstar_shock_decomposition!G100</f>
        <v>0.20599162781920399</v>
      </c>
      <c r="E100">
        <f>+[1]wFG_rstar_shock_decomposition!H100</f>
        <v>-4.3931427532615003E-2</v>
      </c>
      <c r="F100">
        <f>+[1]wFG_rstar_shock_decomposition!I100</f>
        <v>-9.5021488520760602E-2</v>
      </c>
      <c r="G100">
        <f>+[1]wFG_rstar_shock_decomposition!J100</f>
        <v>-1.14720974288176E-14</v>
      </c>
      <c r="H100">
        <f>+[1]wFG_rstar_shock_decomposition!K100</f>
        <v>4.7382992641400701E-14</v>
      </c>
      <c r="I100">
        <f>+[1]wFG_rstar_shock_decomposition!L100</f>
        <v>-8.9119613047373806E-16</v>
      </c>
      <c r="J100">
        <f>+[1]wFG_rstar_shock_decomposition!M100</f>
        <v>1.9775072373686E-15</v>
      </c>
      <c r="K100">
        <f>+[1]wFG_rstar_shock_decomposition!N100</f>
        <v>-1.04465917185358E-15</v>
      </c>
      <c r="L100">
        <f>+[1]wFG_rstar_shock_decomposition!O100</f>
        <v>1.53416692625551E-15</v>
      </c>
      <c r="M100">
        <f>+[1]wFG_rstar_shock_decomposition!P100</f>
        <v>7.6419288518490601E-16</v>
      </c>
      <c r="N100">
        <f>+[1]wFG_rstar_shock_decomposition!Q100</f>
        <v>3.1022298688904399E-15</v>
      </c>
      <c r="O100">
        <f>+[1]wFG_rstar_shock_decomposition!R100</f>
        <v>4.3194915637109997E-15</v>
      </c>
      <c r="P100">
        <f>+[1]wFG_rstar_shock_decomposition!S100</f>
        <v>9.4684372998023602E-14</v>
      </c>
      <c r="Q100">
        <f>+[1]wFG_rstar_shock_decomposition!T100</f>
        <v>3.7096097800088199E-2</v>
      </c>
      <c r="R100">
        <f>+[1]wFG_rstar_shock_decomposition!U100</f>
        <v>0</v>
      </c>
      <c r="S100">
        <f>+[1]wFG_rstar_shock_decomposition!V100</f>
        <v>-0.19976890562919999</v>
      </c>
      <c r="T100">
        <f>+[1]wFG_rstar_shock_decomposition!W100</f>
        <v>8.5095341346648895E-3</v>
      </c>
      <c r="U100" s="4">
        <f>+[1]wFG_rstar_shock_decomposition!D100</f>
        <v>-0.34101886626069899</v>
      </c>
      <c r="Y100" s="1">
        <f t="shared" si="28"/>
        <v>48121</v>
      </c>
      <c r="Z100" s="7">
        <f t="shared" si="28"/>
        <v>-0.136963042332194</v>
      </c>
      <c r="AA100" s="7">
        <f t="shared" si="28"/>
        <v>-0.116931262000028</v>
      </c>
      <c r="AB100" s="7">
        <f t="shared" si="28"/>
        <v>0.20599162781920399</v>
      </c>
      <c r="AC100" s="7">
        <f t="shared" si="17"/>
        <v>-0.29479039414996061</v>
      </c>
      <c r="AD100" s="7">
        <f t="shared" si="18"/>
        <v>-4.3931427532615003E-2</v>
      </c>
      <c r="AE100" s="7">
        <f t="shared" si="19"/>
        <v>3.7096097800088199E-2</v>
      </c>
      <c r="AF100" s="7">
        <f t="shared" si="20"/>
        <v>-1.14720974288176E-14</v>
      </c>
      <c r="AG100" s="7">
        <f t="shared" si="20"/>
        <v>4.7382992641400701E-14</v>
      </c>
      <c r="AH100" s="7">
        <f t="shared" si="21"/>
        <v>8.5095341347693355E-3</v>
      </c>
      <c r="AI100" s="7">
        <f t="shared" si="15"/>
        <v>-0.34101886626070016</v>
      </c>
      <c r="AJ100" s="8">
        <f t="shared" si="22"/>
        <v>-0.2576942963498724</v>
      </c>
      <c r="AK100" s="8">
        <f t="shared" si="23"/>
        <v>4.5128938286560991E-2</v>
      </c>
      <c r="AL100" s="8">
        <f t="shared" si="24"/>
        <v>-0.136963042332194</v>
      </c>
      <c r="AM100" s="8">
        <f t="shared" si="25"/>
        <v>8.5095341347693355E-3</v>
      </c>
      <c r="AN100" s="8">
        <f t="shared" si="26"/>
        <v>-0.34101886626073602</v>
      </c>
      <c r="AO100" s="9">
        <f t="shared" si="27"/>
        <v>0.81199284959922813</v>
      </c>
      <c r="AP100" s="9">
        <f t="shared" si="27"/>
        <v>-1.2541967024801804E-2</v>
      </c>
      <c r="AQ100" s="9">
        <f t="shared" si="27"/>
        <v>0.21372982233158005</v>
      </c>
      <c r="AR100" s="9">
        <f t="shared" si="27"/>
        <v>-1.318070490601311E-2</v>
      </c>
      <c r="AS100" s="9">
        <f t="shared" si="27"/>
        <v>1</v>
      </c>
      <c r="AT100" s="7"/>
      <c r="AU100" s="7"/>
      <c r="AV100" s="7"/>
      <c r="AW100" s="7"/>
      <c r="AX100" s="7"/>
    </row>
    <row r="101" spans="1:50" x14ac:dyDescent="0.25">
      <c r="A101" s="1">
        <v>48213</v>
      </c>
      <c r="B101">
        <f>+[1]wFG_rstar_shock_decomposition!E101</f>
        <v>-0.13532776652346701</v>
      </c>
      <c r="C101">
        <f>+[1]wFG_rstar_shock_decomposition!F101</f>
        <v>-0.11576194938003299</v>
      </c>
      <c r="D101">
        <f>+[1]wFG_rstar_shock_decomposition!G101</f>
        <v>0.203931703145073</v>
      </c>
      <c r="E101">
        <f>+[1]wFG_rstar_shock_decomposition!H101</f>
        <v>-4.3123796426658298E-2</v>
      </c>
      <c r="F101">
        <f>+[1]wFG_rstar_shock_decomposition!I101</f>
        <v>-9.0223382734794105E-2</v>
      </c>
      <c r="G101">
        <f>+[1]wFG_rstar_shock_decomposition!J101</f>
        <v>-1.11370317650156E-14</v>
      </c>
      <c r="H101">
        <f>+[1]wFG_rstar_shock_decomposition!K101</f>
        <v>4.7429434506080102E-14</v>
      </c>
      <c r="I101">
        <f>+[1]wFG_rstar_shock_decomposition!L101</f>
        <v>-8.7679715081713801E-16</v>
      </c>
      <c r="J101">
        <f>+[1]wFG_rstar_shock_decomposition!M101</f>
        <v>1.9522216224117601E-15</v>
      </c>
      <c r="K101">
        <f>+[1]wFG_rstar_shock_decomposition!N101</f>
        <v>-1.0277810174616999E-15</v>
      </c>
      <c r="L101">
        <f>+[1]wFG_rstar_shock_decomposition!O101</f>
        <v>1.5192218450848399E-15</v>
      </c>
      <c r="M101">
        <f>+[1]wFG_rstar_shock_decomposition!P101</f>
        <v>7.5916249421911501E-16</v>
      </c>
      <c r="N101">
        <f>+[1]wFG_rstar_shock_decomposition!Q101</f>
        <v>3.0690236319296E-15</v>
      </c>
      <c r="O101">
        <f>+[1]wFG_rstar_shock_decomposition!R101</f>
        <v>4.2669595520003196E-15</v>
      </c>
      <c r="P101">
        <f>+[1]wFG_rstar_shock_decomposition!S101</f>
        <v>9.44465483439551E-14</v>
      </c>
      <c r="Q101">
        <f>+[1]wFG_rstar_shock_decomposition!T101</f>
        <v>3.6383445990642797E-2</v>
      </c>
      <c r="R101">
        <f>+[1]wFG_rstar_shock_decomposition!U101</f>
        <v>0</v>
      </c>
      <c r="S101">
        <f>+[1]wFG_rstar_shock_decomposition!V101</f>
        <v>-0.19777797901701599</v>
      </c>
      <c r="T101">
        <f>+[1]wFG_rstar_shock_decomposition!W101</f>
        <v>8.4086498662679903E-3</v>
      </c>
      <c r="U101" s="4">
        <f>+[1]wFG_rstar_shock_decomposition!D101</f>
        <v>-0.33349107507984299</v>
      </c>
      <c r="Y101" s="1">
        <f t="shared" si="28"/>
        <v>48213</v>
      </c>
      <c r="Z101" s="7">
        <f t="shared" si="28"/>
        <v>-0.13532776652346701</v>
      </c>
      <c r="AA101" s="7">
        <f t="shared" si="28"/>
        <v>-0.11576194938003299</v>
      </c>
      <c r="AB101" s="7">
        <f t="shared" si="28"/>
        <v>0.203931703145073</v>
      </c>
      <c r="AC101" s="7">
        <f t="shared" si="17"/>
        <v>-0.28800136175181013</v>
      </c>
      <c r="AD101" s="7">
        <f t="shared" si="18"/>
        <v>-4.3123796426658298E-2</v>
      </c>
      <c r="AE101" s="7">
        <f t="shared" si="19"/>
        <v>3.6383445990642797E-2</v>
      </c>
      <c r="AF101" s="7">
        <f t="shared" si="20"/>
        <v>-1.11370317650156E-14</v>
      </c>
      <c r="AG101" s="7">
        <f t="shared" si="20"/>
        <v>4.7429434506080102E-14</v>
      </c>
      <c r="AH101" s="7">
        <f t="shared" si="21"/>
        <v>8.4086498663721015E-3</v>
      </c>
      <c r="AI101" s="7">
        <f t="shared" si="15"/>
        <v>-0.33349107507984432</v>
      </c>
      <c r="AJ101" s="8">
        <f t="shared" si="22"/>
        <v>-0.25161791576116732</v>
      </c>
      <c r="AK101" s="8">
        <f t="shared" si="23"/>
        <v>4.5045957338381709E-2</v>
      </c>
      <c r="AL101" s="8">
        <f t="shared" si="24"/>
        <v>-0.13532776652346701</v>
      </c>
      <c r="AM101" s="8">
        <f t="shared" si="25"/>
        <v>8.4086498663721015E-3</v>
      </c>
      <c r="AN101" s="8">
        <f t="shared" si="26"/>
        <v>-0.33349107507988057</v>
      </c>
      <c r="AO101" s="9">
        <f t="shared" si="27"/>
        <v>0.80719303215509297</v>
      </c>
      <c r="AP101" s="9">
        <f t="shared" si="27"/>
        <v>-1.1023279762371363E-2</v>
      </c>
      <c r="AQ101" s="9">
        <f t="shared" si="27"/>
        <v>0.21723182397590937</v>
      </c>
      <c r="AR101" s="9">
        <f t="shared" si="27"/>
        <v>-1.3401576368616757E-2</v>
      </c>
      <c r="AS101" s="9">
        <f t="shared" si="27"/>
        <v>1</v>
      </c>
      <c r="AT101" s="7"/>
      <c r="AU101" s="7"/>
      <c r="AV101" s="7"/>
      <c r="AW101" s="7"/>
      <c r="AX101" s="7"/>
    </row>
    <row r="102" spans="1:50" x14ac:dyDescent="0.25">
      <c r="A102" s="1">
        <v>48304</v>
      </c>
      <c r="B102">
        <f>+[1]wFG_rstar_shock_decomposition!E102</f>
        <v>-0.133713442277271</v>
      </c>
      <c r="C102">
        <f>+[1]wFG_rstar_shock_decomposition!F102</f>
        <v>-0.11460432988623501</v>
      </c>
      <c r="D102">
        <f>+[1]wFG_rstar_shock_decomposition!G102</f>
        <v>0.20189238026508799</v>
      </c>
      <c r="E102">
        <f>+[1]wFG_rstar_shock_decomposition!H102</f>
        <v>-4.23138405164857E-2</v>
      </c>
      <c r="F102">
        <f>+[1]wFG_rstar_shock_decomposition!I102</f>
        <v>-8.5641386628656793E-2</v>
      </c>
      <c r="G102">
        <f>+[1]wFG_rstar_shock_decomposition!J102</f>
        <v>-1.0809512897829999E-14</v>
      </c>
      <c r="H102">
        <f>+[1]wFG_rstar_shock_decomposition!K102</f>
        <v>4.7464641565112302E-14</v>
      </c>
      <c r="I102">
        <f>+[1]wFG_rstar_shock_decomposition!L102</f>
        <v>-8.6248654573299897E-16</v>
      </c>
      <c r="J102">
        <f>+[1]wFG_rstar_shock_decomposition!M102</f>
        <v>1.9274631148346699E-15</v>
      </c>
      <c r="K102">
        <f>+[1]wFG_rstar_shock_decomposition!N102</f>
        <v>-1.01121500688652E-15</v>
      </c>
      <c r="L102">
        <f>+[1]wFG_rstar_shock_decomposition!O102</f>
        <v>1.50444574828779E-15</v>
      </c>
      <c r="M102">
        <f>+[1]wFG_rstar_shock_decomposition!P102</f>
        <v>7.5411775166781705E-16</v>
      </c>
      <c r="N102">
        <f>+[1]wFG_rstar_shock_decomposition!Q102</f>
        <v>3.0362841081395802E-15</v>
      </c>
      <c r="O102">
        <f>+[1]wFG_rstar_shock_decomposition!R102</f>
        <v>4.2152542040990499E-15</v>
      </c>
      <c r="P102">
        <f>+[1]wFG_rstar_shock_decomposition!S102</f>
        <v>9.4201801728549399E-14</v>
      </c>
      <c r="Q102">
        <f>+[1]wFG_rstar_shock_decomposition!T102</f>
        <v>3.5694597738468697E-2</v>
      </c>
      <c r="R102">
        <f>+[1]wFG_rstar_shock_decomposition!U102</f>
        <v>0</v>
      </c>
      <c r="S102">
        <f>+[1]wFG_rstar_shock_decomposition!V102</f>
        <v>-0.195806799575302</v>
      </c>
      <c r="T102">
        <f>+[1]wFG_rstar_shock_decomposition!W102</f>
        <v>8.3090209235765697E-3</v>
      </c>
      <c r="U102" s="4">
        <f>+[1]wFG_rstar_shock_decomposition!D102</f>
        <v>-0.32618379995667601</v>
      </c>
      <c r="Y102" s="1">
        <f t="shared" si="28"/>
        <v>48304</v>
      </c>
      <c r="Z102" s="7">
        <f t="shared" si="28"/>
        <v>-0.133713442277271</v>
      </c>
      <c r="AA102" s="7">
        <f t="shared" si="28"/>
        <v>-0.11460432988623501</v>
      </c>
      <c r="AB102" s="7">
        <f t="shared" si="28"/>
        <v>0.20189238026508799</v>
      </c>
      <c r="AC102" s="7">
        <f t="shared" si="17"/>
        <v>-0.28144818620395878</v>
      </c>
      <c r="AD102" s="7">
        <f t="shared" si="18"/>
        <v>-4.23138405164857E-2</v>
      </c>
      <c r="AE102" s="7">
        <f t="shared" si="19"/>
        <v>3.5694597738468697E-2</v>
      </c>
      <c r="AF102" s="7">
        <f t="shared" si="20"/>
        <v>-1.0809512897829999E-14</v>
      </c>
      <c r="AG102" s="7">
        <f t="shared" si="20"/>
        <v>4.7464641565112302E-14</v>
      </c>
      <c r="AH102" s="7">
        <f t="shared" si="21"/>
        <v>8.3090209236803356E-3</v>
      </c>
      <c r="AI102" s="7">
        <f t="shared" si="15"/>
        <v>-0.32618379995667679</v>
      </c>
      <c r="AJ102" s="8">
        <f t="shared" si="22"/>
        <v>-0.24575358846549009</v>
      </c>
      <c r="AK102" s="8">
        <f t="shared" si="23"/>
        <v>4.4974209862367283E-2</v>
      </c>
      <c r="AL102" s="8">
        <f t="shared" si="24"/>
        <v>-0.133713442277271</v>
      </c>
      <c r="AM102" s="8">
        <f t="shared" si="25"/>
        <v>8.3090209236803356E-3</v>
      </c>
      <c r="AN102" s="8">
        <f t="shared" si="26"/>
        <v>-0.32618379995671343</v>
      </c>
      <c r="AO102" s="9">
        <f t="shared" si="27"/>
        <v>0.80253270840793223</v>
      </c>
      <c r="AP102" s="9">
        <f t="shared" si="27"/>
        <v>-9.8186361954480817E-3</v>
      </c>
      <c r="AQ102" s="9">
        <f t="shared" si="27"/>
        <v>0.22092014040608918</v>
      </c>
      <c r="AR102" s="9">
        <f t="shared" si="27"/>
        <v>-1.3634212618586107E-2</v>
      </c>
      <c r="AS102" s="9">
        <f t="shared" si="27"/>
        <v>1</v>
      </c>
      <c r="AT102" s="7"/>
      <c r="AU102" s="7"/>
      <c r="AV102" s="7"/>
      <c r="AW102" s="7"/>
      <c r="AX102" s="7"/>
    </row>
    <row r="103" spans="1:50" x14ac:dyDescent="0.25">
      <c r="A103" s="1">
        <v>48395</v>
      </c>
      <c r="B103">
        <f>+[1]wFG_rstar_shock_decomposition!E103</f>
        <v>-0.132119791785477</v>
      </c>
      <c r="C103">
        <f>+[1]wFG_rstar_shock_decomposition!F103</f>
        <v>-0.113458286587374</v>
      </c>
      <c r="D103">
        <f>+[1]wFG_rstar_shock_decomposition!G103</f>
        <v>0.19987345238840201</v>
      </c>
      <c r="E103">
        <f>+[1]wFG_rstar_shock_decomposition!H103</f>
        <v>-4.1504074793300601E-2</v>
      </c>
      <c r="F103">
        <f>+[1]wFG_rstar_shock_decomposition!I103</f>
        <v>-8.12683419559697E-2</v>
      </c>
      <c r="G103">
        <f>+[1]wFG_rstar_shock_decomposition!J103</f>
        <v>-1.04896415770235E-14</v>
      </c>
      <c r="H103">
        <f>+[1]wFG_rstar_shock_decomposition!K103</f>
        <v>4.74888906581438E-14</v>
      </c>
      <c r="I103">
        <f>+[1]wFG_rstar_shock_decomposition!L103</f>
        <v>-8.4828545159597995E-16</v>
      </c>
      <c r="J103">
        <f>+[1]wFG_rstar_shock_decomposition!M103</f>
        <v>1.9032105449250901E-15</v>
      </c>
      <c r="K103">
        <f>+[1]wFG_rstar_shock_decomposition!N103</f>
        <v>-9.9498550015676406E-16</v>
      </c>
      <c r="L103">
        <f>+[1]wFG_rstar_shock_decomposition!O103</f>
        <v>1.48982398851123E-15</v>
      </c>
      <c r="M103">
        <f>+[1]wFG_rstar_shock_decomposition!P103</f>
        <v>7.4904312885246797E-16</v>
      </c>
      <c r="N103">
        <f>+[1]wFG_rstar_shock_decomposition!Q103</f>
        <v>3.00399757168473E-15</v>
      </c>
      <c r="O103">
        <f>+[1]wFG_rstar_shock_decomposition!R103</f>
        <v>4.1643870675259298E-15</v>
      </c>
      <c r="P103">
        <f>+[1]wFG_rstar_shock_decomposition!S103</f>
        <v>9.3950351610194903E-14</v>
      </c>
      <c r="Q103">
        <f>+[1]wFG_rstar_shock_decomposition!T103</f>
        <v>3.5027532027592297E-2</v>
      </c>
      <c r="R103">
        <f>+[1]wFG_rstar_shock_decomposition!U103</f>
        <v>0</v>
      </c>
      <c r="S103">
        <f>+[1]wFG_rstar_shock_decomposition!V103</f>
        <v>-0.19385516360817601</v>
      </c>
      <c r="T103">
        <f>+[1]wFG_rstar_shock_decomposition!W103</f>
        <v>8.2106305582087397E-3</v>
      </c>
      <c r="U103" s="4">
        <f>+[1]wFG_rstar_shock_decomposition!D103</f>
        <v>-0.31909404375595402</v>
      </c>
      <c r="Y103" s="1">
        <f t="shared" si="28"/>
        <v>48395</v>
      </c>
      <c r="Z103" s="7">
        <f t="shared" si="28"/>
        <v>-0.132119791785477</v>
      </c>
      <c r="AA103" s="7">
        <f t="shared" si="28"/>
        <v>-0.113458286587374</v>
      </c>
      <c r="AB103" s="7">
        <f t="shared" si="28"/>
        <v>0.19987345238840201</v>
      </c>
      <c r="AC103" s="7">
        <f t="shared" si="17"/>
        <v>-0.27512350556414572</v>
      </c>
      <c r="AD103" s="7">
        <f t="shared" si="18"/>
        <v>-4.1504074793300601E-2</v>
      </c>
      <c r="AE103" s="7">
        <f t="shared" si="19"/>
        <v>3.5027532027592297E-2</v>
      </c>
      <c r="AF103" s="7">
        <f t="shared" si="20"/>
        <v>-1.04896415770235E-14</v>
      </c>
      <c r="AG103" s="7">
        <f t="shared" si="20"/>
        <v>4.74888906581438E-14</v>
      </c>
      <c r="AH103" s="7">
        <f t="shared" si="21"/>
        <v>8.2106305583121587E-3</v>
      </c>
      <c r="AI103" s="7">
        <f t="shared" si="15"/>
        <v>-0.31909404375595385</v>
      </c>
      <c r="AJ103" s="8">
        <f t="shared" si="22"/>
        <v>-0.24009597353655343</v>
      </c>
      <c r="AK103" s="8">
        <f t="shared" si="23"/>
        <v>4.4911091007727409E-2</v>
      </c>
      <c r="AL103" s="8">
        <f t="shared" si="24"/>
        <v>-0.132119791785477</v>
      </c>
      <c r="AM103" s="8">
        <f t="shared" si="25"/>
        <v>8.2106305583121587E-3</v>
      </c>
      <c r="AN103" s="8">
        <f t="shared" si="26"/>
        <v>-0.31909404375599082</v>
      </c>
      <c r="AO103" s="9">
        <f t="shared" si="27"/>
        <v>0.79799851627620355</v>
      </c>
      <c r="AP103" s="9">
        <f t="shared" si="27"/>
        <v>-8.9028244205971996E-3</v>
      </c>
      <c r="AQ103" s="9">
        <f t="shared" si="27"/>
        <v>0.22478212884549784</v>
      </c>
      <c r="AR103" s="9">
        <f t="shared" si="27"/>
        <v>-1.3877820701105173E-2</v>
      </c>
      <c r="AS103" s="9">
        <f t="shared" si="27"/>
        <v>1</v>
      </c>
      <c r="AT103" s="7"/>
      <c r="AU103" s="7"/>
      <c r="AV103" s="7"/>
      <c r="AW103" s="7"/>
      <c r="AX103" s="7"/>
    </row>
    <row r="104" spans="1:50" x14ac:dyDescent="0.25">
      <c r="A104" s="1">
        <v>48487</v>
      </c>
      <c r="B104">
        <f>+[1]wFG_rstar_shock_decomposition!E104</f>
        <v>-0.13054653810261299</v>
      </c>
      <c r="C104">
        <f>+[1]wFG_rstar_shock_decomposition!F104</f>
        <v>-0.11232370372150099</v>
      </c>
      <c r="D104">
        <f>+[1]wFG_rstar_shock_decomposition!G104</f>
        <v>0.19787471502658199</v>
      </c>
      <c r="E104">
        <f>+[1]wFG_rstar_shock_decomposition!H104</f>
        <v>-4.0696673180439701E-2</v>
      </c>
      <c r="F104">
        <f>+[1]wFG_rstar_shock_decomposition!I104</f>
        <v>-7.7096970618045907E-2</v>
      </c>
      <c r="G104">
        <f>+[1]wFG_rstar_shock_decomposition!J104</f>
        <v>-1.0177479954645999E-14</v>
      </c>
      <c r="H104">
        <f>+[1]wFG_rstar_shock_decomposition!K104</f>
        <v>4.75024609844406E-14</v>
      </c>
      <c r="I104">
        <f>+[1]wFG_rstar_shock_decomposition!L104</f>
        <v>-8.3421369946425599E-16</v>
      </c>
      <c r="J104">
        <f>+[1]wFG_rstar_shock_decomposition!M104</f>
        <v>1.8794434052135898E-15</v>
      </c>
      <c r="K104">
        <f>+[1]wFG_rstar_shock_decomposition!N104</f>
        <v>-9.7911096115453508E-16</v>
      </c>
      <c r="L104">
        <f>+[1]wFG_rstar_shock_decomposition!O104</f>
        <v>1.47534439987074E-15</v>
      </c>
      <c r="M104">
        <f>+[1]wFG_rstar_shock_decomposition!P104</f>
        <v>7.4392670801623604E-16</v>
      </c>
      <c r="N104">
        <f>+[1]wFG_rstar_shock_decomposition!Q104</f>
        <v>2.97215084254829E-15</v>
      </c>
      <c r="O104">
        <f>+[1]wFG_rstar_shock_decomposition!R104</f>
        <v>4.1143642039944099E-15</v>
      </c>
      <c r="P104">
        <f>+[1]wFG_rstar_shock_decomposition!S104</f>
        <v>9.3692413518715694E-14</v>
      </c>
      <c r="Q104">
        <f>+[1]wFG_rstar_shock_decomposition!T104</f>
        <v>3.4380462129260998E-2</v>
      </c>
      <c r="R104">
        <f>+[1]wFG_rstar_shock_decomposition!U104</f>
        <v>0</v>
      </c>
      <c r="S104">
        <f>+[1]wFG_rstar_shock_decomposition!V104</f>
        <v>-0.19192287285735099</v>
      </c>
      <c r="T104">
        <f>+[1]wFG_rstar_shock_decomposition!W104</f>
        <v>8.1134622604232404E-3</v>
      </c>
      <c r="U104" s="4">
        <f>+[1]wFG_rstar_shock_decomposition!D104</f>
        <v>-0.31221811906354302</v>
      </c>
      <c r="Y104" s="1">
        <f t="shared" si="28"/>
        <v>48487</v>
      </c>
      <c r="Z104" s="7">
        <f t="shared" si="28"/>
        <v>-0.13054653810261299</v>
      </c>
      <c r="AA104" s="7">
        <f t="shared" si="28"/>
        <v>-0.11232370372150099</v>
      </c>
      <c r="AB104" s="7">
        <f t="shared" si="28"/>
        <v>0.19787471502658199</v>
      </c>
      <c r="AC104" s="7">
        <f t="shared" si="17"/>
        <v>-0.26901984347539687</v>
      </c>
      <c r="AD104" s="7">
        <f t="shared" si="18"/>
        <v>-4.0696673180439701E-2</v>
      </c>
      <c r="AE104" s="7">
        <f t="shared" si="19"/>
        <v>3.4380462129260998E-2</v>
      </c>
      <c r="AF104" s="7">
        <f t="shared" si="20"/>
        <v>-1.0177479954645999E-14</v>
      </c>
      <c r="AG104" s="7">
        <f t="shared" si="20"/>
        <v>4.75024609844406E-14</v>
      </c>
      <c r="AH104" s="7">
        <f t="shared" si="21"/>
        <v>8.1134622605263038E-3</v>
      </c>
      <c r="AI104" s="7">
        <f t="shared" si="15"/>
        <v>-0.31221811906354391</v>
      </c>
      <c r="AJ104" s="8">
        <f t="shared" si="22"/>
        <v>-0.23463938134613588</v>
      </c>
      <c r="AK104" s="8">
        <f t="shared" si="23"/>
        <v>4.4854338124641298E-2</v>
      </c>
      <c r="AL104" s="8">
        <f t="shared" si="24"/>
        <v>-0.13054653810261299</v>
      </c>
      <c r="AM104" s="8">
        <f t="shared" si="25"/>
        <v>8.1134622605263038E-3</v>
      </c>
      <c r="AN104" s="8">
        <f t="shared" si="26"/>
        <v>-0.31221811906358127</v>
      </c>
      <c r="AO104" s="9">
        <f t="shared" si="27"/>
        <v>0.79357939979202741</v>
      </c>
      <c r="AP104" s="9">
        <f t="shared" si="27"/>
        <v>-8.2538546631788778E-3</v>
      </c>
      <c r="AQ104" s="9">
        <f t="shared" si="27"/>
        <v>0.2288061247385029</v>
      </c>
      <c r="AR104" s="9">
        <f t="shared" si="27"/>
        <v>-1.4131669867344623E-2</v>
      </c>
      <c r="AS104" s="9">
        <f t="shared" si="27"/>
        <v>1</v>
      </c>
      <c r="AT104" s="7"/>
      <c r="AU104" s="7"/>
      <c r="AV104" s="7"/>
      <c r="AW104" s="7"/>
      <c r="AX104" s="7"/>
    </row>
    <row r="105" spans="1:50" x14ac:dyDescent="0.25">
      <c r="A105" s="1">
        <v>48579</v>
      </c>
      <c r="B105">
        <f>+[1]wFG_rstar_shock_decomposition!E105</f>
        <v>-0.12899340568215101</v>
      </c>
      <c r="C105">
        <f>+[1]wFG_rstar_shock_decomposition!F105</f>
        <v>-0.111200466684287</v>
      </c>
      <c r="D105">
        <f>+[1]wFG_rstar_shock_decomposition!G105</f>
        <v>0.195895965899436</v>
      </c>
      <c r="E105">
        <f>+[1]wFG_rstar_shock_decomposition!H105</f>
        <v>-3.9893508186651203E-2</v>
      </c>
      <c r="F105">
        <f>+[1]wFG_rstar_shock_decomposition!I105</f>
        <v>-7.3119938044123506E-2</v>
      </c>
      <c r="G105">
        <f>+[1]wFG_rstar_shock_decomposition!J105</f>
        <v>-9.8730548199334695E-15</v>
      </c>
      <c r="H105">
        <f>+[1]wFG_rstar_shock_decomposition!K105</f>
        <v>4.7505633215601203E-14</v>
      </c>
      <c r="I105">
        <f>+[1]wFG_rstar_shock_decomposition!L105</f>
        <v>-8.2028955255686903E-16</v>
      </c>
      <c r="J105">
        <f>+[1]wFG_rstar_shock_decomposition!M105</f>
        <v>1.85614193902555E-15</v>
      </c>
      <c r="K105">
        <f>+[1]wFG_rstar_shock_decomposition!N105</f>
        <v>-9.6360462405741897E-16</v>
      </c>
      <c r="L105">
        <f>+[1]wFG_rstar_shock_decomposition!O105</f>
        <v>1.46099699009949E-15</v>
      </c>
      <c r="M105">
        <f>+[1]wFG_rstar_shock_decomposition!P105</f>
        <v>7.38759719880992E-16</v>
      </c>
      <c r="N105">
        <f>+[1]wFG_rstar_shock_decomposition!Q105</f>
        <v>2.9407313018862502E-15</v>
      </c>
      <c r="O105">
        <f>+[1]wFG_rstar_shock_decomposition!R105</f>
        <v>4.0651868324151196E-15</v>
      </c>
      <c r="P105">
        <f>+[1]wFG_rstar_shock_decomposition!S105</f>
        <v>9.3428199641889999E-14</v>
      </c>
      <c r="Q105">
        <f>+[1]wFG_rstar_shock_decomposition!T105</f>
        <v>3.3751807883436902E-2</v>
      </c>
      <c r="R105">
        <f>+[1]wFG_rstar_shock_decomposition!U105</f>
        <v>0</v>
      </c>
      <c r="S105">
        <f>+[1]wFG_rstar_shock_decomposition!V105</f>
        <v>-0.19000973356761</v>
      </c>
      <c r="T105">
        <f>+[1]wFG_rstar_shock_decomposition!W105</f>
        <v>8.0174997556234293E-3</v>
      </c>
      <c r="U105" s="4">
        <f>+[1]wFG_rstar_shock_decomposition!D105</f>
        <v>-0.30555177862618499</v>
      </c>
      <c r="Y105" s="1">
        <f t="shared" si="28"/>
        <v>48579</v>
      </c>
      <c r="Z105" s="7">
        <f t="shared" si="28"/>
        <v>-0.12899340568215101</v>
      </c>
      <c r="AA105" s="7">
        <f t="shared" si="28"/>
        <v>-0.111200466684287</v>
      </c>
      <c r="AB105" s="7">
        <f t="shared" si="28"/>
        <v>0.195895965899436</v>
      </c>
      <c r="AC105" s="7">
        <f t="shared" si="17"/>
        <v>-0.26312967161173351</v>
      </c>
      <c r="AD105" s="7">
        <f t="shared" si="18"/>
        <v>-3.9893508186651203E-2</v>
      </c>
      <c r="AE105" s="7">
        <f t="shared" si="19"/>
        <v>3.3751807883436902E-2</v>
      </c>
      <c r="AF105" s="7">
        <f t="shared" si="20"/>
        <v>-9.8730548199334695E-15</v>
      </c>
      <c r="AG105" s="7">
        <f t="shared" si="20"/>
        <v>4.7505633215601203E-14</v>
      </c>
      <c r="AH105" s="7">
        <f t="shared" si="21"/>
        <v>8.0174997557261353E-3</v>
      </c>
      <c r="AI105" s="7">
        <f t="shared" si="15"/>
        <v>-0.3055517786261861</v>
      </c>
      <c r="AJ105" s="8">
        <f t="shared" si="22"/>
        <v>-0.2293778637282966</v>
      </c>
      <c r="AK105" s="8">
        <f t="shared" si="23"/>
        <v>4.4801991028497801E-2</v>
      </c>
      <c r="AL105" s="8">
        <f t="shared" si="24"/>
        <v>-0.12899340568215101</v>
      </c>
      <c r="AM105" s="8">
        <f t="shared" si="25"/>
        <v>8.0174997557261353E-3</v>
      </c>
      <c r="AN105" s="8">
        <f t="shared" si="26"/>
        <v>-0.30555177862622368</v>
      </c>
      <c r="AO105" s="9">
        <f t="shared" si="27"/>
        <v>0.78926626494413477</v>
      </c>
      <c r="AP105" s="9">
        <f t="shared" si="27"/>
        <v>-7.8524486763605107E-3</v>
      </c>
      <c r="AQ105" s="9">
        <f t="shared" si="27"/>
        <v>0.23298126386680845</v>
      </c>
      <c r="AR105" s="9">
        <f t="shared" si="27"/>
        <v>-1.4395080134582237E-2</v>
      </c>
      <c r="AS105" s="9">
        <f t="shared" si="27"/>
        <v>1</v>
      </c>
      <c r="AT105" s="7"/>
      <c r="AU105" s="7"/>
      <c r="AV105" s="7"/>
      <c r="AW105" s="7"/>
      <c r="AX105" s="7"/>
    </row>
    <row r="106" spans="1:50" x14ac:dyDescent="0.25">
      <c r="A106" s="1">
        <v>48669</v>
      </c>
      <c r="B106">
        <f>+[1]wFG_rstar_shock_decomposition!E106</f>
        <v>-0.127460120815165</v>
      </c>
      <c r="C106">
        <f>+[1]wFG_rstar_shock_decomposition!F106</f>
        <v>-0.110088462017444</v>
      </c>
      <c r="D106">
        <f>+[1]wFG_rstar_shock_decomposition!G106</f>
        <v>0.19393700486336499</v>
      </c>
      <c r="E106">
        <f>+[1]wFG_rstar_shock_decomposition!H106</f>
        <v>-3.90961862119414E-2</v>
      </c>
      <c r="F106">
        <f>+[1]wFG_rstar_shock_decomposition!I106</f>
        <v>-6.9329906991077397E-2</v>
      </c>
      <c r="G106">
        <f>+[1]wFG_rstar_shock_decomposition!J106</f>
        <v>-9.5763608763496699E-15</v>
      </c>
      <c r="H106">
        <f>+[1]wFG_rstar_shock_decomposition!K106</f>
        <v>4.7498688649253902E-14</v>
      </c>
      <c r="I106">
        <f>+[1]wFG_rstar_shock_decomposition!L106</f>
        <v>-8.0652953581240998E-16</v>
      </c>
      <c r="J106">
        <f>+[1]wFG_rstar_shock_decomposition!M106</f>
        <v>1.8332872031956301E-15</v>
      </c>
      <c r="K106">
        <f>+[1]wFG_rstar_shock_decomposition!N106</f>
        <v>-9.484751264031091E-16</v>
      </c>
      <c r="L106">
        <f>+[1]wFG_rstar_shock_decomposition!O106</f>
        <v>1.44677365725811E-15</v>
      </c>
      <c r="M106">
        <f>+[1]wFG_rstar_shock_decomposition!P106</f>
        <v>7.3353611621396601E-16</v>
      </c>
      <c r="N106">
        <f>+[1]wFG_rstar_shock_decomposition!Q106</f>
        <v>2.9097268978608402E-15</v>
      </c>
      <c r="O106">
        <f>+[1]wFG_rstar_shock_decomposition!R106</f>
        <v>4.0168519423668401E-15</v>
      </c>
      <c r="P106">
        <f>+[1]wFG_rstar_shock_decomposition!S106</f>
        <v>9.3157918483928098E-14</v>
      </c>
      <c r="Q106">
        <f>+[1]wFG_rstar_shock_decomposition!T106</f>
        <v>3.3140171227225297E-2</v>
      </c>
      <c r="R106">
        <f>+[1]wFG_rstar_shock_decomposition!U106</f>
        <v>0</v>
      </c>
      <c r="S106">
        <f>+[1]wFG_rstar_shock_decomposition!V106</f>
        <v>-0.18811555576056199</v>
      </c>
      <c r="T106">
        <f>+[1]wFG_rstar_shock_decomposition!W106</f>
        <v>7.9227270009100594E-3</v>
      </c>
      <c r="U106" s="4">
        <f>+[1]wFG_rstar_shock_decomposition!D106</f>
        <v>-0.29909032870454899</v>
      </c>
      <c r="Y106" s="1">
        <f t="shared" si="28"/>
        <v>48669</v>
      </c>
      <c r="Z106" s="7">
        <f t="shared" si="28"/>
        <v>-0.127460120815165</v>
      </c>
      <c r="AA106" s="7">
        <f t="shared" si="28"/>
        <v>-0.110088462017444</v>
      </c>
      <c r="AB106" s="7">
        <f t="shared" si="28"/>
        <v>0.19393700486336499</v>
      </c>
      <c r="AC106" s="7">
        <f t="shared" si="17"/>
        <v>-0.25744546275163938</v>
      </c>
      <c r="AD106" s="7">
        <f t="shared" si="18"/>
        <v>-3.90961862119414E-2</v>
      </c>
      <c r="AE106" s="7">
        <f t="shared" si="19"/>
        <v>3.3140171227225297E-2</v>
      </c>
      <c r="AF106" s="7">
        <f t="shared" si="20"/>
        <v>-9.5763608763496699E-15</v>
      </c>
      <c r="AG106" s="7">
        <f t="shared" si="20"/>
        <v>4.7498688649253902E-14</v>
      </c>
      <c r="AH106" s="7">
        <f t="shared" si="21"/>
        <v>7.9227270010124029E-3</v>
      </c>
      <c r="AI106" s="7">
        <f t="shared" si="15"/>
        <v>-0.2990903287045491</v>
      </c>
      <c r="AJ106" s="8">
        <f t="shared" si="22"/>
        <v>-0.22430529152441409</v>
      </c>
      <c r="AK106" s="8">
        <f t="shared" si="23"/>
        <v>4.4752356633979584E-2</v>
      </c>
      <c r="AL106" s="8">
        <f t="shared" si="24"/>
        <v>-0.127460120815165</v>
      </c>
      <c r="AM106" s="8">
        <f t="shared" si="25"/>
        <v>7.9227270010124029E-3</v>
      </c>
      <c r="AN106" s="8">
        <f t="shared" si="26"/>
        <v>-0.29909032870458707</v>
      </c>
      <c r="AO106" s="9">
        <f t="shared" si="27"/>
        <v>0.78505169356751703</v>
      </c>
      <c r="AP106" s="9">
        <f t="shared" si="27"/>
        <v>-7.6816186955210039E-3</v>
      </c>
      <c r="AQ106" s="9">
        <f t="shared" si="27"/>
        <v>0.23729733814877943</v>
      </c>
      <c r="AR106" s="9">
        <f t="shared" si="27"/>
        <v>-1.4667413020780262E-2</v>
      </c>
      <c r="AS106" s="9">
        <f t="shared" si="27"/>
        <v>1</v>
      </c>
      <c r="AT106" s="7"/>
      <c r="AU106" s="7"/>
      <c r="AV106" s="7"/>
      <c r="AW106" s="7"/>
      <c r="AX106" s="7"/>
    </row>
    <row r="107" spans="1:50" x14ac:dyDescent="0.25">
      <c r="A107" s="1">
        <v>48760</v>
      </c>
      <c r="B107">
        <f>+[1]wFG_rstar_shock_decomposition!E107</f>
        <v>-0.12594641198804701</v>
      </c>
      <c r="C107">
        <f>+[1]wFG_rstar_shock_decomposition!F107</f>
        <v>-0.10898757739727</v>
      </c>
      <c r="D107">
        <f>+[1]wFG_rstar_shock_decomposition!G107</f>
        <v>0.191997633855472</v>
      </c>
      <c r="E107">
        <f>+[1]wFG_rstar_shock_decomposition!H107</f>
        <v>-3.8306078948688697E-2</v>
      </c>
      <c r="F107">
        <f>+[1]wFG_rstar_shock_decomposition!I107</f>
        <v>-6.5719582892959205E-2</v>
      </c>
      <c r="G107">
        <f>+[1]wFG_rstar_shock_decomposition!J107</f>
        <v>-9.2873640016545604E-15</v>
      </c>
      <c r="H107">
        <f>+[1]wFG_rstar_shock_decomposition!K107</f>
        <v>4.7481908413064402E-14</v>
      </c>
      <c r="I107">
        <f>+[1]wFG_rstar_shock_decomposition!L107</f>
        <v>-7.9294834109295101E-16</v>
      </c>
      <c r="J107">
        <f>+[1]wFG_rstar_shock_decomposition!M107</f>
        <v>1.81086110899781E-15</v>
      </c>
      <c r="K107">
        <f>+[1]wFG_rstar_shock_decomposition!N107</f>
        <v>-9.3372710359198408E-16</v>
      </c>
      <c r="L107">
        <f>+[1]wFG_rstar_shock_decomposition!O107</f>
        <v>1.43266793130942E-15</v>
      </c>
      <c r="M107">
        <f>+[1]wFG_rstar_shock_decomposition!P107</f>
        <v>7.2825217833197802E-16</v>
      </c>
      <c r="N107">
        <f>+[1]wFG_rstar_shock_decomposition!Q107</f>
        <v>2.8791261438167499E-15</v>
      </c>
      <c r="O107">
        <f>+[1]wFG_rstar_shock_decomposition!R107</f>
        <v>3.9693528726787996E-15</v>
      </c>
      <c r="P107">
        <f>+[1]wFG_rstar_shock_decomposition!S107</f>
        <v>9.2881774589093506E-14</v>
      </c>
      <c r="Q107">
        <f>+[1]wFG_rstar_shock_decomposition!T107</f>
        <v>3.2544314593479097E-2</v>
      </c>
      <c r="R107">
        <f>+[1]wFG_rstar_shock_decomposition!U107</f>
        <v>0</v>
      </c>
      <c r="S107">
        <f>+[1]wFG_rstar_shock_decomposition!V107</f>
        <v>-0.186240152671998</v>
      </c>
      <c r="T107">
        <f>+[1]wFG_rstar_shock_decomposition!W107</f>
        <v>7.8291281816816292E-3</v>
      </c>
      <c r="U107" s="4">
        <f>+[1]wFG_rstar_shock_decomposition!D107</f>
        <v>-0.29282872726818898</v>
      </c>
      <c r="Y107" s="1">
        <f t="shared" si="28"/>
        <v>48760</v>
      </c>
      <c r="Z107" s="7">
        <f t="shared" si="28"/>
        <v>-0.12594641198804701</v>
      </c>
      <c r="AA107" s="7">
        <f t="shared" si="28"/>
        <v>-0.10898757739727</v>
      </c>
      <c r="AB107" s="7">
        <f t="shared" si="28"/>
        <v>0.191997633855472</v>
      </c>
      <c r="AC107" s="7">
        <f t="shared" si="17"/>
        <v>-0.25195973556495721</v>
      </c>
      <c r="AD107" s="7">
        <f t="shared" si="18"/>
        <v>-3.8306078948688697E-2</v>
      </c>
      <c r="AE107" s="7">
        <f t="shared" si="19"/>
        <v>3.2544314593479097E-2</v>
      </c>
      <c r="AF107" s="7">
        <f t="shared" si="20"/>
        <v>-9.2873640016545604E-15</v>
      </c>
      <c r="AG107" s="7">
        <f t="shared" si="20"/>
        <v>4.7481908413064402E-14</v>
      </c>
      <c r="AH107" s="7">
        <f t="shared" si="21"/>
        <v>7.8291281817836067E-3</v>
      </c>
      <c r="AI107" s="7">
        <f t="shared" si="15"/>
        <v>-0.29282872726818998</v>
      </c>
      <c r="AJ107" s="8">
        <f t="shared" si="22"/>
        <v>-0.21941542097147812</v>
      </c>
      <c r="AK107" s="8">
        <f t="shared" si="23"/>
        <v>4.4703977509513305E-2</v>
      </c>
      <c r="AL107" s="8">
        <f t="shared" si="24"/>
        <v>-0.12594641198804701</v>
      </c>
      <c r="AM107" s="8">
        <f t="shared" si="25"/>
        <v>7.8291281817836067E-3</v>
      </c>
      <c r="AN107" s="8">
        <f t="shared" si="26"/>
        <v>-0.29282872726822823</v>
      </c>
      <c r="AO107" s="9">
        <f t="shared" si="27"/>
        <v>0.78092970346887047</v>
      </c>
      <c r="AP107" s="9">
        <f t="shared" si="27"/>
        <v>-7.7263180925823136E-3</v>
      </c>
      <c r="AQ107" s="9">
        <f t="shared" si="27"/>
        <v>0.24174467865815139</v>
      </c>
      <c r="AR107" s="9">
        <f t="shared" si="27"/>
        <v>-1.4948064034434048E-2</v>
      </c>
      <c r="AS107" s="9">
        <f t="shared" si="27"/>
        <v>1</v>
      </c>
      <c r="AT107" s="7"/>
      <c r="AU107" s="7"/>
      <c r="AV107" s="7"/>
      <c r="AW107" s="7"/>
      <c r="AX107" s="7"/>
    </row>
    <row r="108" spans="1:50" x14ac:dyDescent="0.25">
      <c r="A108" s="1">
        <v>48852</v>
      </c>
      <c r="B108">
        <f>+[1]wFG_rstar_shock_decomposition!E108</f>
        <v>-0.124452010173002</v>
      </c>
      <c r="C108">
        <f>+[1]wFG_rstar_shock_decomposition!F108</f>
        <v>-0.107897701623297</v>
      </c>
      <c r="D108">
        <f>+[1]wFG_rstar_shock_decomposition!G108</f>
        <v>0.19007765684870601</v>
      </c>
      <c r="E108">
        <f>+[1]wFG_rstar_shock_decomposition!H108</f>
        <v>-3.7524351282554699E-2</v>
      </c>
      <c r="F108">
        <f>+[1]wFG_rstar_shock_decomposition!I108</f>
        <v>-6.2281751780244199E-2</v>
      </c>
      <c r="G108">
        <f>+[1]wFG_rstar_shock_decomposition!J108</f>
        <v>-9.0060044420000992E-15</v>
      </c>
      <c r="H108">
        <f>+[1]wFG_rstar_shock_decomposition!K108</f>
        <v>4.7455572725510303E-14</v>
      </c>
      <c r="I108">
        <f>+[1]wFG_rstar_shock_decomposition!L108</f>
        <v>-7.7955879352315399E-16</v>
      </c>
      <c r="J108">
        <f>+[1]wFG_rstar_shock_decomposition!M108</f>
        <v>1.7888464448878501E-15</v>
      </c>
      <c r="K108">
        <f>+[1]wFG_rstar_shock_decomposition!N108</f>
        <v>-9.19361741520748E-16</v>
      </c>
      <c r="L108">
        <f>+[1]wFG_rstar_shock_decomposition!O108</f>
        <v>1.41867474023163E-15</v>
      </c>
      <c r="M108">
        <f>+[1]wFG_rstar_shock_decomposition!P108</f>
        <v>7.2290616150033796E-16</v>
      </c>
      <c r="N108">
        <f>+[1]wFG_rstar_shock_decomposition!Q108</f>
        <v>2.8489181103726801E-15</v>
      </c>
      <c r="O108">
        <f>+[1]wFG_rstar_shock_decomposition!R108</f>
        <v>3.9226798514428701E-15</v>
      </c>
      <c r="P108">
        <f>+[1]wFG_rstar_shock_decomposition!S108</f>
        <v>9.2599968323849904E-14</v>
      </c>
      <c r="Q108">
        <f>+[1]wFG_rstar_shock_decomposition!T108</f>
        <v>3.1963141846036297E-2</v>
      </c>
      <c r="R108">
        <f>+[1]wFG_rstar_shock_decomposition!U108</f>
        <v>0</v>
      </c>
      <c r="S108">
        <f>+[1]wFG_rstar_shock_decomposition!V108</f>
        <v>-0.18438334031748099</v>
      </c>
      <c r="T108">
        <f>+[1]wFG_rstar_shock_decomposition!W108</f>
        <v>7.7366877082824196E-3</v>
      </c>
      <c r="U108" s="4">
        <f>+[1]wFG_rstar_shock_decomposition!D108</f>
        <v>-0.28676166877341303</v>
      </c>
      <c r="Y108" s="1">
        <f t="shared" si="28"/>
        <v>48852</v>
      </c>
      <c r="Z108" s="7">
        <f t="shared" si="28"/>
        <v>-0.124452010173002</v>
      </c>
      <c r="AA108" s="7">
        <f t="shared" si="28"/>
        <v>-0.107897701623297</v>
      </c>
      <c r="AB108" s="7">
        <f t="shared" si="28"/>
        <v>0.19007765684870601</v>
      </c>
      <c r="AC108" s="7">
        <f t="shared" si="17"/>
        <v>-0.24666509209772519</v>
      </c>
      <c r="AD108" s="7">
        <f t="shared" si="18"/>
        <v>-3.7524351282554699E-2</v>
      </c>
      <c r="AE108" s="7">
        <f t="shared" si="19"/>
        <v>3.1963141846036297E-2</v>
      </c>
      <c r="AF108" s="7">
        <f t="shared" si="20"/>
        <v>-9.0060044420000992E-15</v>
      </c>
      <c r="AG108" s="7">
        <f t="shared" si="20"/>
        <v>4.7455572725510303E-14</v>
      </c>
      <c r="AH108" s="7">
        <f t="shared" si="21"/>
        <v>7.7366877083840224E-3</v>
      </c>
      <c r="AI108" s="7">
        <f t="shared" si="15"/>
        <v>-0.28676166877341402</v>
      </c>
      <c r="AJ108" s="8">
        <f t="shared" si="22"/>
        <v>-0.21470195025168889</v>
      </c>
      <c r="AK108" s="8">
        <f t="shared" si="23"/>
        <v>4.4655603942854311E-2</v>
      </c>
      <c r="AL108" s="8">
        <f t="shared" si="24"/>
        <v>-0.124452010173002</v>
      </c>
      <c r="AM108" s="8">
        <f t="shared" si="25"/>
        <v>7.7366877083840224E-3</v>
      </c>
      <c r="AN108" s="8">
        <f t="shared" si="26"/>
        <v>-0.28676166877345255</v>
      </c>
      <c r="AO108" s="9">
        <f t="shared" si="27"/>
        <v>0.77689554565000107</v>
      </c>
      <c r="AP108" s="9">
        <f t="shared" si="27"/>
        <v>-7.9731498716633757E-3</v>
      </c>
      <c r="AQ108" s="9">
        <f t="shared" si="27"/>
        <v>0.24631406081412166</v>
      </c>
      <c r="AR108" s="9">
        <f t="shared" si="27"/>
        <v>-1.5236456592463133E-2</v>
      </c>
      <c r="AS108" s="9">
        <f t="shared" si="27"/>
        <v>1</v>
      </c>
      <c r="AT108" s="7"/>
      <c r="AU108" s="7"/>
      <c r="AV108" s="7"/>
      <c r="AW108" s="7"/>
      <c r="AX108" s="7"/>
    </row>
    <row r="109" spans="1:50" x14ac:dyDescent="0.25">
      <c r="A109" s="1">
        <v>48944</v>
      </c>
      <c r="B109">
        <f>+[1]wFG_rstar_shock_decomposition!E109</f>
        <v>-0.122976649062614</v>
      </c>
      <c r="C109">
        <f>+[1]wFG_rstar_shock_decomposition!F109</f>
        <v>-0.106818724607064</v>
      </c>
      <c r="D109">
        <f>+[1]wFG_rstar_shock_decomposition!G109</f>
        <v>0.18817687981475001</v>
      </c>
      <c r="E109">
        <f>+[1]wFG_rstar_shock_decomposition!H109</f>
        <v>-3.6751986061239403E-2</v>
      </c>
      <c r="F109">
        <f>+[1]wFG_rstar_shock_decomposition!I109</f>
        <v>-5.9009311685386499E-2</v>
      </c>
      <c r="G109">
        <f>+[1]wFG_rstar_shock_decomposition!J109</f>
        <v>-8.7321999004431893E-15</v>
      </c>
      <c r="H109">
        <f>+[1]wFG_rstar_shock_decomposition!K109</f>
        <v>4.7419960217473801E-14</v>
      </c>
      <c r="I109">
        <f>+[1]wFG_rstar_shock_decomposition!L109</f>
        <v>-7.6637186630348904E-16</v>
      </c>
      <c r="J109">
        <f>+[1]wFG_rstar_shock_decomposition!M109</f>
        <v>1.76722688422928E-15</v>
      </c>
      <c r="K109">
        <f>+[1]wFG_rstar_shock_decomposition!N109</f>
        <v>-9.05377285571144E-16</v>
      </c>
      <c r="L109">
        <f>+[1]wFG_rstar_shock_decomposition!O109</f>
        <v>1.4047901998796299E-15</v>
      </c>
      <c r="M109">
        <f>+[1]wFG_rstar_shock_decomposition!P109</f>
        <v>7.1749797444509798E-16</v>
      </c>
      <c r="N109">
        <f>+[1]wFG_rstar_shock_decomposition!Q109</f>
        <v>2.81909241275224E-15</v>
      </c>
      <c r="O109">
        <f>+[1]wFG_rstar_shock_decomposition!R109</f>
        <v>3.8768204951963803E-15</v>
      </c>
      <c r="P109">
        <f>+[1]wFG_rstar_shock_decomposition!S109</f>
        <v>9.2312695711192501E-14</v>
      </c>
      <c r="Q109">
        <f>+[1]wFG_rstar_shock_decomposition!T109</f>
        <v>3.1395681456395999E-2</v>
      </c>
      <c r="R109">
        <f>+[1]wFG_rstar_shock_decomposition!U109</f>
        <v>0</v>
      </c>
      <c r="S109">
        <f>+[1]wFG_rstar_shock_decomposition!V109</f>
        <v>-0.182544937158239</v>
      </c>
      <c r="T109">
        <f>+[1]wFG_rstar_shock_decomposition!W109</f>
        <v>7.6453902126972003E-3</v>
      </c>
      <c r="U109" s="4">
        <f>+[1]wFG_rstar_shock_decomposition!D109</f>
        <v>-0.28088365709056001</v>
      </c>
      <c r="Y109" s="1">
        <f t="shared" si="28"/>
        <v>48944</v>
      </c>
      <c r="Z109" s="7">
        <f t="shared" si="28"/>
        <v>-0.122976649062614</v>
      </c>
      <c r="AA109" s="7">
        <f t="shared" si="28"/>
        <v>-0.106818724607064</v>
      </c>
      <c r="AB109" s="7">
        <f t="shared" si="28"/>
        <v>0.18817687981475001</v>
      </c>
      <c r="AC109" s="7">
        <f t="shared" si="17"/>
        <v>-0.2415542488436255</v>
      </c>
      <c r="AD109" s="7">
        <f t="shared" si="18"/>
        <v>-3.6751986061239403E-2</v>
      </c>
      <c r="AE109" s="7">
        <f t="shared" si="19"/>
        <v>3.1395681456395999E-2</v>
      </c>
      <c r="AF109" s="7">
        <f t="shared" si="20"/>
        <v>-8.7321999004431893E-15</v>
      </c>
      <c r="AG109" s="7">
        <f t="shared" si="20"/>
        <v>4.7419960217473801E-14</v>
      </c>
      <c r="AH109" s="7">
        <f t="shared" si="21"/>
        <v>7.6453902127984258E-3</v>
      </c>
      <c r="AI109" s="7">
        <f t="shared" si="15"/>
        <v>-0.28088365709055985</v>
      </c>
      <c r="AJ109" s="8">
        <f t="shared" si="22"/>
        <v>-0.21015856738722949</v>
      </c>
      <c r="AK109" s="8">
        <f t="shared" si="23"/>
        <v>4.4606169146446606E-2</v>
      </c>
      <c r="AL109" s="8">
        <f t="shared" si="24"/>
        <v>-0.122976649062614</v>
      </c>
      <c r="AM109" s="8">
        <f t="shared" si="25"/>
        <v>7.6453902127984258E-3</v>
      </c>
      <c r="AN109" s="8">
        <f t="shared" si="26"/>
        <v>-0.28088365709059848</v>
      </c>
      <c r="AO109" s="9">
        <f t="shared" si="27"/>
        <v>0.77294553151574663</v>
      </c>
      <c r="AP109" s="9">
        <f t="shared" si="27"/>
        <v>-8.4101221765012883E-3</v>
      </c>
      <c r="AQ109" s="9">
        <f t="shared" si="27"/>
        <v>0.25099662776982395</v>
      </c>
      <c r="AR109" s="9">
        <f t="shared" si="27"/>
        <v>-1.5532037109063233E-2</v>
      </c>
      <c r="AS109" s="9">
        <f t="shared" si="27"/>
        <v>1</v>
      </c>
      <c r="AT109" s="7"/>
      <c r="AU109" s="7"/>
      <c r="AV109" s="7"/>
      <c r="AW109" s="7"/>
      <c r="AX109" s="7"/>
    </row>
    <row r="110" spans="1:50" x14ac:dyDescent="0.25">
      <c r="A110" s="1">
        <v>49034</v>
      </c>
      <c r="B110">
        <f>+[1]wFG_rstar_shock_decomposition!E110</f>
        <v>-0.121520065257797</v>
      </c>
      <c r="C110">
        <f>+[1]wFG_rstar_shock_decomposition!F110</f>
        <v>-0.105750537360993</v>
      </c>
      <c r="D110">
        <f>+[1]wFG_rstar_shock_decomposition!G110</f>
        <v>0.18629511069235999</v>
      </c>
      <c r="E110">
        <f>+[1]wFG_rstar_shock_decomposition!H110</f>
        <v>-3.59898060647076E-2</v>
      </c>
      <c r="F110">
        <f>+[1]wFG_rstar_shock_decomposition!I110</f>
        <v>-5.5895298355603397E-2</v>
      </c>
      <c r="G110">
        <f>+[1]wFG_rstar_shock_decomposition!J110</f>
        <v>-8.4658484888105401E-15</v>
      </c>
      <c r="H110">
        <f>+[1]wFG_rstar_shock_decomposition!K110</f>
        <v>4.7375347316712603E-14</v>
      </c>
      <c r="I110">
        <f>+[1]wFG_rstar_shock_decomposition!L110</f>
        <v>-7.53396733073095E-16</v>
      </c>
      <c r="J110">
        <f>+[1]wFG_rstar_shock_decomposition!M110</f>
        <v>1.74598698077854E-15</v>
      </c>
      <c r="K110">
        <f>+[1]wFG_rstar_shock_decomposition!N110</f>
        <v>-8.9176950540718001E-16</v>
      </c>
      <c r="L110">
        <f>+[1]wFG_rstar_shock_decomposition!O110</f>
        <v>1.3910114264750999E-15</v>
      </c>
      <c r="M110">
        <f>+[1]wFG_rstar_shock_decomposition!P110</f>
        <v>7.1202889265128997E-16</v>
      </c>
      <c r="N110">
        <f>+[1]wFG_rstar_shock_decomposition!Q110</f>
        <v>2.7896391944642E-15</v>
      </c>
      <c r="O110">
        <f>+[1]wFG_rstar_shock_decomposition!R110</f>
        <v>3.8317602662020297E-15</v>
      </c>
      <c r="P110">
        <f>+[1]wFG_rstar_shock_decomposition!S110</f>
        <v>9.2020148311165194E-14</v>
      </c>
      <c r="Q110">
        <f>+[1]wFG_rstar_shock_decomposition!T110</f>
        <v>3.0841071660655101E-2</v>
      </c>
      <c r="R110">
        <f>+[1]wFG_rstar_shock_decomposition!U110</f>
        <v>0</v>
      </c>
      <c r="S110">
        <f>+[1]wFG_rstar_shock_decomposition!V110</f>
        <v>-0.18072476384529401</v>
      </c>
      <c r="T110">
        <f>+[1]wFG_rstar_shock_decomposition!W110</f>
        <v>7.5552205452923803E-3</v>
      </c>
      <c r="U110" s="4">
        <f>+[1]wFG_rstar_shock_decomposition!D110</f>
        <v>-0.275189067985949</v>
      </c>
      <c r="Y110" s="1">
        <f t="shared" si="28"/>
        <v>49034</v>
      </c>
      <c r="Z110" s="7">
        <f t="shared" si="28"/>
        <v>-0.121520065257797</v>
      </c>
      <c r="AA110" s="7">
        <f t="shared" si="28"/>
        <v>-0.105750537360993</v>
      </c>
      <c r="AB110" s="7">
        <f t="shared" si="28"/>
        <v>0.18629511069235999</v>
      </c>
      <c r="AC110" s="7">
        <f t="shared" si="17"/>
        <v>-0.2366200622008974</v>
      </c>
      <c r="AD110" s="7">
        <f t="shared" si="18"/>
        <v>-3.59898060647076E-2</v>
      </c>
      <c r="AE110" s="7">
        <f t="shared" si="19"/>
        <v>3.0841071660655101E-2</v>
      </c>
      <c r="AF110" s="7">
        <f t="shared" si="20"/>
        <v>-8.4658484888105401E-15</v>
      </c>
      <c r="AG110" s="7">
        <f t="shared" si="20"/>
        <v>4.7375347316712603E-14</v>
      </c>
      <c r="AH110" s="7">
        <f t="shared" si="21"/>
        <v>7.5552205453932259E-3</v>
      </c>
      <c r="AI110" s="7">
        <f t="shared" si="15"/>
        <v>-0.27518906798594783</v>
      </c>
      <c r="AJ110" s="8">
        <f t="shared" si="22"/>
        <v>-0.20577899054024229</v>
      </c>
      <c r="AK110" s="8">
        <f t="shared" si="23"/>
        <v>4.4554767266659384E-2</v>
      </c>
      <c r="AL110" s="8">
        <f t="shared" si="24"/>
        <v>-0.121520065257797</v>
      </c>
      <c r="AM110" s="8">
        <f t="shared" si="25"/>
        <v>7.5552205453932259E-3</v>
      </c>
      <c r="AN110" s="8">
        <f t="shared" si="26"/>
        <v>-0.27518906798598669</v>
      </c>
      <c r="AO110" s="9">
        <f t="shared" si="27"/>
        <v>0.76907688448326794</v>
      </c>
      <c r="AP110" s="9">
        <f t="shared" si="27"/>
        <v>-9.0264422670274323E-3</v>
      </c>
      <c r="AQ110" s="9">
        <f t="shared" si="27"/>
        <v>0.25578382883453005</v>
      </c>
      <c r="AR110" s="9">
        <f t="shared" si="27"/>
        <v>-1.5834271050772657E-2</v>
      </c>
      <c r="AS110" s="9">
        <f t="shared" si="27"/>
        <v>1</v>
      </c>
      <c r="AT110" s="7"/>
      <c r="AU110" s="7"/>
      <c r="AV110" s="7"/>
      <c r="AW110" s="7"/>
      <c r="AX110" s="7"/>
    </row>
    <row r="111" spans="1:50" x14ac:dyDescent="0.25">
      <c r="A111" s="1">
        <v>49125</v>
      </c>
      <c r="B111">
        <f>+[1]wFG_rstar_shock_decomposition!E111</f>
        <v>-0.120081998416828</v>
      </c>
      <c r="C111">
        <f>+[1]wFG_rstar_shock_decomposition!F111</f>
        <v>-0.104693031987383</v>
      </c>
      <c r="D111">
        <f>+[1]wFG_rstar_shock_decomposition!G111</f>
        <v>0.18443215935957299</v>
      </c>
      <c r="E111">
        <f>+[1]wFG_rstar_shock_decomposition!H111</f>
        <v>-3.5238493478352798E-2</v>
      </c>
      <c r="F111">
        <f>+[1]wFG_rstar_shock_decomposition!I111</f>
        <v>-5.2932906005809098E-2</v>
      </c>
      <c r="G111">
        <f>+[1]wFG_rstar_shock_decomposition!J111</f>
        <v>-8.2068315195043001E-15</v>
      </c>
      <c r="H111">
        <f>+[1]wFG_rstar_shock_decomposition!K111</f>
        <v>4.7322007695654199E-14</v>
      </c>
      <c r="I111">
        <f>+[1]wFG_rstar_shock_decomposition!L111</f>
        <v>-7.4064084850030303E-16</v>
      </c>
      <c r="J111">
        <f>+[1]wFG_rstar_shock_decomposition!M111</f>
        <v>1.72511215434345E-15</v>
      </c>
      <c r="K111">
        <f>+[1]wFG_rstar_shock_decomposition!N111</f>
        <v>-8.7853211600407696E-16</v>
      </c>
      <c r="L111">
        <f>+[1]wFG_rstar_shock_decomposition!O111</f>
        <v>1.37733637038472E-15</v>
      </c>
      <c r="M111">
        <f>+[1]wFG_rstar_shock_decomposition!P111</f>
        <v>7.0650130373114505E-16</v>
      </c>
      <c r="N111">
        <f>+[1]wFG_rstar_shock_decomposition!Q111</f>
        <v>2.7605491082600998E-15</v>
      </c>
      <c r="O111">
        <f>+[1]wFG_rstar_shock_decomposition!R111</f>
        <v>3.7874828877240401E-15</v>
      </c>
      <c r="P111">
        <f>+[1]wFG_rstar_shock_decomposition!S111</f>
        <v>9.1722513141933894E-14</v>
      </c>
      <c r="Q111">
        <f>+[1]wFG_rstar_shock_decomposition!T111</f>
        <v>3.02985473656858E-2</v>
      </c>
      <c r="R111">
        <f>+[1]wFG_rstar_shock_decomposition!U111</f>
        <v>0</v>
      </c>
      <c r="S111">
        <f>+[1]wFG_rstar_shock_decomposition!V111</f>
        <v>-0.178922643024432</v>
      </c>
      <c r="T111">
        <f>+[1]wFG_rstar_shock_decomposition!W111</f>
        <v>7.4661637716029903E-3</v>
      </c>
      <c r="U111" s="4">
        <f>+[1]wFG_rstar_shock_decomposition!D111</f>
        <v>-0.26967220241580497</v>
      </c>
      <c r="Y111" s="1">
        <f t="shared" si="28"/>
        <v>49125</v>
      </c>
      <c r="Z111" s="7">
        <f t="shared" si="28"/>
        <v>-0.120081998416828</v>
      </c>
      <c r="AA111" s="7">
        <f t="shared" si="28"/>
        <v>-0.104693031987383</v>
      </c>
      <c r="AB111" s="7">
        <f t="shared" si="28"/>
        <v>0.18443215935957299</v>
      </c>
      <c r="AC111" s="7">
        <f t="shared" si="17"/>
        <v>-0.23185554903024111</v>
      </c>
      <c r="AD111" s="7">
        <f t="shared" si="18"/>
        <v>-3.5238493478352798E-2</v>
      </c>
      <c r="AE111" s="7">
        <f t="shared" si="19"/>
        <v>3.02985473656858E-2</v>
      </c>
      <c r="AF111" s="7">
        <f t="shared" si="20"/>
        <v>-8.2068315195043001E-15</v>
      </c>
      <c r="AG111" s="7">
        <f t="shared" si="20"/>
        <v>4.7322007695654199E-14</v>
      </c>
      <c r="AH111" s="7">
        <f t="shared" si="21"/>
        <v>7.4661637717034516E-3</v>
      </c>
      <c r="AI111" s="7">
        <f t="shared" si="15"/>
        <v>-0.26967220241580353</v>
      </c>
      <c r="AJ111" s="8">
        <f t="shared" si="22"/>
        <v>-0.20155700166455531</v>
      </c>
      <c r="AK111" s="8">
        <f t="shared" si="23"/>
        <v>4.4500633893837196E-2</v>
      </c>
      <c r="AL111" s="8">
        <f t="shared" si="24"/>
        <v>-0.120081998416828</v>
      </c>
      <c r="AM111" s="8">
        <f t="shared" si="25"/>
        <v>7.4661637717034516E-3</v>
      </c>
      <c r="AN111" s="8">
        <f t="shared" si="26"/>
        <v>-0.26967220241584267</v>
      </c>
      <c r="AO111" s="9">
        <f t="shared" si="27"/>
        <v>0.76528761159876457</v>
      </c>
      <c r="AP111" s="9">
        <f t="shared" si="27"/>
        <v>-9.8123421957469308E-3</v>
      </c>
      <c r="AQ111" s="9">
        <f t="shared" si="27"/>
        <v>0.26066737039080362</v>
      </c>
      <c r="AR111" s="9">
        <f t="shared" si="27"/>
        <v>-1.6142639793822151E-2</v>
      </c>
      <c r="AS111" s="9">
        <f t="shared" si="27"/>
        <v>1</v>
      </c>
      <c r="AT111" s="7"/>
      <c r="AU111" s="7"/>
      <c r="AV111" s="7"/>
      <c r="AW111" s="7"/>
      <c r="AX111" s="7"/>
    </row>
    <row r="112" spans="1:50" x14ac:dyDescent="0.25">
      <c r="A112" s="1">
        <v>49217</v>
      </c>
      <c r="B112">
        <f>+[1]wFG_rstar_shock_decomposition!E112</f>
        <v>-0.11866219137185401</v>
      </c>
      <c r="C112">
        <f>+[1]wFG_rstar_shock_decomposition!F112</f>
        <v>-0.10364610166751</v>
      </c>
      <c r="D112">
        <f>+[1]wFG_rstar_shock_decomposition!G112</f>
        <v>0.182587837608642</v>
      </c>
      <c r="E112">
        <f>+[1]wFG_rstar_shock_decomposition!H112</f>
        <v>-3.4498607140766503E-2</v>
      </c>
      <c r="F112">
        <f>+[1]wFG_rstar_shock_decomposition!I112</f>
        <v>-5.0115503764173397E-2</v>
      </c>
      <c r="G112">
        <f>+[1]wFG_rstar_shock_decomposition!J112</f>
        <v>-7.9550161205838497E-15</v>
      </c>
      <c r="H112">
        <f>+[1]wFG_rstar_shock_decomposition!K112</f>
        <v>4.7260211781670399E-14</v>
      </c>
      <c r="I112">
        <f>+[1]wFG_rstar_shock_decomposition!L112</f>
        <v>-7.2811004923561804E-16</v>
      </c>
      <c r="J112">
        <f>+[1]wFG_rstar_shock_decomposition!M112</f>
        <v>1.7045886686998701E-15</v>
      </c>
      <c r="K112">
        <f>+[1]wFG_rstar_shock_decomposition!N112</f>
        <v>-8.6565715608025199E-16</v>
      </c>
      <c r="L112">
        <f>+[1]wFG_rstar_shock_decomposition!O112</f>
        <v>1.36376366970997E-15</v>
      </c>
      <c r="M112">
        <f>+[1]wFG_rstar_shock_decomposition!P112</f>
        <v>7.00918482885457E-16</v>
      </c>
      <c r="N112">
        <f>+[1]wFG_rstar_shock_decomposition!Q112</f>
        <v>2.7318132951405398E-15</v>
      </c>
      <c r="O112">
        <f>+[1]wFG_rstar_shock_decomposition!R112</f>
        <v>3.74397071798006E-15</v>
      </c>
      <c r="P112">
        <f>+[1]wFG_rstar_shock_decomposition!S112</f>
        <v>9.1419972636192095E-14</v>
      </c>
      <c r="Q112">
        <f>+[1]wFG_rstar_shock_decomposition!T112</f>
        <v>2.97674286002526E-2</v>
      </c>
      <c r="R112">
        <f>+[1]wFG_rstar_shock_decomposition!U112</f>
        <v>0</v>
      </c>
      <c r="S112">
        <f>+[1]wFG_rstar_shock_decomposition!V112</f>
        <v>-0.17713839918831101</v>
      </c>
      <c r="T112">
        <f>+[1]wFG_rstar_shock_decomposition!W112</f>
        <v>7.3782051691651702E-3</v>
      </c>
      <c r="U112" s="4">
        <f>+[1]wFG_rstar_shock_decomposition!D112</f>
        <v>-0.26432733175441497</v>
      </c>
      <c r="Y112" s="1">
        <f t="shared" si="28"/>
        <v>49217</v>
      </c>
      <c r="Z112" s="7">
        <f t="shared" si="28"/>
        <v>-0.11866219137185401</v>
      </c>
      <c r="AA112" s="7">
        <f t="shared" si="28"/>
        <v>-0.10364610166751</v>
      </c>
      <c r="AB112" s="7">
        <f t="shared" si="28"/>
        <v>0.182587837608642</v>
      </c>
      <c r="AC112" s="7">
        <f t="shared" si="17"/>
        <v>-0.2272539029524844</v>
      </c>
      <c r="AD112" s="7">
        <f t="shared" si="18"/>
        <v>-3.4498607140766503E-2</v>
      </c>
      <c r="AE112" s="7">
        <f t="shared" si="19"/>
        <v>2.97674286002526E-2</v>
      </c>
      <c r="AF112" s="7">
        <f t="shared" si="20"/>
        <v>-7.9550161205838497E-15</v>
      </c>
      <c r="AG112" s="7">
        <f t="shared" si="20"/>
        <v>4.7260211781670399E-14</v>
      </c>
      <c r="AH112" s="7">
        <f t="shared" si="21"/>
        <v>7.3782051692652421E-3</v>
      </c>
      <c r="AI112" s="7">
        <f t="shared" si="15"/>
        <v>-0.26432733175441575</v>
      </c>
      <c r="AJ112" s="8">
        <f t="shared" si="22"/>
        <v>-0.19748647435223179</v>
      </c>
      <c r="AK112" s="8">
        <f t="shared" si="23"/>
        <v>4.4443128800365501E-2</v>
      </c>
      <c r="AL112" s="8">
        <f t="shared" si="24"/>
        <v>-0.11866219137185401</v>
      </c>
      <c r="AM112" s="8">
        <f t="shared" si="25"/>
        <v>7.3782051692652421E-3</v>
      </c>
      <c r="AN112" s="8">
        <f t="shared" si="26"/>
        <v>-0.26432733175445505</v>
      </c>
      <c r="AO112" s="9">
        <f t="shared" si="27"/>
        <v>0.76157639168517233</v>
      </c>
      <c r="AP112" s="9">
        <f t="shared" si="27"/>
        <v>-1.0758930779583316E-2</v>
      </c>
      <c r="AQ112" s="9">
        <f t="shared" si="27"/>
        <v>0.26563917724538305</v>
      </c>
      <c r="AR112" s="9">
        <f t="shared" si="27"/>
        <v>-1.6456638150973344E-2</v>
      </c>
      <c r="AS112" s="9">
        <f t="shared" si="27"/>
        <v>1</v>
      </c>
      <c r="AT112" s="7"/>
      <c r="AU112" s="7"/>
      <c r="AV112" s="7"/>
      <c r="AW112" s="7"/>
      <c r="AX112" s="7"/>
    </row>
    <row r="113" spans="1:50" x14ac:dyDescent="0.25">
      <c r="A113" s="1">
        <v>49309</v>
      </c>
      <c r="B113">
        <f>+[1]wFG_rstar_shock_decomposition!E113</f>
        <v>-0.11726039021816299</v>
      </c>
      <c r="C113">
        <f>+[1]wFG_rstar_shock_decomposition!F113</f>
        <v>-0.102609640650835</v>
      </c>
      <c r="D113">
        <f>+[1]wFG_rstar_shock_decomposition!G113</f>
        <v>0.180761959122958</v>
      </c>
      <c r="E113">
        <f>+[1]wFG_rstar_shock_decomposition!H113</f>
        <v>-3.3770597810344097E-2</v>
      </c>
      <c r="F113">
        <f>+[1]wFG_rstar_shock_decomposition!I113</f>
        <v>-4.7436648389629597E-2</v>
      </c>
      <c r="G113">
        <f>+[1]wFG_rstar_shock_decomposition!J113</f>
        <v>-7.7102576633148302E-15</v>
      </c>
      <c r="H113">
        <f>+[1]wFG_rstar_shock_decomposition!K113</f>
        <v>4.7190226327981602E-14</v>
      </c>
      <c r="I113">
        <f>+[1]wFG_rstar_shock_decomposition!L113</f>
        <v>-7.1580866866941197E-16</v>
      </c>
      <c r="J113">
        <f>+[1]wFG_rstar_shock_decomposition!M113</f>
        <v>1.68440360355511E-15</v>
      </c>
      <c r="K113">
        <f>+[1]wFG_rstar_shock_decomposition!N113</f>
        <v>-8.5313532566450196E-16</v>
      </c>
      <c r="L113">
        <f>+[1]wFG_rstar_shock_decomposition!O113</f>
        <v>1.3502925221422601E-15</v>
      </c>
      <c r="M113">
        <f>+[1]wFG_rstar_shock_decomposition!P113</f>
        <v>6.9528439632296798E-16</v>
      </c>
      <c r="N113">
        <f>+[1]wFG_rstar_shock_decomposition!Q113</f>
        <v>2.7034233620488602E-15</v>
      </c>
      <c r="O113">
        <f>+[1]wFG_rstar_shock_decomposition!R113</f>
        <v>3.7012050840599698E-15</v>
      </c>
      <c r="P113">
        <f>+[1]wFG_rstar_shock_decomposition!S113</f>
        <v>9.1112704628081405E-14</v>
      </c>
      <c r="Q113">
        <f>+[1]wFG_rstar_shock_decomposition!T113</f>
        <v>2.9247110330444599E-2</v>
      </c>
      <c r="R113">
        <f>+[1]wFG_rstar_shock_decomposition!U113</f>
        <v>0</v>
      </c>
      <c r="S113">
        <f>+[1]wFG_rstar_shock_decomposition!V113</f>
        <v>-0.17537185856495699</v>
      </c>
      <c r="T113">
        <f>+[1]wFG_rstar_shock_decomposition!W113</f>
        <v>7.2913302243932396E-3</v>
      </c>
      <c r="U113" s="4">
        <f>+[1]wFG_rstar_shock_decomposition!D113</f>
        <v>-0.25914873595599403</v>
      </c>
      <c r="Y113" s="1">
        <f t="shared" si="28"/>
        <v>49309</v>
      </c>
      <c r="Z113" s="7">
        <f t="shared" si="28"/>
        <v>-0.11726039021816299</v>
      </c>
      <c r="AA113" s="7">
        <f t="shared" si="28"/>
        <v>-0.102609640650835</v>
      </c>
      <c r="AB113" s="7">
        <f t="shared" si="28"/>
        <v>0.180761959122958</v>
      </c>
      <c r="AC113" s="7">
        <f t="shared" si="17"/>
        <v>-0.22280850695458659</v>
      </c>
      <c r="AD113" s="7">
        <f t="shared" si="18"/>
        <v>-3.3770597810344097E-2</v>
      </c>
      <c r="AE113" s="7">
        <f t="shared" si="19"/>
        <v>2.9247110330444599E-2</v>
      </c>
      <c r="AF113" s="7">
        <f t="shared" si="20"/>
        <v>-7.7102576633148302E-15</v>
      </c>
      <c r="AG113" s="7">
        <f t="shared" si="20"/>
        <v>4.7190226327981602E-14</v>
      </c>
      <c r="AH113" s="7">
        <f t="shared" si="21"/>
        <v>7.2913302244929186E-3</v>
      </c>
      <c r="AI113" s="7">
        <f t="shared" si="15"/>
        <v>-0.25914873595599369</v>
      </c>
      <c r="AJ113" s="8">
        <f t="shared" si="22"/>
        <v>-0.19356139662414198</v>
      </c>
      <c r="AK113" s="8">
        <f t="shared" si="23"/>
        <v>4.4381720661778909E-2</v>
      </c>
      <c r="AL113" s="8">
        <f t="shared" si="24"/>
        <v>-0.11726039021816299</v>
      </c>
      <c r="AM113" s="8">
        <f t="shared" si="25"/>
        <v>7.2913302244929186E-3</v>
      </c>
      <c r="AN113" s="8">
        <f t="shared" si="26"/>
        <v>-0.25914873595603316</v>
      </c>
      <c r="AO113" s="9">
        <f t="shared" si="27"/>
        <v>0.75794247724178909</v>
      </c>
      <c r="AP113" s="9">
        <f t="shared" si="27"/>
        <v>-1.1858067510367542E-2</v>
      </c>
      <c r="AQ113" s="9">
        <f t="shared" si="27"/>
        <v>0.27069136272774807</v>
      </c>
      <c r="AR113" s="9">
        <f t="shared" si="27"/>
        <v>-1.6775772459166928E-2</v>
      </c>
      <c r="AS113" s="9">
        <f t="shared" si="27"/>
        <v>1</v>
      </c>
      <c r="AT113" s="7"/>
      <c r="AU113" s="7"/>
      <c r="AV113" s="7"/>
      <c r="AW113" s="7"/>
      <c r="AX113" s="7"/>
    </row>
    <row r="114" spans="1:50" x14ac:dyDescent="0.25">
      <c r="A114" s="1">
        <v>49399</v>
      </c>
      <c r="B114">
        <f>+[1]wFG_rstar_shock_decomposition!E114</f>
        <v>-0.115876344380642</v>
      </c>
      <c r="C114">
        <f>+[1]wFG_rstar_shock_decomposition!F114</f>
        <v>-0.101583544244326</v>
      </c>
      <c r="D114">
        <f>+[1]wFG_rstar_shock_decomposition!G114</f>
        <v>0.178954339455383</v>
      </c>
      <c r="E114">
        <f>+[1]wFG_rstar_shock_decomposition!H114</f>
        <v>-3.3054821669844699E-2</v>
      </c>
      <c r="F114">
        <f>+[1]wFG_rstar_shock_decomposition!I114</f>
        <v>-4.4890093774428798E-2</v>
      </c>
      <c r="G114">
        <f>+[1]wFG_rstar_shock_decomposition!J114</f>
        <v>-7.4724019963809903E-15</v>
      </c>
      <c r="H114">
        <f>+[1]wFG_rstar_shock_decomposition!K114</f>
        <v>4.71123140425847E-14</v>
      </c>
      <c r="I114">
        <f>+[1]wFG_rstar_shock_decomposition!L114</f>
        <v>-7.03739660096515E-16</v>
      </c>
      <c r="J114">
        <f>+[1]wFG_rstar_shock_decomposition!M114</f>
        <v>1.6645448220809101E-15</v>
      </c>
      <c r="K114">
        <f>+[1]wFG_rstar_shock_decomposition!N114</f>
        <v>-8.40956284934474E-16</v>
      </c>
      <c r="L114">
        <f>+[1]wFG_rstar_shock_decomposition!O114</f>
        <v>1.3369225735193201E-15</v>
      </c>
      <c r="M114">
        <f>+[1]wFG_rstar_shock_decomposition!P114</f>
        <v>6.8960353042567098E-16</v>
      </c>
      <c r="N114">
        <f>+[1]wFG_rstar_shock_decomposition!Q114</f>
        <v>2.6753713587770101E-15</v>
      </c>
      <c r="O114">
        <f>+[1]wFG_rstar_shock_decomposition!R114</f>
        <v>3.6591665775671598E-15</v>
      </c>
      <c r="P114">
        <f>+[1]wFG_rstar_shock_decomposition!S114</f>
        <v>9.0800882366223394E-14</v>
      </c>
      <c r="Q114">
        <f>+[1]wFG_rstar_shock_decomposition!T114</f>
        <v>2.87370534797491E-2</v>
      </c>
      <c r="R114">
        <f>+[1]wFG_rstar_shock_decomposition!U114</f>
        <v>0</v>
      </c>
      <c r="S114">
        <f>+[1]wFG_rstar_shock_decomposition!V114</f>
        <v>-0.173622849034196</v>
      </c>
      <c r="T114">
        <f>+[1]wFG_rstar_shock_decomposition!W114</f>
        <v>7.20552462950135E-3</v>
      </c>
      <c r="U114" s="4">
        <f>+[1]wFG_rstar_shock_decomposition!D114</f>
        <v>-0.254130735538665</v>
      </c>
      <c r="Y114" s="1">
        <f t="shared" si="28"/>
        <v>49399</v>
      </c>
      <c r="Z114" s="7">
        <f t="shared" si="28"/>
        <v>-0.115876344380642</v>
      </c>
      <c r="AA114" s="7">
        <f t="shared" si="28"/>
        <v>-0.101583544244326</v>
      </c>
      <c r="AB114" s="7">
        <f t="shared" si="28"/>
        <v>0.178954339455383</v>
      </c>
      <c r="AC114" s="7">
        <f t="shared" si="17"/>
        <v>-0.21851294280862479</v>
      </c>
      <c r="AD114" s="7">
        <f t="shared" si="18"/>
        <v>-3.3054821669844699E-2</v>
      </c>
      <c r="AE114" s="7">
        <f t="shared" si="19"/>
        <v>2.87370534797491E-2</v>
      </c>
      <c r="AF114" s="7">
        <f t="shared" si="20"/>
        <v>-7.4724019963809903E-15</v>
      </c>
      <c r="AG114" s="7">
        <f t="shared" si="20"/>
        <v>4.71123140425847E-14</v>
      </c>
      <c r="AH114" s="7">
        <f t="shared" si="21"/>
        <v>7.2055246296006308E-3</v>
      </c>
      <c r="AI114" s="7">
        <f t="shared" si="15"/>
        <v>-0.25413073553866516</v>
      </c>
      <c r="AJ114" s="8">
        <f t="shared" si="22"/>
        <v>-0.18977588932887568</v>
      </c>
      <c r="AK114" s="8">
        <f t="shared" si="23"/>
        <v>4.4315973541212299E-2</v>
      </c>
      <c r="AL114" s="8">
        <f t="shared" si="24"/>
        <v>-0.115876344380642</v>
      </c>
      <c r="AM114" s="8">
        <f t="shared" si="25"/>
        <v>7.2055246296006308E-3</v>
      </c>
      <c r="AN114" s="8">
        <f t="shared" si="26"/>
        <v>-0.25413073553870474</v>
      </c>
      <c r="AO114" s="9">
        <f t="shared" si="27"/>
        <v>0.75438560789951248</v>
      </c>
      <c r="AP114" s="9">
        <f t="shared" si="27"/>
        <v>-1.3102254902085872E-2</v>
      </c>
      <c r="AQ114" s="9">
        <f t="shared" si="27"/>
        <v>0.27581620614090413</v>
      </c>
      <c r="AR114" s="9">
        <f t="shared" si="27"/>
        <v>-1.7099559138333168E-2</v>
      </c>
      <c r="AS114" s="9">
        <f t="shared" si="27"/>
        <v>1</v>
      </c>
      <c r="AT114" s="7"/>
      <c r="AU114" s="7"/>
      <c r="AV114" s="7"/>
      <c r="AW114" s="7"/>
      <c r="AX114" s="7"/>
    </row>
    <row r="115" spans="1:50" x14ac:dyDescent="0.25">
      <c r="A115" s="1">
        <v>49490</v>
      </c>
      <c r="B115">
        <f>+[1]wFG_rstar_shock_decomposition!E115</f>
        <v>-0.114509806661082</v>
      </c>
      <c r="C115">
        <f>+[1]wFG_rstar_shock_decomposition!F115</f>
        <v>-0.100567708801883</v>
      </c>
      <c r="D115">
        <f>+[1]wFG_rstar_shock_decomposition!G115</f>
        <v>0.17716479600764801</v>
      </c>
      <c r="E115">
        <f>+[1]wFG_rstar_shock_decomposition!H115</f>
        <v>-3.2351552265130597E-2</v>
      </c>
      <c r="F115">
        <f>+[1]wFG_rstar_shock_decomposition!I115</f>
        <v>-4.2469797685110597E-2</v>
      </c>
      <c r="G115">
        <f>+[1]wFG_rstar_shock_decomposition!J115</f>
        <v>-7.2412874851599402E-15</v>
      </c>
      <c r="H115">
        <f>+[1]wFG_rstar_shock_decomposition!K115</f>
        <v>4.7026733272043199E-14</v>
      </c>
      <c r="I115">
        <f>+[1]wFG_rstar_shock_decomposition!L115</f>
        <v>-6.9190472390795904E-16</v>
      </c>
      <c r="J115">
        <f>+[1]wFG_rstar_shock_decomposition!M115</f>
        <v>1.6450009353028099E-15</v>
      </c>
      <c r="K115">
        <f>+[1]wFG_rstar_shock_decomposition!N115</f>
        <v>-8.2910891673650903E-16</v>
      </c>
      <c r="L115">
        <f>+[1]wFG_rstar_shock_decomposition!O115</f>
        <v>1.3236538215388199E-15</v>
      </c>
      <c r="M115">
        <f>+[1]wFG_rstar_shock_decomposition!P115</f>
        <v>6.8388074443427703E-16</v>
      </c>
      <c r="N115">
        <f>+[1]wFG_rstar_shock_decomposition!Q115</f>
        <v>2.6476497545123001E-15</v>
      </c>
      <c r="O115">
        <f>+[1]wFG_rstar_shock_decomposition!R115</f>
        <v>3.6178353140756803E-15</v>
      </c>
      <c r="P115">
        <f>+[1]wFG_rstar_shock_decomposition!S115</f>
        <v>9.0484674548863695E-14</v>
      </c>
      <c r="Q115">
        <f>+[1]wFG_rstar_shock_decomposition!T115</f>
        <v>2.8236777012652401E-2</v>
      </c>
      <c r="R115">
        <f>+[1]wFG_rstar_shock_decomposition!U115</f>
        <v>0</v>
      </c>
      <c r="S115">
        <f>+[1]wFG_rstar_shock_decomposition!V115</f>
        <v>-0.171891200065417</v>
      </c>
      <c r="T115">
        <f>+[1]wFG_rstar_shock_decomposition!W115</f>
        <v>7.1207742794687596E-3</v>
      </c>
      <c r="U115" s="4">
        <f>+[1]wFG_rstar_shock_decomposition!D115</f>
        <v>-0.24926771817871499</v>
      </c>
      <c r="Y115" s="1">
        <f t="shared" si="28"/>
        <v>49490</v>
      </c>
      <c r="Z115" s="7">
        <f t="shared" si="28"/>
        <v>-0.114509806661082</v>
      </c>
      <c r="AA115" s="7">
        <f t="shared" si="28"/>
        <v>-0.100567708801883</v>
      </c>
      <c r="AB115" s="7">
        <f t="shared" si="28"/>
        <v>0.17716479600764801</v>
      </c>
      <c r="AC115" s="7">
        <f t="shared" si="17"/>
        <v>-0.21436099775052758</v>
      </c>
      <c r="AD115" s="7">
        <f t="shared" si="18"/>
        <v>-3.2351552265130597E-2</v>
      </c>
      <c r="AE115" s="7">
        <f t="shared" si="19"/>
        <v>2.8236777012652401E-2</v>
      </c>
      <c r="AF115" s="7">
        <f t="shared" si="20"/>
        <v>-7.2412874851599402E-15</v>
      </c>
      <c r="AG115" s="7">
        <f t="shared" si="20"/>
        <v>4.7026733272043199E-14</v>
      </c>
      <c r="AH115" s="7">
        <f t="shared" si="21"/>
        <v>7.1207742795676415E-3</v>
      </c>
      <c r="AI115" s="7">
        <f t="shared" si="15"/>
        <v>-0.24926771817871529</v>
      </c>
      <c r="AJ115" s="8">
        <f t="shared" si="22"/>
        <v>-0.18612422073787518</v>
      </c>
      <c r="AK115" s="8">
        <f t="shared" si="23"/>
        <v>4.4245534940634414E-2</v>
      </c>
      <c r="AL115" s="8">
        <f t="shared" si="24"/>
        <v>-0.114509806661082</v>
      </c>
      <c r="AM115" s="8">
        <f t="shared" si="25"/>
        <v>7.1207742795676415E-3</v>
      </c>
      <c r="AN115" s="8">
        <f t="shared" si="26"/>
        <v>-0.24926771817875515</v>
      </c>
      <c r="AO115" s="9">
        <f t="shared" si="27"/>
        <v>0.75090593364411606</v>
      </c>
      <c r="AP115" s="9">
        <f t="shared" si="27"/>
        <v>-1.4484546396646049E-2</v>
      </c>
      <c r="AQ115" s="9">
        <f t="shared" si="27"/>
        <v>0.28100613639885502</v>
      </c>
      <c r="AR115" s="9">
        <f t="shared" si="27"/>
        <v>-1.7427523646320636E-2</v>
      </c>
      <c r="AS115" s="9">
        <f t="shared" si="27"/>
        <v>1</v>
      </c>
      <c r="AT115" s="7"/>
      <c r="AU115" s="7"/>
      <c r="AV115" s="7"/>
      <c r="AW115" s="7"/>
      <c r="AX115" s="7"/>
    </row>
    <row r="116" spans="1:50" x14ac:dyDescent="0.25">
      <c r="A116" s="1">
        <v>49582</v>
      </c>
      <c r="B116">
        <f>+[1]wFG_rstar_shock_decomposition!E116</f>
        <v>-0.113160533269432</v>
      </c>
      <c r="C116">
        <f>+[1]wFG_rstar_shock_decomposition!F116</f>
        <v>-9.9562031713864602E-2</v>
      </c>
      <c r="D116">
        <f>+[1]wFG_rstar_shock_decomposition!G116</f>
        <v>0.175393148010526</v>
      </c>
      <c r="E116">
        <f>+[1]wFG_rstar_shock_decomposition!H116</f>
        <v>-3.1660991053535897E-2</v>
      </c>
      <c r="F116">
        <f>+[1]wFG_rstar_shock_decomposition!I116</f>
        <v>-4.0169926141577897E-2</v>
      </c>
      <c r="G116">
        <f>+[1]wFG_rstar_shock_decomposition!J116</f>
        <v>-7.0167468579333399E-15</v>
      </c>
      <c r="H116">
        <f>+[1]wFG_rstar_shock_decomposition!K116</f>
        <v>4.6933737736606801E-14</v>
      </c>
      <c r="I116">
        <f>+[1]wFG_rstar_shock_decomposition!L116</f>
        <v>-6.8030443531480601E-16</v>
      </c>
      <c r="J116">
        <f>+[1]wFG_rstar_shock_decomposition!M116</f>
        <v>1.6257612644237899E-15</v>
      </c>
      <c r="K116">
        <f>+[1]wFG_rstar_shock_decomposition!N116</f>
        <v>-8.1758155536457501E-16</v>
      </c>
      <c r="L116">
        <f>+[1]wFG_rstar_shock_decomposition!O116</f>
        <v>1.31048653313468E-15</v>
      </c>
      <c r="M116">
        <f>+[1]wFG_rstar_shock_decomposition!P116</f>
        <v>6.7812114446303101E-16</v>
      </c>
      <c r="N116">
        <f>+[1]wFG_rstar_shock_decomposition!Q116</f>
        <v>2.6202514143716302E-15</v>
      </c>
      <c r="O116">
        <f>+[1]wFG_rstar_shock_decomposition!R116</f>
        <v>3.57719115872774E-15</v>
      </c>
      <c r="P116">
        <f>+[1]wFG_rstar_shock_decomposition!S116</f>
        <v>9.0164245377520598E-14</v>
      </c>
      <c r="Q116">
        <f>+[1]wFG_rstar_shock_decomposition!T116</f>
        <v>2.77458509570651E-2</v>
      </c>
      <c r="R116">
        <f>+[1]wFG_rstar_shock_decomposition!U116</f>
        <v>0</v>
      </c>
      <c r="S116">
        <f>+[1]wFG_rstar_shock_decomposition!V116</f>
        <v>-0.17017674267150501</v>
      </c>
      <c r="T116">
        <f>+[1]wFG_rstar_shock_decomposition!W116</f>
        <v>7.0370652690485199E-3</v>
      </c>
      <c r="U116" s="4">
        <f>+[1]wFG_rstar_shock_decomposition!D116</f>
        <v>-0.24455416061313601</v>
      </c>
      <c r="Y116" s="1">
        <f t="shared" si="28"/>
        <v>49582</v>
      </c>
      <c r="Z116" s="7">
        <f t="shared" si="28"/>
        <v>-0.113160533269432</v>
      </c>
      <c r="AA116" s="7">
        <f t="shared" si="28"/>
        <v>-9.9562031713864602E-2</v>
      </c>
      <c r="AB116" s="7">
        <f t="shared" si="28"/>
        <v>0.175393148010526</v>
      </c>
      <c r="AC116" s="7">
        <f t="shared" si="17"/>
        <v>-0.21034666881308289</v>
      </c>
      <c r="AD116" s="7">
        <f t="shared" si="18"/>
        <v>-3.1660991053535897E-2</v>
      </c>
      <c r="AE116" s="7">
        <f t="shared" si="19"/>
        <v>2.77458509570651E-2</v>
      </c>
      <c r="AF116" s="7">
        <f t="shared" si="20"/>
        <v>-7.0167468579333399E-15</v>
      </c>
      <c r="AG116" s="7">
        <f t="shared" si="20"/>
        <v>4.6933737736606801E-14</v>
      </c>
      <c r="AH116" s="7">
        <f t="shared" si="21"/>
        <v>7.0370652691469976E-3</v>
      </c>
      <c r="AI116" s="7">
        <f t="shared" si="15"/>
        <v>-0.24455416061313739</v>
      </c>
      <c r="AJ116" s="8">
        <f t="shared" si="22"/>
        <v>-0.18260081785601778</v>
      </c>
      <c r="AK116" s="8">
        <f t="shared" si="23"/>
        <v>4.4170125243125496E-2</v>
      </c>
      <c r="AL116" s="8">
        <f t="shared" si="24"/>
        <v>-0.113160533269432</v>
      </c>
      <c r="AM116" s="8">
        <f t="shared" si="25"/>
        <v>7.0370652691469976E-3</v>
      </c>
      <c r="AN116" s="8">
        <f t="shared" si="26"/>
        <v>-0.24455416061317731</v>
      </c>
      <c r="AO116" s="9">
        <f t="shared" si="27"/>
        <v>0.74750394640093099</v>
      </c>
      <c r="AP116" s="9">
        <f t="shared" si="27"/>
        <v>-1.5998467497165828E-2</v>
      </c>
      <c r="AQ116" s="9">
        <f t="shared" si="27"/>
        <v>0.2862537208632972</v>
      </c>
      <c r="AR116" s="9">
        <f t="shared" si="27"/>
        <v>-1.7759199767062122E-2</v>
      </c>
      <c r="AS116" s="9">
        <f t="shared" si="27"/>
        <v>1</v>
      </c>
      <c r="AT116" s="7"/>
      <c r="AU116" s="7"/>
      <c r="AV116" s="7"/>
      <c r="AW116" s="7"/>
      <c r="AX116" s="7"/>
    </row>
    <row r="117" spans="1:50" x14ac:dyDescent="0.25">
      <c r="A117" s="1">
        <v>49674</v>
      </c>
      <c r="B117">
        <f>+[1]wFG_rstar_shock_decomposition!E117</f>
        <v>-0.111828283841561</v>
      </c>
      <c r="C117">
        <f>+[1]wFG_rstar_shock_decomposition!F117</f>
        <v>-9.8566411396725895E-2</v>
      </c>
      <c r="D117">
        <f>+[1]wFG_rstar_shock_decomposition!G117</f>
        <v>0.173639216504616</v>
      </c>
      <c r="E117">
        <f>+[1]wFG_rstar_shock_decomposition!H117</f>
        <v>-3.0983276718518901E-2</v>
      </c>
      <c r="F117">
        <f>+[1]wFG_rstar_shock_decomposition!I117</f>
        <v>-3.7984855785861603E-2</v>
      </c>
      <c r="G117">
        <f>+[1]wFG_rstar_shock_decomposition!J117</f>
        <v>-6.7986088637060303E-15</v>
      </c>
      <c r="H117">
        <f>+[1]wFG_rstar_shock_decomposition!K117</f>
        <v>4.6833576312889101E-14</v>
      </c>
      <c r="I117">
        <f>+[1]wFG_rstar_shock_decomposition!L117</f>
        <v>-6.6893836987022299E-16</v>
      </c>
      <c r="J117">
        <f>+[1]wFG_rstar_shock_decomposition!M117</f>
        <v>1.6068158019768599E-15</v>
      </c>
      <c r="K117">
        <f>+[1]wFG_rstar_shock_decomposition!N117</f>
        <v>-8.0636218425752604E-16</v>
      </c>
      <c r="L117">
        <f>+[1]wFG_rstar_shock_decomposition!O117</f>
        <v>1.2974211740900301E-15</v>
      </c>
      <c r="M117">
        <f>+[1]wFG_rstar_shock_decomposition!P117</f>
        <v>6.7232997672423204E-16</v>
      </c>
      <c r="N117">
        <f>+[1]wFG_rstar_shock_decomposition!Q117</f>
        <v>2.5931695762003899E-15</v>
      </c>
      <c r="O117">
        <f>+[1]wFG_rstar_shock_decomposition!R117</f>
        <v>3.53721392043683E-15</v>
      </c>
      <c r="P117">
        <f>+[1]wFG_rstar_shock_decomposition!S117</f>
        <v>8.9839754625908097E-14</v>
      </c>
      <c r="Q117">
        <f>+[1]wFG_rstar_shock_decomposition!T117</f>
        <v>2.72638902553945E-2</v>
      </c>
      <c r="R117">
        <f>+[1]wFG_rstar_shock_decomposition!U117</f>
        <v>0</v>
      </c>
      <c r="S117">
        <f>+[1]wFG_rstar_shock_decomposition!V117</f>
        <v>-0.168479309374932</v>
      </c>
      <c r="T117">
        <f>+[1]wFG_rstar_shock_decomposition!W117</f>
        <v>6.9543838898190897E-3</v>
      </c>
      <c r="U117" s="4">
        <f>+[1]wFG_rstar_shock_decomposition!D117</f>
        <v>-0.23998464646763101</v>
      </c>
      <c r="Y117" s="1">
        <f t="shared" si="28"/>
        <v>49674</v>
      </c>
      <c r="Z117" s="7">
        <f t="shared" si="28"/>
        <v>-0.111828283841561</v>
      </c>
      <c r="AA117" s="7">
        <f t="shared" si="28"/>
        <v>-9.8566411396725895E-2</v>
      </c>
      <c r="AB117" s="7">
        <f t="shared" si="28"/>
        <v>0.173639216504616</v>
      </c>
      <c r="AC117" s="7">
        <f t="shared" si="17"/>
        <v>-0.20646416516079361</v>
      </c>
      <c r="AD117" s="7">
        <f t="shared" si="18"/>
        <v>-3.0983276718518901E-2</v>
      </c>
      <c r="AE117" s="7">
        <f t="shared" si="19"/>
        <v>2.72638902553945E-2</v>
      </c>
      <c r="AF117" s="7">
        <f t="shared" si="20"/>
        <v>-6.7986088637060303E-15</v>
      </c>
      <c r="AG117" s="7">
        <f t="shared" si="20"/>
        <v>4.6833576312889101E-14</v>
      </c>
      <c r="AH117" s="7">
        <f t="shared" si="21"/>
        <v>6.9543838899171614E-3</v>
      </c>
      <c r="AI117" s="7">
        <f t="shared" si="15"/>
        <v>-0.23998464646763173</v>
      </c>
      <c r="AJ117" s="8">
        <f t="shared" si="22"/>
        <v>-0.17920027490539911</v>
      </c>
      <c r="AK117" s="8">
        <f t="shared" si="23"/>
        <v>4.4089528389371205E-2</v>
      </c>
      <c r="AL117" s="8">
        <f t="shared" si="24"/>
        <v>-0.111828283841561</v>
      </c>
      <c r="AM117" s="8">
        <f t="shared" si="25"/>
        <v>6.9543838899171614E-3</v>
      </c>
      <c r="AN117" s="8">
        <f t="shared" si="26"/>
        <v>-0.23998464646767176</v>
      </c>
      <c r="AO117" s="9">
        <f t="shared" si="27"/>
        <v>0.74418041882272234</v>
      </c>
      <c r="AP117" s="9">
        <f t="shared" si="27"/>
        <v>-1.7637948190523625E-2</v>
      </c>
      <c r="AQ117" s="9">
        <f t="shared" si="27"/>
        <v>0.29155165854587867</v>
      </c>
      <c r="AR117" s="9">
        <f t="shared" si="27"/>
        <v>-1.8094129178078885E-2</v>
      </c>
      <c r="AS117" s="9">
        <f t="shared" si="27"/>
        <v>1</v>
      </c>
      <c r="AT117" s="7"/>
      <c r="AU117" s="7"/>
      <c r="AV117" s="7"/>
      <c r="AW117" s="7"/>
      <c r="AX117" s="7"/>
    </row>
    <row r="118" spans="1:50" x14ac:dyDescent="0.25">
      <c r="A118" s="1">
        <v>49765</v>
      </c>
      <c r="B118">
        <f>+[1]wFG_rstar_shock_decomposition!E118</f>
        <v>-0.110512821445699</v>
      </c>
      <c r="C118">
        <f>+[1]wFG_rstar_shock_decomposition!F118</f>
        <v>-9.7580747282758701E-2</v>
      </c>
      <c r="D118">
        <f>+[1]wFG_rstar_shock_decomposition!G118</f>
        <v>0.17190282432159401</v>
      </c>
      <c r="E118">
        <f>+[1]wFG_rstar_shock_decomposition!H118</f>
        <v>-3.0318493390289199E-2</v>
      </c>
      <c r="F118">
        <f>+[1]wFG_rstar_shock_decomposition!I118</f>
        <v>-3.5909174549169802E-2</v>
      </c>
      <c r="G118">
        <f>+[1]wFG_rstar_shock_decomposition!J118</f>
        <v>-6.5866997485148403E-15</v>
      </c>
      <c r="H118">
        <f>+[1]wFG_rstar_shock_decomposition!K118</f>
        <v>4.6726492860226003E-14</v>
      </c>
      <c r="I118">
        <f>+[1]wFG_rstar_shock_decomposition!L118</f>
        <v>-6.57805224704522E-16</v>
      </c>
      <c r="J118">
        <f>+[1]wFG_rstar_shock_decomposition!M118</f>
        <v>1.58815517254105E-15</v>
      </c>
      <c r="K118">
        <f>+[1]wFG_rstar_shock_decomposition!N118</f>
        <v>-7.9543860528711502E-16</v>
      </c>
      <c r="L118">
        <f>+[1]wFG_rstar_shock_decomposition!O118</f>
        <v>1.2844583495440499E-15</v>
      </c>
      <c r="M118">
        <f>+[1]wFG_rstar_shock_decomposition!P118</f>
        <v>6.6651253794012502E-16</v>
      </c>
      <c r="N118">
        <f>+[1]wFG_rstar_shock_decomposition!Q118</f>
        <v>2.5663978278550202E-15</v>
      </c>
      <c r="O118">
        <f>+[1]wFG_rstar_shock_decomposition!R118</f>
        <v>3.4978835172291199E-15</v>
      </c>
      <c r="P118">
        <f>+[1]wFG_rstar_shock_decomposition!S118</f>
        <v>8.9511357721255706E-14</v>
      </c>
      <c r="Q118">
        <f>+[1]wFG_rstar_shock_decomposition!T118</f>
        <v>2.6790549346930599E-2</v>
      </c>
      <c r="R118">
        <f>+[1]wFG_rstar_shock_decomposition!U118</f>
        <v>0</v>
      </c>
      <c r="S118">
        <f>+[1]wFG_rstar_shock_decomposition!V118</f>
        <v>-0.16679873418289401</v>
      </c>
      <c r="T118">
        <f>+[1]wFG_rstar_shock_decomposition!W118</f>
        <v>6.8727166272778703E-3</v>
      </c>
      <c r="U118" s="4">
        <f>+[1]wFG_rstar_shock_decomposition!D118</f>
        <v>-0.23555388055487</v>
      </c>
      <c r="Y118" s="1">
        <f t="shared" si="28"/>
        <v>49765</v>
      </c>
      <c r="Z118" s="7">
        <f t="shared" si="28"/>
        <v>-0.110512821445699</v>
      </c>
      <c r="AA118" s="7">
        <f t="shared" si="28"/>
        <v>-9.7580747282758701E-2</v>
      </c>
      <c r="AB118" s="7">
        <f t="shared" si="28"/>
        <v>0.17190282432159401</v>
      </c>
      <c r="AC118" s="7">
        <f t="shared" si="17"/>
        <v>-0.20270790873206382</v>
      </c>
      <c r="AD118" s="7">
        <f t="shared" si="18"/>
        <v>-3.0318493390289199E-2</v>
      </c>
      <c r="AE118" s="7">
        <f t="shared" si="19"/>
        <v>2.6790549346930599E-2</v>
      </c>
      <c r="AF118" s="7">
        <f t="shared" si="20"/>
        <v>-6.5866997485148403E-15</v>
      </c>
      <c r="AG118" s="7">
        <f t="shared" si="20"/>
        <v>4.6726492860226003E-14</v>
      </c>
      <c r="AH118" s="7">
        <f t="shared" si="21"/>
        <v>6.8727166273755327E-3</v>
      </c>
      <c r="AI118" s="7">
        <f t="shared" si="15"/>
        <v>-0.23555388055487042</v>
      </c>
      <c r="AJ118" s="8">
        <f t="shared" si="22"/>
        <v>-0.17591735938513323</v>
      </c>
      <c r="AK118" s="8">
        <f t="shared" si="23"/>
        <v>4.4003583648546112E-2</v>
      </c>
      <c r="AL118" s="8">
        <f t="shared" si="24"/>
        <v>-0.110512821445699</v>
      </c>
      <c r="AM118" s="8">
        <f t="shared" si="25"/>
        <v>6.8727166273755327E-3</v>
      </c>
      <c r="AN118" s="8">
        <f t="shared" si="26"/>
        <v>-0.23555388055491056</v>
      </c>
      <c r="AO118" s="9">
        <f t="shared" ref="AO118:AS181" si="29">(AJ118-AJ117)/($AN118-$AN117)</f>
        <v>0.74093634935906771</v>
      </c>
      <c r="AP118" s="9">
        <f t="shared" si="29"/>
        <v>-1.9397265059199087E-2</v>
      </c>
      <c r="AQ118" s="9">
        <f t="shared" si="29"/>
        <v>0.2968927769515628</v>
      </c>
      <c r="AR118" s="9">
        <f t="shared" si="29"/>
        <v>-1.843186125144098E-2</v>
      </c>
      <c r="AS118" s="9">
        <f t="shared" si="29"/>
        <v>1</v>
      </c>
      <c r="AT118" s="7"/>
      <c r="AU118" s="7"/>
      <c r="AV118" s="7"/>
      <c r="AW118" s="7"/>
      <c r="AX118" s="7"/>
    </row>
    <row r="119" spans="1:50" x14ac:dyDescent="0.25">
      <c r="A119" s="1">
        <v>49856</v>
      </c>
      <c r="B119">
        <f>+[1]wFG_rstar_shock_decomposition!E119</f>
        <v>-0.109213912579381</v>
      </c>
      <c r="C119">
        <f>+[1]wFG_rstar_shock_decomposition!F119</f>
        <v>-9.6604939809931095E-2</v>
      </c>
      <c r="D119">
        <f>+[1]wFG_rstar_shock_decomposition!G119</f>
        <v>0.17018379606585601</v>
      </c>
      <c r="E119">
        <f>+[1]wFG_rstar_shock_decomposition!H119</f>
        <v>-2.9666677896852199E-2</v>
      </c>
      <c r="F119">
        <f>+[1]wFG_rstar_shock_decomposition!I119</f>
        <v>-3.3937680887490301E-2</v>
      </c>
      <c r="G119">
        <f>+[1]wFG_rstar_shock_decomposition!J119</f>
        <v>-6.3808445587893696E-15</v>
      </c>
      <c r="H119">
        <f>+[1]wFG_rstar_shock_decomposition!K119</f>
        <v>4.6612726086815699E-14</v>
      </c>
      <c r="I119">
        <f>+[1]wFG_rstar_shock_decomposition!L119</f>
        <v>-6.4690293393504999E-16</v>
      </c>
      <c r="J119">
        <f>+[1]wFG_rstar_shock_decomposition!M119</f>
        <v>1.56977059361625E-15</v>
      </c>
      <c r="K119">
        <f>+[1]wFG_rstar_shock_decomposition!N119</f>
        <v>-7.8479858226879602E-16</v>
      </c>
      <c r="L119">
        <f>+[1]wFG_rstar_shock_decomposition!O119</f>
        <v>1.27159875414077E-15</v>
      </c>
      <c r="M119">
        <f>+[1]wFG_rstar_shock_decomposition!P119</f>
        <v>6.6067410103514199E-16</v>
      </c>
      <c r="N119">
        <f>+[1]wFG_rstar_shock_decomposition!Q119</f>
        <v>2.53993008513845E-15</v>
      </c>
      <c r="O119">
        <f>+[1]wFG_rstar_shock_decomposition!R119</f>
        <v>3.4591801152631099E-15</v>
      </c>
      <c r="P119">
        <f>+[1]wFG_rstar_shock_decomposition!S119</f>
        <v>8.9179205835480303E-14</v>
      </c>
      <c r="Q119">
        <f>+[1]wFG_rstar_shock_decomposition!T119</f>
        <v>2.6325517395572401E-2</v>
      </c>
      <c r="R119">
        <f>+[1]wFG_rstar_shock_decomposition!U119</f>
        <v>0</v>
      </c>
      <c r="S119">
        <f>+[1]wFG_rstar_shock_decomposition!V119</f>
        <v>-0.165134852569082</v>
      </c>
      <c r="T119">
        <f>+[1]wFG_rstar_shock_decomposition!W119</f>
        <v>6.7920501579770498E-3</v>
      </c>
      <c r="U119" s="4">
        <f>+[1]wFG_rstar_shock_decomposition!D119</f>
        <v>-0.23125670012319399</v>
      </c>
      <c r="Y119" s="1">
        <f t="shared" si="28"/>
        <v>49856</v>
      </c>
      <c r="Z119" s="7">
        <f t="shared" si="28"/>
        <v>-0.109213912579381</v>
      </c>
      <c r="AA119" s="7">
        <f t="shared" si="28"/>
        <v>-9.6604939809931095E-2</v>
      </c>
      <c r="AB119" s="7">
        <f t="shared" si="28"/>
        <v>0.17018379606585601</v>
      </c>
      <c r="AC119" s="7">
        <f t="shared" si="17"/>
        <v>-0.1990725334565723</v>
      </c>
      <c r="AD119" s="7">
        <f t="shared" si="18"/>
        <v>-2.9666677896852199E-2</v>
      </c>
      <c r="AE119" s="7">
        <f t="shared" si="19"/>
        <v>2.6325517395572401E-2</v>
      </c>
      <c r="AF119" s="7">
        <f t="shared" si="20"/>
        <v>-6.3808445587893696E-15</v>
      </c>
      <c r="AG119" s="7">
        <f t="shared" si="20"/>
        <v>4.6612726086815699E-14</v>
      </c>
      <c r="AH119" s="7">
        <f t="shared" si="21"/>
        <v>6.7920501580742984E-3</v>
      </c>
      <c r="AI119" s="7">
        <f t="shared" si="15"/>
        <v>-0.23125670012319363</v>
      </c>
      <c r="AJ119" s="8">
        <f t="shared" si="22"/>
        <v>-0.1727470160609999</v>
      </c>
      <c r="AK119" s="8">
        <f t="shared" si="23"/>
        <v>4.3912178359072719E-2</v>
      </c>
      <c r="AL119" s="8">
        <f t="shared" si="24"/>
        <v>-0.109213912579381</v>
      </c>
      <c r="AM119" s="8">
        <f t="shared" si="25"/>
        <v>6.7920501580742984E-3</v>
      </c>
      <c r="AN119" s="8">
        <f t="shared" si="26"/>
        <v>-0.23125670012323388</v>
      </c>
      <c r="AO119" s="9">
        <f t="shared" si="29"/>
        <v>0.73777291285307178</v>
      </c>
      <c r="AP119" s="9">
        <f t="shared" si="29"/>
        <v>-2.1270991741374898E-2</v>
      </c>
      <c r="AQ119" s="9">
        <f t="shared" si="29"/>
        <v>0.30227003193607938</v>
      </c>
      <c r="AR119" s="9">
        <f t="shared" si="29"/>
        <v>-1.877195304777084E-2</v>
      </c>
      <c r="AS119" s="9">
        <f t="shared" si="29"/>
        <v>1</v>
      </c>
      <c r="AT119" s="7"/>
      <c r="AU119" s="7"/>
      <c r="AV119" s="7"/>
      <c r="AW119" s="7"/>
      <c r="AX119" s="7"/>
    </row>
    <row r="120" spans="1:50" x14ac:dyDescent="0.25">
      <c r="A120" s="1">
        <v>49948</v>
      </c>
      <c r="B120">
        <f>+[1]wFG_rstar_shock_decomposition!E120</f>
        <v>-0.107931327158433</v>
      </c>
      <c r="C120">
        <f>+[1]wFG_rstar_shock_decomposition!F120</f>
        <v>-9.5638890411831795E-2</v>
      </c>
      <c r="D120">
        <f>+[1]wFG_rstar_shock_decomposition!G120</f>
        <v>0.16848195809647501</v>
      </c>
      <c r="E120">
        <f>+[1]wFG_rstar_shock_decomposition!H120</f>
        <v>-2.9027826156203598E-2</v>
      </c>
      <c r="F120">
        <f>+[1]wFG_rstar_shock_decomposition!I120</f>
        <v>-3.2065381821923797E-2</v>
      </c>
      <c r="G120">
        <f>+[1]wFG_rstar_shock_decomposition!J120</f>
        <v>-6.1808682815498302E-15</v>
      </c>
      <c r="H120">
        <f>+[1]wFG_rstar_shock_decomposition!K120</f>
        <v>4.6492509451801102E-14</v>
      </c>
      <c r="I120">
        <f>+[1]wFG_rstar_shock_decomposition!L120</f>
        <v>-6.3622877716945703E-16</v>
      </c>
      <c r="J120">
        <f>+[1]wFG_rstar_shock_decomposition!M120</f>
        <v>1.55165383713245E-15</v>
      </c>
      <c r="K120">
        <f>+[1]wFG_rstar_shock_decomposition!N120</f>
        <v>-7.7442996124619902E-16</v>
      </c>
      <c r="L120">
        <f>+[1]wFG_rstar_shock_decomposition!O120</f>
        <v>1.25884313066332E-15</v>
      </c>
      <c r="M120">
        <f>+[1]wFG_rstar_shock_decomposition!P120</f>
        <v>6.5481985432812202E-16</v>
      </c>
      <c r="N120">
        <f>+[1]wFG_rstar_shock_decomposition!Q120</f>
        <v>2.5137605705165102E-15</v>
      </c>
      <c r="O120">
        <f>+[1]wFG_rstar_shock_decomposition!R120</f>
        <v>3.4210842440271602E-15</v>
      </c>
      <c r="P120">
        <f>+[1]wFG_rstar_shock_decomposition!S120</f>
        <v>8.8843445983976002E-14</v>
      </c>
      <c r="Q120">
        <f>+[1]wFG_rstar_shock_decomposition!T120</f>
        <v>2.58685140869594E-2</v>
      </c>
      <c r="R120">
        <f>+[1]wFG_rstar_shock_decomposition!U120</f>
        <v>0</v>
      </c>
      <c r="S120">
        <f>+[1]wFG_rstar_shock_decomposition!V120</f>
        <v>-0.16348750146023899</v>
      </c>
      <c r="T120">
        <f>+[1]wFG_rstar_shock_decomposition!W120</f>
        <v>6.7123713467003602E-3</v>
      </c>
      <c r="U120" s="4">
        <f>+[1]wFG_rstar_shock_decomposition!D120</f>
        <v>-0.22708808347835899</v>
      </c>
      <c r="Y120" s="1">
        <f t="shared" si="28"/>
        <v>49948</v>
      </c>
      <c r="Z120" s="7">
        <f t="shared" si="28"/>
        <v>-0.107931327158433</v>
      </c>
      <c r="AA120" s="7">
        <f t="shared" si="28"/>
        <v>-9.5638890411831795E-2</v>
      </c>
      <c r="AB120" s="7">
        <f t="shared" si="28"/>
        <v>0.16848195809647501</v>
      </c>
      <c r="AC120" s="7">
        <f t="shared" si="17"/>
        <v>-0.1955528832821628</v>
      </c>
      <c r="AD120" s="7">
        <f t="shared" si="18"/>
        <v>-2.9027826156203598E-2</v>
      </c>
      <c r="AE120" s="7">
        <f t="shared" si="19"/>
        <v>2.58685140869594E-2</v>
      </c>
      <c r="AF120" s="7">
        <f t="shared" si="20"/>
        <v>-6.1808682815498302E-15</v>
      </c>
      <c r="AG120" s="7">
        <f t="shared" si="20"/>
        <v>4.6492509451801102E-14</v>
      </c>
      <c r="AH120" s="7">
        <f t="shared" si="21"/>
        <v>6.7123713467971925E-3</v>
      </c>
      <c r="AI120" s="7">
        <f t="shared" si="15"/>
        <v>-0.22708808347835929</v>
      </c>
      <c r="AJ120" s="8">
        <f t="shared" si="22"/>
        <v>-0.16968436919520341</v>
      </c>
      <c r="AK120" s="8">
        <f t="shared" si="23"/>
        <v>4.3815241528439616E-2</v>
      </c>
      <c r="AL120" s="8">
        <f t="shared" si="24"/>
        <v>-0.107931327158433</v>
      </c>
      <c r="AM120" s="8">
        <f t="shared" si="25"/>
        <v>6.7123713467971925E-3</v>
      </c>
      <c r="AN120" s="8">
        <f t="shared" si="26"/>
        <v>-0.22708808347839959</v>
      </c>
      <c r="AO120" s="9">
        <f t="shared" si="29"/>
        <v>0.73469141605805854</v>
      </c>
      <c r="AP120" s="9">
        <f t="shared" si="29"/>
        <v>-2.3253956622090972E-2</v>
      </c>
      <c r="AQ120" s="9">
        <f t="shared" si="29"/>
        <v>0.30767651003297969</v>
      </c>
      <c r="AR120" s="9">
        <f t="shared" si="29"/>
        <v>-1.9113969468946803E-2</v>
      </c>
      <c r="AS120" s="9">
        <f t="shared" si="29"/>
        <v>1</v>
      </c>
      <c r="AT120" s="7"/>
      <c r="AU120" s="7"/>
      <c r="AV120" s="7"/>
      <c r="AW120" s="7"/>
      <c r="AX120" s="7"/>
    </row>
    <row r="121" spans="1:50" x14ac:dyDescent="0.25">
      <c r="A121" s="1">
        <v>50040</v>
      </c>
      <c r="B121">
        <f>+[1]wFG_rstar_shock_decomposition!E121</f>
        <v>-0.106664838499288</v>
      </c>
      <c r="C121">
        <f>+[1]wFG_rstar_shock_decomposition!F121</f>
        <v>-9.4682501507713498E-2</v>
      </c>
      <c r="D121">
        <f>+[1]wFG_rstar_shock_decomposition!G121</f>
        <v>0.16679713850943401</v>
      </c>
      <c r="E121">
        <f>+[1]wFG_rstar_shock_decomposition!H121</f>
        <v>-2.8401898808132299E-2</v>
      </c>
      <c r="F121">
        <f>+[1]wFG_rstar_shock_decomposition!I121</f>
        <v>-3.02874899896594E-2</v>
      </c>
      <c r="G121">
        <f>+[1]wFG_rstar_shock_decomposition!J121</f>
        <v>-5.9865968320567202E-15</v>
      </c>
      <c r="H121">
        <f>+[1]wFG_rstar_shock_decomposition!K121</f>
        <v>4.6366071099570102E-14</v>
      </c>
      <c r="I121">
        <f>+[1]wFG_rstar_shock_decomposition!L121</f>
        <v>-6.2577948039779502E-16</v>
      </c>
      <c r="J121">
        <f>+[1]wFG_rstar_shock_decomposition!M121</f>
        <v>1.53379719196589E-15</v>
      </c>
      <c r="K121">
        <f>+[1]wFG_rstar_shock_decomposition!N121</f>
        <v>-7.6432076998881496E-16</v>
      </c>
      <c r="L121">
        <f>+[1]wFG_rstar_shock_decomposition!O121</f>
        <v>1.2461922360941899E-15</v>
      </c>
      <c r="M121">
        <f>+[1]wFG_rstar_shock_decomposition!P121</f>
        <v>6.4895485257696496E-16</v>
      </c>
      <c r="N121">
        <f>+[1]wFG_rstar_shock_decomposition!Q121</f>
        <v>2.4878837927088902E-15</v>
      </c>
      <c r="O121">
        <f>+[1]wFG_rstar_shock_decomposition!R121</f>
        <v>3.3835768901374001E-15</v>
      </c>
      <c r="P121">
        <f>+[1]wFG_rstar_shock_decomposition!S121</f>
        <v>8.8504221130069297E-14</v>
      </c>
      <c r="Q121">
        <f>+[1]wFG_rstar_shock_decomposition!T121</f>
        <v>2.54192859279538E-2</v>
      </c>
      <c r="R121">
        <f>+[1]wFG_rstar_shock_decomposition!U121</f>
        <v>0</v>
      </c>
      <c r="S121">
        <f>+[1]wFG_rstar_shock_decomposition!V121</f>
        <v>-0.16185651922609101</v>
      </c>
      <c r="T121">
        <f>+[1]wFG_rstar_shock_decomposition!W121</f>
        <v>6.6336672436807598E-3</v>
      </c>
      <c r="U121" s="4">
        <f>+[1]wFG_rstar_shock_decomposition!D121</f>
        <v>-0.223043156349679</v>
      </c>
      <c r="Y121" s="1">
        <f t="shared" si="28"/>
        <v>50040</v>
      </c>
      <c r="Z121" s="7">
        <f t="shared" si="28"/>
        <v>-0.106664838499288</v>
      </c>
      <c r="AA121" s="7">
        <f t="shared" si="28"/>
        <v>-9.4682501507713498E-2</v>
      </c>
      <c r="AB121" s="7">
        <f t="shared" si="28"/>
        <v>0.16679713850943401</v>
      </c>
      <c r="AC121" s="7">
        <f t="shared" si="17"/>
        <v>-0.19214400921575042</v>
      </c>
      <c r="AD121" s="7">
        <f t="shared" si="18"/>
        <v>-2.8401898808132299E-2</v>
      </c>
      <c r="AE121" s="7">
        <f t="shared" si="19"/>
        <v>2.54192859279538E-2</v>
      </c>
      <c r="AF121" s="7">
        <f t="shared" si="20"/>
        <v>-5.9865968320567202E-15</v>
      </c>
      <c r="AG121" s="7">
        <f t="shared" si="20"/>
        <v>4.6366071099570102E-14</v>
      </c>
      <c r="AH121" s="7">
        <f t="shared" si="21"/>
        <v>6.633667243777174E-3</v>
      </c>
      <c r="AI121" s="7">
        <f t="shared" si="15"/>
        <v>-0.22304315634967886</v>
      </c>
      <c r="AJ121" s="8">
        <f t="shared" si="22"/>
        <v>-0.16672472328779661</v>
      </c>
      <c r="AK121" s="8">
        <f t="shared" si="23"/>
        <v>4.3712738193588209E-2</v>
      </c>
      <c r="AL121" s="8">
        <f t="shared" si="24"/>
        <v>-0.106664838499288</v>
      </c>
      <c r="AM121" s="8">
        <f t="shared" si="25"/>
        <v>6.633667243777174E-3</v>
      </c>
      <c r="AN121" s="8">
        <f t="shared" si="26"/>
        <v>-0.22304315634971922</v>
      </c>
      <c r="AO121" s="9">
        <f t="shared" si="29"/>
        <v>0.73169325756737669</v>
      </c>
      <c r="AP121" s="9">
        <f t="shared" si="29"/>
        <v>-2.5341206798167513E-2</v>
      </c>
      <c r="AQ121" s="9">
        <f t="shared" si="29"/>
        <v>0.31310543276911401</v>
      </c>
      <c r="AR121" s="9">
        <f t="shared" si="29"/>
        <v>-1.9457483538323977E-2</v>
      </c>
      <c r="AS121" s="9">
        <f t="shared" si="29"/>
        <v>1</v>
      </c>
      <c r="AT121" s="7"/>
      <c r="AU121" s="7"/>
      <c r="AV121" s="7"/>
      <c r="AW121" s="7"/>
      <c r="AX121" s="7"/>
    </row>
    <row r="122" spans="1:50" x14ac:dyDescent="0.25">
      <c r="A122" s="1">
        <v>50130</v>
      </c>
      <c r="B122">
        <f>+[1]wFG_rstar_shock_decomposition!E122</f>
        <v>-0.10541422329575099</v>
      </c>
      <c r="C122">
        <f>+[1]wFG_rstar_shock_decomposition!F122</f>
        <v>-9.3735676492636394E-2</v>
      </c>
      <c r="D122">
        <f>+[1]wFG_rstar_shock_decomposition!G122</f>
        <v>0.165129167120107</v>
      </c>
      <c r="E122">
        <f>+[1]wFG_rstar_shock_decomposition!H122</f>
        <v>-2.7788826173108499E-2</v>
      </c>
      <c r="F122">
        <f>+[1]wFG_rstar_shock_decomposition!I122</f>
        <v>-2.85994198846913E-2</v>
      </c>
      <c r="G122">
        <f>+[1]wFG_rstar_shock_decomposition!J122</f>
        <v>-5.7978579000229198E-15</v>
      </c>
      <c r="H122">
        <f>+[1]wFG_rstar_shock_decomposition!K122</f>
        <v>4.6233633822712503E-14</v>
      </c>
      <c r="I122">
        <f>+[1]wFG_rstar_shock_decomposition!L122</f>
        <v>-6.1555130887591904E-16</v>
      </c>
      <c r="J122">
        <f>+[1]wFG_rstar_shock_decomposition!M122</f>
        <v>1.51619342774715E-15</v>
      </c>
      <c r="K122">
        <f>+[1]wFG_rstar_shock_decomposition!N122</f>
        <v>-7.5445929900972897E-16</v>
      </c>
      <c r="L122">
        <f>+[1]wFG_rstar_shock_decomposition!O122</f>
        <v>1.2336468141369499E-15</v>
      </c>
      <c r="M122">
        <f>+[1]wFG_rstar_shock_decomposition!P122</f>
        <v>6.4308397836297396E-16</v>
      </c>
      <c r="N122">
        <f>+[1]wFG_rstar_shock_decomposition!Q122</f>
        <v>2.4622945272192199E-15</v>
      </c>
      <c r="O122">
        <f>+[1]wFG_rstar_shock_decomposition!R122</f>
        <v>3.3466395720535098E-15</v>
      </c>
      <c r="P122">
        <f>+[1]wFG_rstar_shock_decomposition!S122</f>
        <v>8.8161670293452094E-14</v>
      </c>
      <c r="Q122">
        <f>+[1]wFG_rstar_shock_decomposition!T122</f>
        <v>2.4977602989258999E-2</v>
      </c>
      <c r="R122">
        <f>+[1]wFG_rstar_shock_decomposition!U122</f>
        <v>0</v>
      </c>
      <c r="S122">
        <f>+[1]wFG_rstar_shock_decomposition!V122</f>
        <v>-0.160241745671585</v>
      </c>
      <c r="T122">
        <f>+[1]wFG_rstar_shock_decomposition!W122</f>
        <v>6.5559250818584798E-3</v>
      </c>
      <c r="U122" s="4">
        <f>+[1]wFG_rstar_shock_decomposition!D122</f>
        <v>-0.21911719632641</v>
      </c>
      <c r="Y122" s="1">
        <f t="shared" si="28"/>
        <v>50130</v>
      </c>
      <c r="Z122" s="7">
        <f t="shared" si="28"/>
        <v>-0.10541422329575099</v>
      </c>
      <c r="AA122" s="7">
        <f t="shared" si="28"/>
        <v>-9.3735676492636394E-2</v>
      </c>
      <c r="AB122" s="7">
        <f t="shared" si="28"/>
        <v>0.165129167120107</v>
      </c>
      <c r="AC122" s="7">
        <f t="shared" si="17"/>
        <v>-0.18884116555627631</v>
      </c>
      <c r="AD122" s="7">
        <f t="shared" si="18"/>
        <v>-2.7788826173108499E-2</v>
      </c>
      <c r="AE122" s="7">
        <f t="shared" si="19"/>
        <v>2.4977602989258999E-2</v>
      </c>
      <c r="AF122" s="7">
        <f t="shared" si="20"/>
        <v>-5.7978579000229198E-15</v>
      </c>
      <c r="AG122" s="7">
        <f t="shared" si="20"/>
        <v>4.6233633822712503E-14</v>
      </c>
      <c r="AH122" s="7">
        <f t="shared" si="21"/>
        <v>6.5559250819544716E-3</v>
      </c>
      <c r="AI122" s="7">
        <f t="shared" si="15"/>
        <v>-0.21911719632641127</v>
      </c>
      <c r="AJ122" s="8">
        <f t="shared" si="22"/>
        <v>-0.16386356256701731</v>
      </c>
      <c r="AK122" s="8">
        <f t="shared" si="23"/>
        <v>4.3604664454362105E-2</v>
      </c>
      <c r="AL122" s="8">
        <f t="shared" si="24"/>
        <v>-0.10541422329575099</v>
      </c>
      <c r="AM122" s="8">
        <f t="shared" si="25"/>
        <v>6.5559250819544716E-3</v>
      </c>
      <c r="AN122" s="8">
        <f t="shared" si="26"/>
        <v>-0.21911719632645174</v>
      </c>
      <c r="AO122" s="9">
        <f t="shared" si="29"/>
        <v>0.72877989175193558</v>
      </c>
      <c r="AP122" s="9">
        <f t="shared" si="29"/>
        <v>-2.7527977510111549E-2</v>
      </c>
      <c r="AQ122" s="9">
        <f t="shared" si="29"/>
        <v>0.31855016253989971</v>
      </c>
      <c r="AR122" s="9">
        <f t="shared" si="29"/>
        <v>-1.9802076781719122E-2</v>
      </c>
      <c r="AS122" s="9">
        <f t="shared" si="29"/>
        <v>1</v>
      </c>
      <c r="AT122" s="7"/>
      <c r="AU122" s="7"/>
      <c r="AV122" s="7"/>
      <c r="AW122" s="7"/>
      <c r="AX122" s="7"/>
    </row>
    <row r="123" spans="1:50" x14ac:dyDescent="0.25">
      <c r="A123" s="1">
        <v>50221</v>
      </c>
      <c r="B123">
        <f>+[1]wFG_rstar_shock_decomposition!E123</f>
        <v>-0.104179261591118</v>
      </c>
      <c r="C123">
        <f>+[1]wFG_rstar_shock_decomposition!F123</f>
        <v>-9.2798319727709994E-2</v>
      </c>
      <c r="D123">
        <f>+[1]wFG_rstar_shock_decomposition!G123</f>
        <v>0.16347787544595799</v>
      </c>
      <c r="E123">
        <f>+[1]wFG_rstar_shock_decomposition!H123</f>
        <v>-2.7188512615912399E-2</v>
      </c>
      <c r="F123">
        <f>+[1]wFG_rstar_shock_decomposition!I123</f>
        <v>-2.69967834436587E-2</v>
      </c>
      <c r="G123">
        <f>+[1]wFG_rstar_shock_decomposition!J123</f>
        <v>-5.6144816657157597E-15</v>
      </c>
      <c r="H123">
        <f>+[1]wFG_rstar_shock_decomposition!K123</f>
        <v>4.6095415050259097E-14</v>
      </c>
      <c r="I123">
        <f>+[1]wFG_rstar_shock_decomposition!L123</f>
        <v>-6.0554015184932598E-16</v>
      </c>
      <c r="J123">
        <f>+[1]wFG_rstar_shock_decomposition!M123</f>
        <v>1.49883576017204E-15</v>
      </c>
      <c r="K123">
        <f>+[1]wFG_rstar_shock_decomposition!N123</f>
        <v>-7.4483416626339501E-16</v>
      </c>
      <c r="L123">
        <f>+[1]wFG_rstar_shock_decomposition!O123</f>
        <v>1.2212075733280099E-15</v>
      </c>
      <c r="M123">
        <f>+[1]wFG_rstar_shock_decomposition!P123</f>
        <v>6.3721191243584599E-16</v>
      </c>
      <c r="N123">
        <f>+[1]wFG_rstar_shock_decomposition!Q123</f>
        <v>2.4369877978452499E-15</v>
      </c>
      <c r="O123">
        <f>+[1]wFG_rstar_shock_decomposition!R123</f>
        <v>3.3102543979046999E-15</v>
      </c>
      <c r="P123">
        <f>+[1]wFG_rstar_shock_decomposition!S123</f>
        <v>8.7815928661136196E-14</v>
      </c>
      <c r="Q123">
        <f>+[1]wFG_rstar_shock_decomposition!T123</f>
        <v>2.4543256038895199E-2</v>
      </c>
      <c r="R123">
        <f>+[1]wFG_rstar_shock_decomposition!U123</f>
        <v>0</v>
      </c>
      <c r="S123">
        <f>+[1]wFG_rstar_shock_decomposition!V123</f>
        <v>-0.15864302203060501</v>
      </c>
      <c r="T123">
        <f>+[1]wFG_rstar_shock_decomposition!W123</f>
        <v>6.4791322741787304E-3</v>
      </c>
      <c r="U123" s="4">
        <f>+[1]wFG_rstar_shock_decomposition!D123</f>
        <v>-0.21530563564983499</v>
      </c>
      <c r="Y123" s="1">
        <f t="shared" si="28"/>
        <v>50221</v>
      </c>
      <c r="Z123" s="7">
        <f t="shared" si="28"/>
        <v>-0.104179261591118</v>
      </c>
      <c r="AA123" s="7">
        <f t="shared" si="28"/>
        <v>-9.2798319727709994E-2</v>
      </c>
      <c r="AB123" s="7">
        <f t="shared" si="28"/>
        <v>0.16347787544595799</v>
      </c>
      <c r="AC123" s="7">
        <f t="shared" si="17"/>
        <v>-0.1856398054742637</v>
      </c>
      <c r="AD123" s="7">
        <f t="shared" si="18"/>
        <v>-2.7188512615912399E-2</v>
      </c>
      <c r="AE123" s="7">
        <f t="shared" si="19"/>
        <v>2.4543256038895199E-2</v>
      </c>
      <c r="AF123" s="7">
        <f t="shared" si="20"/>
        <v>-5.6144816657157597E-15</v>
      </c>
      <c r="AG123" s="7">
        <f t="shared" si="20"/>
        <v>4.6095415050259097E-14</v>
      </c>
      <c r="AH123" s="7">
        <f t="shared" si="21"/>
        <v>6.4791322742743006E-3</v>
      </c>
      <c r="AI123" s="7">
        <f t="shared" si="15"/>
        <v>-0.2153056356498361</v>
      </c>
      <c r="AJ123" s="8">
        <f t="shared" si="22"/>
        <v>-0.1610965494353685</v>
      </c>
      <c r="AK123" s="8">
        <f t="shared" si="23"/>
        <v>4.3491043102335591E-2</v>
      </c>
      <c r="AL123" s="8">
        <f t="shared" si="24"/>
        <v>-0.104179261591118</v>
      </c>
      <c r="AM123" s="8">
        <f t="shared" si="25"/>
        <v>6.4791322742743006E-3</v>
      </c>
      <c r="AN123" s="8">
        <f t="shared" si="26"/>
        <v>-0.21530563564987662</v>
      </c>
      <c r="AO123" s="9">
        <f t="shared" si="29"/>
        <v>0.72595279635824039</v>
      </c>
      <c r="AP123" s="9">
        <f t="shared" si="29"/>
        <v>-2.9809666346072145E-2</v>
      </c>
      <c r="AQ123" s="9">
        <f t="shared" si="29"/>
        <v>0.32400420967263016</v>
      </c>
      <c r="AR123" s="9">
        <f t="shared" si="29"/>
        <v>-2.0147339684796314E-2</v>
      </c>
      <c r="AS123" s="9">
        <f t="shared" si="29"/>
        <v>1</v>
      </c>
      <c r="AT123" s="7"/>
      <c r="AU123" s="7"/>
      <c r="AV123" s="7"/>
      <c r="AW123" s="7"/>
      <c r="AX123" s="7"/>
    </row>
    <row r="124" spans="1:50" x14ac:dyDescent="0.25">
      <c r="A124" s="1">
        <v>50313</v>
      </c>
      <c r="B124">
        <f>+[1]wFG_rstar_shock_decomposition!E124</f>
        <v>-0.102959736746475</v>
      </c>
      <c r="C124">
        <f>+[1]wFG_rstar_shock_decomposition!F124</f>
        <v>-9.1870336530432903E-2</v>
      </c>
      <c r="D124">
        <f>+[1]wFG_rstar_shock_decomposition!G124</f>
        <v>0.16184309668944399</v>
      </c>
      <c r="E124">
        <f>+[1]wFG_rstar_shock_decomposition!H124</f>
        <v>-2.6600840382909399E-2</v>
      </c>
      <c r="F124">
        <f>+[1]wFG_rstar_shock_decomposition!I124</f>
        <v>-2.54753851112547E-2</v>
      </c>
      <c r="G124">
        <f>+[1]wFG_rstar_shock_decomposition!J124</f>
        <v>-5.4363013972645398E-15</v>
      </c>
      <c r="H124">
        <f>+[1]wFG_rstar_shock_decomposition!K124</f>
        <v>4.5951626858045799E-14</v>
      </c>
      <c r="I124">
        <f>+[1]wFG_rstar_shock_decomposition!L124</f>
        <v>-5.9574159916119602E-16</v>
      </c>
      <c r="J124">
        <f>+[1]wFG_rstar_shock_decomposition!M124</f>
        <v>1.4817178179634999E-15</v>
      </c>
      <c r="K124">
        <f>+[1]wFG_rstar_shock_decomposition!N124</f>
        <v>-7.3543436752850599E-16</v>
      </c>
      <c r="L124">
        <f>+[1]wFG_rstar_shock_decomposition!O124</f>
        <v>1.20887516995515E-15</v>
      </c>
      <c r="M124">
        <f>+[1]wFG_rstar_shock_decomposition!P124</f>
        <v>6.3134311177037796E-16</v>
      </c>
      <c r="N124">
        <f>+[1]wFG_rstar_shock_decomposition!Q124</f>
        <v>2.4119588591905601E-15</v>
      </c>
      <c r="O124">
        <f>+[1]wFG_rstar_shock_decomposition!R124</f>
        <v>3.2744041084797599E-15</v>
      </c>
      <c r="P124">
        <f>+[1]wFG_rstar_shock_decomposition!S124</f>
        <v>8.7467127699693797E-14</v>
      </c>
      <c r="Q124">
        <f>+[1]wFG_rstar_shock_decomposition!T124</f>
        <v>2.4116054020375099E-2</v>
      </c>
      <c r="R124">
        <f>+[1]wFG_rstar_shock_decomposition!U124</f>
        <v>0</v>
      </c>
      <c r="S124">
        <f>+[1]wFG_rstar_shock_decomposition!V124</f>
        <v>-0.15706019096059001</v>
      </c>
      <c r="T124">
        <f>+[1]wFG_rstar_shock_decomposition!W124</f>
        <v>6.4032764109289101E-3</v>
      </c>
      <c r="U124" s="4">
        <f>+[1]wFG_rstar_shock_decomposition!D124</f>
        <v>-0.21160406261077799</v>
      </c>
      <c r="Y124" s="1">
        <f t="shared" si="28"/>
        <v>50313</v>
      </c>
      <c r="Z124" s="7">
        <f t="shared" si="28"/>
        <v>-0.102959736746475</v>
      </c>
      <c r="AA124" s="7">
        <f t="shared" si="28"/>
        <v>-9.1870336530432903E-2</v>
      </c>
      <c r="AB124" s="7">
        <f t="shared" si="28"/>
        <v>0.16184309668944399</v>
      </c>
      <c r="AC124" s="7">
        <f t="shared" si="17"/>
        <v>-0.1825355760718447</v>
      </c>
      <c r="AD124" s="7">
        <f t="shared" si="18"/>
        <v>-2.6600840382909399E-2</v>
      </c>
      <c r="AE124" s="7">
        <f t="shared" si="19"/>
        <v>2.4116054020375099E-2</v>
      </c>
      <c r="AF124" s="7">
        <f t="shared" si="20"/>
        <v>-5.4363013972645398E-15</v>
      </c>
      <c r="AG124" s="7">
        <f t="shared" si="20"/>
        <v>4.5951626858045799E-14</v>
      </c>
      <c r="AH124" s="7">
        <f t="shared" si="21"/>
        <v>6.4032764110240545E-3</v>
      </c>
      <c r="AI124" s="7">
        <f t="shared" si="15"/>
        <v>-0.21160406261077835</v>
      </c>
      <c r="AJ124" s="8">
        <f t="shared" si="22"/>
        <v>-0.15841952205146961</v>
      </c>
      <c r="AK124" s="8">
        <f t="shared" si="23"/>
        <v>4.3371919776101692E-2</v>
      </c>
      <c r="AL124" s="8">
        <f t="shared" si="24"/>
        <v>-0.102959736746475</v>
      </c>
      <c r="AM124" s="8">
        <f t="shared" si="25"/>
        <v>6.4032764110240545E-3</v>
      </c>
      <c r="AN124" s="8">
        <f t="shared" si="26"/>
        <v>-0.21160406261081888</v>
      </c>
      <c r="AO124" s="9">
        <f t="shared" si="29"/>
        <v>0.72321344348788985</v>
      </c>
      <c r="AP124" s="9">
        <f t="shared" si="29"/>
        <v>-3.2181811618182551E-2</v>
      </c>
      <c r="AQ124" s="9">
        <f t="shared" si="29"/>
        <v>0.32946124033619806</v>
      </c>
      <c r="AR124" s="9">
        <f t="shared" si="29"/>
        <v>-2.0492872205908352E-2</v>
      </c>
      <c r="AS124" s="9">
        <f t="shared" si="29"/>
        <v>1</v>
      </c>
      <c r="AT124" s="7"/>
      <c r="AU124" s="7"/>
      <c r="AV124" s="7"/>
      <c r="AW124" s="7"/>
      <c r="AX124" s="7"/>
    </row>
    <row r="125" spans="1:50" x14ac:dyDescent="0.25">
      <c r="A125" s="1">
        <v>50405</v>
      </c>
      <c r="B125">
        <f>+[1]wFG_rstar_shock_decomposition!E125</f>
        <v>-0.10175543540582301</v>
      </c>
      <c r="C125">
        <f>+[1]wFG_rstar_shock_decomposition!F125</f>
        <v>-9.0951633165128595E-2</v>
      </c>
      <c r="D125">
        <f>+[1]wFG_rstar_shock_decomposition!G125</f>
        <v>0.16022466572111899</v>
      </c>
      <c r="E125">
        <f>+[1]wFG_rstar_shock_decomposition!H125</f>
        <v>-2.60256729740709E-2</v>
      </c>
      <c r="F125">
        <f>+[1]wFG_rstar_shock_decomposition!I125</f>
        <v>-2.4031216501193699E-2</v>
      </c>
      <c r="G125">
        <f>+[1]wFG_rstar_shock_decomposition!J125</f>
        <v>-5.2631539402921101E-15</v>
      </c>
      <c r="H125">
        <f>+[1]wFG_rstar_shock_decomposition!K125</f>
        <v>4.5802475998265497E-14</v>
      </c>
      <c r="I125">
        <f>+[1]wFG_rstar_shock_decomposition!L125</f>
        <v>-5.8615100993881002E-16</v>
      </c>
      <c r="J125">
        <f>+[1]wFG_rstar_shock_decomposition!M125</f>
        <v>1.46483361158136E-15</v>
      </c>
      <c r="K125">
        <f>+[1]wFG_rstar_shock_decomposition!N125</f>
        <v>-7.2624931432246605E-16</v>
      </c>
      <c r="L125">
        <f>+[1]wFG_rstar_shock_decomposition!O125</f>
        <v>1.19665019508293E-15</v>
      </c>
      <c r="M125">
        <f>+[1]wFG_rstar_shock_decomposition!P125</f>
        <v>6.2548179421082802E-16</v>
      </c>
      <c r="N125">
        <f>+[1]wFG_rstar_shock_decomposition!Q125</f>
        <v>2.3872031801832E-15</v>
      </c>
      <c r="O125">
        <f>+[1]wFG_rstar_shock_decomposition!R125</f>
        <v>3.2390721072882102E-15</v>
      </c>
      <c r="P125">
        <f>+[1]wFG_rstar_shock_decomposition!S125</f>
        <v>8.71153952677337E-14</v>
      </c>
      <c r="Q125">
        <f>+[1]wFG_rstar_shock_decomposition!T125</f>
        <v>2.3695821834835901E-2</v>
      </c>
      <c r="R125">
        <f>+[1]wFG_rstar_shock_decomposition!U125</f>
        <v>0</v>
      </c>
      <c r="S125">
        <f>+[1]wFG_rstar_shock_decomposition!V125</f>
        <v>-0.155493096537592</v>
      </c>
      <c r="T125">
        <f>+[1]wFG_rstar_shock_decomposition!W125</f>
        <v>6.3283452571144903E-3</v>
      </c>
      <c r="U125" s="4">
        <f>+[1]wFG_rstar_shock_decomposition!D125</f>
        <v>-0.20800822177060199</v>
      </c>
      <c r="Y125" s="1">
        <f t="shared" si="28"/>
        <v>50405</v>
      </c>
      <c r="Z125" s="7">
        <f t="shared" si="28"/>
        <v>-0.10175543540582301</v>
      </c>
      <c r="AA125" s="7">
        <f t="shared" si="28"/>
        <v>-9.0951633165128595E-2</v>
      </c>
      <c r="AB125" s="7">
        <f t="shared" si="28"/>
        <v>0.16022466572111899</v>
      </c>
      <c r="AC125" s="7">
        <f t="shared" si="17"/>
        <v>-0.17952431303878569</v>
      </c>
      <c r="AD125" s="7">
        <f t="shared" si="18"/>
        <v>-2.60256729740709E-2</v>
      </c>
      <c r="AE125" s="7">
        <f t="shared" si="19"/>
        <v>2.3695821834835901E-2</v>
      </c>
      <c r="AF125" s="7">
        <f t="shared" si="20"/>
        <v>-5.2631539402921101E-15</v>
      </c>
      <c r="AG125" s="7">
        <f t="shared" si="20"/>
        <v>4.5802475998265497E-14</v>
      </c>
      <c r="AH125" s="7">
        <f t="shared" si="21"/>
        <v>6.3283452572092062E-3</v>
      </c>
      <c r="AI125" s="7">
        <f t="shared" si="15"/>
        <v>-0.20800822177060357</v>
      </c>
      <c r="AJ125" s="8">
        <f t="shared" si="22"/>
        <v>-0.15582849120394979</v>
      </c>
      <c r="AK125" s="8">
        <f t="shared" si="23"/>
        <v>4.3247359581919491E-2</v>
      </c>
      <c r="AL125" s="8">
        <f t="shared" si="24"/>
        <v>-0.10175543540582301</v>
      </c>
      <c r="AM125" s="8">
        <f t="shared" si="25"/>
        <v>6.3283452572092062E-3</v>
      </c>
      <c r="AN125" s="8">
        <f t="shared" si="26"/>
        <v>-0.2080082217706441</v>
      </c>
      <c r="AO125" s="9">
        <f t="shared" si="29"/>
        <v>0.72056327370537521</v>
      </c>
      <c r="AP125" s="9">
        <f t="shared" si="29"/>
        <v>-3.4640074385535492E-2</v>
      </c>
      <c r="AQ125" s="9">
        <f t="shared" si="29"/>
        <v>0.33491508500511419</v>
      </c>
      <c r="AR125" s="9">
        <f t="shared" si="29"/>
        <v>-2.0838284324955329E-2</v>
      </c>
      <c r="AS125" s="9">
        <f t="shared" si="29"/>
        <v>1</v>
      </c>
      <c r="AT125" s="7"/>
      <c r="AU125" s="7"/>
      <c r="AV125" s="7"/>
      <c r="AW125" s="7"/>
      <c r="AX125" s="7"/>
    </row>
    <row r="126" spans="1:50" x14ac:dyDescent="0.25">
      <c r="A126" s="1">
        <v>50495</v>
      </c>
      <c r="B126">
        <f>+[1]wFG_rstar_shock_decomposition!E126</f>
        <v>-0.100566147458614</v>
      </c>
      <c r="C126">
        <f>+[1]wFG_rstar_shock_decomposition!F126</f>
        <v>-9.0042116833477306E-2</v>
      </c>
      <c r="D126">
        <f>+[1]wFG_rstar_shock_decomposition!G126</f>
        <v>0.158622419062912</v>
      </c>
      <c r="E126">
        <f>+[1]wFG_rstar_shock_decomposition!H126</f>
        <v>-2.54628581038931E-2</v>
      </c>
      <c r="F126">
        <f>+[1]wFG_rstar_shock_decomposition!I126</f>
        <v>-2.2660450752486301E-2</v>
      </c>
      <c r="G126">
        <f>+[1]wFG_rstar_shock_decomposition!J126</f>
        <v>-5.0948801106463197E-15</v>
      </c>
      <c r="H126">
        <f>+[1]wFG_rstar_shock_decomposition!K126</f>
        <v>4.5648163945507302E-14</v>
      </c>
      <c r="I126">
        <f>+[1]wFG_rstar_shock_decomposition!L126</f>
        <v>-5.7676357366561099E-16</v>
      </c>
      <c r="J126">
        <f>+[1]wFG_rstar_shock_decomposition!M126</f>
        <v>1.4481775037336499E-15</v>
      </c>
      <c r="K126">
        <f>+[1]wFG_rstar_shock_decomposition!N126</f>
        <v>-7.1726886103583997E-16</v>
      </c>
      <c r="L126">
        <f>+[1]wFG_rstar_shock_decomposition!O126</f>
        <v>1.1845331650632599E-15</v>
      </c>
      <c r="M126">
        <f>+[1]wFG_rstar_shock_decomposition!P126</f>
        <v>6.1963192869718204E-16</v>
      </c>
      <c r="N126">
        <f>+[1]wFG_rstar_shock_decomposition!Q126</f>
        <v>2.3627164285939999E-15</v>
      </c>
      <c r="O126">
        <f>+[1]wFG_rstar_shock_decomposition!R126</f>
        <v>3.2042424794491401E-15</v>
      </c>
      <c r="P126">
        <f>+[1]wFG_rstar_shock_decomposition!S126</f>
        <v>8.6760855727741696E-14</v>
      </c>
      <c r="Q126">
        <f>+[1]wFG_rstar_shock_decomposition!T126</f>
        <v>2.3282398391159202E-2</v>
      </c>
      <c r="R126">
        <f>+[1]wFG_rstar_shock_decomposition!U126</f>
        <v>0</v>
      </c>
      <c r="S126">
        <f>+[1]wFG_rstar_shock_decomposition!V126</f>
        <v>-0.15394158425145901</v>
      </c>
      <c r="T126">
        <f>+[1]wFG_rstar_shock_decomposition!W126</f>
        <v>6.2543267498732496E-3</v>
      </c>
      <c r="U126" s="4">
        <f>+[1]wFG_rstar_shock_decomposition!D126</f>
        <v>-0.20451401319585</v>
      </c>
      <c r="Y126" s="1">
        <f t="shared" si="28"/>
        <v>50495</v>
      </c>
      <c r="Z126" s="7">
        <f t="shared" si="28"/>
        <v>-0.100566147458614</v>
      </c>
      <c r="AA126" s="7">
        <f t="shared" si="28"/>
        <v>-9.0042116833477306E-2</v>
      </c>
      <c r="AB126" s="7">
        <f t="shared" si="28"/>
        <v>0.158622419062912</v>
      </c>
      <c r="AC126" s="7">
        <f t="shared" si="17"/>
        <v>-0.17660203500394531</v>
      </c>
      <c r="AD126" s="7">
        <f t="shared" si="18"/>
        <v>-2.54628581038931E-2</v>
      </c>
      <c r="AE126" s="7">
        <f t="shared" si="19"/>
        <v>2.3282398391159202E-2</v>
      </c>
      <c r="AF126" s="7">
        <f t="shared" si="20"/>
        <v>-5.0948801106463197E-15</v>
      </c>
      <c r="AG126" s="7">
        <f t="shared" si="20"/>
        <v>4.5648163945507302E-14</v>
      </c>
      <c r="AH126" s="7">
        <f t="shared" si="21"/>
        <v>6.2543267499675353E-3</v>
      </c>
      <c r="AI126" s="7">
        <f t="shared" si="15"/>
        <v>-0.20451401319585044</v>
      </c>
      <c r="AJ126" s="8">
        <f t="shared" si="22"/>
        <v>-0.15331963661278611</v>
      </c>
      <c r="AK126" s="8">
        <f t="shared" si="23"/>
        <v>4.3117444125541589E-2</v>
      </c>
      <c r="AL126" s="8">
        <f t="shared" si="24"/>
        <v>-0.100566147458614</v>
      </c>
      <c r="AM126" s="8">
        <f t="shared" si="25"/>
        <v>6.2543267499675353E-3</v>
      </c>
      <c r="AN126" s="8">
        <f t="shared" si="26"/>
        <v>-0.20451401319589099</v>
      </c>
      <c r="AO126" s="9">
        <f t="shared" si="29"/>
        <v>0.71800367307522561</v>
      </c>
      <c r="AP126" s="9">
        <f t="shared" si="29"/>
        <v>-3.7180223675423167E-2</v>
      </c>
      <c r="AQ126" s="9">
        <f t="shared" si="29"/>
        <v>0.34035974721200951</v>
      </c>
      <c r="AR126" s="9">
        <f t="shared" si="29"/>
        <v>-2.1183196611810992E-2</v>
      </c>
      <c r="AS126" s="9">
        <f t="shared" si="29"/>
        <v>1</v>
      </c>
      <c r="AT126" s="7"/>
      <c r="AU126" s="7"/>
      <c r="AV126" s="7"/>
      <c r="AW126" s="7"/>
      <c r="AX126" s="7"/>
    </row>
    <row r="127" spans="1:50" x14ac:dyDescent="0.25">
      <c r="A127" s="1">
        <v>50586</v>
      </c>
      <c r="B127">
        <f>+[1]wFG_rstar_shock_decomposition!E127</f>
        <v>-9.9391666000196305E-2</v>
      </c>
      <c r="C127">
        <f>+[1]wFG_rstar_shock_decomposition!F127</f>
        <v>-8.9141695665142601E-2</v>
      </c>
      <c r="D127">
        <f>+[1]wFG_rstar_shock_decomposition!G127</f>
        <v>0.15703619487158799</v>
      </c>
      <c r="E127">
        <f>+[1]wFG_rstar_shock_decomposition!H127</f>
        <v>-2.4912230299187502E-2</v>
      </c>
      <c r="F127">
        <f>+[1]wFG_rstar_shock_decomposition!I127</f>
        <v>-2.1359436666506401E-2</v>
      </c>
      <c r="G127">
        <f>+[1]wFG_rstar_shock_decomposition!J127</f>
        <v>-4.9313250005529297E-15</v>
      </c>
      <c r="H127">
        <f>+[1]wFG_rstar_shock_decomposition!K127</f>
        <v>4.5488886956807002E-14</v>
      </c>
      <c r="I127">
        <f>+[1]wFG_rstar_shock_decomposition!L127</f>
        <v>-5.6757436402800501E-16</v>
      </c>
      <c r="J127">
        <f>+[1]wFG_rstar_shock_decomposition!M127</f>
        <v>1.4317441817080999E-15</v>
      </c>
      <c r="K127">
        <f>+[1]wFG_rstar_shock_decomposition!N127</f>
        <v>-7.0848332282007895E-16</v>
      </c>
      <c r="L127">
        <f>+[1]wFG_rstar_shock_decomposition!O127</f>
        <v>1.17252451498123E-15</v>
      </c>
      <c r="M127">
        <f>+[1]wFG_rstar_shock_decomposition!P127</f>
        <v>6.1379723017859598E-16</v>
      </c>
      <c r="N127">
        <f>+[1]wFG_rstar_shock_decomposition!Q127</f>
        <v>2.3384944565369699E-15</v>
      </c>
      <c r="O127">
        <f>+[1]wFG_rstar_shock_decomposition!R127</f>
        <v>3.1699000010134201E-15</v>
      </c>
      <c r="P127">
        <f>+[1]wFG_rstar_shock_decomposition!S127</f>
        <v>8.6403630056561105E-14</v>
      </c>
      <c r="Q127">
        <f>+[1]wFG_rstar_shock_decomposition!T127</f>
        <v>2.2875634892336998E-2</v>
      </c>
      <c r="R127">
        <f>+[1]wFG_rstar_shock_decomposition!U127</f>
        <v>0</v>
      </c>
      <c r="S127">
        <f>+[1]wFG_rstar_shock_decomposition!V127</f>
        <v>-0.15240550100092301</v>
      </c>
      <c r="T127">
        <f>+[1]wFG_rstar_shock_decomposition!W127</f>
        <v>6.1812089959273698E-3</v>
      </c>
      <c r="U127" s="4">
        <f>+[1]wFG_rstar_shock_decomposition!D127</f>
        <v>-0.20111749087196801</v>
      </c>
      <c r="Y127" s="1">
        <f t="shared" si="28"/>
        <v>50586</v>
      </c>
      <c r="Z127" s="7">
        <f t="shared" si="28"/>
        <v>-9.9391666000196305E-2</v>
      </c>
      <c r="AA127" s="7">
        <f t="shared" si="28"/>
        <v>-8.9141695665142601E-2</v>
      </c>
      <c r="AB127" s="7">
        <f t="shared" si="28"/>
        <v>0.15703619487158799</v>
      </c>
      <c r="AC127" s="7">
        <f t="shared" si="17"/>
        <v>-0.1737649376674294</v>
      </c>
      <c r="AD127" s="7">
        <f t="shared" si="18"/>
        <v>-2.4912230299187502E-2</v>
      </c>
      <c r="AE127" s="7">
        <f t="shared" si="19"/>
        <v>2.2875634892336998E-2</v>
      </c>
      <c r="AF127" s="7">
        <f t="shared" si="20"/>
        <v>-4.9313250005529297E-15</v>
      </c>
      <c r="AG127" s="7">
        <f t="shared" si="20"/>
        <v>4.5488886956807002E-14</v>
      </c>
      <c r="AH127" s="7">
        <f t="shared" si="21"/>
        <v>6.1812089960212252E-3</v>
      </c>
      <c r="AI127" s="7">
        <f t="shared" si="15"/>
        <v>-0.20111749087196903</v>
      </c>
      <c r="AJ127" s="8">
        <f t="shared" si="22"/>
        <v>-0.15088930277509241</v>
      </c>
      <c r="AK127" s="8">
        <f t="shared" si="23"/>
        <v>4.2982268907257884E-2</v>
      </c>
      <c r="AL127" s="8">
        <f t="shared" si="24"/>
        <v>-9.9391666000196305E-2</v>
      </c>
      <c r="AM127" s="8">
        <f t="shared" si="25"/>
        <v>6.1812089960212252E-3</v>
      </c>
      <c r="AN127" s="8">
        <f t="shared" si="26"/>
        <v>-0.20111749087200961</v>
      </c>
      <c r="AO127" s="9">
        <f t="shared" si="29"/>
        <v>0.71553595293801353</v>
      </c>
      <c r="AP127" s="9">
        <f t="shared" si="29"/>
        <v>-3.9798124491416051E-2</v>
      </c>
      <c r="AQ127" s="9">
        <f t="shared" si="29"/>
        <v>0.34578941235267896</v>
      </c>
      <c r="AR127" s="9">
        <f t="shared" si="29"/>
        <v>-2.1527240799275732E-2</v>
      </c>
      <c r="AS127" s="9">
        <f t="shared" si="29"/>
        <v>1</v>
      </c>
      <c r="AT127" s="7"/>
      <c r="AU127" s="7"/>
      <c r="AV127" s="7"/>
      <c r="AW127" s="7"/>
      <c r="AX127" s="7"/>
    </row>
    <row r="128" spans="1:50" x14ac:dyDescent="0.25">
      <c r="A128" s="1">
        <v>50678</v>
      </c>
      <c r="B128">
        <f>+[1]wFG_rstar_shock_decomposition!E128</f>
        <v>-9.8231787290570194E-2</v>
      </c>
      <c r="C128">
        <f>+[1]wFG_rstar_shock_decomposition!F128</f>
        <v>-8.8250278708491101E-2</v>
      </c>
      <c r="D128">
        <f>+[1]wFG_rstar_shock_decomposition!G128</f>
        <v>0.155465832922389</v>
      </c>
      <c r="E128">
        <f>+[1]wFG_rstar_shock_decomposition!H128</f>
        <v>-2.4373613176223101E-2</v>
      </c>
      <c r="F128">
        <f>+[1]wFG_rstar_shock_decomposition!I128</f>
        <v>-2.0124692697813602E-2</v>
      </c>
      <c r="G128">
        <f>+[1]wFG_rstar_shock_decomposition!J128</f>
        <v>-4.7723382079753302E-15</v>
      </c>
      <c r="H128">
        <f>+[1]wFG_rstar_shock_decomposition!K128</f>
        <v>4.5324836143466602E-14</v>
      </c>
      <c r="I128">
        <f>+[1]wFG_rstar_shock_decomposition!L128</f>
        <v>-5.58578385982034E-16</v>
      </c>
      <c r="J128">
        <f>+[1]wFG_rstar_shock_decomposition!M128</f>
        <v>1.41552863151465E-15</v>
      </c>
      <c r="K128">
        <f>+[1]wFG_rstar_shock_decomposition!N128</f>
        <v>-6.9988348561217402E-16</v>
      </c>
      <c r="L128">
        <f>+[1]wFG_rstar_shock_decomposition!O128</f>
        <v>1.1606245945527E-15</v>
      </c>
      <c r="M128">
        <f>+[1]wFG_rstar_shock_decomposition!P128</f>
        <v>6.0798115842248799E-16</v>
      </c>
      <c r="N128">
        <f>+[1]wFG_rstar_shock_decomposition!Q128</f>
        <v>2.3145332869261999E-15</v>
      </c>
      <c r="O128">
        <f>+[1]wFG_rstar_shock_decomposition!R128</f>
        <v>3.1360301401769598E-15</v>
      </c>
      <c r="P128">
        <f>+[1]wFG_rstar_shock_decomposition!S128</f>
        <v>8.6043835953924498E-14</v>
      </c>
      <c r="Q128">
        <f>+[1]wFG_rstar_shock_decomposition!T128</f>
        <v>2.24753933300646E-2</v>
      </c>
      <c r="R128">
        <f>+[1]wFG_rstar_shock_decomposition!U128</f>
        <v>0</v>
      </c>
      <c r="S128">
        <f>+[1]wFG_rstar_shock_decomposition!V128</f>
        <v>-0.150884695088434</v>
      </c>
      <c r="T128">
        <f>+[1]wFG_rstar_shock_decomposition!W128</f>
        <v>6.1089802690730399E-3</v>
      </c>
      <c r="U128" s="4">
        <f>+[1]wFG_rstar_shock_decomposition!D128</f>
        <v>-0.19781486043987101</v>
      </c>
      <c r="Y128" s="1">
        <f t="shared" si="28"/>
        <v>50678</v>
      </c>
      <c r="Z128" s="7">
        <f t="shared" si="28"/>
        <v>-9.8231787290570194E-2</v>
      </c>
      <c r="AA128" s="7">
        <f t="shared" si="28"/>
        <v>-8.8250278708491101E-2</v>
      </c>
      <c r="AB128" s="7">
        <f t="shared" si="28"/>
        <v>0.155465832922389</v>
      </c>
      <c r="AC128" s="7">
        <f t="shared" si="17"/>
        <v>-0.17100938778624761</v>
      </c>
      <c r="AD128" s="7">
        <f t="shared" si="18"/>
        <v>-2.4373613176223101E-2</v>
      </c>
      <c r="AE128" s="7">
        <f t="shared" si="19"/>
        <v>2.24753933300646E-2</v>
      </c>
      <c r="AF128" s="7">
        <f t="shared" si="20"/>
        <v>-4.7723382079753302E-15</v>
      </c>
      <c r="AG128" s="7">
        <f t="shared" si="20"/>
        <v>4.5324836143466602E-14</v>
      </c>
      <c r="AH128" s="7">
        <f t="shared" si="21"/>
        <v>6.1089802691664599E-3</v>
      </c>
      <c r="AI128" s="7">
        <f t="shared" si="15"/>
        <v>-0.19781486043987143</v>
      </c>
      <c r="AJ128" s="8">
        <f t="shared" si="22"/>
        <v>-0.14853399445618301</v>
      </c>
      <c r="AK128" s="8">
        <f t="shared" si="23"/>
        <v>4.2841941037674795E-2</v>
      </c>
      <c r="AL128" s="8">
        <f t="shared" si="24"/>
        <v>-9.8231787290570194E-2</v>
      </c>
      <c r="AM128" s="8">
        <f t="shared" si="25"/>
        <v>6.1089802691664599E-3</v>
      </c>
      <c r="AN128" s="8">
        <f t="shared" si="26"/>
        <v>-0.19781486043991195</v>
      </c>
      <c r="AO128" s="9">
        <f t="shared" si="29"/>
        <v>0.71316133225764122</v>
      </c>
      <c r="AP128" s="9">
        <f t="shared" si="29"/>
        <v>-4.2489728253960135E-2</v>
      </c>
      <c r="AQ128" s="9">
        <f t="shared" si="29"/>
        <v>0.35119845634360447</v>
      </c>
      <c r="AR128" s="9">
        <f t="shared" si="29"/>
        <v>-2.1870060347287865E-2</v>
      </c>
      <c r="AS128" s="9">
        <f t="shared" si="29"/>
        <v>1</v>
      </c>
      <c r="AT128" s="7"/>
      <c r="AU128" s="7"/>
      <c r="AV128" s="7"/>
      <c r="AW128" s="7"/>
      <c r="AX128" s="7"/>
    </row>
    <row r="129" spans="1:50" x14ac:dyDescent="0.25">
      <c r="A129" s="1">
        <v>50770</v>
      </c>
      <c r="B129">
        <f>+[1]wFG_rstar_shock_decomposition!E129</f>
        <v>-9.7086310711829896E-2</v>
      </c>
      <c r="C129">
        <f>+[1]wFG_rstar_shock_decomposition!F129</f>
        <v>-8.7367775921406293E-2</v>
      </c>
      <c r="D129">
        <f>+[1]wFG_rstar_shock_decomposition!G129</f>
        <v>0.15391117459282799</v>
      </c>
      <c r="E129">
        <f>+[1]wFG_rstar_shock_decomposition!H129</f>
        <v>-2.3846821434824601E-2</v>
      </c>
      <c r="F129">
        <f>+[1]wFG_rstar_shock_decomposition!I129</f>
        <v>-1.8952900860741601E-2</v>
      </c>
      <c r="G129">
        <f>+[1]wFG_rstar_shock_decomposition!J129</f>
        <v>-4.6177739983728499E-15</v>
      </c>
      <c r="H129">
        <f>+[1]wFG_rstar_shock_decomposition!K129</f>
        <v>4.5156197552615602E-14</v>
      </c>
      <c r="I129">
        <f>+[1]wFG_rstar_shock_decomposition!L129</f>
        <v>-5.4977061651994696E-16</v>
      </c>
      <c r="J129">
        <f>+[1]wFG_rstar_shock_decomposition!M129</f>
        <v>1.3995261138071699E-15</v>
      </c>
      <c r="K129">
        <f>+[1]wFG_rstar_shock_decomposition!N129</f>
        <v>-6.9146060953713003E-16</v>
      </c>
      <c r="L129">
        <f>+[1]wFG_rstar_shock_decomposition!O129</f>
        <v>1.14883366605054E-15</v>
      </c>
      <c r="M129">
        <f>+[1]wFG_rstar_shock_decomposition!P129</f>
        <v>6.0218692002298198E-16</v>
      </c>
      <c r="N129">
        <f>+[1]wFG_rstar_shock_decomposition!Q129</f>
        <v>2.2908291008576902E-15</v>
      </c>
      <c r="O129">
        <f>+[1]wFG_rstar_shock_decomposition!R129</f>
        <v>3.1026190516989201E-15</v>
      </c>
      <c r="P129">
        <f>+[1]wFG_rstar_shock_decomposition!S129</f>
        <v>8.5681587948570799E-14</v>
      </c>
      <c r="Q129">
        <f>+[1]wFG_rstar_shock_decomposition!T129</f>
        <v>2.20815451628384E-2</v>
      </c>
      <c r="R129">
        <f>+[1]wFG_rstar_shock_decomposition!U129</f>
        <v>0</v>
      </c>
      <c r="S129">
        <f>+[1]wFG_rstar_shock_decomposition!V129</f>
        <v>-0.14937901621463401</v>
      </c>
      <c r="T129">
        <f>+[1]wFG_rstar_shock_decomposition!W129</f>
        <v>6.0376290077066999E-3</v>
      </c>
      <c r="U129" s="4">
        <f>+[1]wFG_rstar_shock_decomposition!D129</f>
        <v>-0.194602476379928</v>
      </c>
      <c r="Y129" s="1">
        <f t="shared" si="28"/>
        <v>50770</v>
      </c>
      <c r="Z129" s="7">
        <f t="shared" si="28"/>
        <v>-9.7086310711829896E-2</v>
      </c>
      <c r="AA129" s="7">
        <f t="shared" si="28"/>
        <v>-8.7367775921406293E-2</v>
      </c>
      <c r="AB129" s="7">
        <f t="shared" si="28"/>
        <v>0.15391117459282799</v>
      </c>
      <c r="AC129" s="7">
        <f t="shared" si="17"/>
        <v>-0.16833191707537562</v>
      </c>
      <c r="AD129" s="7">
        <f t="shared" si="18"/>
        <v>-2.3846821434824601E-2</v>
      </c>
      <c r="AE129" s="7">
        <f t="shared" si="19"/>
        <v>2.20815451628384E-2</v>
      </c>
      <c r="AF129" s="7">
        <f t="shared" si="20"/>
        <v>-4.6177739983728499E-15</v>
      </c>
      <c r="AG129" s="7">
        <f t="shared" si="20"/>
        <v>4.5156197552615602E-14</v>
      </c>
      <c r="AH129" s="7">
        <f t="shared" si="21"/>
        <v>6.0376290077996846E-3</v>
      </c>
      <c r="AI129" s="7">
        <f t="shared" si="15"/>
        <v>-0.19460247637992981</v>
      </c>
      <c r="AJ129" s="8">
        <f t="shared" si="22"/>
        <v>-0.14625037191253723</v>
      </c>
      <c r="AK129" s="8">
        <f t="shared" si="23"/>
        <v>4.2696577236597102E-2</v>
      </c>
      <c r="AL129" s="8">
        <f t="shared" si="24"/>
        <v>-9.7086310711829896E-2</v>
      </c>
      <c r="AM129" s="8">
        <f t="shared" si="25"/>
        <v>6.0376290077996846E-3</v>
      </c>
      <c r="AN129" s="8">
        <f t="shared" si="26"/>
        <v>-0.19460247637997033</v>
      </c>
      <c r="AO129" s="9">
        <f t="shared" si="29"/>
        <v>0.71088092240355649</v>
      </c>
      <c r="AP129" s="9">
        <f t="shared" si="29"/>
        <v>-4.5251065366179961E-2</v>
      </c>
      <c r="AQ129" s="9">
        <f t="shared" si="29"/>
        <v>0.35658145395015922</v>
      </c>
      <c r="AR129" s="9">
        <f t="shared" si="29"/>
        <v>-2.2211310987538653E-2</v>
      </c>
      <c r="AS129" s="9">
        <f t="shared" si="29"/>
        <v>1</v>
      </c>
      <c r="AT129" s="7"/>
      <c r="AU129" s="7"/>
      <c r="AV129" s="7"/>
      <c r="AW129" s="7"/>
      <c r="AX129" s="7"/>
    </row>
    <row r="130" spans="1:50" x14ac:dyDescent="0.25">
      <c r="A130" s="1">
        <v>50860</v>
      </c>
      <c r="B130">
        <f>+[1]wFG_rstar_shock_decomposition!E130</f>
        <v>-9.5955038724581804E-2</v>
      </c>
      <c r="C130">
        <f>+[1]wFG_rstar_shock_decomposition!F130</f>
        <v>-8.6494098162192196E-2</v>
      </c>
      <c r="D130">
        <f>+[1]wFG_rstar_shock_decomposition!G130</f>
        <v>0.15237206284666499</v>
      </c>
      <c r="E130">
        <f>+[1]wFG_rstar_shock_decomposition!H130</f>
        <v>-2.3331662602699699E-2</v>
      </c>
      <c r="F130">
        <f>+[1]wFG_rstar_shock_decomposition!I130</f>
        <v>-1.7840900604175699E-2</v>
      </c>
      <c r="G130">
        <f>+[1]wFG_rstar_shock_decomposition!J130</f>
        <v>-4.46749140742063E-15</v>
      </c>
      <c r="H130">
        <f>+[1]wFG_rstar_shock_decomposition!K130</f>
        <v>4.4983152256700099E-14</v>
      </c>
      <c r="I130">
        <f>+[1]wFG_rstar_shock_decomposition!L130</f>
        <v>-5.4114603963447898E-16</v>
      </c>
      <c r="J130">
        <f>+[1]wFG_rstar_shock_decomposition!M130</f>
        <v>1.3837321415351599E-15</v>
      </c>
      <c r="K130">
        <f>+[1]wFG_rstar_shock_decomposition!N130</f>
        <v>-6.8320642679449099E-16</v>
      </c>
      <c r="L130">
        <f>+[1]wFG_rstar_shock_decomposition!O130</f>
        <v>1.13715190389106E-15</v>
      </c>
      <c r="M130">
        <f>+[1]wFG_rstar_shock_decomposition!P130</f>
        <v>5.9641747299958097E-16</v>
      </c>
      <c r="N130">
        <f>+[1]wFG_rstar_shock_decomposition!Q130</f>
        <v>2.2673782258797599E-15</v>
      </c>
      <c r="O130">
        <f>+[1]wFG_rstar_shock_decomposition!R130</f>
        <v>3.0696535657018699E-15</v>
      </c>
      <c r="P130">
        <f>+[1]wFG_rstar_shock_decomposition!S130</f>
        <v>8.5316997501576104E-14</v>
      </c>
      <c r="Q130">
        <f>+[1]wFG_rstar_shock_decomposition!T130</f>
        <v>2.16939701557387E-2</v>
      </c>
      <c r="R130">
        <f>+[1]wFG_rstar_shock_decomposition!U130</f>
        <v>0</v>
      </c>
      <c r="S130">
        <f>+[1]wFG_rstar_shock_decomposition!V130</f>
        <v>-0.14788831547242301</v>
      </c>
      <c r="T130">
        <f>+[1]wFG_rstar_shock_decomposition!W130</f>
        <v>5.9671438123877901E-3</v>
      </c>
      <c r="U130" s="4">
        <f>+[1]wFG_rstar_shock_decomposition!D130</f>
        <v>-0.19147683875114699</v>
      </c>
      <c r="Y130" s="1">
        <f t="shared" si="28"/>
        <v>50860</v>
      </c>
      <c r="Z130" s="7">
        <f t="shared" si="28"/>
        <v>-9.5955038724581804E-2</v>
      </c>
      <c r="AA130" s="7">
        <f t="shared" si="28"/>
        <v>-8.6494098162192196E-2</v>
      </c>
      <c r="AB130" s="7">
        <f t="shared" si="28"/>
        <v>0.15237206284666499</v>
      </c>
      <c r="AC130" s="7">
        <f t="shared" si="17"/>
        <v>-0.16572921607659871</v>
      </c>
      <c r="AD130" s="7">
        <f t="shared" si="18"/>
        <v>-2.3331662602699699E-2</v>
      </c>
      <c r="AE130" s="7">
        <f t="shared" si="19"/>
        <v>2.16939701557387E-2</v>
      </c>
      <c r="AF130" s="7">
        <f t="shared" si="20"/>
        <v>-4.46749140742063E-15</v>
      </c>
      <c r="AG130" s="7">
        <f t="shared" si="20"/>
        <v>4.4983152256700099E-14</v>
      </c>
      <c r="AH130" s="7">
        <f t="shared" si="21"/>
        <v>5.9671438124803368E-3</v>
      </c>
      <c r="AI130" s="7">
        <f t="shared" ref="AI130:AI132" si="30">+SUM(Z130:AH130)</f>
        <v>-0.19147683875114785</v>
      </c>
      <c r="AJ130" s="8">
        <f t="shared" si="22"/>
        <v>-0.14403524592086001</v>
      </c>
      <c r="AK130" s="8">
        <f t="shared" si="23"/>
        <v>4.2546302081773096E-2</v>
      </c>
      <c r="AL130" s="8">
        <f t="shared" si="24"/>
        <v>-9.5955038724581804E-2</v>
      </c>
      <c r="AM130" s="8">
        <f t="shared" si="25"/>
        <v>5.9671438124803368E-3</v>
      </c>
      <c r="AN130" s="8">
        <f t="shared" si="26"/>
        <v>-0.19147683875118837</v>
      </c>
      <c r="AO130" s="9">
        <f t="shared" si="29"/>
        <v>0.70869571420550315</v>
      </c>
      <c r="AP130" s="9">
        <f t="shared" si="29"/>
        <v>-4.8078239601488111E-2</v>
      </c>
      <c r="AQ130" s="9">
        <f t="shared" si="29"/>
        <v>0.36193318663396751</v>
      </c>
      <c r="AR130" s="9">
        <f t="shared" si="29"/>
        <v>-2.2550661237980905E-2</v>
      </c>
      <c r="AS130" s="9">
        <f t="shared" si="29"/>
        <v>1</v>
      </c>
      <c r="AT130" s="7"/>
      <c r="AU130" s="7"/>
      <c r="AV130" s="7"/>
      <c r="AW130" s="7"/>
      <c r="AX130" s="7"/>
    </row>
    <row r="131" spans="1:50" x14ac:dyDescent="0.25">
      <c r="A131" s="1">
        <v>50951</v>
      </c>
      <c r="B131">
        <f>+[1]wFG_rstar_shock_decomposition!E131</f>
        <v>-9.4837776823610997E-2</v>
      </c>
      <c r="C131">
        <f>+[1]wFG_rstar_shock_decomposition!F131</f>
        <v>-8.5629157180570306E-2</v>
      </c>
      <c r="D131">
        <f>+[1]wFG_rstar_shock_decomposition!G131</f>
        <v>0.150848342218035</v>
      </c>
      <c r="E131">
        <f>+[1]wFG_rstar_shock_decomposition!H131</f>
        <v>-2.2827938559430098E-2</v>
      </c>
      <c r="F131">
        <f>+[1]wFG_rstar_shock_decomposition!I131</f>
        <v>-1.67856826985858E-2</v>
      </c>
      <c r="G131">
        <f>+[1]wFG_rstar_shock_decomposition!J131</f>
        <v>-4.32135429260645E-15</v>
      </c>
      <c r="H131">
        <f>+[1]wFG_rstar_shock_decomposition!K131</f>
        <v>4.4805876449282203E-14</v>
      </c>
      <c r="I131">
        <f>+[1]wFG_rstar_shock_decomposition!L131</f>
        <v>-5.3269967598287899E-16</v>
      </c>
      <c r="J131">
        <f>+[1]wFG_rstar_shock_decomposition!M131</f>
        <v>1.3681424592632301E-15</v>
      </c>
      <c r="K131">
        <f>+[1]wFG_rstar_shock_decomposition!N131</f>
        <v>-6.7511313500922796E-16</v>
      </c>
      <c r="L131">
        <f>+[1]wFG_rstar_shock_decomposition!O131</f>
        <v>1.1255793955616699E-15</v>
      </c>
      <c r="M131">
        <f>+[1]wFG_rstar_shock_decomposition!P131</f>
        <v>5.9067553345634996E-16</v>
      </c>
      <c r="N131">
        <f>+[1]wFG_rstar_shock_decomposition!Q131</f>
        <v>2.2441771251126799E-15</v>
      </c>
      <c r="O131">
        <f>+[1]wFG_rstar_shock_decomposition!R131</f>
        <v>3.03712117190057E-15</v>
      </c>
      <c r="P131">
        <f>+[1]wFG_rstar_shock_decomposition!S131</f>
        <v>8.4950173106625602E-14</v>
      </c>
      <c r="Q131">
        <f>+[1]wFG_rstar_shock_decomposition!T131</f>
        <v>2.1312555362649799E-2</v>
      </c>
      <c r="R131">
        <f>+[1]wFG_rstar_shock_decomposition!U131</f>
        <v>0</v>
      </c>
      <c r="S131">
        <f>+[1]wFG_rstar_shock_decomposition!V131</f>
        <v>-0.14641244534058301</v>
      </c>
      <c r="T131">
        <f>+[1]wFG_rstar_shock_decomposition!W131</f>
        <v>5.8975134434377397E-3</v>
      </c>
      <c r="U131" s="4">
        <f>+[1]wFG_rstar_shock_decomposition!D131</f>
        <v>-0.18843458957852299</v>
      </c>
      <c r="Y131" s="1">
        <f t="shared" si="28"/>
        <v>50951</v>
      </c>
      <c r="Z131" s="7">
        <f t="shared" si="28"/>
        <v>-9.4837776823610997E-2</v>
      </c>
      <c r="AA131" s="7">
        <f t="shared" si="28"/>
        <v>-8.5629157180570306E-2</v>
      </c>
      <c r="AB131" s="7">
        <f t="shared" si="28"/>
        <v>0.150848342218035</v>
      </c>
      <c r="AC131" s="7">
        <f t="shared" ref="AC131:AC132" si="31">+F131+S131</f>
        <v>-0.1631981280391688</v>
      </c>
      <c r="AD131" s="7">
        <f t="shared" ref="AD131:AD132" si="32">+E131</f>
        <v>-2.2827938559430098E-2</v>
      </c>
      <c r="AE131" s="7">
        <f t="shared" ref="AE131:AE132" si="33">+Q131</f>
        <v>2.1312555362649799E-2</v>
      </c>
      <c r="AF131" s="7">
        <f t="shared" ref="AF131:AG132" si="34">+G131</f>
        <v>-4.32135429260645E-15</v>
      </c>
      <c r="AG131" s="7">
        <f t="shared" si="34"/>
        <v>4.4805876449282203E-14</v>
      </c>
      <c r="AH131" s="7">
        <f t="shared" ref="AH131:AH132" si="35">+SUM(T131,I131:P131)</f>
        <v>5.8975134435298483E-3</v>
      </c>
      <c r="AI131" s="7">
        <f t="shared" si="30"/>
        <v>-0.18843458957852507</v>
      </c>
      <c r="AJ131" s="8">
        <f t="shared" ref="AJ131:AJ132" si="36">SUM(AC131+AE131)</f>
        <v>-0.141885572676519</v>
      </c>
      <c r="AK131" s="8">
        <f t="shared" ref="AK131:AK132" si="37">AB131+AA131+AD131</f>
        <v>4.2391246478034598E-2</v>
      </c>
      <c r="AL131" s="8">
        <f t="shared" ref="AL131:AL132" si="38">Z131</f>
        <v>-9.4837776823610997E-2</v>
      </c>
      <c r="AM131" s="8">
        <f t="shared" ref="AM131:AM132" si="39">AH131</f>
        <v>5.8975134435298483E-3</v>
      </c>
      <c r="AN131" s="8">
        <f t="shared" ref="AN131:AN132" si="40">SUM(AJ131:AM131)</f>
        <v>-0.18843458957856554</v>
      </c>
      <c r="AO131" s="9">
        <f t="shared" si="29"/>
        <v>0.70660656716941495</v>
      </c>
      <c r="AP131" s="9">
        <f t="shared" si="29"/>
        <v>-5.0967424080131801E-2</v>
      </c>
      <c r="AQ131" s="9">
        <f t="shared" si="29"/>
        <v>0.36724864979010763</v>
      </c>
      <c r="AR131" s="9">
        <f t="shared" si="29"/>
        <v>-2.2887792879390498E-2</v>
      </c>
      <c r="AS131" s="9">
        <f t="shared" si="29"/>
        <v>1</v>
      </c>
      <c r="AT131" s="7"/>
      <c r="AU131" s="7"/>
      <c r="AV131" s="7"/>
      <c r="AW131" s="7"/>
      <c r="AX131" s="7"/>
    </row>
    <row r="132" spans="1:50" x14ac:dyDescent="0.25">
      <c r="A132" s="1">
        <v>51043</v>
      </c>
      <c r="B132">
        <f>+[1]wFG_rstar_shock_decomposition!E132</f>
        <v>-9.3734333493014105E-2</v>
      </c>
      <c r="C132">
        <f>+[1]wFG_rstar_shock_decomposition!F132</f>
        <v>-8.4772865608764597E-2</v>
      </c>
      <c r="D132">
        <f>+[1]wFG_rstar_shock_decomposition!G132</f>
        <v>0.14933985879574099</v>
      </c>
      <c r="E132">
        <f>+[1]wFG_rstar_shock_decomposition!H132</f>
        <v>-2.2335446866154501E-2</v>
      </c>
      <c r="F132">
        <f>+[1]wFG_rstar_shock_decomposition!I132</f>
        <v>-1.57843831720916E-2</v>
      </c>
      <c r="G132">
        <f>+[1]wFG_rstar_shock_decomposition!J132</f>
        <v>-4.17923134096909E-15</v>
      </c>
      <c r="H132">
        <f>+[1]wFG_rstar_shock_decomposition!K132</f>
        <v>4.4624541545722797E-14</v>
      </c>
      <c r="I132">
        <f>+[1]wFG_rstar_shock_decomposition!L132</f>
        <v>-5.2442660774633498E-16</v>
      </c>
      <c r="J132">
        <f>+[1]wFG_rstar_shock_decomposition!M132</f>
        <v>1.3527530240862399E-15</v>
      </c>
      <c r="K132">
        <f>+[1]wFG_rstar_shock_decomposition!N132</f>
        <v>-6.6717338691051997E-16</v>
      </c>
      <c r="L132">
        <f>+[1]wFG_rstar_shock_decomposition!O132</f>
        <v>1.1141161436148799E-15</v>
      </c>
      <c r="M132">
        <f>+[1]wFG_rstar_shock_decomposition!P132</f>
        <v>5.8496358384366204E-16</v>
      </c>
      <c r="N132">
        <f>+[1]wFG_rstar_shock_decomposition!Q132</f>
        <v>2.2212223871758099E-15</v>
      </c>
      <c r="O132">
        <f>+[1]wFG_rstar_shock_decomposition!R132</f>
        <v>3.00501000018503E-15</v>
      </c>
      <c r="P132">
        <f>+[1]wFG_rstar_shock_decomposition!S132</f>
        <v>8.4581220387022606E-14</v>
      </c>
      <c r="Q132">
        <f>+[1]wFG_rstar_shock_decomposition!T132</f>
        <v>2.09371942339318E-2</v>
      </c>
      <c r="R132">
        <f>+[1]wFG_rstar_shock_decomposition!U132</f>
        <v>0</v>
      </c>
      <c r="S132">
        <f>+[1]wFG_rstar_shock_decomposition!V132</f>
        <v>-0.144951259676942</v>
      </c>
      <c r="T132">
        <f>+[1]wFG_rstar_shock_decomposition!W132</f>
        <v>5.8287268185738001E-3</v>
      </c>
      <c r="U132" s="4">
        <f>+[1]wFG_rstar_shock_decomposition!D132</f>
        <v>-0.185472508968586</v>
      </c>
      <c r="Y132" s="1">
        <f t="shared" si="28"/>
        <v>51043</v>
      </c>
      <c r="Z132" s="7">
        <f t="shared" si="28"/>
        <v>-9.3734333493014105E-2</v>
      </c>
      <c r="AA132" s="7">
        <f t="shared" si="28"/>
        <v>-8.4772865608764597E-2</v>
      </c>
      <c r="AB132" s="7">
        <f t="shared" si="28"/>
        <v>0.14933985879574099</v>
      </c>
      <c r="AC132" s="7">
        <f t="shared" si="31"/>
        <v>-0.16073564284903361</v>
      </c>
      <c r="AD132" s="7">
        <f t="shared" si="32"/>
        <v>-2.2335446866154501E-2</v>
      </c>
      <c r="AE132" s="7">
        <f t="shared" si="33"/>
        <v>2.09371942339318E-2</v>
      </c>
      <c r="AF132" s="7">
        <f t="shared" si="34"/>
        <v>-4.17923134096909E-15</v>
      </c>
      <c r="AG132" s="7">
        <f t="shared" si="34"/>
        <v>4.4624541545722797E-14</v>
      </c>
      <c r="AH132" s="7">
        <f t="shared" si="35"/>
        <v>5.8287268186654681E-3</v>
      </c>
      <c r="AI132" s="7">
        <f t="shared" si="30"/>
        <v>-0.18547250896858808</v>
      </c>
      <c r="AJ132" s="8">
        <f t="shared" si="36"/>
        <v>-0.13979844861510179</v>
      </c>
      <c r="AK132" s="8">
        <f t="shared" si="37"/>
        <v>4.2231546320821892E-2</v>
      </c>
      <c r="AL132" s="8">
        <f t="shared" si="38"/>
        <v>-9.3734333493014105E-2</v>
      </c>
      <c r="AM132" s="8">
        <f t="shared" si="39"/>
        <v>5.8287268186654681E-3</v>
      </c>
      <c r="AN132" s="8">
        <f t="shared" si="40"/>
        <v>-0.18547250896862855</v>
      </c>
      <c r="AO132" s="9">
        <f t="shared" si="29"/>
        <v>0.70461420071265179</v>
      </c>
      <c r="AP132" s="9">
        <f t="shared" si="29"/>
        <v>-5.3914858588572895E-2</v>
      </c>
      <c r="AQ132" s="9">
        <f t="shared" si="29"/>
        <v>0.37252305926284812</v>
      </c>
      <c r="AR132" s="9">
        <f t="shared" si="29"/>
        <v>-2.3222401386923545E-2</v>
      </c>
      <c r="AS132" s="9">
        <f t="shared" si="29"/>
        <v>1</v>
      </c>
      <c r="AT132" s="7"/>
      <c r="AU132" s="7"/>
      <c r="AV132" s="7"/>
      <c r="AW132" s="7"/>
      <c r="AX132" s="7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4BF3-FE11-4BC7-B835-C4F8E1F30010}">
  <dimension ref="A1:CI132"/>
  <sheetViews>
    <sheetView zoomScale="115" zoomScaleNormal="115" workbookViewId="0">
      <selection activeCell="BK24" sqref="BK24"/>
    </sheetView>
  </sheetViews>
  <sheetFormatPr defaultRowHeight="15" x14ac:dyDescent="0.25"/>
  <cols>
    <col min="1" max="1" width="12.5703125" bestFit="1" customWidth="1"/>
    <col min="21" max="21" width="9.140625" style="4"/>
    <col min="25" max="25" width="10" bestFit="1" customWidth="1"/>
    <col min="36" max="40" width="9.140625" style="5"/>
    <col min="41" max="45" width="9.140625" style="6"/>
  </cols>
  <sheetData>
    <row r="1" spans="1:62" x14ac:dyDescent="0.25">
      <c r="A1" t="s">
        <v>0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s="4" t="s">
        <v>43</v>
      </c>
      <c r="X1" t="s">
        <v>32</v>
      </c>
      <c r="Y1" t="s">
        <v>33</v>
      </c>
      <c r="Z1" t="s">
        <v>35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34</v>
      </c>
      <c r="AI1" t="s">
        <v>51</v>
      </c>
      <c r="AJ1" s="5" t="s">
        <v>52</v>
      </c>
      <c r="AK1" s="5" t="s">
        <v>53</v>
      </c>
      <c r="AL1" s="5" t="s">
        <v>35</v>
      </c>
      <c r="AM1" s="5" t="s">
        <v>34</v>
      </c>
      <c r="AN1" s="5" t="s">
        <v>54</v>
      </c>
      <c r="AO1" s="6" t="s">
        <v>52</v>
      </c>
      <c r="AP1" s="6" t="s">
        <v>53</v>
      </c>
      <c r="AQ1" s="6" t="s">
        <v>35</v>
      </c>
      <c r="AR1" s="6" t="s">
        <v>34</v>
      </c>
      <c r="AS1" s="6" t="s">
        <v>54</v>
      </c>
      <c r="AT1" s="6"/>
      <c r="AU1" s="6"/>
      <c r="AV1" s="6"/>
      <c r="AW1" s="6"/>
    </row>
    <row r="2" spans="1:62" x14ac:dyDescent="0.25">
      <c r="A2" s="1">
        <v>39172</v>
      </c>
      <c r="B2">
        <v>-9.9978563028760903E-2</v>
      </c>
      <c r="C2">
        <v>-0.154985917120638</v>
      </c>
      <c r="D2">
        <v>0.25348034143512199</v>
      </c>
      <c r="E2">
        <v>-2.71815691609784E-2</v>
      </c>
      <c r="F2">
        <v>0.110492955307949</v>
      </c>
      <c r="G2" s="2">
        <v>3.36271760934325E-16</v>
      </c>
      <c r="H2" s="2">
        <v>-3.5538777794089401E-15</v>
      </c>
      <c r="I2" s="2">
        <v>1.35526618070026E-14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2">
        <v>1.5995332769987899E-13</v>
      </c>
      <c r="Q2">
        <v>-5.37370862362977E-2</v>
      </c>
      <c r="R2">
        <v>0</v>
      </c>
      <c r="S2">
        <v>-8.4480241349470603E-2</v>
      </c>
      <c r="T2">
        <v>3.2328481522342703E-2</v>
      </c>
      <c r="U2">
        <v>-2.4061598630560701E-2</v>
      </c>
      <c r="V2">
        <f>SUM(B2:T2)</f>
        <v>-2.4061598630561586E-2</v>
      </c>
      <c r="Y2" s="1">
        <f>+A2</f>
        <v>39172</v>
      </c>
      <c r="Z2" s="7">
        <f>+B2</f>
        <v>-9.9978563028760903E-2</v>
      </c>
      <c r="AA2" s="7">
        <f>+C2</f>
        <v>-0.154985917120638</v>
      </c>
      <c r="AB2" s="7">
        <f>+D2</f>
        <v>0.25348034143512199</v>
      </c>
      <c r="AC2" s="7">
        <f>+F2+S2</f>
        <v>2.6012713958478401E-2</v>
      </c>
      <c r="AD2" s="7">
        <f>+E2</f>
        <v>-2.71815691609784E-2</v>
      </c>
      <c r="AE2" s="7">
        <f>+Q2</f>
        <v>-5.37370862362977E-2</v>
      </c>
      <c r="AF2" s="7">
        <f>+G2</f>
        <v>3.36271760934325E-16</v>
      </c>
      <c r="AG2" s="7">
        <f>+H2</f>
        <v>-3.5538777794089401E-15</v>
      </c>
      <c r="AH2" s="7">
        <f>+SUM(T2,I2:P2)</f>
        <v>3.232848152251621E-2</v>
      </c>
      <c r="AI2" s="7">
        <f t="shared" ref="AI2:AI65" si="0">+SUM(Z2:AH2)</f>
        <v>-2.4061598630561593E-2</v>
      </c>
      <c r="AJ2" s="8">
        <f>SUM(AC2+AE2)</f>
        <v>-2.7724372277819299E-2</v>
      </c>
      <c r="AK2" s="8">
        <f>AB2+AA2+AD2</f>
        <v>7.1312855153505592E-2</v>
      </c>
      <c r="AL2" s="8">
        <f>Z2</f>
        <v>-9.9978563028760903E-2</v>
      </c>
      <c r="AM2" s="8">
        <f>AH2</f>
        <v>3.232848152251621E-2</v>
      </c>
      <c r="AN2" s="8">
        <f>SUM(AJ2:AM2)</f>
        <v>-2.4061598630558401E-2</v>
      </c>
      <c r="AO2" s="9"/>
      <c r="AP2" s="9"/>
      <c r="AQ2" s="9"/>
      <c r="AR2" s="9"/>
      <c r="AS2" s="9"/>
    </row>
    <row r="3" spans="1:62" x14ac:dyDescent="0.25">
      <c r="A3" s="1">
        <v>39263</v>
      </c>
      <c r="B3">
        <v>-9.0493735072627104E-2</v>
      </c>
      <c r="C3">
        <v>-0.179892931784915</v>
      </c>
      <c r="D3">
        <v>0.28516777923665598</v>
      </c>
      <c r="E3">
        <v>-2.2411350467598901E-2</v>
      </c>
      <c r="F3">
        <v>9.1292175836210895E-2</v>
      </c>
      <c r="G3" s="2">
        <v>5.0574402008378302E-16</v>
      </c>
      <c r="H3" s="2">
        <v>-2.38970184704017E-15</v>
      </c>
      <c r="I3" s="2">
        <v>1.2532215049911301E-14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2">
        <v>1.59876531659844E-13</v>
      </c>
      <c r="Q3">
        <v>-4.7822201797398697E-2</v>
      </c>
      <c r="R3">
        <v>0</v>
      </c>
      <c r="S3">
        <v>-0.236778609741046</v>
      </c>
      <c r="T3">
        <v>3.1925747388391899E-2</v>
      </c>
      <c r="U3">
        <v>-0.16901312640215699</v>
      </c>
      <c r="V3">
        <f t="shared" ref="V3:V66" si="1">SUM(B3:T3)</f>
        <v>-0.16901312640215641</v>
      </c>
      <c r="Y3" s="1">
        <f t="shared" ref="Y3:AB34" si="2">+A3</f>
        <v>39263</v>
      </c>
      <c r="Z3" s="7">
        <f t="shared" si="2"/>
        <v>-9.0493735072627104E-2</v>
      </c>
      <c r="AA3" s="7">
        <f t="shared" si="2"/>
        <v>-0.179892931784915</v>
      </c>
      <c r="AB3" s="7">
        <f t="shared" si="2"/>
        <v>0.28516777923665598</v>
      </c>
      <c r="AC3" s="7">
        <f t="shared" ref="AC3:AC66" si="3">+F3+S3</f>
        <v>-0.14548643390483512</v>
      </c>
      <c r="AD3" s="7">
        <f t="shared" ref="AD3:AD66" si="4">+E3</f>
        <v>-2.2411350467598901E-2</v>
      </c>
      <c r="AE3" s="7">
        <f t="shared" ref="AE3:AE66" si="5">+Q3</f>
        <v>-4.7822201797398697E-2</v>
      </c>
      <c r="AF3" s="7">
        <f t="shared" ref="AF3:AG66" si="6">+G3</f>
        <v>5.0574402008378302E-16</v>
      </c>
      <c r="AG3" s="7">
        <f t="shared" si="6"/>
        <v>-2.38970184704017E-15</v>
      </c>
      <c r="AH3" s="7">
        <f t="shared" ref="AH3:AH66" si="7">+SUM(T3,I3:P3)</f>
        <v>3.192574738856431E-2</v>
      </c>
      <c r="AI3" s="7">
        <f t="shared" si="0"/>
        <v>-0.16901312640215643</v>
      </c>
      <c r="AJ3" s="8">
        <f t="shared" ref="AJ3:AJ66" si="8">SUM(AC3+AE3)</f>
        <v>-0.19330863570223383</v>
      </c>
      <c r="AK3" s="8">
        <f t="shared" ref="AK3:AK66" si="9">AB3+AA3+AD3</f>
        <v>8.2863496984142082E-2</v>
      </c>
      <c r="AL3" s="8">
        <f t="shared" ref="AL3:AL66" si="10">Z3</f>
        <v>-9.0493735072627104E-2</v>
      </c>
      <c r="AM3" s="8">
        <f t="shared" ref="AM3:AM66" si="11">AH3</f>
        <v>3.192574738856431E-2</v>
      </c>
      <c r="AN3" s="8">
        <f t="shared" ref="AN3:AN66" si="12">SUM(AJ3:AM3)</f>
        <v>-0.16901312640215455</v>
      </c>
      <c r="AO3" s="9">
        <f>(AJ3-AJ2)/($AN3-$AN2)</f>
        <v>1.1423423124268819</v>
      </c>
      <c r="AP3" s="9">
        <f t="shared" ref="AP3:AS18" si="13">(AK3-AK2)/($AN3-$AN2)</f>
        <v>-7.9686237242267186E-2</v>
      </c>
      <c r="AQ3" s="9">
        <f t="shared" si="13"/>
        <v>-6.5434480767110545E-2</v>
      </c>
      <c r="AR3" s="9">
        <f t="shared" si="13"/>
        <v>2.7784055824958158E-3</v>
      </c>
      <c r="AS3" s="9">
        <f t="shared" si="13"/>
        <v>1</v>
      </c>
      <c r="AT3" s="7"/>
      <c r="AU3" s="7"/>
      <c r="AV3" s="7"/>
      <c r="AW3" s="7"/>
      <c r="AX3" s="7"/>
    </row>
    <row r="4" spans="1:62" x14ac:dyDescent="0.25">
      <c r="A4" s="1">
        <v>39355</v>
      </c>
      <c r="B4">
        <v>-9.5177672176048805E-2</v>
      </c>
      <c r="C4">
        <v>-0.35852263038029097</v>
      </c>
      <c r="D4">
        <v>0.271119077925911</v>
      </c>
      <c r="E4">
        <v>-5.7796504554363498E-2</v>
      </c>
      <c r="F4">
        <v>0.10745203499047799</v>
      </c>
      <c r="G4" s="2">
        <v>2.14207133349111E-16</v>
      </c>
      <c r="H4" s="2">
        <v>-1.40618989657912E-15</v>
      </c>
      <c r="I4" s="2">
        <v>1.31937618166217E-14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2">
        <v>1.5966688662035699E-13</v>
      </c>
      <c r="Q4">
        <v>-6.6368456841346901E-2</v>
      </c>
      <c r="R4">
        <v>0</v>
      </c>
      <c r="S4">
        <v>-0.28913043355044599</v>
      </c>
      <c r="T4">
        <v>3.1528307303496199E-2</v>
      </c>
      <c r="U4">
        <v>-0.45689627728243898</v>
      </c>
      <c r="V4">
        <f t="shared" si="1"/>
        <v>-0.45689627728243931</v>
      </c>
      <c r="Y4" s="1">
        <f t="shared" si="2"/>
        <v>39355</v>
      </c>
      <c r="Z4" s="7">
        <f t="shared" si="2"/>
        <v>-9.5177672176048805E-2</v>
      </c>
      <c r="AA4" s="7">
        <f t="shared" si="2"/>
        <v>-0.35852263038029097</v>
      </c>
      <c r="AB4" s="7">
        <f t="shared" si="2"/>
        <v>0.271119077925911</v>
      </c>
      <c r="AC4" s="7">
        <f t="shared" si="3"/>
        <v>-0.18167839855996798</v>
      </c>
      <c r="AD4" s="7">
        <f t="shared" si="4"/>
        <v>-5.7796504554363498E-2</v>
      </c>
      <c r="AE4" s="7">
        <f t="shared" si="5"/>
        <v>-6.6368456841346901E-2</v>
      </c>
      <c r="AF4" s="7">
        <f t="shared" si="6"/>
        <v>2.14207133349111E-16</v>
      </c>
      <c r="AG4" s="7">
        <f t="shared" si="6"/>
        <v>-1.40618989657912E-15</v>
      </c>
      <c r="AH4" s="7">
        <f t="shared" si="7"/>
        <v>3.1528307303669054E-2</v>
      </c>
      <c r="AI4" s="7">
        <f t="shared" si="0"/>
        <v>-0.4568962772824392</v>
      </c>
      <c r="AJ4" s="8">
        <f t="shared" si="8"/>
        <v>-0.24804685540131488</v>
      </c>
      <c r="AK4" s="8">
        <f t="shared" si="9"/>
        <v>-0.14520005700874347</v>
      </c>
      <c r="AL4" s="8">
        <f t="shared" si="10"/>
        <v>-9.5177672176048805E-2</v>
      </c>
      <c r="AM4" s="8">
        <f t="shared" si="11"/>
        <v>3.1528307303669054E-2</v>
      </c>
      <c r="AN4" s="8">
        <f t="shared" si="12"/>
        <v>-0.45689627728243809</v>
      </c>
      <c r="AO4" s="9">
        <f t="shared" ref="AO4:AS67" si="14">(AJ4-AJ3)/($AN4-$AN3)</f>
        <v>0.19014040777205465</v>
      </c>
      <c r="AP4" s="9">
        <f t="shared" si="13"/>
        <v>0.79220876003169072</v>
      </c>
      <c r="AQ4" s="9">
        <f t="shared" si="13"/>
        <v>1.6270271772068801E-2</v>
      </c>
      <c r="AR4" s="9">
        <f t="shared" si="13"/>
        <v>1.3805604241858955E-3</v>
      </c>
      <c r="AS4" s="9">
        <f t="shared" si="13"/>
        <v>1</v>
      </c>
      <c r="AT4" s="7"/>
      <c r="AU4" s="7"/>
      <c r="AV4" s="7"/>
      <c r="AW4" s="7"/>
      <c r="AX4" s="7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x14ac:dyDescent="0.25">
      <c r="A5" s="1">
        <v>39447</v>
      </c>
      <c r="B5">
        <v>-9.2548084284100995E-2</v>
      </c>
      <c r="C5">
        <v>-0.506098476332139</v>
      </c>
      <c r="D5">
        <v>0.22217413049781101</v>
      </c>
      <c r="E5">
        <v>-9.3789740909321698E-2</v>
      </c>
      <c r="F5">
        <v>0.10715543730192501</v>
      </c>
      <c r="G5" s="2">
        <v>-2.8771882256727301E-16</v>
      </c>
      <c r="H5" s="2">
        <v>-8.7528508921538303E-16</v>
      </c>
      <c r="I5" s="2">
        <v>1.49349570503931E-14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2">
        <v>1.58289871062899E-13</v>
      </c>
      <c r="Q5">
        <v>-8.0581711640427101E-2</v>
      </c>
      <c r="R5">
        <v>0</v>
      </c>
      <c r="S5">
        <v>-0.28249001953319502</v>
      </c>
      <c r="T5">
        <v>3.1136089791664299E-2</v>
      </c>
      <c r="U5">
        <v>-0.69504237510761002</v>
      </c>
      <c r="V5">
        <f t="shared" si="1"/>
        <v>-0.69504237510761147</v>
      </c>
      <c r="Y5" s="1">
        <f t="shared" si="2"/>
        <v>39447</v>
      </c>
      <c r="Z5" s="7">
        <f t="shared" si="2"/>
        <v>-9.2548084284100995E-2</v>
      </c>
      <c r="AA5" s="7">
        <f t="shared" si="2"/>
        <v>-0.506098476332139</v>
      </c>
      <c r="AB5" s="7">
        <f t="shared" si="2"/>
        <v>0.22217413049781101</v>
      </c>
      <c r="AC5" s="7">
        <f t="shared" si="3"/>
        <v>-0.17533458223127002</v>
      </c>
      <c r="AD5" s="7">
        <f t="shared" si="4"/>
        <v>-9.3789740909321698E-2</v>
      </c>
      <c r="AE5" s="7">
        <f t="shared" si="5"/>
        <v>-8.0581711640427101E-2</v>
      </c>
      <c r="AF5" s="7">
        <f t="shared" si="6"/>
        <v>-2.8771882256727301E-16</v>
      </c>
      <c r="AG5" s="7">
        <f t="shared" si="6"/>
        <v>-8.7528508921538303E-16</v>
      </c>
      <c r="AH5" s="7">
        <f t="shared" si="7"/>
        <v>3.1136089791837525E-2</v>
      </c>
      <c r="AI5" s="7">
        <f t="shared" si="0"/>
        <v>-0.69504237510761147</v>
      </c>
      <c r="AJ5" s="8">
        <f t="shared" si="8"/>
        <v>-0.25591629387169712</v>
      </c>
      <c r="AK5" s="8">
        <f t="shared" si="9"/>
        <v>-0.3777140867436497</v>
      </c>
      <c r="AL5" s="8">
        <f t="shared" si="10"/>
        <v>-9.2548084284100995E-2</v>
      </c>
      <c r="AM5" s="8">
        <f t="shared" si="11"/>
        <v>3.1136089791837525E-2</v>
      </c>
      <c r="AN5" s="8">
        <f t="shared" si="12"/>
        <v>-0.69504237510761024</v>
      </c>
      <c r="AO5" s="9">
        <f t="shared" si="14"/>
        <v>3.3044582893646035E-2</v>
      </c>
      <c r="AP5" s="9">
        <f t="shared" si="13"/>
        <v>0.97635036583971013</v>
      </c>
      <c r="AQ5" s="9">
        <f t="shared" si="13"/>
        <v>-1.1041910474125187E-2</v>
      </c>
      <c r="AR5" s="9">
        <f t="shared" si="13"/>
        <v>1.6469617407691625E-3</v>
      </c>
      <c r="AS5" s="9">
        <f t="shared" si="13"/>
        <v>1</v>
      </c>
      <c r="AT5" s="7"/>
      <c r="AU5" s="7"/>
      <c r="AV5" s="7"/>
      <c r="AW5" s="7"/>
      <c r="AX5" s="7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2" x14ac:dyDescent="0.25">
      <c r="A6" s="1">
        <v>39538</v>
      </c>
      <c r="B6">
        <v>-9.4542247696871196E-2</v>
      </c>
      <c r="C6">
        <v>-0.68145357352049596</v>
      </c>
      <c r="D6">
        <v>0.14069021783895999</v>
      </c>
      <c r="E6">
        <v>-0.109486097677952</v>
      </c>
      <c r="F6">
        <v>0.11501722903724799</v>
      </c>
      <c r="G6" s="2">
        <v>9.6958302726864193E-18</v>
      </c>
      <c r="H6" s="2">
        <v>-3.0911534257937398E-16</v>
      </c>
      <c r="I6" s="2">
        <v>1.6357192416178101E-14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2">
        <v>1.5690382029201799E-13</v>
      </c>
      <c r="Q6">
        <v>-7.6086186044821605E-2</v>
      </c>
      <c r="R6">
        <v>0</v>
      </c>
      <c r="S6">
        <v>-0.42528638079395997</v>
      </c>
      <c r="T6">
        <v>3.07490242926996E-2</v>
      </c>
      <c r="U6">
        <v>-1.1003980145650201</v>
      </c>
      <c r="V6">
        <f t="shared" si="1"/>
        <v>-1.1003980145650205</v>
      </c>
      <c r="Y6" s="1">
        <f t="shared" si="2"/>
        <v>39538</v>
      </c>
      <c r="Z6" s="7">
        <f t="shared" si="2"/>
        <v>-9.4542247696871196E-2</v>
      </c>
      <c r="AA6" s="7">
        <f t="shared" si="2"/>
        <v>-0.68145357352049596</v>
      </c>
      <c r="AB6" s="7">
        <f t="shared" si="2"/>
        <v>0.14069021783895999</v>
      </c>
      <c r="AC6" s="7">
        <f t="shared" si="3"/>
        <v>-0.31026915175671199</v>
      </c>
      <c r="AD6" s="7">
        <f t="shared" si="4"/>
        <v>-0.109486097677952</v>
      </c>
      <c r="AE6" s="7">
        <f t="shared" si="5"/>
        <v>-7.6086186044821605E-2</v>
      </c>
      <c r="AF6" s="7">
        <f t="shared" si="6"/>
        <v>9.6958302726864193E-18</v>
      </c>
      <c r="AG6" s="7">
        <f t="shared" si="6"/>
        <v>-3.0911534257937398E-16</v>
      </c>
      <c r="AH6" s="7">
        <f t="shared" si="7"/>
        <v>3.0749024292872861E-2</v>
      </c>
      <c r="AI6" s="7">
        <f t="shared" si="0"/>
        <v>-1.1003980145650201</v>
      </c>
      <c r="AJ6" s="8">
        <f t="shared" si="8"/>
        <v>-0.38635533780153358</v>
      </c>
      <c r="AK6" s="8">
        <f t="shared" si="9"/>
        <v>-0.65024945335948803</v>
      </c>
      <c r="AL6" s="8">
        <f t="shared" si="10"/>
        <v>-9.4542247696871196E-2</v>
      </c>
      <c r="AM6" s="8">
        <f t="shared" si="11"/>
        <v>3.0749024292872861E-2</v>
      </c>
      <c r="AN6" s="8">
        <f t="shared" si="12"/>
        <v>-1.1003980145650198</v>
      </c>
      <c r="AO6" s="9">
        <f t="shared" si="14"/>
        <v>0.32178914324329166</v>
      </c>
      <c r="AP6" s="9">
        <f t="shared" si="13"/>
        <v>0.67233643765420814</v>
      </c>
      <c r="AQ6" s="9">
        <f t="shared" si="13"/>
        <v>4.9195403212830479E-3</v>
      </c>
      <c r="AR6" s="9">
        <f t="shared" si="13"/>
        <v>9.5487878121733229E-4</v>
      </c>
      <c r="AS6" s="9">
        <f t="shared" si="13"/>
        <v>1</v>
      </c>
      <c r="AT6" s="7"/>
      <c r="AU6" s="7"/>
      <c r="AV6" s="7"/>
      <c r="AW6" s="7"/>
      <c r="AX6" s="7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</row>
    <row r="7" spans="1:62" x14ac:dyDescent="0.25">
      <c r="A7" s="1">
        <v>39629</v>
      </c>
      <c r="B7">
        <v>-9.7854644907691302E-2</v>
      </c>
      <c r="C7">
        <v>-0.666296647567858</v>
      </c>
      <c r="D7">
        <v>0.143021395832999</v>
      </c>
      <c r="E7">
        <v>-0.11393175295270599</v>
      </c>
      <c r="F7">
        <v>0.106276941855785</v>
      </c>
      <c r="G7" s="2">
        <v>1.5710799493211001E-16</v>
      </c>
      <c r="H7" s="2">
        <v>6.8567456859447195E-16</v>
      </c>
      <c r="I7" s="2">
        <v>1.7825543304377899E-14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2">
        <v>1.5551937764280699E-13</v>
      </c>
      <c r="Q7">
        <v>-7.9067412144778304E-2</v>
      </c>
      <c r="R7">
        <v>0</v>
      </c>
      <c r="S7">
        <v>-0.49307039385892998</v>
      </c>
      <c r="T7">
        <v>3.0367041153188501E-2</v>
      </c>
      <c r="U7">
        <v>-1.17055547258981</v>
      </c>
      <c r="V7">
        <f t="shared" si="1"/>
        <v>-1.1705554725898171</v>
      </c>
      <c r="Y7" s="1">
        <f t="shared" si="2"/>
        <v>39629</v>
      </c>
      <c r="Z7" s="7">
        <f t="shared" si="2"/>
        <v>-9.7854644907691302E-2</v>
      </c>
      <c r="AA7" s="7">
        <f t="shared" si="2"/>
        <v>-0.666296647567858</v>
      </c>
      <c r="AB7" s="7">
        <f t="shared" si="2"/>
        <v>0.143021395832999</v>
      </c>
      <c r="AC7" s="7">
        <f t="shared" si="3"/>
        <v>-0.38679345200314497</v>
      </c>
      <c r="AD7" s="7">
        <f t="shared" si="4"/>
        <v>-0.11393175295270599</v>
      </c>
      <c r="AE7" s="7">
        <f t="shared" si="5"/>
        <v>-7.9067412144778304E-2</v>
      </c>
      <c r="AF7" s="7">
        <f t="shared" si="6"/>
        <v>1.5710799493211001E-16</v>
      </c>
      <c r="AG7" s="7">
        <f t="shared" si="6"/>
        <v>6.8567456859447195E-16</v>
      </c>
      <c r="AH7" s="7">
        <f t="shared" si="7"/>
        <v>3.0367041153361845E-2</v>
      </c>
      <c r="AI7" s="7">
        <f t="shared" si="0"/>
        <v>-1.1705554725898168</v>
      </c>
      <c r="AJ7" s="8">
        <f t="shared" si="8"/>
        <v>-0.46586086414792327</v>
      </c>
      <c r="AK7" s="8">
        <f t="shared" si="9"/>
        <v>-0.63720700468756497</v>
      </c>
      <c r="AL7" s="8">
        <f t="shared" si="10"/>
        <v>-9.7854644907691302E-2</v>
      </c>
      <c r="AM7" s="8">
        <f t="shared" si="11"/>
        <v>3.0367041153361845E-2</v>
      </c>
      <c r="AN7" s="8">
        <f t="shared" si="12"/>
        <v>-1.1705554725898177</v>
      </c>
      <c r="AO7" s="9">
        <f t="shared" si="14"/>
        <v>1.1332441138087932</v>
      </c>
      <c r="AP7" s="9">
        <f t="shared" si="13"/>
        <v>-0.18590252610510868</v>
      </c>
      <c r="AQ7" s="9">
        <f t="shared" si="13"/>
        <v>4.7213757511700385E-2</v>
      </c>
      <c r="AR7" s="9">
        <f t="shared" si="13"/>
        <v>5.4446547846132096E-3</v>
      </c>
      <c r="AS7" s="9">
        <f t="shared" si="13"/>
        <v>1</v>
      </c>
      <c r="AT7" s="7"/>
      <c r="AU7" s="7"/>
      <c r="AV7" s="7"/>
      <c r="AW7" s="7"/>
      <c r="AX7" s="7"/>
      <c r="AZ7" s="3"/>
      <c r="BA7" s="3"/>
      <c r="BB7" s="3"/>
      <c r="BC7" s="3"/>
      <c r="BD7" s="3"/>
      <c r="BE7" s="3"/>
      <c r="BF7" s="3"/>
      <c r="BG7" s="3"/>
      <c r="BH7" s="3"/>
      <c r="BI7" s="3"/>
    </row>
    <row r="8" spans="1:62" x14ac:dyDescent="0.25">
      <c r="A8" s="1">
        <v>39721</v>
      </c>
      <c r="B8">
        <v>-8.3694545503773005E-2</v>
      </c>
      <c r="C8">
        <v>-0.80494646858027896</v>
      </c>
      <c r="D8">
        <v>8.1173996017254904E-2</v>
      </c>
      <c r="E8">
        <v>-0.116166310851506</v>
      </c>
      <c r="F8">
        <v>0.100591794167625</v>
      </c>
      <c r="G8" s="2">
        <v>-3.5447992945964202E-16</v>
      </c>
      <c r="H8" s="2">
        <v>1.39550553860256E-15</v>
      </c>
      <c r="I8" s="2">
        <v>1.5975286838212799E-14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2">
        <v>1.52259907951758E-13</v>
      </c>
      <c r="Q8">
        <v>-7.3477842749108305E-2</v>
      </c>
      <c r="R8">
        <v>0</v>
      </c>
      <c r="S8">
        <v>-0.57361504932966101</v>
      </c>
      <c r="T8">
        <v>2.9990071617492099E-2</v>
      </c>
      <c r="U8">
        <v>-1.4401443552117801</v>
      </c>
      <c r="V8">
        <f t="shared" si="1"/>
        <v>-1.4401443552117859</v>
      </c>
      <c r="Y8" s="1">
        <f t="shared" si="2"/>
        <v>39721</v>
      </c>
      <c r="Z8" s="7">
        <f t="shared" si="2"/>
        <v>-8.3694545503773005E-2</v>
      </c>
      <c r="AA8" s="7">
        <f t="shared" si="2"/>
        <v>-0.80494646858027896</v>
      </c>
      <c r="AB8" s="7">
        <f t="shared" si="2"/>
        <v>8.1173996017254904E-2</v>
      </c>
      <c r="AC8" s="7">
        <f t="shared" si="3"/>
        <v>-0.47302325516203603</v>
      </c>
      <c r="AD8" s="7">
        <f t="shared" si="4"/>
        <v>-0.116166310851506</v>
      </c>
      <c r="AE8" s="7">
        <f t="shared" si="5"/>
        <v>-7.3477842749108305E-2</v>
      </c>
      <c r="AF8" s="7">
        <f t="shared" si="6"/>
        <v>-3.5447992945964202E-16</v>
      </c>
      <c r="AG8" s="7">
        <f t="shared" si="6"/>
        <v>1.39550553860256E-15</v>
      </c>
      <c r="AH8" s="7">
        <f t="shared" si="7"/>
        <v>2.9990071617660336E-2</v>
      </c>
      <c r="AI8" s="7">
        <f t="shared" si="0"/>
        <v>-1.4401443552117861</v>
      </c>
      <c r="AJ8" s="8">
        <f t="shared" si="8"/>
        <v>-0.54650109791114432</v>
      </c>
      <c r="AK8" s="8">
        <f t="shared" si="9"/>
        <v>-0.83993878341452999</v>
      </c>
      <c r="AL8" s="8">
        <f t="shared" si="10"/>
        <v>-8.3694545503773005E-2</v>
      </c>
      <c r="AM8" s="8">
        <f t="shared" si="11"/>
        <v>2.9990071617660336E-2</v>
      </c>
      <c r="AN8" s="8">
        <f t="shared" si="12"/>
        <v>-1.440144355211787</v>
      </c>
      <c r="AO8" s="9">
        <f t="shared" si="14"/>
        <v>0.29912299416403881</v>
      </c>
      <c r="AP8" s="9">
        <f t="shared" si="13"/>
        <v>0.7520034830636747</v>
      </c>
      <c r="AQ8" s="9">
        <f t="shared" si="13"/>
        <v>-5.2524789843705399E-2</v>
      </c>
      <c r="AR8" s="9">
        <f t="shared" si="13"/>
        <v>1.3983126159920845E-3</v>
      </c>
      <c r="AS8" s="9">
        <f t="shared" si="13"/>
        <v>1</v>
      </c>
      <c r="AT8" s="7"/>
      <c r="AU8" s="7"/>
      <c r="AV8" s="7"/>
      <c r="AW8" s="7"/>
      <c r="AX8" s="7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2" x14ac:dyDescent="0.25">
      <c r="A9" s="1">
        <v>39813</v>
      </c>
      <c r="B9">
        <v>-5.1162173705283698E-2</v>
      </c>
      <c r="C9">
        <v>-1.4348625525810099</v>
      </c>
      <c r="D9">
        <v>-0.25044652137629397</v>
      </c>
      <c r="E9">
        <v>-0.199745841702548</v>
      </c>
      <c r="F9">
        <v>0.15384260243050699</v>
      </c>
      <c r="G9" s="2">
        <v>1.8820057070423001E-15</v>
      </c>
      <c r="H9" s="2">
        <v>1.8210975872744201E-15</v>
      </c>
      <c r="I9" s="2">
        <v>1.41285204519946E-14</v>
      </c>
      <c r="J9" s="2">
        <v>-5.4457331255156901E-16</v>
      </c>
      <c r="K9" s="2">
        <v>-2.16116390142239E-16</v>
      </c>
      <c r="L9" s="2">
        <v>1.36864102530526E-16</v>
      </c>
      <c r="M9" s="2">
        <v>-1.3785037954398401E-16</v>
      </c>
      <c r="N9" s="2">
        <v>-1.09588044113905E-17</v>
      </c>
      <c r="O9" s="2">
        <v>-4.3720389334595397E-17</v>
      </c>
      <c r="P9" s="2">
        <v>1.5221412784561099E-13</v>
      </c>
      <c r="Q9">
        <v>-2.0281187527067299E-2</v>
      </c>
      <c r="R9">
        <v>0</v>
      </c>
      <c r="S9">
        <v>-0.81453912411113105</v>
      </c>
      <c r="T9">
        <v>2.9618047818741701E-2</v>
      </c>
      <c r="U9">
        <v>-2.5875767507539198</v>
      </c>
      <c r="V9">
        <f t="shared" si="1"/>
        <v>-2.5875767507539158</v>
      </c>
      <c r="Y9" s="1">
        <f t="shared" si="2"/>
        <v>39813</v>
      </c>
      <c r="Z9" s="7">
        <f t="shared" si="2"/>
        <v>-5.1162173705283698E-2</v>
      </c>
      <c r="AA9" s="7">
        <f t="shared" si="2"/>
        <v>-1.4348625525810099</v>
      </c>
      <c r="AB9" s="7">
        <f t="shared" si="2"/>
        <v>-0.25044652137629397</v>
      </c>
      <c r="AC9" s="7">
        <f t="shared" si="3"/>
        <v>-0.66069652168062409</v>
      </c>
      <c r="AD9" s="7">
        <f t="shared" si="4"/>
        <v>-0.199745841702548</v>
      </c>
      <c r="AE9" s="7">
        <f t="shared" si="5"/>
        <v>-2.0281187527067299E-2</v>
      </c>
      <c r="AF9" s="7">
        <f t="shared" si="6"/>
        <v>1.8820057070423001E-15</v>
      </c>
      <c r="AG9" s="7">
        <f t="shared" si="6"/>
        <v>1.8210975872744201E-15</v>
      </c>
      <c r="AH9" s="7">
        <f t="shared" si="7"/>
        <v>2.9618047818907225E-2</v>
      </c>
      <c r="AI9" s="7">
        <f t="shared" si="0"/>
        <v>-2.5875767507539167</v>
      </c>
      <c r="AJ9" s="8">
        <f t="shared" si="8"/>
        <v>-0.68097770920769141</v>
      </c>
      <c r="AK9" s="8">
        <f t="shared" si="9"/>
        <v>-1.8850549156598519</v>
      </c>
      <c r="AL9" s="8">
        <f t="shared" si="10"/>
        <v>-5.1162173705283698E-2</v>
      </c>
      <c r="AM9" s="8">
        <f t="shared" si="11"/>
        <v>2.9618047818907225E-2</v>
      </c>
      <c r="AN9" s="8">
        <f t="shared" si="12"/>
        <v>-2.5875767507539198</v>
      </c>
      <c r="AO9" s="9">
        <f t="shared" si="14"/>
        <v>0.11719785132352856</v>
      </c>
      <c r="AP9" s="9">
        <f t="shared" si="13"/>
        <v>0.91083024699815185</v>
      </c>
      <c r="AQ9" s="9">
        <f t="shared" si="13"/>
        <v>-2.835232116931698E-2</v>
      </c>
      <c r="AR9" s="9">
        <f t="shared" si="13"/>
        <v>3.2422284763656119E-4</v>
      </c>
      <c r="AS9" s="9">
        <f t="shared" si="13"/>
        <v>1</v>
      </c>
      <c r="AT9" s="7"/>
      <c r="AU9" s="7"/>
      <c r="AV9" s="7"/>
      <c r="AW9" s="7"/>
      <c r="AX9" s="7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pans="1:62" x14ac:dyDescent="0.25">
      <c r="A10" s="1">
        <v>39903</v>
      </c>
      <c r="B10">
        <v>-3.7464436438336302E-2</v>
      </c>
      <c r="C10">
        <v>-1.22032408378082</v>
      </c>
      <c r="D10">
        <v>-0.18175419755265901</v>
      </c>
      <c r="E10">
        <v>-0.24990048711444601</v>
      </c>
      <c r="F10">
        <v>0.136197960970381</v>
      </c>
      <c r="G10" s="2">
        <v>2.1298367857910398E-15</v>
      </c>
      <c r="H10" s="2">
        <v>3.9846043693999302E-15</v>
      </c>
      <c r="I10" s="2">
        <v>1.0352372341146699E-14</v>
      </c>
      <c r="J10" s="2">
        <v>-1.07551729904995E-15</v>
      </c>
      <c r="K10" s="2">
        <v>-4.33619777527363E-16</v>
      </c>
      <c r="L10" s="2">
        <v>-2.8013837238308702E-16</v>
      </c>
      <c r="M10" s="2">
        <v>-3.9365194984744198E-16</v>
      </c>
      <c r="N10" s="2">
        <v>-2.3549082430310199E-16</v>
      </c>
      <c r="O10" s="2">
        <v>-1.5707527669261799E-16</v>
      </c>
      <c r="P10" s="2">
        <v>1.5336969922766401E-13</v>
      </c>
      <c r="Q10">
        <v>-9.5038465573967196E-2</v>
      </c>
      <c r="R10">
        <v>0</v>
      </c>
      <c r="S10">
        <v>-0.82281478508311401</v>
      </c>
      <c r="T10">
        <v>2.9250902769841498E-2</v>
      </c>
      <c r="U10">
        <v>-2.4418475918029499</v>
      </c>
      <c r="V10">
        <f t="shared" si="1"/>
        <v>-2.441847591802953</v>
      </c>
      <c r="Y10" s="1">
        <f t="shared" si="2"/>
        <v>39903</v>
      </c>
      <c r="Z10" s="7">
        <f t="shared" si="2"/>
        <v>-3.7464436438336302E-2</v>
      </c>
      <c r="AA10" s="7">
        <f t="shared" si="2"/>
        <v>-1.22032408378082</v>
      </c>
      <c r="AB10" s="7">
        <f t="shared" si="2"/>
        <v>-0.18175419755265901</v>
      </c>
      <c r="AC10" s="7">
        <f t="shared" si="3"/>
        <v>-0.68661682411273306</v>
      </c>
      <c r="AD10" s="7">
        <f t="shared" si="4"/>
        <v>-0.24990048711444601</v>
      </c>
      <c r="AE10" s="7">
        <f t="shared" si="5"/>
        <v>-9.5038465573967196E-2</v>
      </c>
      <c r="AF10" s="7">
        <f t="shared" si="6"/>
        <v>2.1298367857910398E-15</v>
      </c>
      <c r="AG10" s="7">
        <f t="shared" si="6"/>
        <v>3.9846043693999302E-15</v>
      </c>
      <c r="AH10" s="7">
        <f t="shared" si="7"/>
        <v>2.9250902770002647E-2</v>
      </c>
      <c r="AI10" s="7">
        <f t="shared" si="0"/>
        <v>-2.4418475918029525</v>
      </c>
      <c r="AJ10" s="8">
        <f t="shared" si="8"/>
        <v>-0.78165528968670028</v>
      </c>
      <c r="AK10" s="8">
        <f t="shared" si="9"/>
        <v>-1.651978768447925</v>
      </c>
      <c r="AL10" s="8">
        <f t="shared" si="10"/>
        <v>-3.7464436438336302E-2</v>
      </c>
      <c r="AM10" s="8">
        <f t="shared" si="11"/>
        <v>2.9250902770002647E-2</v>
      </c>
      <c r="AN10" s="8">
        <f t="shared" si="12"/>
        <v>-2.4418475918029592</v>
      </c>
      <c r="AO10" s="9">
        <f t="shared" si="14"/>
        <v>-0.69085405559012347</v>
      </c>
      <c r="AP10" s="9">
        <f t="shared" si="13"/>
        <v>1.5993789361699362</v>
      </c>
      <c r="AQ10" s="9">
        <f t="shared" si="13"/>
        <v>9.3994485150064089E-2</v>
      </c>
      <c r="AR10" s="9">
        <f t="shared" si="13"/>
        <v>-2.5193657298751429E-3</v>
      </c>
      <c r="AS10" s="9">
        <f t="shared" si="13"/>
        <v>1</v>
      </c>
      <c r="AT10" s="7"/>
      <c r="AU10" s="7"/>
      <c r="AV10" s="7"/>
      <c r="AW10" s="7"/>
      <c r="AX10" s="7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</row>
    <row r="11" spans="1:62" x14ac:dyDescent="0.25">
      <c r="A11" s="1">
        <v>39994</v>
      </c>
      <c r="B11">
        <v>-2.64737763419211E-2</v>
      </c>
      <c r="C11">
        <v>-0.99360084831872397</v>
      </c>
      <c r="D11">
        <v>-0.104578481002988</v>
      </c>
      <c r="E11">
        <v>-0.18003742541470899</v>
      </c>
      <c r="F11">
        <v>9.0604717257663794E-2</v>
      </c>
      <c r="G11" s="2">
        <v>1.87539003982617E-15</v>
      </c>
      <c r="H11" s="2">
        <v>3.6850300896788798E-15</v>
      </c>
      <c r="I11" s="2">
        <v>8.3641689614106101E-15</v>
      </c>
      <c r="J11" s="2">
        <v>-1.2011700623062001E-15</v>
      </c>
      <c r="K11" s="2">
        <v>-7.9411365822820197E-16</v>
      </c>
      <c r="L11" s="2">
        <v>-5.4702721735976E-16</v>
      </c>
      <c r="M11" s="2">
        <v>-7.1514747794106205E-16</v>
      </c>
      <c r="N11" s="2">
        <v>-5.6991559288159303E-16</v>
      </c>
      <c r="O11" s="2">
        <v>-4.56355770976897E-16</v>
      </c>
      <c r="P11" s="2">
        <v>1.4886766780789499E-13</v>
      </c>
      <c r="Q11">
        <v>-0.100501557072669</v>
      </c>
      <c r="R11">
        <v>0</v>
      </c>
      <c r="S11">
        <v>-0.68818054548295904</v>
      </c>
      <c r="T11">
        <v>2.8888570354481401E-2</v>
      </c>
      <c r="U11">
        <v>-1.9738793460216699</v>
      </c>
      <c r="V11">
        <f t="shared" si="1"/>
        <v>-1.9738793460216664</v>
      </c>
      <c r="Y11" s="1">
        <f t="shared" si="2"/>
        <v>39994</v>
      </c>
      <c r="Z11" s="7">
        <f t="shared" si="2"/>
        <v>-2.64737763419211E-2</v>
      </c>
      <c r="AA11" s="7">
        <f t="shared" si="2"/>
        <v>-0.99360084831872397</v>
      </c>
      <c r="AB11" s="7">
        <f t="shared" si="2"/>
        <v>-0.104578481002988</v>
      </c>
      <c r="AC11" s="7">
        <f t="shared" si="3"/>
        <v>-0.5975758282252952</v>
      </c>
      <c r="AD11" s="7">
        <f t="shared" si="4"/>
        <v>-0.18003742541470899</v>
      </c>
      <c r="AE11" s="7">
        <f t="shared" si="5"/>
        <v>-0.100501557072669</v>
      </c>
      <c r="AF11" s="7">
        <f t="shared" si="6"/>
        <v>1.87539003982617E-15</v>
      </c>
      <c r="AG11" s="7">
        <f t="shared" si="6"/>
        <v>3.6850300896788798E-15</v>
      </c>
      <c r="AH11" s="7">
        <f t="shared" si="7"/>
        <v>2.8888570354634348E-2</v>
      </c>
      <c r="AI11" s="7">
        <f t="shared" si="0"/>
        <v>-1.9738793460216666</v>
      </c>
      <c r="AJ11" s="8">
        <f t="shared" si="8"/>
        <v>-0.69807738529796426</v>
      </c>
      <c r="AK11" s="8">
        <f t="shared" si="9"/>
        <v>-1.2782167547364209</v>
      </c>
      <c r="AL11" s="8">
        <f t="shared" si="10"/>
        <v>-2.64737763419211E-2</v>
      </c>
      <c r="AM11" s="8">
        <f t="shared" si="11"/>
        <v>2.8888570354634348E-2</v>
      </c>
      <c r="AN11" s="8">
        <f t="shared" si="12"/>
        <v>-1.9738793460216719</v>
      </c>
      <c r="AO11" s="9">
        <f t="shared" si="14"/>
        <v>0.17859738378017542</v>
      </c>
      <c r="AP11" s="9">
        <f t="shared" si="13"/>
        <v>0.79869097333195549</v>
      </c>
      <c r="AQ11" s="9">
        <f t="shared" si="13"/>
        <v>2.3485909985336631E-2</v>
      </c>
      <c r="AR11" s="9">
        <f t="shared" si="13"/>
        <v>-7.7426709746806371E-4</v>
      </c>
      <c r="AS11" s="9">
        <f t="shared" si="13"/>
        <v>1</v>
      </c>
      <c r="AT11" s="7"/>
      <c r="AU11" s="7"/>
      <c r="AV11" s="7"/>
      <c r="AW11" s="7"/>
      <c r="AX11" s="7"/>
      <c r="AZ11" s="3"/>
      <c r="BA11" s="3"/>
      <c r="BB11" s="3"/>
      <c r="BC11" s="3"/>
      <c r="BD11" s="3"/>
      <c r="BE11" s="3"/>
      <c r="BF11" s="3"/>
      <c r="BG11" s="3"/>
      <c r="BH11" s="3"/>
      <c r="BI11" s="3"/>
    </row>
    <row r="12" spans="1:62" x14ac:dyDescent="0.25">
      <c r="A12" s="1">
        <v>40086</v>
      </c>
      <c r="B12">
        <v>-4.33175668424031E-2</v>
      </c>
      <c r="C12">
        <v>-0.68899371157153999</v>
      </c>
      <c r="D12">
        <v>3.3900906970862899E-2</v>
      </c>
      <c r="E12">
        <v>-8.24370851725163E-2</v>
      </c>
      <c r="F12">
        <v>6.1241773204607899E-2</v>
      </c>
      <c r="G12" s="2">
        <v>1.59563076971597E-15</v>
      </c>
      <c r="H12" s="2">
        <v>3.96618183425944E-15</v>
      </c>
      <c r="I12" s="2">
        <v>8.0421596428150902E-15</v>
      </c>
      <c r="J12" s="2">
        <v>-1.46222540962356E-15</v>
      </c>
      <c r="K12" s="2">
        <v>-1.0238026505568199E-15</v>
      </c>
      <c r="L12" s="2">
        <v>-8.4425511340252198E-16</v>
      </c>
      <c r="M12" s="2">
        <v>-1.04599585024158E-15</v>
      </c>
      <c r="N12" s="2">
        <v>-9.0225640846434701E-16</v>
      </c>
      <c r="O12" s="2">
        <v>-4.95093324717461E-16</v>
      </c>
      <c r="P12" s="2">
        <v>1.4274200723716201E-13</v>
      </c>
      <c r="Q12">
        <v>-0.138065073654387</v>
      </c>
      <c r="R12">
        <v>0</v>
      </c>
      <c r="S12">
        <v>-0.60241172642162499</v>
      </c>
      <c r="T12">
        <v>2.8530985318160298E-2</v>
      </c>
      <c r="U12">
        <v>-1.4315514981686901</v>
      </c>
      <c r="V12">
        <f t="shared" si="1"/>
        <v>-1.4315514981686897</v>
      </c>
      <c r="Y12" s="1">
        <f t="shared" si="2"/>
        <v>40086</v>
      </c>
      <c r="Z12" s="7">
        <f t="shared" si="2"/>
        <v>-4.33175668424031E-2</v>
      </c>
      <c r="AA12" s="7">
        <f t="shared" si="2"/>
        <v>-0.68899371157153999</v>
      </c>
      <c r="AB12" s="7">
        <f t="shared" si="2"/>
        <v>3.3900906970862899E-2</v>
      </c>
      <c r="AC12" s="7">
        <f t="shared" si="3"/>
        <v>-0.54116995321701711</v>
      </c>
      <c r="AD12" s="7">
        <f t="shared" si="4"/>
        <v>-8.24370851725163E-2</v>
      </c>
      <c r="AE12" s="7">
        <f t="shared" si="5"/>
        <v>-0.138065073654387</v>
      </c>
      <c r="AF12" s="7">
        <f t="shared" si="6"/>
        <v>1.59563076971597E-15</v>
      </c>
      <c r="AG12" s="7">
        <f t="shared" si="6"/>
        <v>3.96618183425944E-15</v>
      </c>
      <c r="AH12" s="7">
        <f t="shared" si="7"/>
        <v>2.8530985318305314E-2</v>
      </c>
      <c r="AI12" s="7">
        <f t="shared" si="0"/>
        <v>-1.4315514981686894</v>
      </c>
      <c r="AJ12" s="8">
        <f t="shared" si="8"/>
        <v>-0.67923502687140414</v>
      </c>
      <c r="AK12" s="8">
        <f t="shared" si="9"/>
        <v>-0.73752988977319345</v>
      </c>
      <c r="AL12" s="8">
        <f t="shared" si="10"/>
        <v>-4.33175668424031E-2</v>
      </c>
      <c r="AM12" s="8">
        <f t="shared" si="11"/>
        <v>2.8530985318305314E-2</v>
      </c>
      <c r="AN12" s="8">
        <f t="shared" si="12"/>
        <v>-1.4315514981686954</v>
      </c>
      <c r="AO12" s="9">
        <f t="shared" si="14"/>
        <v>3.4743483118477504E-2</v>
      </c>
      <c r="AP12" s="9">
        <f t="shared" si="13"/>
        <v>0.99697418656215886</v>
      </c>
      <c r="AQ12" s="9">
        <f t="shared" si="13"/>
        <v>-3.1058317523551367E-2</v>
      </c>
      <c r="AR12" s="9">
        <f t="shared" si="13"/>
        <v>-6.5935215708483102E-4</v>
      </c>
      <c r="AS12" s="9">
        <f t="shared" si="13"/>
        <v>1</v>
      </c>
      <c r="AT12" s="7"/>
      <c r="AU12" s="7"/>
      <c r="AV12" s="7"/>
      <c r="AW12" s="7"/>
      <c r="AX12" s="7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</row>
    <row r="13" spans="1:62" x14ac:dyDescent="0.25">
      <c r="A13" s="1">
        <v>40178</v>
      </c>
      <c r="B13">
        <v>-3.0099007684472E-2</v>
      </c>
      <c r="C13">
        <v>-0.60245974479715503</v>
      </c>
      <c r="D13">
        <v>6.09114293776674E-2</v>
      </c>
      <c r="E13">
        <v>-2.1856783957947899E-2</v>
      </c>
      <c r="F13">
        <v>7.8641998639801698E-4</v>
      </c>
      <c r="G13" s="2">
        <v>3.9066384251192198E-16</v>
      </c>
      <c r="H13" s="2">
        <v>4.4551475393455699E-15</v>
      </c>
      <c r="I13" s="2">
        <v>6.2207740500622297E-15</v>
      </c>
      <c r="J13" s="2">
        <v>-1.75555050950125E-15</v>
      </c>
      <c r="K13" s="2">
        <v>-1.3605621286311699E-15</v>
      </c>
      <c r="L13" s="2">
        <v>-1.16811699370988E-15</v>
      </c>
      <c r="M13" s="2">
        <v>-1.34502766510533E-15</v>
      </c>
      <c r="N13" s="2">
        <v>-9.3612443113292309E-16</v>
      </c>
      <c r="O13" s="2">
        <v>-1.0425317995976299E-15</v>
      </c>
      <c r="P13" s="2">
        <v>1.35912772964568E-13</v>
      </c>
      <c r="Q13">
        <v>-0.122545870815777</v>
      </c>
      <c r="R13">
        <v>0</v>
      </c>
      <c r="S13">
        <v>-0.48058537595143203</v>
      </c>
      <c r="T13">
        <v>2.8178083259223899E-2</v>
      </c>
      <c r="U13">
        <v>-1.16767085058335</v>
      </c>
      <c r="V13">
        <f t="shared" si="1"/>
        <v>-1.1676708505833551</v>
      </c>
      <c r="Y13" s="1">
        <f t="shared" si="2"/>
        <v>40178</v>
      </c>
      <c r="Z13" s="7">
        <f t="shared" si="2"/>
        <v>-3.0099007684472E-2</v>
      </c>
      <c r="AA13" s="7">
        <f t="shared" si="2"/>
        <v>-0.60245974479715503</v>
      </c>
      <c r="AB13" s="7">
        <f t="shared" si="2"/>
        <v>6.09114293776674E-2</v>
      </c>
      <c r="AC13" s="7">
        <f t="shared" si="3"/>
        <v>-0.47979895596503402</v>
      </c>
      <c r="AD13" s="7">
        <f t="shared" si="4"/>
        <v>-2.1856783957947899E-2</v>
      </c>
      <c r="AE13" s="7">
        <f t="shared" si="5"/>
        <v>-0.122545870815777</v>
      </c>
      <c r="AF13" s="7">
        <f t="shared" si="6"/>
        <v>3.9066384251192198E-16</v>
      </c>
      <c r="AG13" s="7">
        <f t="shared" si="6"/>
        <v>4.4551475393455699E-15</v>
      </c>
      <c r="AH13" s="7">
        <f t="shared" si="7"/>
        <v>2.8178083259358423E-2</v>
      </c>
      <c r="AI13" s="7">
        <f t="shared" si="0"/>
        <v>-1.1676708505833555</v>
      </c>
      <c r="AJ13" s="8">
        <f t="shared" si="8"/>
        <v>-0.60234482678081103</v>
      </c>
      <c r="AK13" s="8">
        <f t="shared" si="9"/>
        <v>-0.56340509937743555</v>
      </c>
      <c r="AL13" s="8">
        <f t="shared" si="10"/>
        <v>-3.0099007684472E-2</v>
      </c>
      <c r="AM13" s="8">
        <f t="shared" si="11"/>
        <v>2.8178083259358423E-2</v>
      </c>
      <c r="AN13" s="8">
        <f t="shared" si="12"/>
        <v>-1.1676708505833602</v>
      </c>
      <c r="AO13" s="9">
        <f t="shared" si="14"/>
        <v>0.29138248975127251</v>
      </c>
      <c r="AP13" s="9">
        <f t="shared" si="13"/>
        <v>0.65986191859502852</v>
      </c>
      <c r="AQ13" s="9">
        <f t="shared" si="13"/>
        <v>5.0092946485044552E-2</v>
      </c>
      <c r="AR13" s="9">
        <f t="shared" si="13"/>
        <v>-1.337354831345742E-3</v>
      </c>
      <c r="AS13" s="9">
        <f t="shared" si="13"/>
        <v>1</v>
      </c>
      <c r="AT13" s="7"/>
      <c r="AU13" s="7"/>
      <c r="AV13" s="7"/>
      <c r="AW13" s="7"/>
      <c r="AX13" s="7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</row>
    <row r="14" spans="1:62" x14ac:dyDescent="0.25">
      <c r="A14" s="1">
        <v>40268</v>
      </c>
      <c r="B14">
        <v>-3.1649797445328302E-2</v>
      </c>
      <c r="C14">
        <v>-0.46842204801781701</v>
      </c>
      <c r="D14">
        <v>0.124013420035627</v>
      </c>
      <c r="E14">
        <v>-4.45041979082458E-2</v>
      </c>
      <c r="F14">
        <v>-1.2096584156413201E-2</v>
      </c>
      <c r="G14" s="2">
        <v>4.6556230746414597E-16</v>
      </c>
      <c r="H14" s="2">
        <v>5.8434920144823E-15</v>
      </c>
      <c r="I14" s="2">
        <v>5.8218776954465003E-15</v>
      </c>
      <c r="J14" s="2">
        <v>-1.8572437514583E-15</v>
      </c>
      <c r="K14" s="2">
        <v>-1.46894115146992E-15</v>
      </c>
      <c r="L14" s="2">
        <v>-1.22987058397615E-15</v>
      </c>
      <c r="M14" s="2">
        <v>-1.1325430805426999E-15</v>
      </c>
      <c r="N14" s="2">
        <v>-1.1120109535229001E-15</v>
      </c>
      <c r="O14" s="2">
        <v>-1.38953864678458E-15</v>
      </c>
      <c r="P14" s="2">
        <v>1.36621164920324E-13</v>
      </c>
      <c r="Q14">
        <v>-0.162006547988397</v>
      </c>
      <c r="R14">
        <v>0</v>
      </c>
      <c r="S14">
        <v>-0.59961400955792898</v>
      </c>
      <c r="T14">
        <v>2.78298006199184E-2</v>
      </c>
      <c r="U14">
        <v>-1.1664499644184401</v>
      </c>
      <c r="V14">
        <f t="shared" si="1"/>
        <v>-1.1664499644184443</v>
      </c>
      <c r="Y14" s="1">
        <f t="shared" si="2"/>
        <v>40268</v>
      </c>
      <c r="Z14" s="7">
        <f t="shared" si="2"/>
        <v>-3.1649797445328302E-2</v>
      </c>
      <c r="AA14" s="7">
        <f t="shared" si="2"/>
        <v>-0.46842204801781701</v>
      </c>
      <c r="AB14" s="7">
        <f t="shared" si="2"/>
        <v>0.124013420035627</v>
      </c>
      <c r="AC14" s="7">
        <f t="shared" si="3"/>
        <v>-0.61171059371434222</v>
      </c>
      <c r="AD14" s="7">
        <f t="shared" si="4"/>
        <v>-4.45041979082458E-2</v>
      </c>
      <c r="AE14" s="7">
        <f t="shared" si="5"/>
        <v>-0.162006547988397</v>
      </c>
      <c r="AF14" s="7">
        <f t="shared" si="6"/>
        <v>4.6556230746414597E-16</v>
      </c>
      <c r="AG14" s="7">
        <f t="shared" si="6"/>
        <v>5.8434920144823E-15</v>
      </c>
      <c r="AH14" s="7">
        <f t="shared" si="7"/>
        <v>2.7829800620052653E-2</v>
      </c>
      <c r="AI14" s="7">
        <f t="shared" si="0"/>
        <v>-1.1664499644184445</v>
      </c>
      <c r="AJ14" s="8">
        <f t="shared" si="8"/>
        <v>-0.7737171417027392</v>
      </c>
      <c r="AK14" s="8">
        <f t="shared" si="9"/>
        <v>-0.3889128258904358</v>
      </c>
      <c r="AL14" s="8">
        <f t="shared" si="10"/>
        <v>-3.1649797445328302E-2</v>
      </c>
      <c r="AM14" s="8">
        <f t="shared" si="11"/>
        <v>2.7829800620052653E-2</v>
      </c>
      <c r="AN14" s="8">
        <f t="shared" si="12"/>
        <v>-1.1664499644184507</v>
      </c>
      <c r="AO14" s="9">
        <f t="shared" si="14"/>
        <v>-140.36715284969929</v>
      </c>
      <c r="AP14" s="9">
        <f t="shared" si="13"/>
        <v>142.92263972042076</v>
      </c>
      <c r="AQ14" s="9">
        <f t="shared" si="13"/>
        <v>-1.2702165078357801</v>
      </c>
      <c r="AR14" s="9">
        <f t="shared" si="13"/>
        <v>-0.28527036288563451</v>
      </c>
      <c r="AS14" s="9">
        <f t="shared" si="13"/>
        <v>1</v>
      </c>
      <c r="AT14" s="7"/>
      <c r="AU14" s="7"/>
      <c r="AV14" s="7"/>
      <c r="AW14" s="7"/>
      <c r="AX14" s="7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</row>
    <row r="15" spans="1:62" x14ac:dyDescent="0.25">
      <c r="A15" s="1">
        <v>40359</v>
      </c>
      <c r="B15">
        <v>-3.1615645625158999E-2</v>
      </c>
      <c r="C15">
        <v>-0.54831253436719896</v>
      </c>
      <c r="D15">
        <v>4.4095324864127601E-2</v>
      </c>
      <c r="E15">
        <v>1.74160616301348E-3</v>
      </c>
      <c r="F15">
        <v>-1.5743722750366E-2</v>
      </c>
      <c r="G15" s="2">
        <v>5.21522787382365E-16</v>
      </c>
      <c r="H15" s="2">
        <v>6.42327760641727E-15</v>
      </c>
      <c r="I15" s="2">
        <v>6.9284623129074701E-15</v>
      </c>
      <c r="J15" s="2">
        <v>-1.5819030785438899E-15</v>
      </c>
      <c r="K15" s="2">
        <v>-1.2089366854701701E-15</v>
      </c>
      <c r="L15" s="2">
        <v>-8.2785427453929601E-16</v>
      </c>
      <c r="M15" s="2">
        <v>-1.1647148705575001E-15</v>
      </c>
      <c r="N15" s="2">
        <v>-1.41318190585029E-15</v>
      </c>
      <c r="O15" s="2">
        <v>-1.6165319807233E-15</v>
      </c>
      <c r="P15" s="2">
        <v>1.3318595706137999E-13</v>
      </c>
      <c r="Q15">
        <v>-0.113842815197804</v>
      </c>
      <c r="R15">
        <v>0</v>
      </c>
      <c r="S15">
        <v>-0.69204424444071</v>
      </c>
      <c r="T15">
        <v>2.7486074677463401E-2</v>
      </c>
      <c r="U15">
        <v>-1.3282359566764901</v>
      </c>
      <c r="V15">
        <f t="shared" si="1"/>
        <v>-1.3282359566764941</v>
      </c>
      <c r="Y15" s="1">
        <f t="shared" si="2"/>
        <v>40359</v>
      </c>
      <c r="Z15" s="7">
        <f t="shared" si="2"/>
        <v>-3.1615645625158999E-2</v>
      </c>
      <c r="AA15" s="7">
        <f t="shared" si="2"/>
        <v>-0.54831253436719896</v>
      </c>
      <c r="AB15" s="7">
        <f t="shared" si="2"/>
        <v>4.4095324864127601E-2</v>
      </c>
      <c r="AC15" s="7">
        <f t="shared" si="3"/>
        <v>-0.70778796719107595</v>
      </c>
      <c r="AD15" s="7">
        <f t="shared" si="4"/>
        <v>1.74160616301348E-3</v>
      </c>
      <c r="AE15" s="7">
        <f t="shared" si="5"/>
        <v>-0.113842815197804</v>
      </c>
      <c r="AF15" s="7">
        <f t="shared" si="6"/>
        <v>5.21522787382365E-16</v>
      </c>
      <c r="AG15" s="7">
        <f t="shared" si="6"/>
        <v>6.42327760641727E-15</v>
      </c>
      <c r="AH15" s="7">
        <f t="shared" si="7"/>
        <v>2.7486074677595701E-2</v>
      </c>
      <c r="AI15" s="7">
        <f t="shared" si="0"/>
        <v>-1.3282359566764941</v>
      </c>
      <c r="AJ15" s="8">
        <f t="shared" si="8"/>
        <v>-0.82163078238887999</v>
      </c>
      <c r="AK15" s="8">
        <f t="shared" si="9"/>
        <v>-0.50247560334005792</v>
      </c>
      <c r="AL15" s="8">
        <f t="shared" si="10"/>
        <v>-3.1615645625158999E-2</v>
      </c>
      <c r="AM15" s="8">
        <f t="shared" si="11"/>
        <v>2.7486074677595701E-2</v>
      </c>
      <c r="AN15" s="8">
        <f t="shared" si="12"/>
        <v>-1.3282359566765012</v>
      </c>
      <c r="AO15" s="9">
        <f t="shared" si="14"/>
        <v>0.29615444463027429</v>
      </c>
      <c r="AP15" s="9">
        <f t="shared" si="13"/>
        <v>0.70193207622380693</v>
      </c>
      <c r="AQ15" s="9">
        <f t="shared" si="13"/>
        <v>-2.1109256550981925E-4</v>
      </c>
      <c r="AR15" s="9">
        <f t="shared" si="13"/>
        <v>2.1245717114291678E-3</v>
      </c>
      <c r="AS15" s="9">
        <f t="shared" si="13"/>
        <v>1</v>
      </c>
      <c r="AT15" s="7"/>
      <c r="AU15" s="7"/>
      <c r="AV15" s="7"/>
      <c r="AW15" s="7"/>
      <c r="AX15" s="7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</row>
    <row r="16" spans="1:62" x14ac:dyDescent="0.25">
      <c r="A16" s="1">
        <v>40451</v>
      </c>
      <c r="B16">
        <v>-2.1774607847629E-2</v>
      </c>
      <c r="C16">
        <v>-0.64699129918790999</v>
      </c>
      <c r="D16">
        <v>2.6367831959021301E-2</v>
      </c>
      <c r="E16">
        <v>-5.6494932586814997E-2</v>
      </c>
      <c r="F16">
        <v>-4.4580074322302397E-2</v>
      </c>
      <c r="G16" s="2">
        <v>9.7371559294166407E-16</v>
      </c>
      <c r="H16" s="2">
        <v>7.1491412984076604E-15</v>
      </c>
      <c r="I16" s="2">
        <v>6.4736127538416597E-15</v>
      </c>
      <c r="J16" s="2">
        <v>-1.6404168278082199E-15</v>
      </c>
      <c r="K16" s="2">
        <v>-1.0732629630185E-15</v>
      </c>
      <c r="L16" s="2">
        <v>-9.9429347219321199E-16</v>
      </c>
      <c r="M16" s="2">
        <v>-1.4480528816524901E-15</v>
      </c>
      <c r="N16" s="2">
        <v>-1.50668381506842E-15</v>
      </c>
      <c r="O16" s="2">
        <v>-1.2340487415417301E-15</v>
      </c>
      <c r="P16" s="2">
        <v>1.31998282104199E-13</v>
      </c>
      <c r="Q16">
        <v>-0.150012718937128</v>
      </c>
      <c r="R16">
        <v>0</v>
      </c>
      <c r="S16">
        <v>-0.63058054788968898</v>
      </c>
      <c r="T16">
        <v>2.7146843535144599E-2</v>
      </c>
      <c r="U16">
        <v>-1.49691950527716</v>
      </c>
      <c r="V16">
        <f t="shared" si="1"/>
        <v>-1.4969195052771691</v>
      </c>
      <c r="Y16" s="1">
        <f t="shared" si="2"/>
        <v>40451</v>
      </c>
      <c r="Z16" s="7">
        <f t="shared" si="2"/>
        <v>-2.1774607847629E-2</v>
      </c>
      <c r="AA16" s="7">
        <f t="shared" si="2"/>
        <v>-0.64699129918790999</v>
      </c>
      <c r="AB16" s="7">
        <f t="shared" si="2"/>
        <v>2.6367831959021301E-2</v>
      </c>
      <c r="AC16" s="7">
        <f t="shared" si="3"/>
        <v>-0.67516062221199136</v>
      </c>
      <c r="AD16" s="7">
        <f t="shared" si="4"/>
        <v>-5.6494932586814997E-2</v>
      </c>
      <c r="AE16" s="7">
        <f t="shared" si="5"/>
        <v>-0.150012718937128</v>
      </c>
      <c r="AF16" s="7">
        <f t="shared" si="6"/>
        <v>9.7371559294166407E-16</v>
      </c>
      <c r="AG16" s="7">
        <f t="shared" si="6"/>
        <v>7.1491412984076604E-15</v>
      </c>
      <c r="AH16" s="7">
        <f t="shared" si="7"/>
        <v>2.7146843535275175E-2</v>
      </c>
      <c r="AI16" s="7">
        <f t="shared" si="0"/>
        <v>-1.4969195052771691</v>
      </c>
      <c r="AJ16" s="8">
        <f t="shared" si="8"/>
        <v>-0.82517334114911933</v>
      </c>
      <c r="AK16" s="8">
        <f t="shared" si="9"/>
        <v>-0.67711839981570376</v>
      </c>
      <c r="AL16" s="8">
        <f t="shared" si="10"/>
        <v>-2.1774607847629E-2</v>
      </c>
      <c r="AM16" s="8">
        <f t="shared" si="11"/>
        <v>2.7146843535275175E-2</v>
      </c>
      <c r="AN16" s="8">
        <f t="shared" si="12"/>
        <v>-1.4969195052771771</v>
      </c>
      <c r="AO16" s="9">
        <f t="shared" si="14"/>
        <v>2.1001210785680315E-2</v>
      </c>
      <c r="AP16" s="9">
        <f t="shared" si="13"/>
        <v>1.0353279731450116</v>
      </c>
      <c r="AQ16" s="9">
        <f t="shared" si="13"/>
        <v>-5.8340234475542485E-2</v>
      </c>
      <c r="AR16" s="9">
        <f t="shared" si="13"/>
        <v>2.0110505448494367E-3</v>
      </c>
      <c r="AS16" s="9">
        <f t="shared" si="13"/>
        <v>1</v>
      </c>
      <c r="AT16" s="7"/>
      <c r="AU16" s="7"/>
      <c r="AV16" s="7"/>
      <c r="AW16" s="7"/>
      <c r="AX16" s="7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</row>
    <row r="17" spans="1:87" x14ac:dyDescent="0.25">
      <c r="A17" s="1">
        <v>40543</v>
      </c>
      <c r="B17">
        <v>-4.3319194618868302E-2</v>
      </c>
      <c r="C17">
        <v>-0.64320730083890298</v>
      </c>
      <c r="D17">
        <v>7.2999260802330601E-2</v>
      </c>
      <c r="E17">
        <v>-1.25136706536238E-2</v>
      </c>
      <c r="F17">
        <v>-6.0341224598345997E-2</v>
      </c>
      <c r="G17" s="2">
        <v>9.4346117391533305E-17</v>
      </c>
      <c r="H17" s="2">
        <v>8.0498173325317994E-15</v>
      </c>
      <c r="I17" s="2">
        <v>5.82288800092194E-15</v>
      </c>
      <c r="J17" s="2">
        <v>-1.5494796963376501E-15</v>
      </c>
      <c r="K17" s="2">
        <v>-1.2689790451136701E-15</v>
      </c>
      <c r="L17" s="2">
        <v>-1.3254204863773301E-15</v>
      </c>
      <c r="M17" s="2">
        <v>-1.6763826077398399E-15</v>
      </c>
      <c r="N17" s="2">
        <v>-1.40614415398321E-15</v>
      </c>
      <c r="O17" s="2">
        <v>-1.58426178328732E-15</v>
      </c>
      <c r="P17" s="2">
        <v>1.28716824898122E-13</v>
      </c>
      <c r="Q17">
        <v>-0.12093770156528</v>
      </c>
      <c r="R17">
        <v>0</v>
      </c>
      <c r="S17">
        <v>-0.60192700590214998</v>
      </c>
      <c r="T17">
        <v>2.68120461134304E-2</v>
      </c>
      <c r="U17">
        <v>-1.38243479126127</v>
      </c>
      <c r="V17">
        <f t="shared" si="1"/>
        <v>-1.3824347912612762</v>
      </c>
      <c r="Y17" s="1">
        <f t="shared" si="2"/>
        <v>40543</v>
      </c>
      <c r="Z17" s="7">
        <f t="shared" si="2"/>
        <v>-4.3319194618868302E-2</v>
      </c>
      <c r="AA17" s="7">
        <f t="shared" si="2"/>
        <v>-0.64320730083890298</v>
      </c>
      <c r="AB17" s="7">
        <f t="shared" si="2"/>
        <v>7.2999260802330601E-2</v>
      </c>
      <c r="AC17" s="7">
        <f t="shared" si="3"/>
        <v>-0.66226823050049599</v>
      </c>
      <c r="AD17" s="7">
        <f t="shared" si="4"/>
        <v>-1.25136706536238E-2</v>
      </c>
      <c r="AE17" s="7">
        <f t="shared" si="5"/>
        <v>-0.12093770156528</v>
      </c>
      <c r="AF17" s="7">
        <f t="shared" si="6"/>
        <v>9.4346117391533305E-17</v>
      </c>
      <c r="AG17" s="7">
        <f t="shared" si="6"/>
        <v>8.0498173325317994E-15</v>
      </c>
      <c r="AH17" s="7">
        <f t="shared" si="7"/>
        <v>2.6812046113556125E-2</v>
      </c>
      <c r="AI17" s="7">
        <f t="shared" si="0"/>
        <v>-1.3824347912612764</v>
      </c>
      <c r="AJ17" s="8">
        <f t="shared" si="8"/>
        <v>-0.78320593206577604</v>
      </c>
      <c r="AK17" s="8">
        <f t="shared" si="9"/>
        <v>-0.58272171069019618</v>
      </c>
      <c r="AL17" s="8">
        <f t="shared" si="10"/>
        <v>-4.3319194618868302E-2</v>
      </c>
      <c r="AM17" s="8">
        <f t="shared" si="11"/>
        <v>2.6812046113556125E-2</v>
      </c>
      <c r="AN17" s="8">
        <f t="shared" si="12"/>
        <v>-1.3824347912612842</v>
      </c>
      <c r="AO17" s="9">
        <f t="shared" si="14"/>
        <v>0.36657652896366</v>
      </c>
      <c r="AP17" s="9">
        <f t="shared" si="13"/>
        <v>0.82453530968687516</v>
      </c>
      <c r="AQ17" s="9">
        <f t="shared" si="13"/>
        <v>-0.18818745328960215</v>
      </c>
      <c r="AR17" s="9">
        <f t="shared" si="13"/>
        <v>-2.924385360936246E-3</v>
      </c>
      <c r="AS17" s="9">
        <f t="shared" si="13"/>
        <v>1</v>
      </c>
      <c r="AT17" s="7"/>
      <c r="AU17" s="7"/>
      <c r="AV17" s="7"/>
      <c r="AW17" s="7"/>
      <c r="AX17" s="7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</row>
    <row r="18" spans="1:87" x14ac:dyDescent="0.25">
      <c r="A18" s="1">
        <v>40633</v>
      </c>
      <c r="B18">
        <v>-6.0369892570148201E-2</v>
      </c>
      <c r="C18">
        <v>-0.50339195366031597</v>
      </c>
      <c r="D18">
        <v>9.5046537643726295E-2</v>
      </c>
      <c r="E18">
        <v>-4.1942178668980298E-2</v>
      </c>
      <c r="F18">
        <v>-4.6035059822334398E-2</v>
      </c>
      <c r="G18" s="2">
        <v>-1.82898841589132E-16</v>
      </c>
      <c r="H18" s="2">
        <v>8.1726712722246794E-15</v>
      </c>
      <c r="I18" s="2">
        <v>5.7118811968446304E-15</v>
      </c>
      <c r="J18" s="2">
        <v>-1.7886324544121901E-15</v>
      </c>
      <c r="K18" s="2">
        <v>-1.62824788082647E-15</v>
      </c>
      <c r="L18" s="2">
        <v>-1.5382664996074199E-15</v>
      </c>
      <c r="M18" s="2">
        <v>-1.5413803643509901E-15</v>
      </c>
      <c r="N18" s="2">
        <v>-1.5867196603871699E-15</v>
      </c>
      <c r="O18" s="2">
        <v>-1.4595263204424701E-15</v>
      </c>
      <c r="P18" s="2">
        <v>1.25975287209406E-13</v>
      </c>
      <c r="Q18">
        <v>-0.15940118263389599</v>
      </c>
      <c r="R18">
        <v>0</v>
      </c>
      <c r="S18">
        <v>-0.50303567107194003</v>
      </c>
      <c r="T18">
        <v>2.6481622141112202E-2</v>
      </c>
      <c r="U18">
        <v>-1.1926477786426399</v>
      </c>
      <c r="V18">
        <f t="shared" si="1"/>
        <v>-1.1926477786426464</v>
      </c>
      <c r="Y18" s="1">
        <f t="shared" si="2"/>
        <v>40633</v>
      </c>
      <c r="Z18" s="7">
        <f t="shared" si="2"/>
        <v>-6.0369892570148201E-2</v>
      </c>
      <c r="AA18" s="7">
        <f t="shared" si="2"/>
        <v>-0.50339195366031597</v>
      </c>
      <c r="AB18" s="7">
        <f t="shared" si="2"/>
        <v>9.5046537643726295E-2</v>
      </c>
      <c r="AC18" s="7">
        <f t="shared" si="3"/>
        <v>-0.54907073089427438</v>
      </c>
      <c r="AD18" s="7">
        <f t="shared" si="4"/>
        <v>-4.1942178668980298E-2</v>
      </c>
      <c r="AE18" s="7">
        <f t="shared" si="5"/>
        <v>-0.15940118263389599</v>
      </c>
      <c r="AF18" s="7">
        <f t="shared" si="6"/>
        <v>-1.82898841589132E-16</v>
      </c>
      <c r="AG18" s="7">
        <f t="shared" si="6"/>
        <v>8.1726712722246794E-15</v>
      </c>
      <c r="AH18" s="7">
        <f t="shared" si="7"/>
        <v>2.6481622141234347E-2</v>
      </c>
      <c r="AI18" s="7">
        <f t="shared" si="0"/>
        <v>-1.1926477786426462</v>
      </c>
      <c r="AJ18" s="8">
        <f t="shared" si="8"/>
        <v>-0.7084719135281704</v>
      </c>
      <c r="AK18" s="8">
        <f t="shared" si="9"/>
        <v>-0.45028759468557</v>
      </c>
      <c r="AL18" s="8">
        <f t="shared" si="10"/>
        <v>-6.0369892570148201E-2</v>
      </c>
      <c r="AM18" s="8">
        <f t="shared" si="11"/>
        <v>2.6481622141234347E-2</v>
      </c>
      <c r="AN18" s="8">
        <f t="shared" si="12"/>
        <v>-1.1926477786426541</v>
      </c>
      <c r="AO18" s="9">
        <f t="shared" si="14"/>
        <v>0.39377835978577136</v>
      </c>
      <c r="AP18" s="9">
        <f t="shared" si="13"/>
        <v>0.69780389172755253</v>
      </c>
      <c r="AQ18" s="9">
        <f t="shared" si="13"/>
        <v>-8.984122630952962E-2</v>
      </c>
      <c r="AR18" s="9">
        <f t="shared" si="13"/>
        <v>-1.7410252037938609E-3</v>
      </c>
      <c r="AS18" s="9">
        <f t="shared" si="13"/>
        <v>1</v>
      </c>
      <c r="AT18" s="7"/>
      <c r="AU18" s="7"/>
      <c r="AV18" s="7"/>
      <c r="AW18" s="7"/>
      <c r="AX18" s="7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</row>
    <row r="19" spans="1:87" x14ac:dyDescent="0.25">
      <c r="A19" s="1">
        <v>40724</v>
      </c>
      <c r="B19">
        <v>-6.5645686375101805E-2</v>
      </c>
      <c r="C19">
        <v>-0.59893156260416203</v>
      </c>
      <c r="D19">
        <v>0.11655462761706099</v>
      </c>
      <c r="E19">
        <v>9.7854710040585803E-3</v>
      </c>
      <c r="F19">
        <v>-5.9607905696732903E-2</v>
      </c>
      <c r="G19" s="2">
        <v>-1.3253199927269799E-15</v>
      </c>
      <c r="H19" s="2">
        <v>9.5693701403301796E-15</v>
      </c>
      <c r="I19" s="2">
        <v>5.8543686761845898E-15</v>
      </c>
      <c r="J19" s="2">
        <v>-1.8110919032512599E-15</v>
      </c>
      <c r="K19" s="2">
        <v>-1.5769836980061E-15</v>
      </c>
      <c r="L19" s="2">
        <v>-1.26163801550738E-15</v>
      </c>
      <c r="M19" s="2">
        <v>-1.6283392354024E-15</v>
      </c>
      <c r="N19" s="2">
        <v>-1.5199291741893701E-15</v>
      </c>
      <c r="O19" s="2">
        <v>-1.3233094100727E-15</v>
      </c>
      <c r="P19" s="2">
        <v>1.2515032485145001E-13</v>
      </c>
      <c r="Q19">
        <v>-0.12561262853362801</v>
      </c>
      <c r="R19">
        <v>0</v>
      </c>
      <c r="S19">
        <v>-0.70834940668539703</v>
      </c>
      <c r="T19">
        <v>2.6155512146474099E-2</v>
      </c>
      <c r="U19">
        <v>-1.4056515791272901</v>
      </c>
      <c r="V19">
        <f t="shared" si="1"/>
        <v>-1.4056515791272981</v>
      </c>
      <c r="Y19" s="1">
        <f t="shared" si="2"/>
        <v>40724</v>
      </c>
      <c r="Z19" s="7">
        <f t="shared" si="2"/>
        <v>-6.5645686375101805E-2</v>
      </c>
      <c r="AA19" s="7">
        <f t="shared" si="2"/>
        <v>-0.59893156260416203</v>
      </c>
      <c r="AB19" s="7">
        <f t="shared" si="2"/>
        <v>0.11655462761706099</v>
      </c>
      <c r="AC19" s="7">
        <f t="shared" si="3"/>
        <v>-0.76795731238212994</v>
      </c>
      <c r="AD19" s="7">
        <f t="shared" si="4"/>
        <v>9.7854710040585803E-3</v>
      </c>
      <c r="AE19" s="7">
        <f t="shared" si="5"/>
        <v>-0.12561262853362801</v>
      </c>
      <c r="AF19" s="7">
        <f t="shared" si="6"/>
        <v>-1.3253199927269799E-15</v>
      </c>
      <c r="AG19" s="7">
        <f t="shared" si="6"/>
        <v>9.5693701403301796E-15</v>
      </c>
      <c r="AH19" s="7">
        <f t="shared" si="7"/>
        <v>2.6155512146595981E-2</v>
      </c>
      <c r="AI19" s="7">
        <f t="shared" si="0"/>
        <v>-1.4056515791272981</v>
      </c>
      <c r="AJ19" s="8">
        <f t="shared" si="8"/>
        <v>-0.89356994091575792</v>
      </c>
      <c r="AK19" s="8">
        <f t="shared" si="9"/>
        <v>-0.47259146398304247</v>
      </c>
      <c r="AL19" s="8">
        <f t="shared" si="10"/>
        <v>-6.5645686375101805E-2</v>
      </c>
      <c r="AM19" s="8">
        <f t="shared" si="11"/>
        <v>2.6155512146595981E-2</v>
      </c>
      <c r="AN19" s="8">
        <f t="shared" si="12"/>
        <v>-1.4056515791273063</v>
      </c>
      <c r="AO19" s="9">
        <f t="shared" si="14"/>
        <v>0.86898931834281812</v>
      </c>
      <c r="AP19" s="9">
        <f t="shared" si="14"/>
        <v>0.10471113307238646</v>
      </c>
      <c r="AQ19" s="9">
        <f t="shared" si="14"/>
        <v>2.4768543063313782E-2</v>
      </c>
      <c r="AR19" s="9">
        <f t="shared" si="14"/>
        <v>1.5310055214806547E-3</v>
      </c>
      <c r="AS19" s="9">
        <f t="shared" si="14"/>
        <v>1</v>
      </c>
      <c r="AT19" s="7"/>
      <c r="AU19" s="7"/>
      <c r="AV19" s="7"/>
      <c r="AW19" s="7"/>
      <c r="AX19" s="7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</row>
    <row r="20" spans="1:87" x14ac:dyDescent="0.25">
      <c r="A20" s="1">
        <v>40816</v>
      </c>
      <c r="B20">
        <v>-8.7670251988722997E-2</v>
      </c>
      <c r="C20">
        <v>-0.77002926116769899</v>
      </c>
      <c r="D20">
        <v>1.58039091327947E-2</v>
      </c>
      <c r="E20">
        <v>3.9583459916772402E-2</v>
      </c>
      <c r="F20">
        <v>-5.4097471930341298E-2</v>
      </c>
      <c r="G20" s="2">
        <v>-1.49581122817398E-15</v>
      </c>
      <c r="H20" s="2">
        <v>1.04262272376988E-14</v>
      </c>
      <c r="I20" s="2">
        <v>6.2792340289272897E-15</v>
      </c>
      <c r="J20" s="2">
        <v>-1.6157552191820001E-15</v>
      </c>
      <c r="K20" s="2">
        <v>-1.1876538764104099E-15</v>
      </c>
      <c r="L20" s="2">
        <v>-1.2258358486525601E-15</v>
      </c>
      <c r="M20" s="2">
        <v>-1.47053585967743E-15</v>
      </c>
      <c r="N20" s="2">
        <v>-1.31184462432613E-15</v>
      </c>
      <c r="O20" s="2">
        <v>-1.58897865405209E-15</v>
      </c>
      <c r="P20" s="2">
        <v>1.22357593574606E-13</v>
      </c>
      <c r="Q20">
        <v>-8.7863663992559404E-2</v>
      </c>
      <c r="R20">
        <v>0</v>
      </c>
      <c r="S20">
        <v>-0.85745045784334795</v>
      </c>
      <c r="T20">
        <v>2.5833657448489599E-2</v>
      </c>
      <c r="U20">
        <v>-1.7758900804244799</v>
      </c>
      <c r="V20">
        <f t="shared" si="1"/>
        <v>-1.7758900804244846</v>
      </c>
      <c r="Y20" s="1">
        <f t="shared" si="2"/>
        <v>40816</v>
      </c>
      <c r="Z20" s="7">
        <f t="shared" si="2"/>
        <v>-8.7670251988722997E-2</v>
      </c>
      <c r="AA20" s="7">
        <f t="shared" si="2"/>
        <v>-0.77002926116769899</v>
      </c>
      <c r="AB20" s="7">
        <f t="shared" si="2"/>
        <v>1.58039091327947E-2</v>
      </c>
      <c r="AC20" s="7">
        <f t="shared" si="3"/>
        <v>-0.91154792977368926</v>
      </c>
      <c r="AD20" s="7">
        <f t="shared" si="4"/>
        <v>3.9583459916772402E-2</v>
      </c>
      <c r="AE20" s="7">
        <f t="shared" si="5"/>
        <v>-8.7863663992559404E-2</v>
      </c>
      <c r="AF20" s="7">
        <f t="shared" si="6"/>
        <v>-1.49581122817398E-15</v>
      </c>
      <c r="AG20" s="7">
        <f t="shared" si="6"/>
        <v>1.04262272376988E-14</v>
      </c>
      <c r="AH20" s="7">
        <f t="shared" si="7"/>
        <v>2.5833657448609836E-2</v>
      </c>
      <c r="AI20" s="7">
        <f t="shared" si="0"/>
        <v>-1.7758900804244848</v>
      </c>
      <c r="AJ20" s="8">
        <f t="shared" si="8"/>
        <v>-0.99941159376624866</v>
      </c>
      <c r="AK20" s="8">
        <f t="shared" si="9"/>
        <v>-0.71464189211813189</v>
      </c>
      <c r="AL20" s="8">
        <f t="shared" si="10"/>
        <v>-8.7670251988722997E-2</v>
      </c>
      <c r="AM20" s="8">
        <f t="shared" si="11"/>
        <v>2.5833657448609836E-2</v>
      </c>
      <c r="AN20" s="8">
        <f t="shared" si="12"/>
        <v>-1.7758900804244937</v>
      </c>
      <c r="AO20" s="9">
        <f t="shared" si="14"/>
        <v>0.28587424722080029</v>
      </c>
      <c r="AP20" s="9">
        <f t="shared" si="14"/>
        <v>0.65376892810182796</v>
      </c>
      <c r="AQ20" s="9">
        <f t="shared" si="14"/>
        <v>5.9487507475464454E-2</v>
      </c>
      <c r="AR20" s="9">
        <f t="shared" si="14"/>
        <v>8.6931720190762754E-4</v>
      </c>
      <c r="AS20" s="9">
        <f t="shared" si="14"/>
        <v>1</v>
      </c>
      <c r="AT20" s="7"/>
      <c r="AU20" s="7"/>
      <c r="AV20" s="7"/>
      <c r="AW20" s="7"/>
      <c r="AX20" s="7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</row>
    <row r="21" spans="1:87" x14ac:dyDescent="0.25">
      <c r="A21" s="1">
        <v>40908</v>
      </c>
      <c r="B21">
        <v>-8.3000839878612606E-2</v>
      </c>
      <c r="C21">
        <v>-0.81965246808738901</v>
      </c>
      <c r="D21">
        <v>1.3125574144345399E-2</v>
      </c>
      <c r="E21">
        <v>1.09570966101385E-3</v>
      </c>
      <c r="F21">
        <v>-6.3758126289571906E-2</v>
      </c>
      <c r="G21" s="2">
        <v>-1.2432495585551801E-15</v>
      </c>
      <c r="H21" s="2">
        <v>1.22479272379491E-14</v>
      </c>
      <c r="I21" s="2">
        <v>6.3584555793770101E-15</v>
      </c>
      <c r="J21" s="2">
        <v>-1.36835750170257E-15</v>
      </c>
      <c r="K21" s="2">
        <v>-1.2104446230870101E-15</v>
      </c>
      <c r="L21" s="2">
        <v>-1.0921754183329199E-15</v>
      </c>
      <c r="M21" s="2">
        <v>-1.2258313928547001E-15</v>
      </c>
      <c r="N21" s="2">
        <v>-1.3992272910191599E-15</v>
      </c>
      <c r="O21" s="2">
        <v>-1.51547965476386E-15</v>
      </c>
      <c r="P21" s="2">
        <v>1.2551031567405901E-13</v>
      </c>
      <c r="Q21">
        <v>-8.7570204613177202E-2</v>
      </c>
      <c r="R21">
        <v>0</v>
      </c>
      <c r="S21">
        <v>-1.0421218165767301</v>
      </c>
      <c r="T21">
        <v>2.55160001480517E-2</v>
      </c>
      <c r="U21">
        <v>-2.0563661714919399</v>
      </c>
      <c r="V21">
        <f t="shared" si="1"/>
        <v>-2.056366171491935</v>
      </c>
      <c r="Y21" s="1">
        <f t="shared" si="2"/>
        <v>40908</v>
      </c>
      <c r="Z21" s="7">
        <f t="shared" si="2"/>
        <v>-8.3000839878612606E-2</v>
      </c>
      <c r="AA21" s="7">
        <f t="shared" si="2"/>
        <v>-0.81965246808738901</v>
      </c>
      <c r="AB21" s="7">
        <f t="shared" si="2"/>
        <v>1.3125574144345399E-2</v>
      </c>
      <c r="AC21" s="7">
        <f t="shared" si="3"/>
        <v>-1.105879942866302</v>
      </c>
      <c r="AD21" s="7">
        <f t="shared" si="4"/>
        <v>1.09570966101385E-3</v>
      </c>
      <c r="AE21" s="7">
        <f t="shared" si="5"/>
        <v>-8.7570204613177202E-2</v>
      </c>
      <c r="AF21" s="7">
        <f t="shared" si="6"/>
        <v>-1.2432495585551801E-15</v>
      </c>
      <c r="AG21" s="7">
        <f t="shared" si="6"/>
        <v>1.22479272379491E-14</v>
      </c>
      <c r="AH21" s="7">
        <f t="shared" si="7"/>
        <v>2.551600014817576E-2</v>
      </c>
      <c r="AI21" s="7">
        <f t="shared" si="0"/>
        <v>-2.0563661714919346</v>
      </c>
      <c r="AJ21" s="8">
        <f t="shared" si="8"/>
        <v>-1.1934501474794792</v>
      </c>
      <c r="AK21" s="8">
        <f t="shared" si="9"/>
        <v>-0.80543118428202976</v>
      </c>
      <c r="AL21" s="8">
        <f t="shared" si="10"/>
        <v>-8.3000839878612606E-2</v>
      </c>
      <c r="AM21" s="8">
        <f t="shared" si="11"/>
        <v>2.551600014817576E-2</v>
      </c>
      <c r="AN21" s="8">
        <f t="shared" si="12"/>
        <v>-2.0563661714919457</v>
      </c>
      <c r="AO21" s="9">
        <f t="shared" si="14"/>
        <v>0.6918185182014891</v>
      </c>
      <c r="AP21" s="9">
        <f t="shared" si="14"/>
        <v>0.32369708169550843</v>
      </c>
      <c r="AQ21" s="9">
        <f t="shared" si="14"/>
        <v>-1.6648164527462126E-2</v>
      </c>
      <c r="AR21" s="9">
        <f t="shared" si="14"/>
        <v>1.1325646304649981E-3</v>
      </c>
      <c r="AS21" s="9">
        <f t="shared" si="14"/>
        <v>1</v>
      </c>
      <c r="AT21" s="7"/>
      <c r="AU21" s="7"/>
      <c r="AV21" s="7"/>
      <c r="AW21" s="7"/>
      <c r="AX21" s="7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</row>
    <row r="22" spans="1:87" x14ac:dyDescent="0.25">
      <c r="A22" s="1">
        <v>40999</v>
      </c>
      <c r="B22">
        <v>-8.0661363496129707E-2</v>
      </c>
      <c r="C22">
        <v>-0.793225297604635</v>
      </c>
      <c r="D22">
        <v>-3.9682129831459297E-3</v>
      </c>
      <c r="E22">
        <v>1.0466462621198601E-2</v>
      </c>
      <c r="F22">
        <v>-8.9697398663837302E-2</v>
      </c>
      <c r="G22" s="2">
        <v>-2.4397014997962502E-15</v>
      </c>
      <c r="H22" s="2">
        <v>1.24258814862817E-14</v>
      </c>
      <c r="I22" s="2">
        <v>6.7149812235551002E-15</v>
      </c>
      <c r="J22" s="2">
        <v>-1.47865630146965E-15</v>
      </c>
      <c r="K22" s="2">
        <v>-1.1920736030548E-15</v>
      </c>
      <c r="L22" s="2">
        <v>-9.9844022445229197E-16</v>
      </c>
      <c r="M22" s="2">
        <v>-1.4396785805881299E-15</v>
      </c>
      <c r="N22" s="2">
        <v>-1.5048439483093599E-15</v>
      </c>
      <c r="O22" s="2">
        <v>-1.77551556178642E-15</v>
      </c>
      <c r="P22" s="2">
        <v>1.20607256132161E-13</v>
      </c>
      <c r="Q22">
        <v>-7.2933510971363302E-2</v>
      </c>
      <c r="R22">
        <v>0</v>
      </c>
      <c r="S22">
        <v>-0.80458305510733497</v>
      </c>
      <c r="T22">
        <v>2.52024831192348E-2</v>
      </c>
      <c r="U22">
        <v>-1.8093998930858799</v>
      </c>
      <c r="V22">
        <f t="shared" si="1"/>
        <v>-1.8093998930858841</v>
      </c>
      <c r="Y22" s="1">
        <f t="shared" si="2"/>
        <v>40999</v>
      </c>
      <c r="Z22" s="7">
        <f t="shared" si="2"/>
        <v>-8.0661363496129707E-2</v>
      </c>
      <c r="AA22" s="7">
        <f t="shared" si="2"/>
        <v>-0.793225297604635</v>
      </c>
      <c r="AB22" s="7">
        <f t="shared" si="2"/>
        <v>-3.9682129831459297E-3</v>
      </c>
      <c r="AC22" s="7">
        <f t="shared" si="3"/>
        <v>-0.89428045377117227</v>
      </c>
      <c r="AD22" s="7">
        <f t="shared" si="4"/>
        <v>1.0466462621198601E-2</v>
      </c>
      <c r="AE22" s="7">
        <f t="shared" si="5"/>
        <v>-7.2933510971363302E-2</v>
      </c>
      <c r="AF22" s="7">
        <f t="shared" si="6"/>
        <v>-2.4397014997962502E-15</v>
      </c>
      <c r="AG22" s="7">
        <f t="shared" si="6"/>
        <v>1.24258814862817E-14</v>
      </c>
      <c r="AH22" s="7">
        <f t="shared" si="7"/>
        <v>2.520248311935373E-2</v>
      </c>
      <c r="AI22" s="7">
        <f t="shared" si="0"/>
        <v>-1.8093998930858841</v>
      </c>
      <c r="AJ22" s="8">
        <f t="shared" si="8"/>
        <v>-0.96721396474253551</v>
      </c>
      <c r="AK22" s="8">
        <f t="shared" si="9"/>
        <v>-0.78672704796658244</v>
      </c>
      <c r="AL22" s="8">
        <f t="shared" si="10"/>
        <v>-8.0661363496129707E-2</v>
      </c>
      <c r="AM22" s="8">
        <f t="shared" si="11"/>
        <v>2.520248311935373E-2</v>
      </c>
      <c r="AN22" s="8">
        <f t="shared" si="12"/>
        <v>-1.8093998930858939</v>
      </c>
      <c r="AO22" s="9">
        <f t="shared" si="14"/>
        <v>0.91606102742891671</v>
      </c>
      <c r="AP22" s="9">
        <f t="shared" si="14"/>
        <v>7.5735588016979175E-2</v>
      </c>
      <c r="AQ22" s="9">
        <f t="shared" si="14"/>
        <v>9.4728575803228847E-3</v>
      </c>
      <c r="AR22" s="9">
        <f t="shared" si="14"/>
        <v>-1.2694730262184178E-3</v>
      </c>
      <c r="AS22" s="9">
        <f t="shared" si="14"/>
        <v>1</v>
      </c>
      <c r="AT22" s="7"/>
      <c r="AU22" s="7"/>
      <c r="AV22" s="7"/>
      <c r="AW22" s="7"/>
      <c r="AX22" s="7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</row>
    <row r="23" spans="1:87" x14ac:dyDescent="0.25">
      <c r="A23" s="1">
        <v>41090</v>
      </c>
      <c r="B23">
        <v>-8.5178942393604504E-2</v>
      </c>
      <c r="C23">
        <v>-0.89312555677446204</v>
      </c>
      <c r="D23">
        <v>-1.6085192019755602E-2</v>
      </c>
      <c r="E23">
        <v>8.2756969786282695E-3</v>
      </c>
      <c r="F23">
        <v>-9.0225366278525995E-2</v>
      </c>
      <c r="G23" s="2">
        <v>-2.1256701289985198E-15</v>
      </c>
      <c r="H23" s="2">
        <v>1.32218495838939E-14</v>
      </c>
      <c r="I23" s="2">
        <v>6.0856632442336601E-15</v>
      </c>
      <c r="J23" s="2">
        <v>-1.45462632430301E-15</v>
      </c>
      <c r="K23" s="2">
        <v>-1.09658161719101E-15</v>
      </c>
      <c r="L23" s="2">
        <v>-1.17322093095104E-15</v>
      </c>
      <c r="M23" s="2">
        <v>-1.51070303483364E-15</v>
      </c>
      <c r="N23" s="2">
        <v>-1.7053740431191199E-15</v>
      </c>
      <c r="O23" s="2">
        <v>-1.98630811864147E-15</v>
      </c>
      <c r="P23" s="2">
        <v>1.2036905851274399E-13</v>
      </c>
      <c r="Q23">
        <v>-7.9462252544886494E-2</v>
      </c>
      <c r="R23">
        <v>0</v>
      </c>
      <c r="S23">
        <v>-0.96724508190743697</v>
      </c>
      <c r="T23">
        <v>2.4893050000593098E-2</v>
      </c>
      <c r="U23">
        <v>-2.0981536449393201</v>
      </c>
      <c r="V23">
        <f t="shared" si="1"/>
        <v>-2.0981536449393219</v>
      </c>
      <c r="Y23" s="1">
        <f t="shared" si="2"/>
        <v>41090</v>
      </c>
      <c r="Z23" s="7">
        <f t="shared" si="2"/>
        <v>-8.5178942393604504E-2</v>
      </c>
      <c r="AA23" s="7">
        <f t="shared" si="2"/>
        <v>-0.89312555677446204</v>
      </c>
      <c r="AB23" s="7">
        <f t="shared" si="2"/>
        <v>-1.6085192019755602E-2</v>
      </c>
      <c r="AC23" s="7">
        <f t="shared" si="3"/>
        <v>-1.0574704481859629</v>
      </c>
      <c r="AD23" s="7">
        <f t="shared" si="4"/>
        <v>8.2756969786282695E-3</v>
      </c>
      <c r="AE23" s="7">
        <f t="shared" si="5"/>
        <v>-7.9462252544886494E-2</v>
      </c>
      <c r="AF23" s="7">
        <f t="shared" si="6"/>
        <v>-2.1256701289985198E-15</v>
      </c>
      <c r="AG23" s="7">
        <f t="shared" si="6"/>
        <v>1.32218495838939E-14</v>
      </c>
      <c r="AH23" s="7">
        <f t="shared" si="7"/>
        <v>2.4893050000710626E-2</v>
      </c>
      <c r="AI23" s="7">
        <f t="shared" si="0"/>
        <v>-2.0981536449393214</v>
      </c>
      <c r="AJ23" s="8">
        <f t="shared" si="8"/>
        <v>-1.1369327007308494</v>
      </c>
      <c r="AK23" s="8">
        <f t="shared" si="9"/>
        <v>-0.90093505181558931</v>
      </c>
      <c r="AL23" s="8">
        <f t="shared" si="10"/>
        <v>-8.5178942393604504E-2</v>
      </c>
      <c r="AM23" s="8">
        <f t="shared" si="11"/>
        <v>2.4893050000710626E-2</v>
      </c>
      <c r="AN23" s="8">
        <f t="shared" si="12"/>
        <v>-2.0981536449393325</v>
      </c>
      <c r="AO23" s="9">
        <f t="shared" si="14"/>
        <v>0.5877628771883705</v>
      </c>
      <c r="AP23" s="9">
        <f t="shared" si="14"/>
        <v>0.39552041528788473</v>
      </c>
      <c r="AQ23" s="9">
        <f t="shared" si="14"/>
        <v>1.5645091599598548E-2</v>
      </c>
      <c r="AR23" s="9">
        <f t="shared" si="14"/>
        <v>1.0716159241461946E-3</v>
      </c>
      <c r="AS23" s="9">
        <f t="shared" si="14"/>
        <v>1</v>
      </c>
      <c r="AT23" s="7"/>
      <c r="AU23" s="7"/>
      <c r="AV23" s="7"/>
      <c r="AW23" s="7"/>
      <c r="AX23" s="7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</row>
    <row r="24" spans="1:87" x14ac:dyDescent="0.25">
      <c r="A24" s="1">
        <v>41182</v>
      </c>
      <c r="B24">
        <v>-9.1634835600739303E-2</v>
      </c>
      <c r="C24">
        <v>-0.80663224821920798</v>
      </c>
      <c r="D24">
        <v>-3.1785859017389902E-2</v>
      </c>
      <c r="E24">
        <v>-3.1650235217454501E-3</v>
      </c>
      <c r="F24">
        <v>-6.2172978776549002E-2</v>
      </c>
      <c r="G24" s="2">
        <v>-2.1381603035211299E-15</v>
      </c>
      <c r="H24" s="2">
        <v>1.4391811645812798E-14</v>
      </c>
      <c r="I24" s="2">
        <v>5.6629391599981799E-15</v>
      </c>
      <c r="J24" s="2">
        <v>-1.43506870687299E-15</v>
      </c>
      <c r="K24" s="2">
        <v>-1.31425555464052E-15</v>
      </c>
      <c r="L24" s="2">
        <v>-1.27982868542106E-15</v>
      </c>
      <c r="M24" s="2">
        <v>-1.7100571396942599E-15</v>
      </c>
      <c r="N24" s="2">
        <v>-1.90175416721762E-15</v>
      </c>
      <c r="O24" s="2">
        <v>-2.03056948453995E-15</v>
      </c>
      <c r="P24" s="2">
        <v>1.1788000939306999E-13</v>
      </c>
      <c r="Q24">
        <v>-8.5824882606039002E-2</v>
      </c>
      <c r="R24">
        <v>0</v>
      </c>
      <c r="S24">
        <v>-0.91267168635020102</v>
      </c>
      <c r="T24">
        <v>2.45876451864953E-2</v>
      </c>
      <c r="U24">
        <v>-1.9692998689052501</v>
      </c>
      <c r="V24">
        <f t="shared" si="1"/>
        <v>-1.9692998689052503</v>
      </c>
      <c r="Y24" s="1">
        <f t="shared" si="2"/>
        <v>41182</v>
      </c>
      <c r="Z24" s="7">
        <f t="shared" si="2"/>
        <v>-9.1634835600739303E-2</v>
      </c>
      <c r="AA24" s="7">
        <f t="shared" si="2"/>
        <v>-0.80663224821920798</v>
      </c>
      <c r="AB24" s="7">
        <f t="shared" si="2"/>
        <v>-3.1785859017389902E-2</v>
      </c>
      <c r="AC24" s="7">
        <f t="shared" si="3"/>
        <v>-0.97484466512675005</v>
      </c>
      <c r="AD24" s="7">
        <f t="shared" si="4"/>
        <v>-3.1650235217454501E-3</v>
      </c>
      <c r="AE24" s="7">
        <f t="shared" si="5"/>
        <v>-8.5824882606039002E-2</v>
      </c>
      <c r="AF24" s="7">
        <f t="shared" si="6"/>
        <v>-2.1381603035211299E-15</v>
      </c>
      <c r="AG24" s="7">
        <f t="shared" si="6"/>
        <v>1.4391811645812798E-14</v>
      </c>
      <c r="AH24" s="7">
        <f t="shared" si="7"/>
        <v>2.4587645186609171E-2</v>
      </c>
      <c r="AI24" s="7">
        <f t="shared" si="0"/>
        <v>-1.9692998689052503</v>
      </c>
      <c r="AJ24" s="8">
        <f t="shared" si="8"/>
        <v>-1.060669547732789</v>
      </c>
      <c r="AK24" s="8">
        <f t="shared" si="9"/>
        <v>-0.84158313075834335</v>
      </c>
      <c r="AL24" s="8">
        <f t="shared" si="10"/>
        <v>-9.1634835600739303E-2</v>
      </c>
      <c r="AM24" s="8">
        <f t="shared" si="11"/>
        <v>2.4587645186609171E-2</v>
      </c>
      <c r="AN24" s="8">
        <f t="shared" si="12"/>
        <v>-1.9692998689052625</v>
      </c>
      <c r="AO24" s="9">
        <f t="shared" si="14"/>
        <v>0.59185811503029451</v>
      </c>
      <c r="AP24" s="9">
        <f t="shared" si="14"/>
        <v>0.46061452666744374</v>
      </c>
      <c r="AQ24" s="9">
        <f t="shared" si="14"/>
        <v>-5.0102475890406256E-2</v>
      </c>
      <c r="AR24" s="9">
        <f t="shared" si="14"/>
        <v>-2.3701658073311221E-3</v>
      </c>
      <c r="AS24" s="9">
        <f t="shared" si="14"/>
        <v>1</v>
      </c>
      <c r="AT24" s="7"/>
      <c r="AU24" s="7"/>
      <c r="AV24" s="7"/>
      <c r="AW24" s="7"/>
      <c r="AX24" s="7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</row>
    <row r="25" spans="1:87" x14ac:dyDescent="0.25">
      <c r="A25" s="1">
        <v>41274</v>
      </c>
      <c r="B25">
        <v>-8.5820764811643899E-2</v>
      </c>
      <c r="C25">
        <v>-0.791665063186343</v>
      </c>
      <c r="D25">
        <v>6.9560367802039696E-3</v>
      </c>
      <c r="E25">
        <v>2.2486741726721399E-2</v>
      </c>
      <c r="F25">
        <v>-7.1495230022846995E-2</v>
      </c>
      <c r="G25" s="2">
        <v>-2.2222804331107202E-15</v>
      </c>
      <c r="H25" s="2">
        <v>1.4272069785535101E-14</v>
      </c>
      <c r="I25" s="2">
        <v>6.0911640387755997E-15</v>
      </c>
      <c r="J25" s="2">
        <v>-1.51377738943754E-15</v>
      </c>
      <c r="K25" s="2">
        <v>-1.33166320799673E-15</v>
      </c>
      <c r="L25" s="2">
        <v>-1.4118586258212601E-15</v>
      </c>
      <c r="M25" s="2">
        <v>-1.8709627291797699E-15</v>
      </c>
      <c r="N25" s="2">
        <v>-1.9722133182166698E-15</v>
      </c>
      <c r="O25" s="2">
        <v>-2.1680942439599399E-15</v>
      </c>
      <c r="P25" s="2">
        <v>1.1377714420807801E-13</v>
      </c>
      <c r="Q25">
        <v>-8.71450115906066E-2</v>
      </c>
      <c r="R25">
        <v>0</v>
      </c>
      <c r="S25">
        <v>-0.75090339827019004</v>
      </c>
      <c r="T25">
        <v>2.4286213818499301E-2</v>
      </c>
      <c r="U25">
        <v>-1.7333004755560799</v>
      </c>
      <c r="V25">
        <f t="shared" si="1"/>
        <v>-1.7333004755560841</v>
      </c>
      <c r="Y25" s="1">
        <f t="shared" si="2"/>
        <v>41274</v>
      </c>
      <c r="Z25" s="7">
        <f t="shared" si="2"/>
        <v>-8.5820764811643899E-2</v>
      </c>
      <c r="AA25" s="7">
        <f t="shared" si="2"/>
        <v>-0.791665063186343</v>
      </c>
      <c r="AB25" s="7">
        <f t="shared" si="2"/>
        <v>6.9560367802039696E-3</v>
      </c>
      <c r="AC25" s="7">
        <f t="shared" si="3"/>
        <v>-0.822398628293037</v>
      </c>
      <c r="AD25" s="7">
        <f t="shared" si="4"/>
        <v>2.2486741726721399E-2</v>
      </c>
      <c r="AE25" s="7">
        <f t="shared" si="5"/>
        <v>-8.71450115906066E-2</v>
      </c>
      <c r="AF25" s="7">
        <f t="shared" si="6"/>
        <v>-2.2222804331107202E-15</v>
      </c>
      <c r="AG25" s="7">
        <f t="shared" si="6"/>
        <v>1.4272069785535101E-14</v>
      </c>
      <c r="AH25" s="7">
        <f t="shared" si="7"/>
        <v>2.4286213818608904E-2</v>
      </c>
      <c r="AI25" s="7">
        <f t="shared" si="0"/>
        <v>-1.7333004755560844</v>
      </c>
      <c r="AJ25" s="8">
        <f t="shared" si="8"/>
        <v>-0.90954363988364362</v>
      </c>
      <c r="AK25" s="8">
        <f t="shared" si="9"/>
        <v>-0.76222228467941766</v>
      </c>
      <c r="AL25" s="8">
        <f t="shared" si="10"/>
        <v>-8.5820764811643899E-2</v>
      </c>
      <c r="AM25" s="8">
        <f t="shared" si="11"/>
        <v>2.4286213818608904E-2</v>
      </c>
      <c r="AN25" s="8">
        <f t="shared" si="12"/>
        <v>-1.7333004755560963</v>
      </c>
      <c r="AO25" s="9">
        <f t="shared" si="14"/>
        <v>0.64036566240469661</v>
      </c>
      <c r="AP25" s="9">
        <f t="shared" si="14"/>
        <v>0.33627563593568055</v>
      </c>
      <c r="AQ25" s="9">
        <f t="shared" si="14"/>
        <v>2.4635956502198974E-2</v>
      </c>
      <c r="AR25" s="9">
        <f t="shared" si="14"/>
        <v>-1.2772548425761959E-3</v>
      </c>
      <c r="AS25" s="9">
        <f t="shared" si="14"/>
        <v>1</v>
      </c>
      <c r="AT25" s="7"/>
      <c r="AU25" s="7"/>
      <c r="AV25" s="7"/>
      <c r="AW25" s="7"/>
      <c r="AX25" s="7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</row>
    <row r="26" spans="1:87" x14ac:dyDescent="0.25">
      <c r="A26" s="1">
        <v>41364</v>
      </c>
      <c r="B26">
        <v>-9.7468929113137898E-2</v>
      </c>
      <c r="C26">
        <v>-0.79932566522366899</v>
      </c>
      <c r="D26">
        <v>6.2179440533428297E-2</v>
      </c>
      <c r="E26">
        <v>3.7650947350231202E-2</v>
      </c>
      <c r="F26">
        <v>-9.0408861400347901E-2</v>
      </c>
      <c r="G26" s="2">
        <v>-2.5839103126186101E-15</v>
      </c>
      <c r="H26" s="2">
        <v>1.59325580617839E-14</v>
      </c>
      <c r="I26" s="2">
        <v>5.5633192400621701E-15</v>
      </c>
      <c r="J26" s="2">
        <v>-1.51428505957355E-15</v>
      </c>
      <c r="K26" s="2">
        <v>-1.43037186823348E-15</v>
      </c>
      <c r="L26" s="2">
        <v>-1.52692212931025E-15</v>
      </c>
      <c r="M26" s="2">
        <v>-1.9002467043314099E-15</v>
      </c>
      <c r="N26" s="2">
        <v>-2.0597192903679299E-15</v>
      </c>
      <c r="O26" s="2">
        <v>-2.3471013926930898E-15</v>
      </c>
      <c r="P26" s="2">
        <v>1.14196173281468E-13</v>
      </c>
      <c r="Q26">
        <v>-8.0838065432750197E-2</v>
      </c>
      <c r="R26">
        <v>0</v>
      </c>
      <c r="S26">
        <v>-0.87739144036176597</v>
      </c>
      <c r="T26">
        <v>2.3988701776766801E-2</v>
      </c>
      <c r="U26">
        <v>-1.8216138718711199</v>
      </c>
      <c r="V26">
        <f t="shared" si="1"/>
        <v>-1.8216138718711223</v>
      </c>
      <c r="Y26" s="1">
        <f t="shared" si="2"/>
        <v>41364</v>
      </c>
      <c r="Z26" s="7">
        <f t="shared" si="2"/>
        <v>-9.7468929113137898E-2</v>
      </c>
      <c r="AA26" s="7">
        <f t="shared" si="2"/>
        <v>-0.79932566522366899</v>
      </c>
      <c r="AB26" s="7">
        <f t="shared" si="2"/>
        <v>6.2179440533428297E-2</v>
      </c>
      <c r="AC26" s="7">
        <f t="shared" si="3"/>
        <v>-0.96780030176211385</v>
      </c>
      <c r="AD26" s="7">
        <f t="shared" si="4"/>
        <v>3.7650947350231202E-2</v>
      </c>
      <c r="AE26" s="7">
        <f t="shared" si="5"/>
        <v>-8.0838065432750197E-2</v>
      </c>
      <c r="AF26" s="7">
        <f t="shared" si="6"/>
        <v>-2.5839103126186101E-15</v>
      </c>
      <c r="AG26" s="7">
        <f t="shared" si="6"/>
        <v>1.59325580617839E-14</v>
      </c>
      <c r="AH26" s="7">
        <f t="shared" si="7"/>
        <v>2.3988701776875784E-2</v>
      </c>
      <c r="AI26" s="7">
        <f t="shared" si="0"/>
        <v>-1.8216138718711223</v>
      </c>
      <c r="AJ26" s="8">
        <f t="shared" si="8"/>
        <v>-1.048638367194864</v>
      </c>
      <c r="AK26" s="8">
        <f t="shared" si="9"/>
        <v>-0.69949527734000949</v>
      </c>
      <c r="AL26" s="8">
        <f t="shared" si="10"/>
        <v>-9.7468929113137898E-2</v>
      </c>
      <c r="AM26" s="8">
        <f t="shared" si="11"/>
        <v>2.3988701776875784E-2</v>
      </c>
      <c r="AN26" s="8">
        <f t="shared" si="12"/>
        <v>-1.8216138718711357</v>
      </c>
      <c r="AO26" s="9">
        <f t="shared" si="14"/>
        <v>1.5750127739967044</v>
      </c>
      <c r="AP26" s="9">
        <f t="shared" si="14"/>
        <v>-0.71027737531056867</v>
      </c>
      <c r="AQ26" s="9">
        <f t="shared" si="14"/>
        <v>0.131895780114057</v>
      </c>
      <c r="AR26" s="9">
        <f t="shared" si="14"/>
        <v>3.368821199807661E-3</v>
      </c>
      <c r="AS26" s="9">
        <f t="shared" si="14"/>
        <v>1</v>
      </c>
      <c r="AT26" s="7"/>
      <c r="AU26" s="7"/>
      <c r="AV26" s="7"/>
      <c r="AW26" s="7"/>
      <c r="AX26" s="7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</row>
    <row r="27" spans="1:87" x14ac:dyDescent="0.25">
      <c r="A27" s="1">
        <v>41455</v>
      </c>
      <c r="B27">
        <v>-9.1119812649056206E-2</v>
      </c>
      <c r="C27">
        <v>-0.80624194975637897</v>
      </c>
      <c r="D27">
        <v>0.10984965041917</v>
      </c>
      <c r="E27">
        <v>4.58668791457549E-2</v>
      </c>
      <c r="F27">
        <v>-9.7509718654268801E-2</v>
      </c>
      <c r="G27" s="2">
        <v>-2.2516902592332801E-15</v>
      </c>
      <c r="H27" s="2">
        <v>1.6791398349593001E-14</v>
      </c>
      <c r="I27" s="2">
        <v>4.94692895043975E-15</v>
      </c>
      <c r="J27" s="2">
        <v>-1.6789636036786699E-15</v>
      </c>
      <c r="K27" s="2">
        <v>-1.6056953929429999E-15</v>
      </c>
      <c r="L27" s="2">
        <v>-1.60766263034572E-15</v>
      </c>
      <c r="M27" s="2">
        <v>-2.0130625568044199E-15</v>
      </c>
      <c r="N27" s="2">
        <v>-2.2408466606055201E-15</v>
      </c>
      <c r="O27" s="2">
        <v>-2.4156293802878E-15</v>
      </c>
      <c r="P27" s="2">
        <v>1.13482799805835E-13</v>
      </c>
      <c r="Q27">
        <v>-7.0760689233571997E-2</v>
      </c>
      <c r="R27">
        <v>0</v>
      </c>
      <c r="S27">
        <v>-0.87649003681745297</v>
      </c>
      <c r="T27">
        <v>2.3695055671521199E-2</v>
      </c>
      <c r="U27">
        <v>-1.7627106218741599</v>
      </c>
      <c r="V27">
        <f t="shared" si="1"/>
        <v>-1.7627106218741613</v>
      </c>
      <c r="Y27" s="1">
        <f t="shared" si="2"/>
        <v>41455</v>
      </c>
      <c r="Z27" s="7">
        <f t="shared" si="2"/>
        <v>-9.1119812649056206E-2</v>
      </c>
      <c r="AA27" s="7">
        <f t="shared" si="2"/>
        <v>-0.80624194975637897</v>
      </c>
      <c r="AB27" s="7">
        <f t="shared" si="2"/>
        <v>0.10984965041917</v>
      </c>
      <c r="AC27" s="7">
        <f t="shared" si="3"/>
        <v>-0.9739997554717218</v>
      </c>
      <c r="AD27" s="7">
        <f t="shared" si="4"/>
        <v>4.58668791457549E-2</v>
      </c>
      <c r="AE27" s="7">
        <f t="shared" si="5"/>
        <v>-7.0760689233571997E-2</v>
      </c>
      <c r="AF27" s="7">
        <f t="shared" si="6"/>
        <v>-2.2516902592332801E-15</v>
      </c>
      <c r="AG27" s="7">
        <f t="shared" si="6"/>
        <v>1.6791398349593001E-14</v>
      </c>
      <c r="AH27" s="7">
        <f t="shared" si="7"/>
        <v>2.3695055671628069E-2</v>
      </c>
      <c r="AI27" s="7">
        <f t="shared" si="0"/>
        <v>-1.7627106218741613</v>
      </c>
      <c r="AJ27" s="8">
        <f t="shared" si="8"/>
        <v>-1.0447604447052938</v>
      </c>
      <c r="AK27" s="8">
        <f t="shared" si="9"/>
        <v>-0.65052542019145398</v>
      </c>
      <c r="AL27" s="8">
        <f t="shared" si="10"/>
        <v>-9.1119812649056206E-2</v>
      </c>
      <c r="AM27" s="8">
        <f t="shared" si="11"/>
        <v>2.3695055671628069E-2</v>
      </c>
      <c r="AN27" s="8">
        <f t="shared" si="12"/>
        <v>-1.7627106218741759</v>
      </c>
      <c r="AO27" s="9">
        <f t="shared" si="14"/>
        <v>6.5835458820529491E-2</v>
      </c>
      <c r="AP27" s="9">
        <f t="shared" si="14"/>
        <v>0.83136086974968393</v>
      </c>
      <c r="AQ27" s="9">
        <f t="shared" si="14"/>
        <v>0.10778889898960413</v>
      </c>
      <c r="AR27" s="9">
        <f t="shared" si="14"/>
        <v>-4.9852275598183688E-3</v>
      </c>
      <c r="AS27" s="9">
        <f t="shared" si="14"/>
        <v>1</v>
      </c>
      <c r="AT27" s="7"/>
      <c r="AU27" s="7"/>
      <c r="AV27" s="7"/>
      <c r="AW27" s="7"/>
      <c r="AX27" s="7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</row>
    <row r="28" spans="1:87" x14ac:dyDescent="0.25">
      <c r="A28" s="1">
        <v>41547</v>
      </c>
      <c r="B28">
        <v>-9.5154334832446896E-2</v>
      </c>
      <c r="C28">
        <v>-0.73869767374041795</v>
      </c>
      <c r="D28">
        <v>0.12294896632847099</v>
      </c>
      <c r="E28">
        <v>6.87106751772492E-2</v>
      </c>
      <c r="F28">
        <v>-0.115335566863577</v>
      </c>
      <c r="G28" s="2">
        <v>-3.12575269569257E-15</v>
      </c>
      <c r="H28" s="2">
        <v>1.81081833167386E-14</v>
      </c>
      <c r="I28" s="2">
        <v>4.5963475688932103E-15</v>
      </c>
      <c r="J28" s="2">
        <v>-1.7280280135194299E-15</v>
      </c>
      <c r="K28" s="2">
        <v>-1.5970683579669801E-15</v>
      </c>
      <c r="L28" s="2">
        <v>-1.6521031723268499E-15</v>
      </c>
      <c r="M28" s="2">
        <v>-2.13684059831899E-15</v>
      </c>
      <c r="N28" s="2">
        <v>-2.2966469804591499E-15</v>
      </c>
      <c r="O28" s="2">
        <v>-2.75657087548015E-15</v>
      </c>
      <c r="P28" s="2">
        <v>1.11477111576708E-13</v>
      </c>
      <c r="Q28">
        <v>-5.3476410394696902E-2</v>
      </c>
      <c r="R28">
        <v>0</v>
      </c>
      <c r="S28">
        <v>-0.86960453342917199</v>
      </c>
      <c r="T28">
        <v>2.34052228345491E-2</v>
      </c>
      <c r="U28">
        <v>-1.6572036549199201</v>
      </c>
      <c r="V28">
        <f t="shared" si="1"/>
        <v>-1.6572036549199227</v>
      </c>
      <c r="Y28" s="1">
        <f t="shared" si="2"/>
        <v>41547</v>
      </c>
      <c r="Z28" s="7">
        <f t="shared" si="2"/>
        <v>-9.5154334832446896E-2</v>
      </c>
      <c r="AA28" s="7">
        <f t="shared" si="2"/>
        <v>-0.73869767374041795</v>
      </c>
      <c r="AB28" s="7">
        <f t="shared" si="2"/>
        <v>0.12294896632847099</v>
      </c>
      <c r="AC28" s="7">
        <f t="shared" si="3"/>
        <v>-0.98494010029274903</v>
      </c>
      <c r="AD28" s="7">
        <f t="shared" si="4"/>
        <v>6.87106751772492E-2</v>
      </c>
      <c r="AE28" s="7">
        <f t="shared" si="5"/>
        <v>-5.3476410394696902E-2</v>
      </c>
      <c r="AF28" s="7">
        <f t="shared" si="6"/>
        <v>-3.12575269569257E-15</v>
      </c>
      <c r="AG28" s="7">
        <f t="shared" si="6"/>
        <v>1.81081833167386E-14</v>
      </c>
      <c r="AH28" s="7">
        <f t="shared" si="7"/>
        <v>2.3405222834653006E-2</v>
      </c>
      <c r="AI28" s="7">
        <f t="shared" si="0"/>
        <v>-1.6572036549199225</v>
      </c>
      <c r="AJ28" s="8">
        <f t="shared" si="8"/>
        <v>-1.0384165106874459</v>
      </c>
      <c r="AK28" s="8">
        <f t="shared" si="9"/>
        <v>-0.54703803223469782</v>
      </c>
      <c r="AL28" s="8">
        <f t="shared" si="10"/>
        <v>-9.5154334832446896E-2</v>
      </c>
      <c r="AM28" s="8">
        <f t="shared" si="11"/>
        <v>2.3405222834653006E-2</v>
      </c>
      <c r="AN28" s="8">
        <f t="shared" si="12"/>
        <v>-1.6572036549199374</v>
      </c>
      <c r="AO28" s="9">
        <f t="shared" si="14"/>
        <v>6.0128105289951987E-2</v>
      </c>
      <c r="AP28" s="9">
        <f t="shared" si="14"/>
        <v>0.98085833518123644</v>
      </c>
      <c r="AQ28" s="9">
        <f t="shared" si="14"/>
        <v>-3.8239391197176391E-2</v>
      </c>
      <c r="AR28" s="9">
        <f t="shared" si="14"/>
        <v>-2.7470492740140221E-3</v>
      </c>
      <c r="AS28" s="9">
        <f t="shared" si="14"/>
        <v>1</v>
      </c>
      <c r="AT28" s="7"/>
      <c r="AU28" s="7"/>
      <c r="AV28" s="7"/>
      <c r="AW28" s="7"/>
      <c r="AX28" s="7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</row>
    <row r="29" spans="1:87" x14ac:dyDescent="0.25">
      <c r="A29" s="1">
        <v>41639</v>
      </c>
      <c r="B29">
        <v>-0.105457437300936</v>
      </c>
      <c r="C29">
        <v>-0.72062203820079895</v>
      </c>
      <c r="D29">
        <v>0.18194056694239</v>
      </c>
      <c r="E29">
        <v>6.7501859959511204E-2</v>
      </c>
      <c r="F29">
        <v>-0.14427949753609901</v>
      </c>
      <c r="G29" s="2">
        <v>-3.7113090173220201E-15</v>
      </c>
      <c r="H29" s="2">
        <v>1.9047528886909899E-14</v>
      </c>
      <c r="I29" s="2">
        <v>4.2683077340263198E-15</v>
      </c>
      <c r="J29" s="2">
        <v>-1.7074673178513701E-15</v>
      </c>
      <c r="K29" s="2">
        <v>-1.6227074699682801E-15</v>
      </c>
      <c r="L29" s="2">
        <v>-1.7363980080308E-15</v>
      </c>
      <c r="M29" s="2">
        <v>-2.1401517470132199E-15</v>
      </c>
      <c r="N29" s="2">
        <v>-2.5269952264072398E-15</v>
      </c>
      <c r="O29" s="2">
        <v>-2.7836992719034701E-15</v>
      </c>
      <c r="P29" s="2">
        <v>1.11846664205617E-13</v>
      </c>
      <c r="Q29">
        <v>-5.7086859043375703E-2</v>
      </c>
      <c r="R29">
        <v>0</v>
      </c>
      <c r="S29">
        <v>-0.88609992768174495</v>
      </c>
      <c r="T29">
        <v>2.31191513107484E-2</v>
      </c>
      <c r="U29">
        <v>-1.64098418155018</v>
      </c>
      <c r="V29">
        <f t="shared" si="1"/>
        <v>-1.6409841815501862</v>
      </c>
      <c r="Y29" s="1">
        <f t="shared" si="2"/>
        <v>41639</v>
      </c>
      <c r="Z29" s="7">
        <f t="shared" si="2"/>
        <v>-0.105457437300936</v>
      </c>
      <c r="AA29" s="7">
        <f t="shared" si="2"/>
        <v>-0.72062203820079895</v>
      </c>
      <c r="AB29" s="7">
        <f t="shared" si="2"/>
        <v>0.18194056694239</v>
      </c>
      <c r="AC29" s="7">
        <f t="shared" si="3"/>
        <v>-1.030379425217844</v>
      </c>
      <c r="AD29" s="7">
        <f t="shared" si="4"/>
        <v>6.7501859959511204E-2</v>
      </c>
      <c r="AE29" s="7">
        <f t="shared" si="5"/>
        <v>-5.7086859043375703E-2</v>
      </c>
      <c r="AF29" s="7">
        <f t="shared" si="6"/>
        <v>-3.7113090173220201E-15</v>
      </c>
      <c r="AG29" s="7">
        <f t="shared" si="6"/>
        <v>1.9047528886909899E-14</v>
      </c>
      <c r="AH29" s="7">
        <f t="shared" si="7"/>
        <v>2.3119151310852001E-2</v>
      </c>
      <c r="AI29" s="7">
        <f t="shared" si="0"/>
        <v>-1.6409841815501862</v>
      </c>
      <c r="AJ29" s="8">
        <f t="shared" si="8"/>
        <v>-1.0874662842612197</v>
      </c>
      <c r="AK29" s="8">
        <f t="shared" si="9"/>
        <v>-0.47117961129889774</v>
      </c>
      <c r="AL29" s="8">
        <f t="shared" si="10"/>
        <v>-0.105457437300936</v>
      </c>
      <c r="AM29" s="8">
        <f t="shared" si="11"/>
        <v>2.3119151310852001E-2</v>
      </c>
      <c r="AN29" s="8">
        <f t="shared" si="12"/>
        <v>-1.6409841815502015</v>
      </c>
      <c r="AO29" s="9">
        <f t="shared" si="14"/>
        <v>-3.0241286172272734</v>
      </c>
      <c r="AP29" s="9">
        <f t="shared" si="14"/>
        <v>4.6769965464689793</v>
      </c>
      <c r="AQ29" s="9">
        <f t="shared" si="14"/>
        <v>-0.63523039457704089</v>
      </c>
      <c r="AR29" s="9">
        <f t="shared" si="14"/>
        <v>-1.7637534664645162E-2</v>
      </c>
      <c r="AS29" s="9">
        <f t="shared" si="14"/>
        <v>1</v>
      </c>
      <c r="AT29" s="7"/>
      <c r="AU29" s="7"/>
      <c r="AV29" s="7"/>
      <c r="AW29" s="7"/>
      <c r="AX29" s="7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</row>
    <row r="30" spans="1:87" x14ac:dyDescent="0.25">
      <c r="A30" s="1">
        <v>41729</v>
      </c>
      <c r="B30">
        <v>-0.11834689783023999</v>
      </c>
      <c r="C30">
        <v>-0.69414312161213698</v>
      </c>
      <c r="D30">
        <v>0.167453054008771</v>
      </c>
      <c r="E30">
        <v>7.6480554050939495E-2</v>
      </c>
      <c r="F30">
        <v>-0.129503045313142</v>
      </c>
      <c r="G30" s="2">
        <v>-3.26612613002799E-15</v>
      </c>
      <c r="H30" s="2">
        <v>1.9316449462914101E-14</v>
      </c>
      <c r="I30" s="2">
        <v>4.4271371800218303E-15</v>
      </c>
      <c r="J30" s="2">
        <v>-1.6782488464491199E-15</v>
      </c>
      <c r="K30" s="2">
        <v>-1.6669799732851901E-15</v>
      </c>
      <c r="L30" s="2">
        <v>-1.72808926344182E-15</v>
      </c>
      <c r="M30" s="2">
        <v>-2.3417447480317001E-15</v>
      </c>
      <c r="N30" s="2">
        <v>-2.5752522420703999E-15</v>
      </c>
      <c r="O30" s="2">
        <v>-2.98759401329347E-15</v>
      </c>
      <c r="P30" s="2">
        <v>1.0876269614716099E-13</v>
      </c>
      <c r="Q30">
        <v>-5.8085960709708499E-2</v>
      </c>
      <c r="R30">
        <v>0</v>
      </c>
      <c r="S30">
        <v>-0.824290723143556</v>
      </c>
      <c r="T30">
        <v>2.2836789849723E-2</v>
      </c>
      <c r="U30">
        <v>-1.5575993506992301</v>
      </c>
      <c r="V30">
        <f t="shared" si="1"/>
        <v>-1.5575993506992336</v>
      </c>
      <c r="Y30" s="1">
        <f t="shared" si="2"/>
        <v>41729</v>
      </c>
      <c r="Z30" s="7">
        <f t="shared" si="2"/>
        <v>-0.11834689783023999</v>
      </c>
      <c r="AA30" s="7">
        <f t="shared" si="2"/>
        <v>-0.69414312161213698</v>
      </c>
      <c r="AB30" s="7">
        <f t="shared" si="2"/>
        <v>0.167453054008771</v>
      </c>
      <c r="AC30" s="7">
        <f t="shared" si="3"/>
        <v>-0.95379376845669794</v>
      </c>
      <c r="AD30" s="7">
        <f t="shared" si="4"/>
        <v>7.6480554050939495E-2</v>
      </c>
      <c r="AE30" s="7">
        <f t="shared" si="5"/>
        <v>-5.8085960709708499E-2</v>
      </c>
      <c r="AF30" s="7">
        <f t="shared" si="6"/>
        <v>-3.26612613002799E-15</v>
      </c>
      <c r="AG30" s="7">
        <f t="shared" si="6"/>
        <v>1.9316449462914101E-14</v>
      </c>
      <c r="AH30" s="7">
        <f t="shared" si="7"/>
        <v>2.2836789849823215E-2</v>
      </c>
      <c r="AI30" s="7">
        <f t="shared" si="0"/>
        <v>-1.5575993506992338</v>
      </c>
      <c r="AJ30" s="8">
        <f t="shared" si="8"/>
        <v>-1.0118797291664063</v>
      </c>
      <c r="AK30" s="8">
        <f t="shared" si="9"/>
        <v>-0.4502095135524265</v>
      </c>
      <c r="AL30" s="8">
        <f t="shared" si="10"/>
        <v>-0.11834689783023999</v>
      </c>
      <c r="AM30" s="8">
        <f t="shared" si="11"/>
        <v>2.2836789849823215E-2</v>
      </c>
      <c r="AN30" s="8">
        <f t="shared" si="12"/>
        <v>-1.5575993506992496</v>
      </c>
      <c r="AO30" s="9">
        <f t="shared" si="14"/>
        <v>0.90647848443708234</v>
      </c>
      <c r="AP30" s="9">
        <f t="shared" si="14"/>
        <v>0.25148576224798852</v>
      </c>
      <c r="AQ30" s="9">
        <f t="shared" si="14"/>
        <v>-0.15457800175122435</v>
      </c>
      <c r="AR30" s="9">
        <f t="shared" si="14"/>
        <v>-3.3862449338477357E-3</v>
      </c>
      <c r="AS30" s="9">
        <f t="shared" si="14"/>
        <v>1</v>
      </c>
      <c r="AT30" s="7"/>
      <c r="AU30" s="7"/>
      <c r="AV30" s="7"/>
      <c r="AW30" s="7"/>
      <c r="AX30" s="7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</row>
    <row r="31" spans="1:87" x14ac:dyDescent="0.25">
      <c r="A31" s="1">
        <v>41820</v>
      </c>
      <c r="B31">
        <v>-0.111275213585285</v>
      </c>
      <c r="C31">
        <v>-0.71435160837171896</v>
      </c>
      <c r="D31">
        <v>0.18325447602850001</v>
      </c>
      <c r="E31">
        <v>8.3783305179253906E-2</v>
      </c>
      <c r="F31">
        <v>-0.14645814797030701</v>
      </c>
      <c r="G31" s="2">
        <v>-4.1295484105175698E-15</v>
      </c>
      <c r="H31" s="2">
        <v>2.06656574161374E-14</v>
      </c>
      <c r="I31" s="2">
        <v>5.1852686635541199E-15</v>
      </c>
      <c r="J31" s="2">
        <v>-1.5353608101899901E-15</v>
      </c>
      <c r="K31" s="2">
        <v>-1.49499124232324E-15</v>
      </c>
      <c r="L31" s="2">
        <v>-1.7683055186251801E-15</v>
      </c>
      <c r="M31" s="2">
        <v>-2.26445151664672E-15</v>
      </c>
      <c r="N31" s="2">
        <v>-2.65348088245205E-15</v>
      </c>
      <c r="O31" s="2">
        <v>-3.03849832973221E-15</v>
      </c>
      <c r="P31" s="2">
        <v>1.08299959895522E-13</v>
      </c>
      <c r="Q31">
        <v>-4.6469994737028703E-2</v>
      </c>
      <c r="R31">
        <v>0</v>
      </c>
      <c r="S31">
        <v>-0.84381310443185997</v>
      </c>
      <c r="T31">
        <v>2.2558087897426599E-2</v>
      </c>
      <c r="U31">
        <v>-1.5727721999908999</v>
      </c>
      <c r="V31">
        <f t="shared" si="1"/>
        <v>-1.5727721999909019</v>
      </c>
      <c r="Y31" s="1">
        <f t="shared" si="2"/>
        <v>41820</v>
      </c>
      <c r="Z31" s="7">
        <f t="shared" si="2"/>
        <v>-0.111275213585285</v>
      </c>
      <c r="AA31" s="7">
        <f t="shared" si="2"/>
        <v>-0.71435160837171896</v>
      </c>
      <c r="AB31" s="7">
        <f t="shared" si="2"/>
        <v>0.18325447602850001</v>
      </c>
      <c r="AC31" s="7">
        <f t="shared" si="3"/>
        <v>-0.99027125240216696</v>
      </c>
      <c r="AD31" s="7">
        <f t="shared" si="4"/>
        <v>8.3783305179253906E-2</v>
      </c>
      <c r="AE31" s="7">
        <f t="shared" si="5"/>
        <v>-4.6469994737028703E-2</v>
      </c>
      <c r="AF31" s="7">
        <f t="shared" si="6"/>
        <v>-4.1295484105175698E-15</v>
      </c>
      <c r="AG31" s="7">
        <f t="shared" si="6"/>
        <v>2.06656574161374E-14</v>
      </c>
      <c r="AH31" s="7">
        <f t="shared" si="7"/>
        <v>2.2558087897527324E-2</v>
      </c>
      <c r="AI31" s="7">
        <f t="shared" si="0"/>
        <v>-1.5727721999909021</v>
      </c>
      <c r="AJ31" s="8">
        <f t="shared" si="8"/>
        <v>-1.0367412471391957</v>
      </c>
      <c r="AK31" s="8">
        <f t="shared" si="9"/>
        <v>-0.44731382716396506</v>
      </c>
      <c r="AL31" s="8">
        <f t="shared" si="10"/>
        <v>-0.111275213585285</v>
      </c>
      <c r="AM31" s="8">
        <f t="shared" si="11"/>
        <v>2.2558087897527324E-2</v>
      </c>
      <c r="AN31" s="8">
        <f t="shared" si="12"/>
        <v>-1.5727721999909183</v>
      </c>
      <c r="AO31" s="9">
        <f t="shared" si="14"/>
        <v>1.6385530163039694</v>
      </c>
      <c r="AP31" s="9">
        <f t="shared" si="14"/>
        <v>-0.19084657949192391</v>
      </c>
      <c r="AQ31" s="9">
        <f t="shared" si="14"/>
        <v>-0.46607490188662126</v>
      </c>
      <c r="AR31" s="9">
        <f t="shared" si="14"/>
        <v>1.8368465074580505E-2</v>
      </c>
      <c r="AS31" s="9">
        <f t="shared" si="14"/>
        <v>1</v>
      </c>
      <c r="AT31" s="7"/>
      <c r="AU31" s="7"/>
      <c r="AV31" s="7"/>
      <c r="AW31" s="7"/>
      <c r="AX31" s="7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</row>
    <row r="32" spans="1:87" x14ac:dyDescent="0.25">
      <c r="A32" s="1">
        <v>41912</v>
      </c>
      <c r="B32">
        <v>-0.11510662483526</v>
      </c>
      <c r="C32">
        <v>-0.76647834064271303</v>
      </c>
      <c r="D32">
        <v>0.18963334411617</v>
      </c>
      <c r="E32">
        <v>7.4002361067374497E-2</v>
      </c>
      <c r="F32">
        <v>-0.169117025087548</v>
      </c>
      <c r="G32" s="2">
        <v>-4.3384639342795499E-15</v>
      </c>
      <c r="H32" s="2">
        <v>2.16751363352797E-14</v>
      </c>
      <c r="I32" s="2">
        <v>5.2424919355024296E-15</v>
      </c>
      <c r="J32" s="2">
        <v>-1.44488135900344E-15</v>
      </c>
      <c r="K32" s="2">
        <v>-1.58068419348145E-15</v>
      </c>
      <c r="L32" s="2">
        <v>-1.7350778711372299E-15</v>
      </c>
      <c r="M32" s="2">
        <v>-2.3444894974554602E-15</v>
      </c>
      <c r="N32" s="2">
        <v>-2.6929846802744599E-15</v>
      </c>
      <c r="O32" s="2">
        <v>-3.18514787142163E-15</v>
      </c>
      <c r="P32" s="2">
        <v>1.07959117111239E-13</v>
      </c>
      <c r="Q32">
        <v>-3.9949969397049097E-2</v>
      </c>
      <c r="R32">
        <v>0</v>
      </c>
      <c r="S32">
        <v>-0.83442786886984599</v>
      </c>
      <c r="T32">
        <v>2.2282995587857499E-2</v>
      </c>
      <c r="U32">
        <v>-1.63916112806089</v>
      </c>
      <c r="V32">
        <f t="shared" si="1"/>
        <v>-1.6391611280608969</v>
      </c>
      <c r="Y32" s="1">
        <f t="shared" si="2"/>
        <v>41912</v>
      </c>
      <c r="Z32" s="7">
        <f t="shared" si="2"/>
        <v>-0.11510662483526</v>
      </c>
      <c r="AA32" s="7">
        <f t="shared" si="2"/>
        <v>-0.76647834064271303</v>
      </c>
      <c r="AB32" s="7">
        <f t="shared" si="2"/>
        <v>0.18963334411617</v>
      </c>
      <c r="AC32" s="7">
        <f t="shared" si="3"/>
        <v>-1.0035448939573941</v>
      </c>
      <c r="AD32" s="7">
        <f t="shared" si="4"/>
        <v>7.4002361067374497E-2</v>
      </c>
      <c r="AE32" s="7">
        <f t="shared" si="5"/>
        <v>-3.9949969397049097E-2</v>
      </c>
      <c r="AF32" s="7">
        <f t="shared" si="6"/>
        <v>-4.3384639342795499E-15</v>
      </c>
      <c r="AG32" s="7">
        <f t="shared" si="6"/>
        <v>2.16751363352797E-14</v>
      </c>
      <c r="AH32" s="7">
        <f t="shared" si="7"/>
        <v>2.2282995587957717E-2</v>
      </c>
      <c r="AI32" s="7">
        <f t="shared" si="0"/>
        <v>-1.6391611280608966</v>
      </c>
      <c r="AJ32" s="8">
        <f t="shared" si="8"/>
        <v>-1.0434948633544432</v>
      </c>
      <c r="AK32" s="8">
        <f t="shared" si="9"/>
        <v>-0.50284263545916852</v>
      </c>
      <c r="AL32" s="8">
        <f t="shared" si="10"/>
        <v>-0.11510662483526</v>
      </c>
      <c r="AM32" s="8">
        <f t="shared" si="11"/>
        <v>2.2282995587957717E-2</v>
      </c>
      <c r="AN32" s="8">
        <f t="shared" si="12"/>
        <v>-1.6391611280609137</v>
      </c>
      <c r="AO32" s="9">
        <f t="shared" si="14"/>
        <v>0.10172805031777298</v>
      </c>
      <c r="AP32" s="9">
        <f t="shared" si="14"/>
        <v>0.83641670244559641</v>
      </c>
      <c r="AQ32" s="9">
        <f t="shared" si="14"/>
        <v>5.7711599830855206E-2</v>
      </c>
      <c r="AR32" s="9">
        <f t="shared" si="14"/>
        <v>4.1436474057778257E-3</v>
      </c>
      <c r="AS32" s="9">
        <f t="shared" si="14"/>
        <v>1</v>
      </c>
      <c r="AT32" s="7"/>
      <c r="AU32" s="7"/>
      <c r="AV32" s="7"/>
      <c r="AW32" s="7"/>
      <c r="AX32" s="7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</row>
    <row r="33" spans="1:87" x14ac:dyDescent="0.25">
      <c r="A33" s="1">
        <v>42004</v>
      </c>
      <c r="B33">
        <v>-0.119160945552541</v>
      </c>
      <c r="C33">
        <v>-0.86898244355102605</v>
      </c>
      <c r="D33">
        <v>0.13837637634446001</v>
      </c>
      <c r="E33">
        <v>3.4887217761289002E-2</v>
      </c>
      <c r="F33">
        <v>-0.16230458915958201</v>
      </c>
      <c r="G33" s="2">
        <v>-3.8141283771203704E-15</v>
      </c>
      <c r="H33" s="2">
        <v>2.22473435413016E-14</v>
      </c>
      <c r="I33" s="2">
        <v>6.0617983826620004E-15</v>
      </c>
      <c r="J33" s="2">
        <v>-1.38159169480871E-15</v>
      </c>
      <c r="K33" s="2">
        <v>-1.4212231348497E-15</v>
      </c>
      <c r="L33" s="2">
        <v>-1.68630033683264E-15</v>
      </c>
      <c r="M33" s="2">
        <v>-2.25270028216795E-15</v>
      </c>
      <c r="N33" s="2">
        <v>-2.6861660799817098E-15</v>
      </c>
      <c r="O33" s="2">
        <v>-2.8519260307049601E-15</v>
      </c>
      <c r="P33" s="2">
        <v>1.07998664194887E-13</v>
      </c>
      <c r="Q33">
        <v>-3.6764408242339702E-2</v>
      </c>
      <c r="R33">
        <v>0</v>
      </c>
      <c r="S33">
        <v>-0.800505846185526</v>
      </c>
      <c r="T33">
        <v>2.2011463734803598E-2</v>
      </c>
      <c r="U33">
        <v>-1.79244317485034</v>
      </c>
      <c r="V33">
        <f t="shared" si="1"/>
        <v>-1.7924431748503415</v>
      </c>
      <c r="Y33" s="1">
        <f t="shared" si="2"/>
        <v>42004</v>
      </c>
      <c r="Z33" s="7">
        <f t="shared" si="2"/>
        <v>-0.119160945552541</v>
      </c>
      <c r="AA33" s="7">
        <f t="shared" si="2"/>
        <v>-0.86898244355102605</v>
      </c>
      <c r="AB33" s="7">
        <f t="shared" si="2"/>
        <v>0.13837637634446001</v>
      </c>
      <c r="AC33" s="7">
        <f t="shared" si="3"/>
        <v>-0.96281043534510802</v>
      </c>
      <c r="AD33" s="7">
        <f t="shared" si="4"/>
        <v>3.4887217761289002E-2</v>
      </c>
      <c r="AE33" s="7">
        <f t="shared" si="5"/>
        <v>-3.6764408242339702E-2</v>
      </c>
      <c r="AF33" s="7">
        <f t="shared" si="6"/>
        <v>-3.8141283771203704E-15</v>
      </c>
      <c r="AG33" s="7">
        <f t="shared" si="6"/>
        <v>2.22473435413016E-14</v>
      </c>
      <c r="AH33" s="7">
        <f t="shared" si="7"/>
        <v>2.2011463734905378E-2</v>
      </c>
      <c r="AI33" s="7">
        <f t="shared" si="0"/>
        <v>-1.7924431748503422</v>
      </c>
      <c r="AJ33" s="8">
        <f t="shared" si="8"/>
        <v>-0.99957484358744775</v>
      </c>
      <c r="AK33" s="8">
        <f t="shared" si="9"/>
        <v>-0.69571884944527707</v>
      </c>
      <c r="AL33" s="8">
        <f t="shared" si="10"/>
        <v>-0.119160945552541</v>
      </c>
      <c r="AM33" s="8">
        <f t="shared" si="11"/>
        <v>2.2011463734905378E-2</v>
      </c>
      <c r="AN33" s="8">
        <f t="shared" si="12"/>
        <v>-1.7924431748503606</v>
      </c>
      <c r="AO33" s="9">
        <f t="shared" si="14"/>
        <v>-0.28653074960125879</v>
      </c>
      <c r="AP33" s="9">
        <f t="shared" si="14"/>
        <v>1.2583092281580077</v>
      </c>
      <c r="AQ33" s="9">
        <f t="shared" si="14"/>
        <v>2.6450069021130326E-2</v>
      </c>
      <c r="AR33" s="9">
        <f t="shared" si="14"/>
        <v>1.771452422117796E-3</v>
      </c>
      <c r="AS33" s="9">
        <f t="shared" si="14"/>
        <v>1</v>
      </c>
      <c r="AT33" s="7"/>
      <c r="AU33" s="7"/>
      <c r="AV33" s="7"/>
      <c r="AW33" s="7"/>
      <c r="AX33" s="7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</row>
    <row r="34" spans="1:87" x14ac:dyDescent="0.25">
      <c r="A34" s="1">
        <v>42094</v>
      </c>
      <c r="B34">
        <v>-0.11487555311808401</v>
      </c>
      <c r="C34">
        <v>-0.93971533081906999</v>
      </c>
      <c r="D34">
        <v>0.100175333248047</v>
      </c>
      <c r="E34">
        <v>3.0459427628007199E-2</v>
      </c>
      <c r="F34">
        <v>-0.179192124768214</v>
      </c>
      <c r="G34" s="2">
        <v>-3.1623015757181599E-15</v>
      </c>
      <c r="H34" s="2">
        <v>2.2546023291761899E-14</v>
      </c>
      <c r="I34" s="2">
        <v>5.3635581927216004E-15</v>
      </c>
      <c r="J34" s="2">
        <v>-1.3980766105756301E-15</v>
      </c>
      <c r="K34" s="2">
        <v>-1.5284838943671001E-15</v>
      </c>
      <c r="L34" s="2">
        <v>-1.75366635799412E-15</v>
      </c>
      <c r="M34" s="2">
        <v>-2.3969290082120801E-15</v>
      </c>
      <c r="N34" s="2">
        <v>-2.5595084009802298E-15</v>
      </c>
      <c r="O34" s="2">
        <v>-2.86835938613101E-15</v>
      </c>
      <c r="P34" s="2">
        <v>1.05283952219262E-13</v>
      </c>
      <c r="Q34">
        <v>-2.8734016662419901E-2</v>
      </c>
      <c r="R34">
        <v>0</v>
      </c>
      <c r="S34">
        <v>-0.72195722478634095</v>
      </c>
      <c r="T34">
        <v>2.1743443823642399E-2</v>
      </c>
      <c r="U34">
        <v>-1.83209604545431</v>
      </c>
      <c r="V34">
        <f t="shared" si="1"/>
        <v>-1.8320960454543147</v>
      </c>
      <c r="Y34" s="1">
        <f t="shared" si="2"/>
        <v>42094</v>
      </c>
      <c r="Z34" s="7">
        <f t="shared" si="2"/>
        <v>-0.11487555311808401</v>
      </c>
      <c r="AA34" s="7">
        <f t="shared" si="2"/>
        <v>-0.93971533081906999</v>
      </c>
      <c r="AB34" s="7">
        <f t="shared" si="2"/>
        <v>0.100175333248047</v>
      </c>
      <c r="AC34" s="7">
        <f t="shared" si="3"/>
        <v>-0.90114934955455495</v>
      </c>
      <c r="AD34" s="7">
        <f t="shared" si="4"/>
        <v>3.0459427628007199E-2</v>
      </c>
      <c r="AE34" s="7">
        <f t="shared" si="5"/>
        <v>-2.8734016662419901E-2</v>
      </c>
      <c r="AF34" s="7">
        <f t="shared" si="6"/>
        <v>-3.1623015757181599E-15</v>
      </c>
      <c r="AG34" s="7">
        <f t="shared" si="6"/>
        <v>2.2546023291761899E-14</v>
      </c>
      <c r="AH34" s="7">
        <f t="shared" si="7"/>
        <v>2.1743443823740539E-2</v>
      </c>
      <c r="AI34" s="7">
        <f t="shared" si="0"/>
        <v>-1.8320960454543147</v>
      </c>
      <c r="AJ34" s="8">
        <f t="shared" si="8"/>
        <v>-0.92988336621697487</v>
      </c>
      <c r="AK34" s="8">
        <f t="shared" si="9"/>
        <v>-0.80908056994301569</v>
      </c>
      <c r="AL34" s="8">
        <f t="shared" si="10"/>
        <v>-0.11487555311808401</v>
      </c>
      <c r="AM34" s="8">
        <f t="shared" si="11"/>
        <v>2.1743443823740539E-2</v>
      </c>
      <c r="AN34" s="8">
        <f t="shared" si="12"/>
        <v>-1.832096045454334</v>
      </c>
      <c r="AO34" s="9">
        <f t="shared" si="14"/>
        <v>-1.7575392729193611</v>
      </c>
      <c r="AP34" s="9">
        <f t="shared" si="14"/>
        <v>2.8588528086634746</v>
      </c>
      <c r="AQ34" s="9">
        <f t="shared" si="14"/>
        <v>-0.10807269106079759</v>
      </c>
      <c r="AR34" s="9">
        <f t="shared" si="14"/>
        <v>6.7591553166892948E-3</v>
      </c>
      <c r="AS34" s="9">
        <f t="shared" si="14"/>
        <v>1</v>
      </c>
      <c r="AT34" s="7"/>
      <c r="AU34" s="7"/>
      <c r="AV34" s="7"/>
      <c r="AW34" s="7"/>
      <c r="AX34" s="7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</row>
    <row r="35" spans="1:87" x14ac:dyDescent="0.25">
      <c r="A35" s="1">
        <v>42185</v>
      </c>
      <c r="B35">
        <v>-0.117953135471455</v>
      </c>
      <c r="C35">
        <v>-0.96519906872184202</v>
      </c>
      <c r="D35">
        <v>0.110533828238294</v>
      </c>
      <c r="E35">
        <v>2.04485117197701E-2</v>
      </c>
      <c r="F35">
        <v>-0.190293379078872</v>
      </c>
      <c r="G35" s="2">
        <v>-4.4943823306969198E-15</v>
      </c>
      <c r="H35" s="2">
        <v>2.2991790309205901E-14</v>
      </c>
      <c r="I35" s="2">
        <v>5.24603398173775E-15</v>
      </c>
      <c r="J35" s="2">
        <v>-1.46092860637714E-15</v>
      </c>
      <c r="K35" s="2">
        <v>-1.56212999013818E-15</v>
      </c>
      <c r="L35" s="2">
        <v>-1.85165783835976E-15</v>
      </c>
      <c r="M35" s="2">
        <v>-2.25218392228822E-15</v>
      </c>
      <c r="N35" s="2">
        <v>-2.53022949074197E-15</v>
      </c>
      <c r="O35" s="2">
        <v>-2.7695370925334498E-15</v>
      </c>
      <c r="P35" s="2">
        <v>1.04107627466748E-13</v>
      </c>
      <c r="Q35">
        <v>-2.48412627424262E-2</v>
      </c>
      <c r="R35">
        <v>0</v>
      </c>
      <c r="S35">
        <v>-0.64846621361895496</v>
      </c>
      <c r="T35">
        <v>2.14788880031926E-2</v>
      </c>
      <c r="U35">
        <v>-1.7942918316721801</v>
      </c>
      <c r="V35">
        <f t="shared" si="1"/>
        <v>-1.7942918316721777</v>
      </c>
      <c r="Y35" s="1">
        <f t="shared" ref="Y35:AB66" si="15">+A35</f>
        <v>42185</v>
      </c>
      <c r="Z35" s="7">
        <f t="shared" si="15"/>
        <v>-0.117953135471455</v>
      </c>
      <c r="AA35" s="7">
        <f t="shared" si="15"/>
        <v>-0.96519906872184202</v>
      </c>
      <c r="AB35" s="7">
        <f t="shared" si="15"/>
        <v>0.110533828238294</v>
      </c>
      <c r="AC35" s="7">
        <f t="shared" si="3"/>
        <v>-0.83875959269782696</v>
      </c>
      <c r="AD35" s="7">
        <f t="shared" si="4"/>
        <v>2.04485117197701E-2</v>
      </c>
      <c r="AE35" s="7">
        <f t="shared" si="5"/>
        <v>-2.48412627424262E-2</v>
      </c>
      <c r="AF35" s="7">
        <f t="shared" si="6"/>
        <v>-4.4943823306969198E-15</v>
      </c>
      <c r="AG35" s="7">
        <f t="shared" si="6"/>
        <v>2.2991790309205901E-14</v>
      </c>
      <c r="AH35" s="7">
        <f t="shared" si="7"/>
        <v>2.147888800328953E-2</v>
      </c>
      <c r="AI35" s="7">
        <f t="shared" si="0"/>
        <v>-1.7942918316721781</v>
      </c>
      <c r="AJ35" s="8">
        <f t="shared" si="8"/>
        <v>-0.86360085544025311</v>
      </c>
      <c r="AK35" s="8">
        <f t="shared" si="9"/>
        <v>-0.83421672876377784</v>
      </c>
      <c r="AL35" s="8">
        <f t="shared" si="10"/>
        <v>-0.117953135471455</v>
      </c>
      <c r="AM35" s="8">
        <f t="shared" si="11"/>
        <v>2.147888800328953E-2</v>
      </c>
      <c r="AN35" s="8">
        <f t="shared" si="12"/>
        <v>-1.7942918316721965</v>
      </c>
      <c r="AO35" s="9">
        <f t="shared" si="14"/>
        <v>1.7533101245988685</v>
      </c>
      <c r="AP35" s="9">
        <f t="shared" si="14"/>
        <v>-0.66490362597195418</v>
      </c>
      <c r="AQ35" s="9">
        <f t="shared" si="14"/>
        <v>-8.140844751082095E-2</v>
      </c>
      <c r="AR35" s="9">
        <f t="shared" si="14"/>
        <v>-6.9980511160904393E-3</v>
      </c>
      <c r="AS35" s="9">
        <f t="shared" si="14"/>
        <v>1</v>
      </c>
      <c r="AT35" s="7"/>
      <c r="AU35" s="7"/>
      <c r="AV35" s="7"/>
      <c r="AW35" s="7"/>
      <c r="AX35" s="7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</row>
    <row r="36" spans="1:87" x14ac:dyDescent="0.25">
      <c r="A36" s="1">
        <v>42277</v>
      </c>
      <c r="B36">
        <v>-0.125597913387717</v>
      </c>
      <c r="C36">
        <v>-1.11319310325527</v>
      </c>
      <c r="D36">
        <v>6.1113727907729801E-2</v>
      </c>
      <c r="E36">
        <v>3.4823216788481999E-3</v>
      </c>
      <c r="F36">
        <v>-0.183418927270598</v>
      </c>
      <c r="G36" s="2">
        <v>-4.2295913481771498E-15</v>
      </c>
      <c r="H36" s="2">
        <v>2.3555789364936001E-14</v>
      </c>
      <c r="I36" s="2">
        <v>5.7891315173581403E-15</v>
      </c>
      <c r="J36" s="2">
        <v>-1.28450830699333E-15</v>
      </c>
      <c r="K36" s="2">
        <v>-1.4669653593982199E-15</v>
      </c>
      <c r="L36" s="2">
        <v>-1.5746091887106001E-15</v>
      </c>
      <c r="M36" s="2">
        <v>-2.09465185382122E-15</v>
      </c>
      <c r="N36" s="2">
        <v>-2.3327856340022698E-15</v>
      </c>
      <c r="O36" s="2">
        <v>-2.64684505298631E-15</v>
      </c>
      <c r="P36" s="2">
        <v>1.04150622748981E-13</v>
      </c>
      <c r="Q36">
        <v>-8.3156350266481594E-3</v>
      </c>
      <c r="R36">
        <v>0</v>
      </c>
      <c r="S36">
        <v>-0.68092832855369601</v>
      </c>
      <c r="T36">
        <v>2.12177490776243E-2</v>
      </c>
      <c r="U36">
        <v>-2.0256401088296099</v>
      </c>
      <c r="V36">
        <f t="shared" si="1"/>
        <v>-2.025640108829609</v>
      </c>
      <c r="Y36" s="1">
        <f t="shared" si="15"/>
        <v>42277</v>
      </c>
      <c r="Z36" s="7">
        <f t="shared" si="15"/>
        <v>-0.125597913387717</v>
      </c>
      <c r="AA36" s="7">
        <f t="shared" si="15"/>
        <v>-1.11319310325527</v>
      </c>
      <c r="AB36" s="7">
        <f t="shared" si="15"/>
        <v>6.1113727907729801E-2</v>
      </c>
      <c r="AC36" s="7">
        <f t="shared" si="3"/>
        <v>-0.86434725582429395</v>
      </c>
      <c r="AD36" s="7">
        <f t="shared" si="4"/>
        <v>3.4823216788481999E-3</v>
      </c>
      <c r="AE36" s="7">
        <f t="shared" si="5"/>
        <v>-8.3156350266481594E-3</v>
      </c>
      <c r="AF36" s="7">
        <f t="shared" si="6"/>
        <v>-4.2295913481771498E-15</v>
      </c>
      <c r="AG36" s="7">
        <f t="shared" si="6"/>
        <v>2.3555789364936001E-14</v>
      </c>
      <c r="AH36" s="7">
        <f t="shared" si="7"/>
        <v>2.121774907772284E-2</v>
      </c>
      <c r="AI36" s="7">
        <f t="shared" si="0"/>
        <v>-2.025640108829609</v>
      </c>
      <c r="AJ36" s="8">
        <f t="shared" si="8"/>
        <v>-0.87266289085094206</v>
      </c>
      <c r="AK36" s="8">
        <f t="shared" si="9"/>
        <v>-1.0485970536686919</v>
      </c>
      <c r="AL36" s="8">
        <f t="shared" si="10"/>
        <v>-0.125597913387717</v>
      </c>
      <c r="AM36" s="8">
        <f t="shared" si="11"/>
        <v>2.121774907772284E-2</v>
      </c>
      <c r="AN36" s="8">
        <f t="shared" si="12"/>
        <v>-2.0256401088296281</v>
      </c>
      <c r="AO36" s="9">
        <f t="shared" si="14"/>
        <v>3.9170533370872146E-2</v>
      </c>
      <c r="AP36" s="9">
        <f t="shared" si="14"/>
        <v>0.92665624113997258</v>
      </c>
      <c r="AQ36" s="9">
        <f t="shared" si="14"/>
        <v>3.3044455788446447E-2</v>
      </c>
      <c r="AR36" s="9">
        <f t="shared" si="14"/>
        <v>1.1287697007096634E-3</v>
      </c>
      <c r="AS36" s="9">
        <f t="shared" si="14"/>
        <v>1</v>
      </c>
      <c r="AT36" s="7"/>
      <c r="AU36" s="7"/>
      <c r="AV36" s="7"/>
      <c r="AW36" s="7"/>
      <c r="AX36" s="7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</row>
    <row r="37" spans="1:87" x14ac:dyDescent="0.25">
      <c r="A37" s="1">
        <v>42369</v>
      </c>
      <c r="B37">
        <v>-0.123385816084379</v>
      </c>
      <c r="C37">
        <v>-1.10253625282666</v>
      </c>
      <c r="D37">
        <v>3.91082061710884E-2</v>
      </c>
      <c r="E37">
        <v>-1.7979388833935701E-2</v>
      </c>
      <c r="F37">
        <v>-0.16686754602658699</v>
      </c>
      <c r="G37" s="2">
        <v>-3.8584636180738897E-15</v>
      </c>
      <c r="H37" s="2">
        <v>2.44216231788512E-14</v>
      </c>
      <c r="I37" s="2">
        <v>5.51854336398996E-15</v>
      </c>
      <c r="J37" s="2">
        <v>-1.36011270095678E-15</v>
      </c>
      <c r="K37" s="2">
        <v>-1.35379796672545E-15</v>
      </c>
      <c r="L37" s="2">
        <v>-1.5504795245534801E-15</v>
      </c>
      <c r="M37" s="2">
        <v>-2.0089772966496299E-15</v>
      </c>
      <c r="N37" s="2">
        <v>-2.28442602555181E-15</v>
      </c>
      <c r="O37" s="2">
        <v>-2.6289673305607901E-15</v>
      </c>
      <c r="P37" s="2">
        <v>1.04271626548467E-13</v>
      </c>
      <c r="Q37">
        <v>-4.1530978142240299E-3</v>
      </c>
      <c r="R37">
        <v>0</v>
      </c>
      <c r="S37">
        <v>-0.69168453879534897</v>
      </c>
      <c r="T37">
        <v>2.0959980498422601E-2</v>
      </c>
      <c r="U37">
        <v>-2.0465384537115101</v>
      </c>
      <c r="V37">
        <f t="shared" si="1"/>
        <v>-2.0465384537115048</v>
      </c>
      <c r="Y37" s="1">
        <f t="shared" si="15"/>
        <v>42369</v>
      </c>
      <c r="Z37" s="7">
        <f t="shared" si="15"/>
        <v>-0.123385816084379</v>
      </c>
      <c r="AA37" s="7">
        <f t="shared" si="15"/>
        <v>-1.10253625282666</v>
      </c>
      <c r="AB37" s="7">
        <f t="shared" si="15"/>
        <v>3.91082061710884E-2</v>
      </c>
      <c r="AC37" s="7">
        <f t="shared" si="3"/>
        <v>-0.8585520848219359</v>
      </c>
      <c r="AD37" s="7">
        <f t="shared" si="4"/>
        <v>-1.7979388833935701E-2</v>
      </c>
      <c r="AE37" s="7">
        <f t="shared" si="5"/>
        <v>-4.1530978142240299E-3</v>
      </c>
      <c r="AF37" s="7">
        <f t="shared" si="6"/>
        <v>-3.8584636180738897E-15</v>
      </c>
      <c r="AG37" s="7">
        <f t="shared" si="6"/>
        <v>2.44216231788512E-14</v>
      </c>
      <c r="AH37" s="7">
        <f t="shared" si="7"/>
        <v>2.0959980498521207E-2</v>
      </c>
      <c r="AI37" s="7">
        <f t="shared" si="0"/>
        <v>-2.0465384537115048</v>
      </c>
      <c r="AJ37" s="8">
        <f t="shared" si="8"/>
        <v>-0.86270518263615992</v>
      </c>
      <c r="AK37" s="8">
        <f t="shared" si="9"/>
        <v>-1.0814074354895074</v>
      </c>
      <c r="AL37" s="8">
        <f t="shared" si="10"/>
        <v>-0.123385816084379</v>
      </c>
      <c r="AM37" s="8">
        <f t="shared" si="11"/>
        <v>2.0959980498521207E-2</v>
      </c>
      <c r="AN37" s="8">
        <f t="shared" si="12"/>
        <v>-2.0465384537115252</v>
      </c>
      <c r="AO37" s="9">
        <f t="shared" si="14"/>
        <v>-0.47648310289911333</v>
      </c>
      <c r="AP37" s="9">
        <f t="shared" si="14"/>
        <v>1.5699990600325919</v>
      </c>
      <c r="AQ37" s="9">
        <f t="shared" si="14"/>
        <v>-0.10585035876473642</v>
      </c>
      <c r="AR37" s="9">
        <f t="shared" si="14"/>
        <v>1.2334401631246942E-2</v>
      </c>
      <c r="AS37" s="9">
        <f t="shared" si="14"/>
        <v>1</v>
      </c>
      <c r="AT37" s="7"/>
      <c r="AU37" s="7"/>
      <c r="AV37" s="7"/>
      <c r="AW37" s="7"/>
      <c r="AX37" s="7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</row>
    <row r="38" spans="1:87" x14ac:dyDescent="0.25">
      <c r="A38" s="1">
        <v>42460</v>
      </c>
      <c r="B38">
        <v>-0.121891486435752</v>
      </c>
      <c r="C38">
        <v>-1.26056272834667</v>
      </c>
      <c r="D38">
        <v>2.7336973852379501E-2</v>
      </c>
      <c r="E38">
        <v>-2.9904165698923301E-2</v>
      </c>
      <c r="F38">
        <v>-0.17088061989607101</v>
      </c>
      <c r="G38" s="2">
        <v>-4.1431140076853697E-15</v>
      </c>
      <c r="H38" s="2">
        <v>2.5156568581220699E-14</v>
      </c>
      <c r="I38" s="2">
        <v>6.0920255514342498E-15</v>
      </c>
      <c r="J38" s="2">
        <v>-1.0531444603884501E-15</v>
      </c>
      <c r="K38" s="2">
        <v>-1.1535291423050301E-15</v>
      </c>
      <c r="L38" s="2">
        <v>-1.3381657935764699E-15</v>
      </c>
      <c r="M38" s="2">
        <v>-1.85352948362385E-15</v>
      </c>
      <c r="N38" s="2">
        <v>-2.1790188951737102E-15</v>
      </c>
      <c r="O38" s="2">
        <v>-2.56614166032727E-15</v>
      </c>
      <c r="P38" s="2">
        <v>1.0451010619878001E-13</v>
      </c>
      <c r="Q38">
        <v>-5.7038221653730901E-3</v>
      </c>
      <c r="R38">
        <v>0</v>
      </c>
      <c r="S38">
        <v>-0.67623422864859195</v>
      </c>
      <c r="T38">
        <v>2.07055363564113E-2</v>
      </c>
      <c r="U38">
        <v>-2.2171345409824701</v>
      </c>
      <c r="V38">
        <f t="shared" si="1"/>
        <v>-2.2171345409824696</v>
      </c>
      <c r="Y38" s="1">
        <f t="shared" si="15"/>
        <v>42460</v>
      </c>
      <c r="Z38" s="7">
        <f t="shared" si="15"/>
        <v>-0.121891486435752</v>
      </c>
      <c r="AA38" s="7">
        <f t="shared" si="15"/>
        <v>-1.26056272834667</v>
      </c>
      <c r="AB38" s="7">
        <f t="shared" si="15"/>
        <v>2.7336973852379501E-2</v>
      </c>
      <c r="AC38" s="7">
        <f t="shared" si="3"/>
        <v>-0.8471148485446629</v>
      </c>
      <c r="AD38" s="7">
        <f t="shared" si="4"/>
        <v>-2.9904165698923301E-2</v>
      </c>
      <c r="AE38" s="7">
        <f t="shared" si="5"/>
        <v>-5.7038221653730901E-3</v>
      </c>
      <c r="AF38" s="7">
        <f t="shared" si="6"/>
        <v>-4.1431140076853697E-15</v>
      </c>
      <c r="AG38" s="7">
        <f t="shared" si="6"/>
        <v>2.5156568581220699E-14</v>
      </c>
      <c r="AH38" s="7">
        <f t="shared" si="7"/>
        <v>2.0705536356511758E-2</v>
      </c>
      <c r="AI38" s="7">
        <f t="shared" si="0"/>
        <v>-2.2171345409824688</v>
      </c>
      <c r="AJ38" s="8">
        <f t="shared" si="8"/>
        <v>-0.85281867071003603</v>
      </c>
      <c r="AK38" s="8">
        <f t="shared" si="9"/>
        <v>-1.263129920193214</v>
      </c>
      <c r="AL38" s="8">
        <f t="shared" si="10"/>
        <v>-0.121891486435752</v>
      </c>
      <c r="AM38" s="8">
        <f t="shared" si="11"/>
        <v>2.0705536356511758E-2</v>
      </c>
      <c r="AN38" s="8">
        <f t="shared" si="12"/>
        <v>-2.2171345409824905</v>
      </c>
      <c r="AO38" s="9">
        <f t="shared" si="14"/>
        <v>-5.7952747242207864E-2</v>
      </c>
      <c r="AP38" s="9">
        <f t="shared" si="14"/>
        <v>1.0652207070556594</v>
      </c>
      <c r="AQ38" s="9">
        <f t="shared" si="14"/>
        <v>-8.7594602697627644E-3</v>
      </c>
      <c r="AR38" s="9">
        <f t="shared" si="14"/>
        <v>1.4915004563106067E-3</v>
      </c>
      <c r="AS38" s="9">
        <f t="shared" si="14"/>
        <v>1</v>
      </c>
      <c r="AT38" s="7"/>
      <c r="AU38" s="7"/>
      <c r="AV38" s="7"/>
      <c r="AW38" s="7"/>
      <c r="AX38" s="7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</row>
    <row r="39" spans="1:87" x14ac:dyDescent="0.25">
      <c r="A39" s="1">
        <v>42551</v>
      </c>
      <c r="B39">
        <v>-0.13450480537767101</v>
      </c>
      <c r="C39">
        <v>-1.12590633440943</v>
      </c>
      <c r="D39">
        <v>6.0937053373189998E-2</v>
      </c>
      <c r="E39">
        <v>9.45385798320688E-3</v>
      </c>
      <c r="F39">
        <v>-0.15298071336425301</v>
      </c>
      <c r="G39" s="2">
        <v>-5.6564843041237601E-15</v>
      </c>
      <c r="H39" s="2">
        <v>2.6019731422664299E-14</v>
      </c>
      <c r="I39" s="2">
        <v>5.7839863939174101E-15</v>
      </c>
      <c r="J39" s="2">
        <v>-1.15995069650429E-15</v>
      </c>
      <c r="K39" s="2">
        <v>-1.2316764910257501E-15</v>
      </c>
      <c r="L39" s="2">
        <v>-1.4583351863626001E-15</v>
      </c>
      <c r="M39" s="2">
        <v>-2.0158860302084901E-15</v>
      </c>
      <c r="N39" s="2">
        <v>-2.3880030341752002E-15</v>
      </c>
      <c r="O39" s="2">
        <v>-2.6778987184607401E-15</v>
      </c>
      <c r="P39" s="2">
        <v>1.01979587113324E-13</v>
      </c>
      <c r="Q39">
        <v>-1.6619202436823501E-2</v>
      </c>
      <c r="R39">
        <v>0</v>
      </c>
      <c r="S39">
        <v>-0.69433966911261302</v>
      </c>
      <c r="T39">
        <v>2.04543713738339E-2</v>
      </c>
      <c r="U39">
        <v>-2.0335054419704499</v>
      </c>
      <c r="V39">
        <f t="shared" si="1"/>
        <v>-2.0335054419704428</v>
      </c>
      <c r="Y39" s="1">
        <f t="shared" si="15"/>
        <v>42551</v>
      </c>
      <c r="Z39" s="7">
        <f t="shared" si="15"/>
        <v>-0.13450480537767101</v>
      </c>
      <c r="AA39" s="7">
        <f t="shared" si="15"/>
        <v>-1.12590633440943</v>
      </c>
      <c r="AB39" s="7">
        <f t="shared" si="15"/>
        <v>6.0937053373189998E-2</v>
      </c>
      <c r="AC39" s="7">
        <f t="shared" si="3"/>
        <v>-0.84732038247686603</v>
      </c>
      <c r="AD39" s="7">
        <f t="shared" si="4"/>
        <v>9.45385798320688E-3</v>
      </c>
      <c r="AE39" s="7">
        <f t="shared" si="5"/>
        <v>-1.6619202436823501E-2</v>
      </c>
      <c r="AF39" s="7">
        <f t="shared" si="6"/>
        <v>-5.6564843041237601E-15</v>
      </c>
      <c r="AG39" s="7">
        <f t="shared" si="6"/>
        <v>2.6019731422664299E-14</v>
      </c>
      <c r="AH39" s="7">
        <f t="shared" si="7"/>
        <v>2.0454371373930736E-2</v>
      </c>
      <c r="AI39" s="7">
        <f t="shared" si="0"/>
        <v>-2.0335054419704428</v>
      </c>
      <c r="AJ39" s="8">
        <f t="shared" si="8"/>
        <v>-0.8639395849136895</v>
      </c>
      <c r="AK39" s="8">
        <f t="shared" si="9"/>
        <v>-1.0555154230530333</v>
      </c>
      <c r="AL39" s="8">
        <f t="shared" si="10"/>
        <v>-0.13450480537767101</v>
      </c>
      <c r="AM39" s="8">
        <f t="shared" si="11"/>
        <v>2.0454371373930736E-2</v>
      </c>
      <c r="AN39" s="8">
        <f t="shared" si="12"/>
        <v>-2.0335054419704632</v>
      </c>
      <c r="AO39" s="9">
        <f t="shared" si="14"/>
        <v>-6.0561829598287528E-2</v>
      </c>
      <c r="AP39" s="9">
        <f t="shared" si="14"/>
        <v>1.1306187214183439</v>
      </c>
      <c r="AQ39" s="9">
        <f t="shared" si="14"/>
        <v>-6.868910760757406E-2</v>
      </c>
      <c r="AR39" s="9">
        <f t="shared" si="14"/>
        <v>-1.3677842124824177E-3</v>
      </c>
      <c r="AS39" s="9">
        <f t="shared" si="14"/>
        <v>1</v>
      </c>
      <c r="AT39" s="7"/>
      <c r="AU39" s="7"/>
      <c r="AV39" s="7"/>
      <c r="AW39" s="7"/>
      <c r="AX39" s="7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</row>
    <row r="40" spans="1:87" x14ac:dyDescent="0.25">
      <c r="A40" s="1">
        <v>42643</v>
      </c>
      <c r="B40">
        <v>-0.13551749456593401</v>
      </c>
      <c r="C40">
        <v>-1.08539973037889</v>
      </c>
      <c r="D40">
        <v>0.104377790531262</v>
      </c>
      <c r="E40">
        <v>2.0183166506804798E-2</v>
      </c>
      <c r="F40">
        <v>-0.16338711008311299</v>
      </c>
      <c r="G40" s="2">
        <v>-5.4243665870615397E-15</v>
      </c>
      <c r="H40" s="2">
        <v>2.6870512452392001E-14</v>
      </c>
      <c r="I40" s="2">
        <v>5.9043433922489204E-15</v>
      </c>
      <c r="J40" s="2">
        <v>-1.0759694013405199E-15</v>
      </c>
      <c r="K40" s="2">
        <v>-1.1985789739191001E-15</v>
      </c>
      <c r="L40" s="2">
        <v>-1.46901165259833E-15</v>
      </c>
      <c r="M40" s="2">
        <v>-2.0625284142141201E-15</v>
      </c>
      <c r="N40" s="2">
        <v>-2.3498184284966901E-15</v>
      </c>
      <c r="O40" s="2">
        <v>-2.5446133057287201E-15</v>
      </c>
      <c r="P40" s="2">
        <v>1.01672049514397E-13</v>
      </c>
      <c r="Q40">
        <v>-1.76948868614424E-2</v>
      </c>
      <c r="R40">
        <v>0</v>
      </c>
      <c r="S40">
        <v>-0.67667856499046997</v>
      </c>
      <c r="T40">
        <v>2.02064408964946E-2</v>
      </c>
      <c r="U40">
        <v>-1.9339103889451701</v>
      </c>
      <c r="V40">
        <f t="shared" si="1"/>
        <v>-1.9339103889451696</v>
      </c>
      <c r="Y40" s="1">
        <f t="shared" si="15"/>
        <v>42643</v>
      </c>
      <c r="Z40" s="7">
        <f t="shared" si="15"/>
        <v>-0.13551749456593401</v>
      </c>
      <c r="AA40" s="7">
        <f t="shared" si="15"/>
        <v>-1.08539973037889</v>
      </c>
      <c r="AB40" s="7">
        <f t="shared" si="15"/>
        <v>0.104377790531262</v>
      </c>
      <c r="AC40" s="7">
        <f t="shared" si="3"/>
        <v>-0.84006567507358298</v>
      </c>
      <c r="AD40" s="7">
        <f t="shared" si="4"/>
        <v>2.0183166506804798E-2</v>
      </c>
      <c r="AE40" s="7">
        <f t="shared" si="5"/>
        <v>-1.76948868614424E-2</v>
      </c>
      <c r="AF40" s="7">
        <f t="shared" si="6"/>
        <v>-5.4243665870615397E-15</v>
      </c>
      <c r="AG40" s="7">
        <f t="shared" si="6"/>
        <v>2.6870512452392001E-14</v>
      </c>
      <c r="AH40" s="7">
        <f t="shared" si="7"/>
        <v>2.0206440896591484E-2</v>
      </c>
      <c r="AI40" s="7">
        <f t="shared" si="0"/>
        <v>-1.9339103889451699</v>
      </c>
      <c r="AJ40" s="8">
        <f t="shared" si="8"/>
        <v>-0.85776056193502537</v>
      </c>
      <c r="AK40" s="8">
        <f t="shared" si="9"/>
        <v>-0.96083877334082324</v>
      </c>
      <c r="AL40" s="8">
        <f t="shared" si="10"/>
        <v>-0.13551749456593401</v>
      </c>
      <c r="AM40" s="8">
        <f t="shared" si="11"/>
        <v>2.0206440896591484E-2</v>
      </c>
      <c r="AN40" s="8">
        <f t="shared" si="12"/>
        <v>-1.9339103889451914</v>
      </c>
      <c r="AO40" s="9">
        <f t="shared" si="14"/>
        <v>6.2041464821513043E-2</v>
      </c>
      <c r="AP40" s="9">
        <f t="shared" si="14"/>
        <v>0.95061598780600287</v>
      </c>
      <c r="AQ40" s="9">
        <f t="shared" si="14"/>
        <v>-1.0168067162994872E-2</v>
      </c>
      <c r="AR40" s="9">
        <f t="shared" si="14"/>
        <v>-2.4893854645204167E-3</v>
      </c>
      <c r="AS40" s="9">
        <f t="shared" si="14"/>
        <v>1</v>
      </c>
      <c r="AT40" s="7"/>
      <c r="AU40" s="7"/>
      <c r="AV40" s="7"/>
      <c r="AW40" s="7"/>
      <c r="AX40" s="7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</row>
    <row r="41" spans="1:87" x14ac:dyDescent="0.25">
      <c r="A41" s="1">
        <v>42735</v>
      </c>
      <c r="B41">
        <v>-0.137526326878601</v>
      </c>
      <c r="C41">
        <v>-0.93666726245213305</v>
      </c>
      <c r="D41">
        <v>0.16580174034887499</v>
      </c>
      <c r="E41">
        <v>3.7175312478348502E-2</v>
      </c>
      <c r="F41">
        <v>-0.16886748631853299</v>
      </c>
      <c r="G41" s="2">
        <v>-5.5508143237524598E-15</v>
      </c>
      <c r="H41" s="2">
        <v>2.74351613588568E-14</v>
      </c>
      <c r="I41" s="2">
        <v>5.3533186313594703E-15</v>
      </c>
      <c r="J41" s="2">
        <v>-1.1882337061311401E-15</v>
      </c>
      <c r="K41" s="2">
        <v>-1.3362345499554599E-15</v>
      </c>
      <c r="L41" s="2">
        <v>-1.61793757404297E-15</v>
      </c>
      <c r="M41" s="2">
        <v>-2.12285163057057E-15</v>
      </c>
      <c r="N41" s="2">
        <v>-2.3183295737051298E-15</v>
      </c>
      <c r="O41" s="2">
        <v>-2.73746185973501E-15</v>
      </c>
      <c r="P41" s="2">
        <v>1.01007462386903E-13</v>
      </c>
      <c r="Q41">
        <v>-1.28710697974309E-2</v>
      </c>
      <c r="R41">
        <v>0</v>
      </c>
      <c r="S41">
        <v>-0.64837723499590805</v>
      </c>
      <c r="T41">
        <v>1.9961700885959999E-2</v>
      </c>
      <c r="U41">
        <v>-1.6813706267293</v>
      </c>
      <c r="V41">
        <f t="shared" si="1"/>
        <v>-1.6813706267293052</v>
      </c>
      <c r="Y41" s="1">
        <f t="shared" si="15"/>
        <v>42735</v>
      </c>
      <c r="Z41" s="7">
        <f t="shared" si="15"/>
        <v>-0.137526326878601</v>
      </c>
      <c r="AA41" s="7">
        <f t="shared" si="15"/>
        <v>-0.93666726245213305</v>
      </c>
      <c r="AB41" s="7">
        <f t="shared" si="15"/>
        <v>0.16580174034887499</v>
      </c>
      <c r="AC41" s="7">
        <f t="shared" si="3"/>
        <v>-0.81724472131444104</v>
      </c>
      <c r="AD41" s="7">
        <f t="shared" si="4"/>
        <v>3.7175312478348502E-2</v>
      </c>
      <c r="AE41" s="7">
        <f t="shared" si="5"/>
        <v>-1.28710697974309E-2</v>
      </c>
      <c r="AF41" s="7">
        <f t="shared" si="6"/>
        <v>-5.5508143237524598E-15</v>
      </c>
      <c r="AG41" s="7">
        <f t="shared" si="6"/>
        <v>2.74351613588568E-14</v>
      </c>
      <c r="AH41" s="7">
        <f t="shared" si="7"/>
        <v>1.9961700886055041E-2</v>
      </c>
      <c r="AI41" s="7">
        <f t="shared" si="0"/>
        <v>-1.6813706267293054</v>
      </c>
      <c r="AJ41" s="8">
        <f t="shared" si="8"/>
        <v>-0.83011579111187195</v>
      </c>
      <c r="AK41" s="8">
        <f t="shared" si="9"/>
        <v>-0.73369020962490961</v>
      </c>
      <c r="AL41" s="8">
        <f t="shared" si="10"/>
        <v>-0.137526326878601</v>
      </c>
      <c r="AM41" s="8">
        <f t="shared" si="11"/>
        <v>1.9961700886055041E-2</v>
      </c>
      <c r="AN41" s="8">
        <f t="shared" si="12"/>
        <v>-1.6813706267293276</v>
      </c>
      <c r="AO41" s="9">
        <f t="shared" si="14"/>
        <v>0.10946700266361799</v>
      </c>
      <c r="AP41" s="9">
        <f t="shared" si="14"/>
        <v>0.89945663099877904</v>
      </c>
      <c r="AQ41" s="9">
        <f t="shared" si="14"/>
        <v>-7.9545189044325573E-3</v>
      </c>
      <c r="AR41" s="9">
        <f t="shared" si="14"/>
        <v>-9.6911475796530866E-4</v>
      </c>
      <c r="AS41" s="9">
        <f t="shared" si="14"/>
        <v>1</v>
      </c>
      <c r="AT41" s="7"/>
      <c r="AU41" s="7"/>
      <c r="AV41" s="7"/>
      <c r="AW41" s="7"/>
      <c r="AX41" s="7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</row>
    <row r="42" spans="1:87" x14ac:dyDescent="0.25">
      <c r="A42" s="1">
        <v>42825</v>
      </c>
      <c r="B42">
        <v>-0.14395711345797599</v>
      </c>
      <c r="C42">
        <v>-0.83494174381771402</v>
      </c>
      <c r="D42">
        <v>0.191153053446878</v>
      </c>
      <c r="E42">
        <v>3.6145267765120101E-2</v>
      </c>
      <c r="F42">
        <v>-0.17124012148234899</v>
      </c>
      <c r="G42" s="2">
        <v>-5.9099875123810497E-15</v>
      </c>
      <c r="H42" s="2">
        <v>2.79481294664976E-14</v>
      </c>
      <c r="I42" s="2">
        <v>5.6519385730865701E-15</v>
      </c>
      <c r="J42" s="2">
        <v>-1.13072068384724E-15</v>
      </c>
      <c r="K42" s="2">
        <v>-1.31963365671306E-15</v>
      </c>
      <c r="L42" s="2">
        <v>-1.5426091576269301E-15</v>
      </c>
      <c r="M42" s="2">
        <v>-1.9752649295351601E-15</v>
      </c>
      <c r="N42" s="2">
        <v>-2.37045659032759E-15</v>
      </c>
      <c r="O42" s="2">
        <v>-2.82625745257832E-15</v>
      </c>
      <c r="P42" s="2">
        <v>1.0042971819085E-13</v>
      </c>
      <c r="Q42">
        <v>-2.38010470093485E-2</v>
      </c>
      <c r="R42">
        <v>0</v>
      </c>
      <c r="S42">
        <v>-0.62240713800187597</v>
      </c>
      <c r="T42">
        <v>1.97201079118219E-2</v>
      </c>
      <c r="U42">
        <v>-1.5493287346453199</v>
      </c>
      <c r="V42">
        <f t="shared" si="1"/>
        <v>-1.5493287346453266</v>
      </c>
      <c r="Y42" s="1">
        <f t="shared" si="15"/>
        <v>42825</v>
      </c>
      <c r="Z42" s="7">
        <f t="shared" si="15"/>
        <v>-0.14395711345797599</v>
      </c>
      <c r="AA42" s="7">
        <f t="shared" si="15"/>
        <v>-0.83494174381771402</v>
      </c>
      <c r="AB42" s="7">
        <f t="shared" si="15"/>
        <v>0.191153053446878</v>
      </c>
      <c r="AC42" s="7">
        <f t="shared" si="3"/>
        <v>-0.79364725948422499</v>
      </c>
      <c r="AD42" s="7">
        <f t="shared" si="4"/>
        <v>3.6145267765120101E-2</v>
      </c>
      <c r="AE42" s="7">
        <f t="shared" si="5"/>
        <v>-2.38010470093485E-2</v>
      </c>
      <c r="AF42" s="7">
        <f t="shared" si="6"/>
        <v>-5.9099875123810497E-15</v>
      </c>
      <c r="AG42" s="7">
        <f t="shared" si="6"/>
        <v>2.79481294664976E-14</v>
      </c>
      <c r="AH42" s="7">
        <f t="shared" si="7"/>
        <v>1.9720107911916817E-2</v>
      </c>
      <c r="AI42" s="7">
        <f t="shared" si="0"/>
        <v>-1.5493287346453266</v>
      </c>
      <c r="AJ42" s="8">
        <f t="shared" si="8"/>
        <v>-0.81744830649357347</v>
      </c>
      <c r="AK42" s="8">
        <f t="shared" si="9"/>
        <v>-0.60764342260571602</v>
      </c>
      <c r="AL42" s="8">
        <f t="shared" si="10"/>
        <v>-0.14395711345797599</v>
      </c>
      <c r="AM42" s="8">
        <f t="shared" si="11"/>
        <v>1.9720107911916817E-2</v>
      </c>
      <c r="AN42" s="8">
        <f t="shared" si="12"/>
        <v>-1.5493287346453486</v>
      </c>
      <c r="AO42" s="9">
        <f t="shared" si="14"/>
        <v>9.593534611153498E-2</v>
      </c>
      <c r="AP42" s="9">
        <f t="shared" si="14"/>
        <v>0.95459694669497397</v>
      </c>
      <c r="AQ42" s="9">
        <f t="shared" si="14"/>
        <v>-4.8702623674045729E-2</v>
      </c>
      <c r="AR42" s="9">
        <f t="shared" si="14"/>
        <v>-1.829669132464188E-3</v>
      </c>
      <c r="AS42" s="9">
        <f t="shared" si="14"/>
        <v>1</v>
      </c>
      <c r="AT42" s="7"/>
      <c r="AU42" s="7"/>
      <c r="AV42" s="7"/>
      <c r="AW42" s="7"/>
      <c r="AX42" s="7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</row>
    <row r="43" spans="1:87" x14ac:dyDescent="0.25">
      <c r="A43" s="1">
        <v>42916</v>
      </c>
      <c r="B43">
        <v>-0.13970082214060001</v>
      </c>
      <c r="C43">
        <v>-0.80127705063798604</v>
      </c>
      <c r="D43">
        <v>0.185373910002222</v>
      </c>
      <c r="E43">
        <v>4.2120163108155598E-2</v>
      </c>
      <c r="F43">
        <v>-0.15974511011117401</v>
      </c>
      <c r="G43" s="2">
        <v>-5.4047880540137696E-15</v>
      </c>
      <c r="H43" s="2">
        <v>2.8562443017435299E-14</v>
      </c>
      <c r="I43" s="2">
        <v>5.8234008372066898E-15</v>
      </c>
      <c r="J43" s="2">
        <v>-1.08707442567309E-15</v>
      </c>
      <c r="K43" s="2">
        <v>-1.22604038452516E-15</v>
      </c>
      <c r="L43" s="2">
        <v>-1.4005490930074701E-15</v>
      </c>
      <c r="M43" s="2">
        <v>-2.01465300273384E-15</v>
      </c>
      <c r="N43" s="2">
        <v>-2.4584433377983199E-15</v>
      </c>
      <c r="O43" s="2">
        <v>-2.9249496281377499E-15</v>
      </c>
      <c r="P43" s="2">
        <v>9.9552804912175506E-14</v>
      </c>
      <c r="Q43">
        <v>-1.49993227933137E-2</v>
      </c>
      <c r="R43">
        <v>0</v>
      </c>
      <c r="S43">
        <v>-0.62759212516950402</v>
      </c>
      <c r="T43">
        <v>1.9481619144022602E-2</v>
      </c>
      <c r="U43">
        <v>-1.49633873859806</v>
      </c>
      <c r="V43">
        <f t="shared" si="1"/>
        <v>-1.4963387385980602</v>
      </c>
      <c r="Y43" s="1">
        <f t="shared" si="15"/>
        <v>42916</v>
      </c>
      <c r="Z43" s="7">
        <f t="shared" si="15"/>
        <v>-0.13970082214060001</v>
      </c>
      <c r="AA43" s="7">
        <f t="shared" si="15"/>
        <v>-0.80127705063798604</v>
      </c>
      <c r="AB43" s="7">
        <f t="shared" si="15"/>
        <v>0.185373910002222</v>
      </c>
      <c r="AC43" s="7">
        <f t="shared" si="3"/>
        <v>-0.78733723528067801</v>
      </c>
      <c r="AD43" s="7">
        <f t="shared" si="4"/>
        <v>4.2120163108155598E-2</v>
      </c>
      <c r="AE43" s="7">
        <f t="shared" si="5"/>
        <v>-1.49993227933137E-2</v>
      </c>
      <c r="AF43" s="7">
        <f t="shared" si="6"/>
        <v>-5.4047880540137696E-15</v>
      </c>
      <c r="AG43" s="7">
        <f t="shared" si="6"/>
        <v>2.8562443017435299E-14</v>
      </c>
      <c r="AH43" s="7">
        <f t="shared" si="7"/>
        <v>1.9481619144116863E-2</v>
      </c>
      <c r="AI43" s="7">
        <f t="shared" si="0"/>
        <v>-1.4963387385980598</v>
      </c>
      <c r="AJ43" s="8">
        <f t="shared" si="8"/>
        <v>-0.80233655807399173</v>
      </c>
      <c r="AK43" s="8">
        <f t="shared" si="9"/>
        <v>-0.57378297752760843</v>
      </c>
      <c r="AL43" s="8">
        <f t="shared" si="10"/>
        <v>-0.13970082214060001</v>
      </c>
      <c r="AM43" s="8">
        <f t="shared" si="11"/>
        <v>1.9481619144116863E-2</v>
      </c>
      <c r="AN43" s="8">
        <f t="shared" si="12"/>
        <v>-1.4963387385980831</v>
      </c>
      <c r="AO43" s="9">
        <f t="shared" si="14"/>
        <v>0.28518115770573954</v>
      </c>
      <c r="AP43" s="9">
        <f t="shared" si="14"/>
        <v>0.63899693534426905</v>
      </c>
      <c r="AQ43" s="9">
        <f t="shared" si="14"/>
        <v>8.0322544534245602E-2</v>
      </c>
      <c r="AR43" s="9">
        <f t="shared" si="14"/>
        <v>-4.5006375842570195E-3</v>
      </c>
      <c r="AS43" s="9">
        <f t="shared" si="14"/>
        <v>1</v>
      </c>
      <c r="AT43" s="7"/>
      <c r="AU43" s="7"/>
      <c r="AV43" s="7"/>
      <c r="AW43" s="7"/>
      <c r="AX43" s="7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</row>
    <row r="44" spans="1:87" x14ac:dyDescent="0.25">
      <c r="A44" s="1">
        <v>43008</v>
      </c>
      <c r="B44">
        <v>-0.13993463027939801</v>
      </c>
      <c r="C44">
        <v>-0.71923842396916504</v>
      </c>
      <c r="D44">
        <v>0.18103331610285101</v>
      </c>
      <c r="E44">
        <v>3.5219664980268399E-2</v>
      </c>
      <c r="F44">
        <v>-0.16850899787406901</v>
      </c>
      <c r="G44" s="2">
        <v>-5.5340510819394302E-15</v>
      </c>
      <c r="H44" s="2">
        <v>2.8891264010407199E-14</v>
      </c>
      <c r="I44" s="2">
        <v>5.55932244465263E-15</v>
      </c>
      <c r="J44" s="2">
        <v>-1.0665847911849101E-15</v>
      </c>
      <c r="K44" s="2">
        <v>-1.1519449131614901E-15</v>
      </c>
      <c r="L44" s="2">
        <v>-1.4772971859548099E-15</v>
      </c>
      <c r="M44" s="2">
        <v>-2.1135067749400498E-15</v>
      </c>
      <c r="N44" s="2">
        <v>-2.5500870833491099E-15</v>
      </c>
      <c r="O44" s="2">
        <v>-3.1499783616455901E-15</v>
      </c>
      <c r="P44" s="2">
        <v>9.7573595505815098E-14</v>
      </c>
      <c r="Q44">
        <v>-1.9303330985388101E-2</v>
      </c>
      <c r="R44">
        <v>0</v>
      </c>
      <c r="S44">
        <v>-0.52983296077050501</v>
      </c>
      <c r="T44">
        <v>1.92461923452431E-2</v>
      </c>
      <c r="U44">
        <v>-1.34131917045005</v>
      </c>
      <c r="V44">
        <f t="shared" si="1"/>
        <v>-1.3413191704500476</v>
      </c>
      <c r="Y44" s="1">
        <f t="shared" si="15"/>
        <v>43008</v>
      </c>
      <c r="Z44" s="7">
        <f t="shared" si="15"/>
        <v>-0.13993463027939801</v>
      </c>
      <c r="AA44" s="7">
        <f t="shared" si="15"/>
        <v>-0.71923842396916504</v>
      </c>
      <c r="AB44" s="7">
        <f t="shared" si="15"/>
        <v>0.18103331610285101</v>
      </c>
      <c r="AC44" s="7">
        <f t="shared" si="3"/>
        <v>-0.69834195864457405</v>
      </c>
      <c r="AD44" s="7">
        <f t="shared" si="4"/>
        <v>3.5219664980268399E-2</v>
      </c>
      <c r="AE44" s="7">
        <f t="shared" si="5"/>
        <v>-1.9303330985388101E-2</v>
      </c>
      <c r="AF44" s="7">
        <f t="shared" si="6"/>
        <v>-5.5340510819394302E-15</v>
      </c>
      <c r="AG44" s="7">
        <f t="shared" si="6"/>
        <v>2.8891264010407199E-14</v>
      </c>
      <c r="AH44" s="7">
        <f t="shared" si="7"/>
        <v>1.9246192345334725E-2</v>
      </c>
      <c r="AI44" s="7">
        <f t="shared" si="0"/>
        <v>-1.3413191704500478</v>
      </c>
      <c r="AJ44" s="8">
        <f t="shared" si="8"/>
        <v>-0.7176452896299621</v>
      </c>
      <c r="AK44" s="8">
        <f t="shared" si="9"/>
        <v>-0.50298544288604563</v>
      </c>
      <c r="AL44" s="8">
        <f t="shared" si="10"/>
        <v>-0.13993463027939801</v>
      </c>
      <c r="AM44" s="8">
        <f t="shared" si="11"/>
        <v>1.9246192345334725E-2</v>
      </c>
      <c r="AN44" s="8">
        <f t="shared" si="12"/>
        <v>-1.3413191704500711</v>
      </c>
      <c r="AO44" s="9">
        <f t="shared" si="14"/>
        <v>0.54632630870940624</v>
      </c>
      <c r="AP44" s="9">
        <f t="shared" si="14"/>
        <v>0.45670063132910826</v>
      </c>
      <c r="AQ44" s="9">
        <f t="shared" si="14"/>
        <v>-1.5082491945453229E-3</v>
      </c>
      <c r="AR44" s="9">
        <f t="shared" si="14"/>
        <v>-1.5186908439672182E-3</v>
      </c>
      <c r="AS44" s="9">
        <f t="shared" si="14"/>
        <v>1</v>
      </c>
      <c r="AT44" s="7"/>
      <c r="AU44" s="7"/>
      <c r="AV44" s="7"/>
      <c r="AW44" s="7"/>
      <c r="AX44" s="7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</row>
    <row r="45" spans="1:87" x14ac:dyDescent="0.25">
      <c r="A45" s="1">
        <v>43100</v>
      </c>
      <c r="B45">
        <v>-0.145297829673565</v>
      </c>
      <c r="C45">
        <v>-0.62598101534480199</v>
      </c>
      <c r="D45">
        <v>0.16751848937000999</v>
      </c>
      <c r="E45">
        <v>4.3322696420583999E-2</v>
      </c>
      <c r="F45">
        <v>-0.19202646589099201</v>
      </c>
      <c r="G45" s="2">
        <v>-6.1154286988699499E-15</v>
      </c>
      <c r="H45" s="2">
        <v>2.9131359507493102E-14</v>
      </c>
      <c r="I45" s="2">
        <v>6.0685594715298003E-15</v>
      </c>
      <c r="J45" s="2">
        <v>-8.7891787169519196E-16</v>
      </c>
      <c r="K45" s="2">
        <v>-1.1169807031717199E-15</v>
      </c>
      <c r="L45" s="2">
        <v>-1.48631192454912E-15</v>
      </c>
      <c r="M45" s="2">
        <v>-2.13818803160358E-15</v>
      </c>
      <c r="N45" s="2">
        <v>-2.7214391992273199E-15</v>
      </c>
      <c r="O45" s="2">
        <v>-3.2820434734923698E-15</v>
      </c>
      <c r="P45" s="2">
        <v>9.5331258680683598E-14</v>
      </c>
      <c r="Q45">
        <v>-5.1229632689408101E-3</v>
      </c>
      <c r="R45">
        <v>0</v>
      </c>
      <c r="S45">
        <v>-0.44098427980586602</v>
      </c>
      <c r="T45">
        <v>1.90137858633544E-2</v>
      </c>
      <c r="U45">
        <v>-1.1795575823301001</v>
      </c>
      <c r="V45">
        <f t="shared" si="1"/>
        <v>-1.1795575823301048</v>
      </c>
      <c r="Y45" s="1">
        <f t="shared" si="15"/>
        <v>43100</v>
      </c>
      <c r="Z45" s="7">
        <f t="shared" si="15"/>
        <v>-0.145297829673565</v>
      </c>
      <c r="AA45" s="7">
        <f t="shared" si="15"/>
        <v>-0.62598101534480199</v>
      </c>
      <c r="AB45" s="7">
        <f t="shared" si="15"/>
        <v>0.16751848937000999</v>
      </c>
      <c r="AC45" s="7">
        <f t="shared" si="3"/>
        <v>-0.633010745696858</v>
      </c>
      <c r="AD45" s="7">
        <f t="shared" si="4"/>
        <v>4.3322696420583999E-2</v>
      </c>
      <c r="AE45" s="7">
        <f t="shared" si="5"/>
        <v>-5.1229632689408101E-3</v>
      </c>
      <c r="AF45" s="7">
        <f t="shared" si="6"/>
        <v>-6.1154286988699499E-15</v>
      </c>
      <c r="AG45" s="7">
        <f t="shared" si="6"/>
        <v>2.9131359507493102E-14</v>
      </c>
      <c r="AH45" s="7">
        <f t="shared" si="7"/>
        <v>1.9013785863444179E-2</v>
      </c>
      <c r="AI45" s="7">
        <f t="shared" si="0"/>
        <v>-1.1795575823301048</v>
      </c>
      <c r="AJ45" s="8">
        <f t="shared" si="8"/>
        <v>-0.6381337089657988</v>
      </c>
      <c r="AK45" s="8">
        <f t="shared" si="9"/>
        <v>-0.41513982955420797</v>
      </c>
      <c r="AL45" s="8">
        <f t="shared" si="10"/>
        <v>-0.145297829673565</v>
      </c>
      <c r="AM45" s="8">
        <f t="shared" si="11"/>
        <v>1.9013785863444179E-2</v>
      </c>
      <c r="AN45" s="8">
        <f t="shared" si="12"/>
        <v>-1.1795575823301274</v>
      </c>
      <c r="AO45" s="9">
        <f t="shared" si="14"/>
        <v>0.49153560859705903</v>
      </c>
      <c r="AP45" s="9">
        <f t="shared" si="14"/>
        <v>0.543056076246615</v>
      </c>
      <c r="AQ45" s="9">
        <f t="shared" si="14"/>
        <v>-3.315496253777047E-2</v>
      </c>
      <c r="AR45" s="9">
        <f t="shared" si="14"/>
        <v>-1.4367223059050338E-3</v>
      </c>
      <c r="AS45" s="9">
        <f t="shared" si="14"/>
        <v>1</v>
      </c>
      <c r="AT45" s="7"/>
      <c r="AU45" s="7"/>
      <c r="AV45" s="7"/>
      <c r="AW45" s="7"/>
      <c r="AX45" s="7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</row>
    <row r="46" spans="1:87" x14ac:dyDescent="0.25">
      <c r="A46" s="1">
        <v>43190</v>
      </c>
      <c r="B46">
        <v>-0.14572709304308201</v>
      </c>
      <c r="C46">
        <v>-0.53714645109719406</v>
      </c>
      <c r="D46">
        <v>0.17663367974411401</v>
      </c>
      <c r="E46">
        <v>4.3454715388481703E-2</v>
      </c>
      <c r="F46">
        <v>-0.185848761728998</v>
      </c>
      <c r="G46" s="2">
        <v>-6.9893780978445799E-15</v>
      </c>
      <c r="H46" s="2">
        <v>2.9685032715188102E-14</v>
      </c>
      <c r="I46" s="2">
        <v>6.3735816996310302E-15</v>
      </c>
      <c r="J46" s="2">
        <v>-9.0369841287019503E-16</v>
      </c>
      <c r="K46" s="2">
        <v>-1.1739445842185401E-15</v>
      </c>
      <c r="L46" s="2">
        <v>-1.54422983410478E-15</v>
      </c>
      <c r="M46" s="2">
        <v>-2.3060701404634901E-15</v>
      </c>
      <c r="N46" s="2">
        <v>-2.84482913424449E-15</v>
      </c>
      <c r="O46" s="2">
        <v>-3.0214928752066401E-15</v>
      </c>
      <c r="P46" s="2">
        <v>9.4347437467556405E-14</v>
      </c>
      <c r="Q46">
        <v>6.7560800406798105E-4</v>
      </c>
      <c r="R46">
        <v>0</v>
      </c>
      <c r="S46">
        <v>-0.43112326605890899</v>
      </c>
      <c r="T46">
        <v>1.87843586239342E-2</v>
      </c>
      <c r="U46">
        <v>-1.0602972101674699</v>
      </c>
      <c r="V46">
        <f t="shared" si="1"/>
        <v>-1.0602972101674737</v>
      </c>
      <c r="Y46" s="1">
        <f t="shared" si="15"/>
        <v>43190</v>
      </c>
      <c r="Z46" s="7">
        <f t="shared" si="15"/>
        <v>-0.14572709304308201</v>
      </c>
      <c r="AA46" s="7">
        <f t="shared" si="15"/>
        <v>-0.53714645109719406</v>
      </c>
      <c r="AB46" s="7">
        <f t="shared" si="15"/>
        <v>0.17663367974411401</v>
      </c>
      <c r="AC46" s="7">
        <f t="shared" si="3"/>
        <v>-0.61697202778790694</v>
      </c>
      <c r="AD46" s="7">
        <f t="shared" si="4"/>
        <v>4.3454715388481703E-2</v>
      </c>
      <c r="AE46" s="7">
        <f t="shared" si="5"/>
        <v>6.7560800406798105E-4</v>
      </c>
      <c r="AF46" s="7">
        <f t="shared" si="6"/>
        <v>-6.9893780978445799E-15</v>
      </c>
      <c r="AG46" s="7">
        <f t="shared" si="6"/>
        <v>2.9685032715188102E-14</v>
      </c>
      <c r="AH46" s="7">
        <f t="shared" si="7"/>
        <v>1.8784358624023129E-2</v>
      </c>
      <c r="AI46" s="7">
        <f t="shared" si="0"/>
        <v>-1.0602972101674732</v>
      </c>
      <c r="AJ46" s="8">
        <f t="shared" si="8"/>
        <v>-0.61629641978383898</v>
      </c>
      <c r="AK46" s="8">
        <f t="shared" si="9"/>
        <v>-0.3170580559645983</v>
      </c>
      <c r="AL46" s="8">
        <f t="shared" si="10"/>
        <v>-0.14572709304308201</v>
      </c>
      <c r="AM46" s="8">
        <f t="shared" si="11"/>
        <v>1.8784358624023129E-2</v>
      </c>
      <c r="AN46" s="8">
        <f t="shared" si="12"/>
        <v>-1.0602972101674963</v>
      </c>
      <c r="AO46" s="9">
        <f t="shared" si="14"/>
        <v>0.18310599561253332</v>
      </c>
      <c r="AP46" s="9">
        <f t="shared" si="14"/>
        <v>0.82241713497136415</v>
      </c>
      <c r="AQ46" s="9">
        <f t="shared" si="14"/>
        <v>-3.5993797581953071E-3</v>
      </c>
      <c r="AR46" s="9">
        <f t="shared" si="14"/>
        <v>-1.9237508256991524E-3</v>
      </c>
      <c r="AS46" s="9">
        <f t="shared" si="14"/>
        <v>1</v>
      </c>
      <c r="AT46" s="7"/>
      <c r="AU46" s="7"/>
      <c r="AV46" s="7"/>
      <c r="AW46" s="7"/>
      <c r="AX46" s="7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</row>
    <row r="47" spans="1:87" x14ac:dyDescent="0.25">
      <c r="A47" s="1">
        <v>43281</v>
      </c>
      <c r="B47">
        <v>-0.140884736426341</v>
      </c>
      <c r="C47">
        <v>-0.58721754073995303</v>
      </c>
      <c r="D47">
        <v>0.16839157779556799</v>
      </c>
      <c r="E47">
        <v>2.8146481314860701E-2</v>
      </c>
      <c r="F47">
        <v>-0.18154835106282</v>
      </c>
      <c r="G47" s="2">
        <v>-7.4088920015999306E-15</v>
      </c>
      <c r="H47" s="2">
        <v>3.0427574013937497E-14</v>
      </c>
      <c r="I47" s="2">
        <v>6.3117986868522801E-15</v>
      </c>
      <c r="J47" s="2">
        <v>-9.0939095836690804E-16</v>
      </c>
      <c r="K47" s="2">
        <v>-1.1830569076444601E-15</v>
      </c>
      <c r="L47" s="2">
        <v>-1.6461717929933299E-15</v>
      </c>
      <c r="M47" s="2">
        <v>-2.36081975055599E-15</v>
      </c>
      <c r="N47" s="2">
        <v>-2.5600517282092699E-15</v>
      </c>
      <c r="O47" s="2">
        <v>-2.3604471314272001E-15</v>
      </c>
      <c r="P47" s="2">
        <v>9.4933543932053301E-14</v>
      </c>
      <c r="Q47">
        <v>8.5878314608262007E-3</v>
      </c>
      <c r="R47">
        <v>0</v>
      </c>
      <c r="S47">
        <v>-0.48502846903583702</v>
      </c>
      <c r="T47">
        <v>1.85578701228475E-2</v>
      </c>
      <c r="U47">
        <v>-1.17099533657073</v>
      </c>
      <c r="V47">
        <f t="shared" si="1"/>
        <v>-1.1709953365707353</v>
      </c>
      <c r="Y47" s="1">
        <f t="shared" si="15"/>
        <v>43281</v>
      </c>
      <c r="Z47" s="7">
        <f t="shared" si="15"/>
        <v>-0.140884736426341</v>
      </c>
      <c r="AA47" s="7">
        <f t="shared" si="15"/>
        <v>-0.58721754073995303</v>
      </c>
      <c r="AB47" s="7">
        <f t="shared" si="15"/>
        <v>0.16839157779556799</v>
      </c>
      <c r="AC47" s="7">
        <f t="shared" si="3"/>
        <v>-0.66657682009865704</v>
      </c>
      <c r="AD47" s="7">
        <f t="shared" si="4"/>
        <v>2.8146481314860701E-2</v>
      </c>
      <c r="AE47" s="7">
        <f t="shared" si="5"/>
        <v>8.5878314608262007E-3</v>
      </c>
      <c r="AF47" s="7">
        <f t="shared" si="6"/>
        <v>-7.4088920015999306E-15</v>
      </c>
      <c r="AG47" s="7">
        <f t="shared" si="6"/>
        <v>3.0427574013937497E-14</v>
      </c>
      <c r="AH47" s="7">
        <f t="shared" si="7"/>
        <v>1.855787012293773E-2</v>
      </c>
      <c r="AI47" s="7">
        <f t="shared" si="0"/>
        <v>-1.1709953365707357</v>
      </c>
      <c r="AJ47" s="8">
        <f t="shared" si="8"/>
        <v>-0.65798898863783084</v>
      </c>
      <c r="AK47" s="8">
        <f t="shared" si="9"/>
        <v>-0.39067948162952432</v>
      </c>
      <c r="AL47" s="8">
        <f t="shared" si="10"/>
        <v>-0.140884736426341</v>
      </c>
      <c r="AM47" s="8">
        <f t="shared" si="11"/>
        <v>1.855787012293773E-2</v>
      </c>
      <c r="AN47" s="8">
        <f t="shared" si="12"/>
        <v>-1.1709953365707586</v>
      </c>
      <c r="AO47" s="9">
        <f t="shared" si="14"/>
        <v>0.37663301275858979</v>
      </c>
      <c r="AP47" s="9">
        <f t="shared" si="14"/>
        <v>0.66506478525869972</v>
      </c>
      <c r="AQ47" s="9">
        <f t="shared" si="14"/>
        <v>-4.3743799231983273E-2</v>
      </c>
      <c r="AR47" s="9">
        <f t="shared" si="14"/>
        <v>2.0460012146937714E-3</v>
      </c>
      <c r="AS47" s="9">
        <f t="shared" si="14"/>
        <v>1</v>
      </c>
      <c r="AT47" s="7"/>
      <c r="AU47" s="7"/>
      <c r="AV47" s="7"/>
      <c r="AW47" s="7"/>
      <c r="AX47" s="7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</row>
    <row r="48" spans="1:87" x14ac:dyDescent="0.25">
      <c r="A48" s="1">
        <v>43373</v>
      </c>
      <c r="B48">
        <v>-0.132211963967964</v>
      </c>
      <c r="C48">
        <v>-0.559680174782064</v>
      </c>
      <c r="D48">
        <v>0.16537017809483301</v>
      </c>
      <c r="E48">
        <v>1.47816146213325E-2</v>
      </c>
      <c r="F48">
        <v>-0.18816136494215499</v>
      </c>
      <c r="G48" s="2">
        <v>-6.85591405684712E-15</v>
      </c>
      <c r="H48" s="2">
        <v>3.0958462046888902E-14</v>
      </c>
      <c r="I48" s="2">
        <v>5.9837343257294904E-15</v>
      </c>
      <c r="J48" s="2">
        <v>-9.554217278068759E-16</v>
      </c>
      <c r="K48" s="2">
        <v>-1.31739684931095E-15</v>
      </c>
      <c r="L48" s="2">
        <v>-1.73155093882958E-15</v>
      </c>
      <c r="M48" s="2">
        <v>-2.1477978562644098E-15</v>
      </c>
      <c r="N48" s="2">
        <v>-2.0088981078344201E-15</v>
      </c>
      <c r="O48" s="2">
        <v>-2.6514755382801399E-15</v>
      </c>
      <c r="P48" s="2">
        <v>9.4000897582286696E-14</v>
      </c>
      <c r="Q48">
        <v>8.7231960608725508E-3</v>
      </c>
      <c r="R48">
        <v>0</v>
      </c>
      <c r="S48">
        <v>-0.43074258088954898</v>
      </c>
      <c r="T48">
        <v>1.8334280418893002E-2</v>
      </c>
      <c r="U48">
        <v>-1.10358681538568</v>
      </c>
      <c r="V48">
        <f t="shared" si="1"/>
        <v>-1.1035868153856876</v>
      </c>
      <c r="Y48" s="1">
        <f t="shared" si="15"/>
        <v>43373</v>
      </c>
      <c r="Z48" s="7">
        <f t="shared" si="15"/>
        <v>-0.132211963967964</v>
      </c>
      <c r="AA48" s="7">
        <f t="shared" si="15"/>
        <v>-0.559680174782064</v>
      </c>
      <c r="AB48" s="7">
        <f t="shared" si="15"/>
        <v>0.16537017809483301</v>
      </c>
      <c r="AC48" s="7">
        <f t="shared" si="3"/>
        <v>-0.61890394583170394</v>
      </c>
      <c r="AD48" s="7">
        <f t="shared" si="4"/>
        <v>1.47816146213325E-2</v>
      </c>
      <c r="AE48" s="7">
        <f t="shared" si="5"/>
        <v>8.7231960608725508E-3</v>
      </c>
      <c r="AF48" s="7">
        <f t="shared" si="6"/>
        <v>-6.85591405684712E-15</v>
      </c>
      <c r="AG48" s="7">
        <f t="shared" si="6"/>
        <v>3.0958462046888902E-14</v>
      </c>
      <c r="AH48" s="7">
        <f t="shared" si="7"/>
        <v>1.8334280418982177E-2</v>
      </c>
      <c r="AI48" s="7">
        <f t="shared" si="0"/>
        <v>-1.1035868153856878</v>
      </c>
      <c r="AJ48" s="8">
        <f t="shared" si="8"/>
        <v>-0.61018074977083137</v>
      </c>
      <c r="AK48" s="8">
        <f t="shared" si="9"/>
        <v>-0.37952838206589851</v>
      </c>
      <c r="AL48" s="8">
        <f t="shared" si="10"/>
        <v>-0.132211963967964</v>
      </c>
      <c r="AM48" s="8">
        <f t="shared" si="11"/>
        <v>1.8334280418982177E-2</v>
      </c>
      <c r="AN48" s="8">
        <f t="shared" si="12"/>
        <v>-1.1035868153857118</v>
      </c>
      <c r="AO48" s="9">
        <f t="shared" si="14"/>
        <v>0.70923138538759023</v>
      </c>
      <c r="AP48" s="9">
        <f t="shared" si="14"/>
        <v>0.16542566677904591</v>
      </c>
      <c r="AQ48" s="9">
        <f t="shared" si="14"/>
        <v>0.12865988314101859</v>
      </c>
      <c r="AR48" s="9">
        <f t="shared" si="14"/>
        <v>-3.3169353076559121E-3</v>
      </c>
      <c r="AS48" s="9">
        <f t="shared" si="14"/>
        <v>1</v>
      </c>
      <c r="AT48" s="7"/>
      <c r="AU48" s="7"/>
      <c r="AV48" s="7"/>
      <c r="AW48" s="7"/>
      <c r="AX48" s="7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</row>
    <row r="49" spans="1:87" x14ac:dyDescent="0.25">
      <c r="A49" s="1">
        <v>43465</v>
      </c>
      <c r="B49">
        <v>-0.127272466619057</v>
      </c>
      <c r="C49">
        <v>-0.60738694391723602</v>
      </c>
      <c r="D49">
        <v>0.12969325631001599</v>
      </c>
      <c r="E49">
        <v>2.13994554136194E-3</v>
      </c>
      <c r="F49">
        <v>-0.16698520071791401</v>
      </c>
      <c r="G49" s="2">
        <v>-7.2729328520955908E-15</v>
      </c>
      <c r="H49" s="2">
        <v>3.1684033246646699E-14</v>
      </c>
      <c r="I49" s="2">
        <v>6.1820038156368498E-15</v>
      </c>
      <c r="J49" s="2">
        <v>-9.6217288125175806E-16</v>
      </c>
      <c r="K49" s="2">
        <v>-1.2984111630974201E-15</v>
      </c>
      <c r="L49" s="2">
        <v>-1.46775468958276E-15</v>
      </c>
      <c r="M49" s="2">
        <v>-1.6055380577164201E-15</v>
      </c>
      <c r="N49" s="2">
        <v>-2.2056783364959401E-15</v>
      </c>
      <c r="O49" s="2">
        <v>-2.9892206384563301E-15</v>
      </c>
      <c r="P49" s="2">
        <v>9.3680837224605606E-14</v>
      </c>
      <c r="Q49">
        <v>1.3086717095133E-2</v>
      </c>
      <c r="R49">
        <v>0</v>
      </c>
      <c r="S49">
        <v>-0.449347708093637</v>
      </c>
      <c r="T49">
        <v>1.81135501265158E-2</v>
      </c>
      <c r="U49">
        <v>-1.1879588502747001</v>
      </c>
      <c r="V49">
        <f t="shared" si="1"/>
        <v>-1.1879588502747036</v>
      </c>
      <c r="Y49" s="1">
        <f t="shared" si="15"/>
        <v>43465</v>
      </c>
      <c r="Z49" s="7">
        <f t="shared" si="15"/>
        <v>-0.127272466619057</v>
      </c>
      <c r="AA49" s="7">
        <f t="shared" si="15"/>
        <v>-0.60738694391723602</v>
      </c>
      <c r="AB49" s="7">
        <f t="shared" si="15"/>
        <v>0.12969325631001599</v>
      </c>
      <c r="AC49" s="7">
        <f t="shared" si="3"/>
        <v>-0.61633290881155101</v>
      </c>
      <c r="AD49" s="7">
        <f t="shared" si="4"/>
        <v>2.13994554136194E-3</v>
      </c>
      <c r="AE49" s="7">
        <f t="shared" si="5"/>
        <v>1.3086717095133E-2</v>
      </c>
      <c r="AF49" s="7">
        <f t="shared" si="6"/>
        <v>-7.2729328520955908E-15</v>
      </c>
      <c r="AG49" s="7">
        <f t="shared" si="6"/>
        <v>3.1684033246646699E-14</v>
      </c>
      <c r="AH49" s="7">
        <f t="shared" si="7"/>
        <v>1.8113550126605135E-2</v>
      </c>
      <c r="AI49" s="7">
        <f t="shared" si="0"/>
        <v>-1.1879588502747034</v>
      </c>
      <c r="AJ49" s="8">
        <f t="shared" si="8"/>
        <v>-0.60324619171641802</v>
      </c>
      <c r="AK49" s="8">
        <f t="shared" si="9"/>
        <v>-0.4755537420658581</v>
      </c>
      <c r="AL49" s="8">
        <f t="shared" si="10"/>
        <v>-0.127272466619057</v>
      </c>
      <c r="AM49" s="8">
        <f t="shared" si="11"/>
        <v>1.8113550126605135E-2</v>
      </c>
      <c r="AN49" s="8">
        <f t="shared" si="12"/>
        <v>-1.1879588502747278</v>
      </c>
      <c r="AO49" s="9">
        <f t="shared" si="14"/>
        <v>-8.2190243053105724E-2</v>
      </c>
      <c r="AP49" s="9">
        <f t="shared" si="14"/>
        <v>1.1381183365587011</v>
      </c>
      <c r="AQ49" s="9">
        <f t="shared" si="14"/>
        <v>-5.8544248167114565E-2</v>
      </c>
      <c r="AR49" s="9">
        <f t="shared" si="14"/>
        <v>2.6161546615225393E-3</v>
      </c>
      <c r="AS49" s="9">
        <f t="shared" si="14"/>
        <v>1</v>
      </c>
      <c r="AT49" s="7"/>
      <c r="AU49" s="7"/>
      <c r="AV49" s="7"/>
      <c r="AW49" s="7"/>
      <c r="AX49" s="7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</row>
    <row r="50" spans="1:87" x14ac:dyDescent="0.25">
      <c r="A50" s="1">
        <v>43555</v>
      </c>
      <c r="B50">
        <v>-0.11222825198620601</v>
      </c>
      <c r="C50">
        <v>-0.64862907995425301</v>
      </c>
      <c r="D50">
        <v>7.3149497253332904E-2</v>
      </c>
      <c r="E50">
        <v>6.8760020613094002E-4</v>
      </c>
      <c r="F50">
        <v>-0.182426927675503</v>
      </c>
      <c r="G50" s="2">
        <v>-6.8517557257370098E-15</v>
      </c>
      <c r="H50" s="2">
        <v>3.1376222161254699E-14</v>
      </c>
      <c r="I50" s="2">
        <v>5.7690712487940497E-15</v>
      </c>
      <c r="J50" s="2">
        <v>-9.9696661612525696E-16</v>
      </c>
      <c r="K50" s="2">
        <v>-1.10939768839326E-15</v>
      </c>
      <c r="L50" s="2">
        <v>-1.05060686299665E-15</v>
      </c>
      <c r="M50" s="2">
        <v>-1.8291322573807899E-15</v>
      </c>
      <c r="N50" s="2">
        <v>-2.56374888270487E-15</v>
      </c>
      <c r="O50" s="2">
        <v>-3.2093581138495498E-15</v>
      </c>
      <c r="P50" s="2">
        <v>9.1219564541565398E-14</v>
      </c>
      <c r="Q50">
        <v>2.3983689541636499E-2</v>
      </c>
      <c r="R50">
        <v>0</v>
      </c>
      <c r="S50">
        <v>-0.38400191703916298</v>
      </c>
      <c r="T50">
        <v>1.7895640408585899E-2</v>
      </c>
      <c r="U50">
        <v>-1.2115697492453299</v>
      </c>
      <c r="V50">
        <f t="shared" si="1"/>
        <v>-1.2115697492453279</v>
      </c>
      <c r="Y50" s="1">
        <f t="shared" si="15"/>
        <v>43555</v>
      </c>
      <c r="Z50" s="7">
        <f t="shared" si="15"/>
        <v>-0.11222825198620601</v>
      </c>
      <c r="AA50" s="7">
        <f t="shared" si="15"/>
        <v>-0.64862907995425301</v>
      </c>
      <c r="AB50" s="7">
        <f t="shared" si="15"/>
        <v>7.3149497253332904E-2</v>
      </c>
      <c r="AC50" s="7">
        <f t="shared" si="3"/>
        <v>-0.56642884471466592</v>
      </c>
      <c r="AD50" s="7">
        <f t="shared" si="4"/>
        <v>6.8760020613094002E-4</v>
      </c>
      <c r="AE50" s="7">
        <f t="shared" si="5"/>
        <v>2.3983689541636499E-2</v>
      </c>
      <c r="AF50" s="7">
        <f t="shared" si="6"/>
        <v>-6.8517557257370098E-15</v>
      </c>
      <c r="AG50" s="7">
        <f t="shared" si="6"/>
        <v>3.1376222161254699E-14</v>
      </c>
      <c r="AH50" s="7">
        <f t="shared" si="7"/>
        <v>1.7895640408672128E-2</v>
      </c>
      <c r="AI50" s="7">
        <f t="shared" si="0"/>
        <v>-1.2115697492453281</v>
      </c>
      <c r="AJ50" s="8">
        <f t="shared" si="8"/>
        <v>-0.54244515517302938</v>
      </c>
      <c r="AK50" s="8">
        <f t="shared" si="9"/>
        <v>-0.57479198249478924</v>
      </c>
      <c r="AL50" s="8">
        <f t="shared" si="10"/>
        <v>-0.11222825198620601</v>
      </c>
      <c r="AM50" s="8">
        <f t="shared" si="11"/>
        <v>1.7895640408672128E-2</v>
      </c>
      <c r="AN50" s="8">
        <f t="shared" si="12"/>
        <v>-1.2115697492453528</v>
      </c>
      <c r="AO50" s="9">
        <f t="shared" si="14"/>
        <v>-2.5751258611132539</v>
      </c>
      <c r="AP50" s="9">
        <f t="shared" si="14"/>
        <v>4.2030691229671717</v>
      </c>
      <c r="AQ50" s="9">
        <f t="shared" si="14"/>
        <v>-0.63717246224160973</v>
      </c>
      <c r="AR50" s="9">
        <f t="shared" si="14"/>
        <v>9.2292003876732979E-3</v>
      </c>
      <c r="AS50" s="9">
        <f t="shared" si="14"/>
        <v>1</v>
      </c>
      <c r="AT50" s="7"/>
      <c r="AU50" s="7"/>
      <c r="AV50" s="7"/>
      <c r="AW50" s="7"/>
      <c r="AX50" s="7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</row>
    <row r="51" spans="1:87" x14ac:dyDescent="0.25">
      <c r="A51" s="1">
        <v>43646</v>
      </c>
      <c r="B51">
        <v>-0.12812934126296899</v>
      </c>
      <c r="C51">
        <v>-0.66231419887295495</v>
      </c>
      <c r="D51">
        <v>8.3008189016326603E-2</v>
      </c>
      <c r="E51">
        <v>1.4566512303119301E-2</v>
      </c>
      <c r="F51">
        <v>-0.20073870096644</v>
      </c>
      <c r="G51" s="2">
        <v>-7.3345217164969705E-15</v>
      </c>
      <c r="H51" s="2">
        <v>3.2040633874363401E-14</v>
      </c>
      <c r="I51" s="2">
        <v>5.7878657062331402E-15</v>
      </c>
      <c r="J51" s="2">
        <v>-7.7738638718197295E-16</v>
      </c>
      <c r="K51" s="2">
        <v>-6.8523695727236997E-16</v>
      </c>
      <c r="L51" s="2">
        <v>-1.2198031188828701E-15</v>
      </c>
      <c r="M51" s="2">
        <v>-2.12246429866153E-15</v>
      </c>
      <c r="N51" s="2">
        <v>-2.7560681130250699E-15</v>
      </c>
      <c r="O51" s="2">
        <v>-3.37177547536521E-15</v>
      </c>
      <c r="P51" s="2">
        <v>9.0463986627063201E-14</v>
      </c>
      <c r="Q51">
        <v>2.4743168439793999E-2</v>
      </c>
      <c r="R51">
        <v>0</v>
      </c>
      <c r="S51">
        <v>-0.43091895379122103</v>
      </c>
      <c r="T51">
        <v>1.7680512969244201E-2</v>
      </c>
      <c r="U51">
        <v>-1.28210281216499</v>
      </c>
      <c r="V51">
        <f t="shared" si="1"/>
        <v>-1.2821028121649909</v>
      </c>
      <c r="Y51" s="1">
        <f t="shared" si="15"/>
        <v>43646</v>
      </c>
      <c r="Z51" s="7">
        <f t="shared" si="15"/>
        <v>-0.12812934126296899</v>
      </c>
      <c r="AA51" s="7">
        <f t="shared" si="15"/>
        <v>-0.66231419887295495</v>
      </c>
      <c r="AB51" s="7">
        <f t="shared" si="15"/>
        <v>8.3008189016326603E-2</v>
      </c>
      <c r="AC51" s="7">
        <f t="shared" si="3"/>
        <v>-0.631657654757661</v>
      </c>
      <c r="AD51" s="7">
        <f t="shared" si="4"/>
        <v>1.4566512303119301E-2</v>
      </c>
      <c r="AE51" s="7">
        <f t="shared" si="5"/>
        <v>2.4743168439793999E-2</v>
      </c>
      <c r="AF51" s="7">
        <f t="shared" si="6"/>
        <v>-7.3345217164969705E-15</v>
      </c>
      <c r="AG51" s="7">
        <f t="shared" si="6"/>
        <v>3.2040633874363401E-14</v>
      </c>
      <c r="AH51" s="7">
        <f t="shared" si="7"/>
        <v>1.7680512969329515E-2</v>
      </c>
      <c r="AI51" s="7">
        <f t="shared" si="0"/>
        <v>-1.2821028121649907</v>
      </c>
      <c r="AJ51" s="8">
        <f t="shared" si="8"/>
        <v>-0.60691448631786704</v>
      </c>
      <c r="AK51" s="8">
        <f t="shared" si="9"/>
        <v>-0.56473949755350905</v>
      </c>
      <c r="AL51" s="8">
        <f t="shared" si="10"/>
        <v>-0.12812934126296899</v>
      </c>
      <c r="AM51" s="8">
        <f t="shared" si="11"/>
        <v>1.7680512969329515E-2</v>
      </c>
      <c r="AN51" s="8">
        <f t="shared" si="12"/>
        <v>-1.2821028121650153</v>
      </c>
      <c r="AO51" s="9">
        <f t="shared" si="14"/>
        <v>0.91402993824709555</v>
      </c>
      <c r="AP51" s="9">
        <f t="shared" si="14"/>
        <v>-0.14252159944804915</v>
      </c>
      <c r="AQ51" s="9">
        <f t="shared" si="14"/>
        <v>0.2254416385528924</v>
      </c>
      <c r="AR51" s="9">
        <f t="shared" si="14"/>
        <v>3.0500226480685293E-3</v>
      </c>
      <c r="AS51" s="9">
        <f t="shared" si="14"/>
        <v>1</v>
      </c>
      <c r="AT51" s="7"/>
      <c r="AU51" s="7"/>
      <c r="AV51" s="7"/>
      <c r="AW51" s="7"/>
      <c r="AX51" s="7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</row>
    <row r="52" spans="1:87" x14ac:dyDescent="0.25">
      <c r="A52" s="1">
        <v>43738</v>
      </c>
      <c r="B52">
        <v>-0.127618424958238</v>
      </c>
      <c r="C52">
        <v>-0.65676263748260599</v>
      </c>
      <c r="D52">
        <v>9.9984981204624901E-2</v>
      </c>
      <c r="E52">
        <v>-3.4536178463276E-3</v>
      </c>
      <c r="F52">
        <v>-0.207116123223864</v>
      </c>
      <c r="G52" s="2">
        <v>-7.2736265880624807E-15</v>
      </c>
      <c r="H52" s="2">
        <v>3.2820085550210403E-14</v>
      </c>
      <c r="I52" s="2">
        <v>6.0905807483760402E-15</v>
      </c>
      <c r="J52" s="2">
        <v>-5.0071471189119802E-16</v>
      </c>
      <c r="K52" s="2">
        <v>-9.1606851914985405E-16</v>
      </c>
      <c r="L52" s="2">
        <v>-1.5192688801467799E-15</v>
      </c>
      <c r="M52" s="2">
        <v>-2.2939256402232699E-15</v>
      </c>
      <c r="N52" s="2">
        <v>-2.8632822103457398E-15</v>
      </c>
      <c r="O52" s="2">
        <v>-2.8587882548806702E-15</v>
      </c>
      <c r="P52" s="2">
        <v>9.0581069407531104E-14</v>
      </c>
      <c r="Q52">
        <v>2.63941895266159E-3</v>
      </c>
      <c r="R52">
        <v>0</v>
      </c>
      <c r="S52">
        <v>-0.45808359456861703</v>
      </c>
      <c r="T52">
        <v>1.7468130046815501E-2</v>
      </c>
      <c r="U52">
        <v>-1.3329418678754399</v>
      </c>
      <c r="V52">
        <f t="shared" si="1"/>
        <v>-1.3329418678754394</v>
      </c>
      <c r="Y52" s="1">
        <f t="shared" si="15"/>
        <v>43738</v>
      </c>
      <c r="Z52" s="7">
        <f t="shared" si="15"/>
        <v>-0.127618424958238</v>
      </c>
      <c r="AA52" s="7">
        <f t="shared" si="15"/>
        <v>-0.65676263748260599</v>
      </c>
      <c r="AB52" s="7">
        <f t="shared" si="15"/>
        <v>9.9984981204624901E-2</v>
      </c>
      <c r="AC52" s="7">
        <f t="shared" si="3"/>
        <v>-0.66519971779248099</v>
      </c>
      <c r="AD52" s="7">
        <f t="shared" si="4"/>
        <v>-3.4536178463276E-3</v>
      </c>
      <c r="AE52" s="7">
        <f t="shared" si="5"/>
        <v>2.63941895266159E-3</v>
      </c>
      <c r="AF52" s="7">
        <f t="shared" si="6"/>
        <v>-7.2736265880624807E-15</v>
      </c>
      <c r="AG52" s="7">
        <f t="shared" si="6"/>
        <v>3.2820085550210403E-14</v>
      </c>
      <c r="AH52" s="7">
        <f t="shared" si="7"/>
        <v>1.7468130046901221E-2</v>
      </c>
      <c r="AI52" s="7">
        <f t="shared" si="0"/>
        <v>-1.3329418678754392</v>
      </c>
      <c r="AJ52" s="8">
        <f t="shared" si="8"/>
        <v>-0.66256029883981937</v>
      </c>
      <c r="AK52" s="8">
        <f t="shared" si="9"/>
        <v>-0.56023127412430873</v>
      </c>
      <c r="AL52" s="8">
        <f t="shared" si="10"/>
        <v>-0.127618424958238</v>
      </c>
      <c r="AM52" s="8">
        <f t="shared" si="11"/>
        <v>1.7468130046901221E-2</v>
      </c>
      <c r="AN52" s="8">
        <f t="shared" si="12"/>
        <v>-1.3329418678754648</v>
      </c>
      <c r="AO52" s="9">
        <f t="shared" si="14"/>
        <v>1.094548506936861</v>
      </c>
      <c r="AP52" s="9">
        <f t="shared" si="14"/>
        <v>-8.8676380121547008E-2</v>
      </c>
      <c r="AQ52" s="9">
        <f t="shared" si="14"/>
        <v>-1.0049681245868951E-2</v>
      </c>
      <c r="AR52" s="9">
        <f t="shared" si="14"/>
        <v>4.1775544305525112E-3</v>
      </c>
      <c r="AS52" s="9">
        <f t="shared" si="14"/>
        <v>1</v>
      </c>
      <c r="AT52" s="7"/>
      <c r="AU52" s="7"/>
      <c r="AV52" s="7"/>
      <c r="AW52" s="7"/>
      <c r="AX52" s="7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</row>
    <row r="53" spans="1:87" x14ac:dyDescent="0.25">
      <c r="A53" s="1">
        <v>43830</v>
      </c>
      <c r="B53">
        <v>-0.119345877141045</v>
      </c>
      <c r="C53">
        <v>-0.58869135735862099</v>
      </c>
      <c r="D53">
        <v>0.109662925668675</v>
      </c>
      <c r="E53">
        <v>-2.65852945151159E-2</v>
      </c>
      <c r="F53">
        <v>-0.20512609417684399</v>
      </c>
      <c r="G53" s="2">
        <v>-7.07144908040621E-15</v>
      </c>
      <c r="H53" s="2">
        <v>3.2791968178851198E-14</v>
      </c>
      <c r="I53" s="2">
        <v>6.2786710654850301E-15</v>
      </c>
      <c r="J53" s="2">
        <v>-8.5737085256101604E-16</v>
      </c>
      <c r="K53" s="2">
        <v>-1.3315027072669499E-15</v>
      </c>
      <c r="L53" s="2">
        <v>-1.78031561892418E-15</v>
      </c>
      <c r="M53" s="2">
        <v>-2.4715916986799301E-15</v>
      </c>
      <c r="N53" s="2">
        <v>-2.4772046923471298E-15</v>
      </c>
      <c r="O53" s="2">
        <v>-2.12013874362234E-15</v>
      </c>
      <c r="P53" s="2">
        <v>8.8717255505561095E-14</v>
      </c>
      <c r="Q53">
        <v>-2.0275822295024601E-2</v>
      </c>
      <c r="R53">
        <v>0</v>
      </c>
      <c r="S53">
        <v>-0.35124605945055998</v>
      </c>
      <c r="T53">
        <v>1.72584544067883E-2</v>
      </c>
      <c r="U53">
        <v>-1.18434912486163</v>
      </c>
      <c r="V53">
        <f t="shared" si="1"/>
        <v>-1.1843491248616376</v>
      </c>
      <c r="Y53" s="1">
        <f t="shared" si="15"/>
        <v>43830</v>
      </c>
      <c r="Z53" s="7">
        <f t="shared" si="15"/>
        <v>-0.119345877141045</v>
      </c>
      <c r="AA53" s="7">
        <f t="shared" si="15"/>
        <v>-0.58869135735862099</v>
      </c>
      <c r="AB53" s="7">
        <f t="shared" si="15"/>
        <v>0.109662925668675</v>
      </c>
      <c r="AC53" s="7">
        <f t="shared" si="3"/>
        <v>-0.556372153627404</v>
      </c>
      <c r="AD53" s="7">
        <f t="shared" si="4"/>
        <v>-2.65852945151159E-2</v>
      </c>
      <c r="AE53" s="7">
        <f t="shared" si="5"/>
        <v>-2.0275822295024601E-2</v>
      </c>
      <c r="AF53" s="7">
        <f t="shared" si="6"/>
        <v>-7.07144908040621E-15</v>
      </c>
      <c r="AG53" s="7">
        <f t="shared" si="6"/>
        <v>3.2791968178851198E-14</v>
      </c>
      <c r="AH53" s="7">
        <f t="shared" si="7"/>
        <v>1.7258454406872261E-2</v>
      </c>
      <c r="AI53" s="7">
        <f t="shared" si="0"/>
        <v>-1.1843491248616373</v>
      </c>
      <c r="AJ53" s="8">
        <f t="shared" si="8"/>
        <v>-0.57664797592242856</v>
      </c>
      <c r="AK53" s="8">
        <f t="shared" si="9"/>
        <v>-0.50561372620506195</v>
      </c>
      <c r="AL53" s="8">
        <f t="shared" si="10"/>
        <v>-0.119345877141045</v>
      </c>
      <c r="AM53" s="8">
        <f t="shared" si="11"/>
        <v>1.7258454406872261E-2</v>
      </c>
      <c r="AN53" s="8">
        <f t="shared" si="12"/>
        <v>-1.1843491248616631</v>
      </c>
      <c r="AO53" s="9">
        <f t="shared" si="14"/>
        <v>0.57817307342802782</v>
      </c>
      <c r="AP53" s="9">
        <f t="shared" si="14"/>
        <v>0.36756537911258402</v>
      </c>
      <c r="AQ53" s="9">
        <f t="shared" si="14"/>
        <v>5.5672623369127955E-2</v>
      </c>
      <c r="AR53" s="9">
        <f t="shared" si="14"/>
        <v>-1.411075909739984E-3</v>
      </c>
      <c r="AS53" s="9">
        <f t="shared" si="14"/>
        <v>1</v>
      </c>
      <c r="AT53" s="7"/>
      <c r="AU53" s="7"/>
      <c r="AV53" s="7"/>
      <c r="AW53" s="7"/>
      <c r="AX53" s="7"/>
    </row>
    <row r="54" spans="1:87" x14ac:dyDescent="0.25">
      <c r="A54" s="1">
        <v>43921</v>
      </c>
      <c r="B54">
        <v>-0.123927026317042</v>
      </c>
      <c r="C54">
        <v>-0.79307268770661998</v>
      </c>
      <c r="D54">
        <v>1.01338406176753E-2</v>
      </c>
      <c r="E54">
        <v>-3.2149122529001803E-2</v>
      </c>
      <c r="F54">
        <v>-0.18279815673495201</v>
      </c>
      <c r="G54" s="2">
        <v>-7.38974476703336E-15</v>
      </c>
      <c r="H54" s="2">
        <v>3.2821584578657701E-14</v>
      </c>
      <c r="I54" s="2">
        <v>4.5242610189076703E-15</v>
      </c>
      <c r="J54" s="2">
        <v>-1.2582516791992401E-15</v>
      </c>
      <c r="K54" s="2">
        <v>-1.6144039396414E-15</v>
      </c>
      <c r="L54" s="2">
        <v>-1.9852511095181699E-15</v>
      </c>
      <c r="M54" s="2">
        <v>-2.20445164603868E-15</v>
      </c>
      <c r="N54" s="2">
        <v>-1.9184780302308601E-15</v>
      </c>
      <c r="O54" s="2">
        <v>-1.88336729293915E-15</v>
      </c>
      <c r="P54" s="2">
        <v>8.4952309425917603E-14</v>
      </c>
      <c r="Q54">
        <v>-2.5731235584775899E-2</v>
      </c>
      <c r="R54">
        <v>0</v>
      </c>
      <c r="S54">
        <v>-0.396932098147324</v>
      </c>
      <c r="T54">
        <v>1.7051449334864001E-2</v>
      </c>
      <c r="U54">
        <v>-1.5274250370670699</v>
      </c>
      <c r="V54">
        <f t="shared" si="1"/>
        <v>-1.5274250370670721</v>
      </c>
      <c r="Y54" s="1">
        <f t="shared" si="15"/>
        <v>43921</v>
      </c>
      <c r="Z54" s="7">
        <f t="shared" si="15"/>
        <v>-0.123927026317042</v>
      </c>
      <c r="AA54" s="7">
        <f t="shared" si="15"/>
        <v>-0.79307268770661998</v>
      </c>
      <c r="AB54" s="7">
        <f t="shared" si="15"/>
        <v>1.01338406176753E-2</v>
      </c>
      <c r="AC54" s="7">
        <f t="shared" si="3"/>
        <v>-0.57973025488227603</v>
      </c>
      <c r="AD54" s="7">
        <f t="shared" si="4"/>
        <v>-3.2149122529001803E-2</v>
      </c>
      <c r="AE54" s="7">
        <f t="shared" si="5"/>
        <v>-2.5731235584775899E-2</v>
      </c>
      <c r="AF54" s="7">
        <f t="shared" si="6"/>
        <v>-7.38974476703336E-15</v>
      </c>
      <c r="AG54" s="7">
        <f t="shared" si="6"/>
        <v>3.2821584578657701E-14</v>
      </c>
      <c r="AH54" s="7">
        <f t="shared" si="7"/>
        <v>1.7051449334942615E-2</v>
      </c>
      <c r="AI54" s="7">
        <f t="shared" si="0"/>
        <v>-1.5274250370670723</v>
      </c>
      <c r="AJ54" s="8">
        <f t="shared" si="8"/>
        <v>-0.60546149046705189</v>
      </c>
      <c r="AK54" s="8">
        <f t="shared" si="9"/>
        <v>-0.8150879696179465</v>
      </c>
      <c r="AL54" s="8">
        <f t="shared" si="10"/>
        <v>-0.123927026317042</v>
      </c>
      <c r="AM54" s="8">
        <f t="shared" si="11"/>
        <v>1.7051449334942615E-2</v>
      </c>
      <c r="AN54" s="8">
        <f t="shared" si="12"/>
        <v>-1.5274250370670979</v>
      </c>
      <c r="AO54" s="9">
        <f t="shared" si="14"/>
        <v>8.3985827974333918E-2</v>
      </c>
      <c r="AP54" s="9">
        <f t="shared" si="14"/>
        <v>0.90205762748965757</v>
      </c>
      <c r="AQ54" s="9">
        <f t="shared" si="14"/>
        <v>1.3353164745806454E-2</v>
      </c>
      <c r="AR54" s="9">
        <f t="shared" si="14"/>
        <v>6.0337979020133234E-4</v>
      </c>
      <c r="AS54" s="9">
        <f t="shared" si="14"/>
        <v>1</v>
      </c>
      <c r="AT54" s="7"/>
      <c r="AU54" s="7"/>
      <c r="AV54" s="7"/>
      <c r="AW54" s="7"/>
      <c r="AX54" s="7"/>
    </row>
    <row r="55" spans="1:87" x14ac:dyDescent="0.25">
      <c r="A55" s="1">
        <v>44012</v>
      </c>
      <c r="B55">
        <v>-0.12956773130857499</v>
      </c>
      <c r="C55">
        <v>-0.88571520164976003</v>
      </c>
      <c r="D55">
        <v>-7.9479266828179101E-2</v>
      </c>
      <c r="E55">
        <v>-4.0312625187850198E-2</v>
      </c>
      <c r="F55">
        <v>-0.16330755485296</v>
      </c>
      <c r="G55" s="2">
        <v>-4.6508578276400899E-15</v>
      </c>
      <c r="H55" s="2">
        <v>3.2710704771306901E-14</v>
      </c>
      <c r="I55" s="2">
        <v>2.9159616852007598E-15</v>
      </c>
      <c r="J55" s="2">
        <v>-1.4729271855237701E-15</v>
      </c>
      <c r="K55" s="2">
        <v>-1.76742279990524E-15</v>
      </c>
      <c r="L55" s="2">
        <v>-1.7196102898083501E-15</v>
      </c>
      <c r="M55" s="2">
        <v>-1.6896535631195399E-15</v>
      </c>
      <c r="N55" s="2">
        <v>-1.6790062273150899E-15</v>
      </c>
      <c r="O55" s="2">
        <v>-1.4829379416673399E-15</v>
      </c>
      <c r="P55" s="2">
        <v>8.2920396752108803E-14</v>
      </c>
      <c r="Q55">
        <v>-3.2049964449024802E-3</v>
      </c>
      <c r="R55">
        <v>0</v>
      </c>
      <c r="S55">
        <v>-0.44758871555167301</v>
      </c>
      <c r="T55">
        <v>1.68470786300726E-2</v>
      </c>
      <c r="U55">
        <v>-1.7323290131937199</v>
      </c>
      <c r="V55">
        <f t="shared" si="1"/>
        <v>-1.7323290131937239</v>
      </c>
      <c r="Y55" s="1">
        <f t="shared" si="15"/>
        <v>44012</v>
      </c>
      <c r="Z55" s="7">
        <f t="shared" si="15"/>
        <v>-0.12956773130857499</v>
      </c>
      <c r="AA55" s="7">
        <f t="shared" si="15"/>
        <v>-0.88571520164976003</v>
      </c>
      <c r="AB55" s="7">
        <f t="shared" si="15"/>
        <v>-7.9479266828179101E-2</v>
      </c>
      <c r="AC55" s="7">
        <f t="shared" si="3"/>
        <v>-0.61089627040463301</v>
      </c>
      <c r="AD55" s="7">
        <f t="shared" si="4"/>
        <v>-4.0312625187850198E-2</v>
      </c>
      <c r="AE55" s="7">
        <f t="shared" si="5"/>
        <v>-3.2049964449024802E-3</v>
      </c>
      <c r="AF55" s="7">
        <f t="shared" si="6"/>
        <v>-4.6508578276400899E-15</v>
      </c>
      <c r="AG55" s="7">
        <f t="shared" si="6"/>
        <v>3.2710704771306901E-14</v>
      </c>
      <c r="AH55" s="7">
        <f t="shared" si="7"/>
        <v>1.6847078630148622E-2</v>
      </c>
      <c r="AI55" s="7">
        <f t="shared" si="0"/>
        <v>-1.7323290131937235</v>
      </c>
      <c r="AJ55" s="8">
        <f t="shared" si="8"/>
        <v>-0.61410126684953548</v>
      </c>
      <c r="AK55" s="8">
        <f t="shared" si="9"/>
        <v>-1.0055070936657893</v>
      </c>
      <c r="AL55" s="8">
        <f t="shared" si="10"/>
        <v>-0.12956773130857499</v>
      </c>
      <c r="AM55" s="8">
        <f t="shared" si="11"/>
        <v>1.6847078630148622E-2</v>
      </c>
      <c r="AN55" s="8">
        <f t="shared" si="12"/>
        <v>-1.732329013193751</v>
      </c>
      <c r="AO55" s="9">
        <f t="shared" si="14"/>
        <v>4.2165001118100606E-2</v>
      </c>
      <c r="AP55" s="9">
        <f t="shared" si="14"/>
        <v>0.92930907270507468</v>
      </c>
      <c r="AQ55" s="9">
        <f t="shared" si="14"/>
        <v>2.7528528719454506E-2</v>
      </c>
      <c r="AR55" s="9">
        <f t="shared" si="14"/>
        <v>9.9739745737129743E-4</v>
      </c>
      <c r="AS55" s="9">
        <f t="shared" si="14"/>
        <v>1</v>
      </c>
      <c r="AT55" s="7"/>
      <c r="AU55" s="7"/>
      <c r="AV55" s="7"/>
      <c r="AW55" s="7"/>
      <c r="AX55" s="7"/>
    </row>
    <row r="56" spans="1:87" x14ac:dyDescent="0.25">
      <c r="A56" s="1">
        <v>44104</v>
      </c>
      <c r="B56">
        <v>-0.139563165806877</v>
      </c>
      <c r="C56">
        <v>-0.717624916921622</v>
      </c>
      <c r="D56">
        <v>-7.0910403781761902E-2</v>
      </c>
      <c r="E56">
        <v>1.29316228517165E-2</v>
      </c>
      <c r="F56">
        <v>-0.14921063970708601</v>
      </c>
      <c r="G56" s="2">
        <v>-7.8598141503593193E-15</v>
      </c>
      <c r="H56" s="2">
        <v>3.2594814404997302E-14</v>
      </c>
      <c r="I56" s="2">
        <v>2.6116804048173899E-15</v>
      </c>
      <c r="J56" s="2">
        <v>-1.4965374877310701E-15</v>
      </c>
      <c r="K56" s="2">
        <v>-1.4618571480261199E-15</v>
      </c>
      <c r="L56" s="2">
        <v>-1.26369075421145E-15</v>
      </c>
      <c r="M56" s="2">
        <v>-1.52215597330993E-15</v>
      </c>
      <c r="N56" s="2">
        <v>-1.4174759248811201E-15</v>
      </c>
      <c r="O56" s="2">
        <v>-1.3505498032427E-15</v>
      </c>
      <c r="P56" s="2">
        <v>7.5942909638898803E-14</v>
      </c>
      <c r="Q56">
        <v>1.92651267021674E-3</v>
      </c>
      <c r="R56">
        <v>0</v>
      </c>
      <c r="S56">
        <v>-0.233787820968893</v>
      </c>
      <c r="T56">
        <v>1.6645306597957901E-2</v>
      </c>
      <c r="U56">
        <v>-1.2795935050662499</v>
      </c>
      <c r="V56">
        <f t="shared" si="1"/>
        <v>-1.2795935050662539</v>
      </c>
      <c r="Y56" s="1">
        <f t="shared" si="15"/>
        <v>44104</v>
      </c>
      <c r="Z56" s="7">
        <f t="shared" si="15"/>
        <v>-0.139563165806877</v>
      </c>
      <c r="AA56" s="7">
        <f t="shared" si="15"/>
        <v>-0.717624916921622</v>
      </c>
      <c r="AB56" s="7">
        <f t="shared" si="15"/>
        <v>-7.0910403781761902E-2</v>
      </c>
      <c r="AC56" s="7">
        <f t="shared" si="3"/>
        <v>-0.38299846067597898</v>
      </c>
      <c r="AD56" s="7">
        <f t="shared" si="4"/>
        <v>1.29316228517165E-2</v>
      </c>
      <c r="AE56" s="7">
        <f t="shared" si="5"/>
        <v>1.92651267021674E-3</v>
      </c>
      <c r="AF56" s="7">
        <f t="shared" si="6"/>
        <v>-7.8598141503593193E-15</v>
      </c>
      <c r="AG56" s="7">
        <f t="shared" si="6"/>
        <v>3.2594814404997302E-14</v>
      </c>
      <c r="AH56" s="7">
        <f t="shared" si="7"/>
        <v>1.6645306598027945E-2</v>
      </c>
      <c r="AI56" s="7">
        <f t="shared" si="0"/>
        <v>-1.2795935050662539</v>
      </c>
      <c r="AJ56" s="8">
        <f t="shared" si="8"/>
        <v>-0.38107194800576222</v>
      </c>
      <c r="AK56" s="8">
        <f t="shared" si="9"/>
        <v>-0.7756036978516675</v>
      </c>
      <c r="AL56" s="8">
        <f t="shared" si="10"/>
        <v>-0.139563165806877</v>
      </c>
      <c r="AM56" s="8">
        <f t="shared" si="11"/>
        <v>1.6645306598027945E-2</v>
      </c>
      <c r="AN56" s="8">
        <f t="shared" si="12"/>
        <v>-1.2795935050662788</v>
      </c>
      <c r="AO56" s="9">
        <f t="shared" si="14"/>
        <v>0.51471403205723709</v>
      </c>
      <c r="AP56" s="9">
        <f t="shared" si="14"/>
        <v>0.50780950839267991</v>
      </c>
      <c r="AQ56" s="9">
        <f t="shared" si="14"/>
        <v>-2.2077867361549413E-2</v>
      </c>
      <c r="AR56" s="9">
        <f t="shared" si="14"/>
        <v>-4.4567308836722847E-4</v>
      </c>
      <c r="AS56" s="9">
        <f t="shared" si="14"/>
        <v>1</v>
      </c>
      <c r="AT56" s="7"/>
      <c r="AU56" s="7"/>
      <c r="AV56" s="7"/>
      <c r="AW56" s="7"/>
      <c r="AX56" s="7"/>
    </row>
    <row r="57" spans="1:87" x14ac:dyDescent="0.25">
      <c r="A57" s="1">
        <v>44196</v>
      </c>
      <c r="B57">
        <v>-0.13096935159433601</v>
      </c>
      <c r="C57">
        <v>-0.58650216213405704</v>
      </c>
      <c r="D57">
        <v>-5.09021146009557E-2</v>
      </c>
      <c r="E57">
        <v>5.4270973234433598E-2</v>
      </c>
      <c r="F57">
        <v>-0.201019903014377</v>
      </c>
      <c r="G57" s="2">
        <v>-7.6934295863349405E-15</v>
      </c>
      <c r="H57" s="2">
        <v>3.18935026388154E-14</v>
      </c>
      <c r="I57" s="2">
        <v>4.0739827771940796E-15</v>
      </c>
      <c r="J57" s="2">
        <v>-8.78400891968104E-16</v>
      </c>
      <c r="K57" s="2">
        <v>-7.2106457201114003E-16</v>
      </c>
      <c r="L57" s="2">
        <v>-8.5029618008970495E-16</v>
      </c>
      <c r="M57" s="2">
        <v>-1.0659142512416E-15</v>
      </c>
      <c r="N57" s="2">
        <v>-1.10543981658038E-15</v>
      </c>
      <c r="O57" s="2">
        <v>-1.62323061776862E-15</v>
      </c>
      <c r="P57" s="2">
        <v>7.3745622830626705E-14</v>
      </c>
      <c r="Q57">
        <v>3.2900192090443099E-2</v>
      </c>
      <c r="R57">
        <v>0</v>
      </c>
      <c r="S57">
        <v>-0.21455384864354099</v>
      </c>
      <c r="T57">
        <v>1.6446098043830799E-2</v>
      </c>
      <c r="U57">
        <v>-1.08033011661846</v>
      </c>
      <c r="V57">
        <f t="shared" si="1"/>
        <v>-1.0803301166184636</v>
      </c>
      <c r="Y57" s="1">
        <f t="shared" si="15"/>
        <v>44196</v>
      </c>
      <c r="Z57" s="7">
        <f t="shared" si="15"/>
        <v>-0.13096935159433601</v>
      </c>
      <c r="AA57" s="7">
        <f t="shared" si="15"/>
        <v>-0.58650216213405704</v>
      </c>
      <c r="AB57" s="7">
        <f t="shared" si="15"/>
        <v>-5.09021146009557E-2</v>
      </c>
      <c r="AC57" s="7">
        <f t="shared" si="3"/>
        <v>-0.41557375165791799</v>
      </c>
      <c r="AD57" s="7">
        <f t="shared" si="4"/>
        <v>5.4270973234433598E-2</v>
      </c>
      <c r="AE57" s="7">
        <f t="shared" si="5"/>
        <v>3.2900192090443099E-2</v>
      </c>
      <c r="AF57" s="7">
        <f t="shared" si="6"/>
        <v>-7.6934295863349405E-15</v>
      </c>
      <c r="AG57" s="7">
        <f t="shared" si="6"/>
        <v>3.18935026388154E-14</v>
      </c>
      <c r="AH57" s="7">
        <f t="shared" si="7"/>
        <v>1.6446098043902374E-2</v>
      </c>
      <c r="AI57" s="7">
        <f t="shared" si="0"/>
        <v>-1.0803301166184638</v>
      </c>
      <c r="AJ57" s="8">
        <f t="shared" si="8"/>
        <v>-0.3826735595674749</v>
      </c>
      <c r="AK57" s="8">
        <f t="shared" si="9"/>
        <v>-0.58313330350057913</v>
      </c>
      <c r="AL57" s="8">
        <f t="shared" si="10"/>
        <v>-0.13096935159433601</v>
      </c>
      <c r="AM57" s="8">
        <f t="shared" si="11"/>
        <v>1.6446098043902374E-2</v>
      </c>
      <c r="AN57" s="8">
        <f t="shared" si="12"/>
        <v>-1.0803301166184878</v>
      </c>
      <c r="AO57" s="9">
        <f t="shared" si="14"/>
        <v>-8.0376609782098398E-3</v>
      </c>
      <c r="AP57" s="9">
        <f t="shared" si="14"/>
        <v>0.96590947213324907</v>
      </c>
      <c r="AQ57" s="9">
        <f t="shared" si="14"/>
        <v>4.3127913659827453E-2</v>
      </c>
      <c r="AR57" s="9">
        <f t="shared" si="14"/>
        <v>-9.9972481486615785E-4</v>
      </c>
      <c r="AS57" s="9">
        <f t="shared" si="14"/>
        <v>1</v>
      </c>
      <c r="AT57" s="7"/>
      <c r="AU57" s="7"/>
      <c r="AV57" s="7"/>
      <c r="AW57" s="7"/>
      <c r="AX57" s="7"/>
    </row>
    <row r="58" spans="1:87" x14ac:dyDescent="0.25">
      <c r="A58" s="1">
        <v>44286</v>
      </c>
      <c r="B58">
        <v>-0.158504681285563</v>
      </c>
      <c r="C58">
        <v>-0.43924078489912999</v>
      </c>
      <c r="D58">
        <v>6.6759392717142194E-2</v>
      </c>
      <c r="E58">
        <v>1.1294860433965799E-2</v>
      </c>
      <c r="F58">
        <v>-0.214932672537791</v>
      </c>
      <c r="G58" s="2">
        <v>-1.0188422056261099E-14</v>
      </c>
      <c r="H58" s="2">
        <v>3.23193695960586E-14</v>
      </c>
      <c r="I58" s="2">
        <v>4.9868948798707301E-15</v>
      </c>
      <c r="J58" s="2">
        <v>-5.3318278480225496E-16</v>
      </c>
      <c r="K58" s="2">
        <v>-5.89177608474009E-16</v>
      </c>
      <c r="L58" s="2">
        <v>-6.1027648252034805E-16</v>
      </c>
      <c r="M58" s="2">
        <v>-8.4968092617030401E-16</v>
      </c>
      <c r="N58" s="2">
        <v>-1.2770494261382001E-15</v>
      </c>
      <c r="O58" s="2">
        <v>-2.3257227856127999E-15</v>
      </c>
      <c r="P58" s="2">
        <v>7.4431012283592995E-14</v>
      </c>
      <c r="Q58">
        <v>-1.2282021269391199E-2</v>
      </c>
      <c r="R58">
        <v>0</v>
      </c>
      <c r="S58">
        <v>-0.132135531403029</v>
      </c>
      <c r="T58">
        <v>1.6249418266090301E-2</v>
      </c>
      <c r="U58">
        <v>-0.86279201997761201</v>
      </c>
      <c r="V58">
        <f t="shared" si="1"/>
        <v>-0.86279201997761079</v>
      </c>
      <c r="Y58" s="1">
        <f t="shared" si="15"/>
        <v>44286</v>
      </c>
      <c r="Z58" s="7">
        <f t="shared" si="15"/>
        <v>-0.158504681285563</v>
      </c>
      <c r="AA58" s="7">
        <f t="shared" si="15"/>
        <v>-0.43924078489912999</v>
      </c>
      <c r="AB58" s="7">
        <f t="shared" si="15"/>
        <v>6.6759392717142194E-2</v>
      </c>
      <c r="AC58" s="7">
        <f t="shared" si="3"/>
        <v>-0.34706820394082</v>
      </c>
      <c r="AD58" s="7">
        <f t="shared" si="4"/>
        <v>1.1294860433965799E-2</v>
      </c>
      <c r="AE58" s="7">
        <f t="shared" si="5"/>
        <v>-1.2282021269391199E-2</v>
      </c>
      <c r="AF58" s="7">
        <f t="shared" si="6"/>
        <v>-1.0188422056261099E-14</v>
      </c>
      <c r="AG58" s="7">
        <f t="shared" si="6"/>
        <v>3.23193695960586E-14</v>
      </c>
      <c r="AH58" s="7">
        <f t="shared" si="7"/>
        <v>1.624941826616353E-2</v>
      </c>
      <c r="AI58" s="7">
        <f t="shared" si="0"/>
        <v>-0.86279201997761057</v>
      </c>
      <c r="AJ58" s="8">
        <f t="shared" si="8"/>
        <v>-0.3593502252102112</v>
      </c>
      <c r="AK58" s="8">
        <f t="shared" si="9"/>
        <v>-0.36118653174802196</v>
      </c>
      <c r="AL58" s="8">
        <f t="shared" si="10"/>
        <v>-0.158504681285563</v>
      </c>
      <c r="AM58" s="8">
        <f t="shared" si="11"/>
        <v>1.624941826616353E-2</v>
      </c>
      <c r="AN58" s="8">
        <f t="shared" si="12"/>
        <v>-0.86279201997763255</v>
      </c>
      <c r="AO58" s="9">
        <f t="shared" si="14"/>
        <v>0.10721494173854697</v>
      </c>
      <c r="AP58" s="9">
        <f t="shared" si="14"/>
        <v>1.020266220858687</v>
      </c>
      <c r="AQ58" s="9">
        <f t="shared" si="14"/>
        <v>-0.12657704611935847</v>
      </c>
      <c r="AR58" s="9">
        <f t="shared" si="14"/>
        <v>-9.0411647787629805E-4</v>
      </c>
      <c r="AS58" s="9">
        <f t="shared" si="14"/>
        <v>1</v>
      </c>
      <c r="AT58" s="7"/>
      <c r="AU58" s="7"/>
      <c r="AV58" s="7"/>
      <c r="AW58" s="7"/>
      <c r="AX58" s="7"/>
    </row>
    <row r="59" spans="1:87" x14ac:dyDescent="0.25">
      <c r="A59" s="1">
        <v>44377</v>
      </c>
      <c r="B59">
        <v>-0.198087475570313</v>
      </c>
      <c r="C59">
        <v>-0.366174027445826</v>
      </c>
      <c r="D59">
        <v>9.4109227003337501E-2</v>
      </c>
      <c r="E59">
        <v>-5.0987896464084699E-2</v>
      </c>
      <c r="F59">
        <v>-0.23079187276442401</v>
      </c>
      <c r="G59" s="2">
        <v>-1.3465110135713701E-14</v>
      </c>
      <c r="H59" s="2">
        <v>3.2365755745878297E-14</v>
      </c>
      <c r="I59" s="2">
        <v>7.6489004266651994E-15</v>
      </c>
      <c r="J59" s="2">
        <v>-1.28799756240127E-16</v>
      </c>
      <c r="K59" s="2">
        <v>-1.07378401256585E-16</v>
      </c>
      <c r="L59" s="2">
        <v>-1.9957597888593899E-16</v>
      </c>
      <c r="M59" s="2">
        <v>-7.9132786966960698E-16</v>
      </c>
      <c r="N59" s="2">
        <v>-1.69880367939049E-15</v>
      </c>
      <c r="O59" s="2">
        <v>-2.9311737696038601E-15</v>
      </c>
      <c r="P59" s="2">
        <v>7.4838498099784195E-14</v>
      </c>
      <c r="Q59">
        <v>-5.7444331932835303E-2</v>
      </c>
      <c r="R59">
        <v>0</v>
      </c>
      <c r="S59">
        <v>-3.3320372060062803E-2</v>
      </c>
      <c r="T59">
        <v>1.6055233049615199E-2</v>
      </c>
      <c r="U59">
        <v>-0.82664151618449999</v>
      </c>
      <c r="V59">
        <f t="shared" si="1"/>
        <v>-0.82664151618449733</v>
      </c>
      <c r="Y59" s="1">
        <f t="shared" si="15"/>
        <v>44377</v>
      </c>
      <c r="Z59" s="7">
        <f t="shared" si="15"/>
        <v>-0.198087475570313</v>
      </c>
      <c r="AA59" s="7">
        <f t="shared" si="15"/>
        <v>-0.366174027445826</v>
      </c>
      <c r="AB59" s="7">
        <f t="shared" si="15"/>
        <v>9.4109227003337501E-2</v>
      </c>
      <c r="AC59" s="7">
        <f t="shared" si="3"/>
        <v>-0.26411224482448681</v>
      </c>
      <c r="AD59" s="7">
        <f t="shared" si="4"/>
        <v>-5.0987896464084699E-2</v>
      </c>
      <c r="AE59" s="7">
        <f t="shared" si="5"/>
        <v>-5.7444331932835303E-2</v>
      </c>
      <c r="AF59" s="7">
        <f t="shared" si="6"/>
        <v>-1.3465110135713701E-14</v>
      </c>
      <c r="AG59" s="7">
        <f t="shared" si="6"/>
        <v>3.2365755745878297E-14</v>
      </c>
      <c r="AH59" s="7">
        <f t="shared" si="7"/>
        <v>1.6055233049691829E-2</v>
      </c>
      <c r="AI59" s="7">
        <f t="shared" si="0"/>
        <v>-0.82664151618449744</v>
      </c>
      <c r="AJ59" s="8">
        <f t="shared" si="8"/>
        <v>-0.32155657675732213</v>
      </c>
      <c r="AK59" s="8">
        <f t="shared" si="9"/>
        <v>-0.32305269690657318</v>
      </c>
      <c r="AL59" s="8">
        <f t="shared" si="10"/>
        <v>-0.198087475570313</v>
      </c>
      <c r="AM59" s="8">
        <f t="shared" si="11"/>
        <v>1.6055233049691829E-2</v>
      </c>
      <c r="AN59" s="8">
        <f t="shared" si="12"/>
        <v>-0.82664151618451653</v>
      </c>
      <c r="AO59" s="9">
        <f t="shared" si="14"/>
        <v>1.0454528841195831</v>
      </c>
      <c r="AP59" s="9">
        <f t="shared" si="14"/>
        <v>1.0548631648312032</v>
      </c>
      <c r="AQ59" s="9">
        <f t="shared" si="14"/>
        <v>-1.0949444719021477</v>
      </c>
      <c r="AR59" s="9">
        <f t="shared" si="14"/>
        <v>-5.3715770486351842E-3</v>
      </c>
      <c r="AS59" s="9">
        <f t="shared" si="14"/>
        <v>1</v>
      </c>
      <c r="AT59" s="7"/>
      <c r="AU59" s="7"/>
      <c r="AV59" s="7"/>
      <c r="AW59" s="7"/>
      <c r="AX59" s="7"/>
    </row>
    <row r="60" spans="1:87" x14ac:dyDescent="0.25">
      <c r="A60" s="1">
        <v>44469</v>
      </c>
      <c r="B60">
        <v>-0.18253860796940199</v>
      </c>
      <c r="C60">
        <v>-0.32735517720011498</v>
      </c>
      <c r="D60">
        <v>0.10585840698514799</v>
      </c>
      <c r="E60">
        <v>-2.9927182196509701E-2</v>
      </c>
      <c r="F60">
        <v>-0.221822786558939</v>
      </c>
      <c r="G60" s="2">
        <v>-1.4678883821933699E-14</v>
      </c>
      <c r="H60" s="2">
        <v>3.2676600783173003E-14</v>
      </c>
      <c r="I60" s="2">
        <v>7.82251911770833E-15</v>
      </c>
      <c r="J60" s="2">
        <v>4.4051816450461797E-17</v>
      </c>
      <c r="K60" s="2">
        <v>3.6952894108615001E-17</v>
      </c>
      <c r="L60" s="2">
        <v>-3.8092367816622401E-16</v>
      </c>
      <c r="M60" s="2">
        <v>-1.4179936443316401E-15</v>
      </c>
      <c r="N60" s="2">
        <v>-2.55234505445043E-15</v>
      </c>
      <c r="O60" s="2">
        <v>-2.9574977926044298E-15</v>
      </c>
      <c r="P60" s="2">
        <v>7.3591202366299297E-14</v>
      </c>
      <c r="Q60">
        <v>-4.46995352392901E-2</v>
      </c>
      <c r="R60">
        <v>0</v>
      </c>
      <c r="S60">
        <v>-0.184327040095389</v>
      </c>
      <c r="T60">
        <v>1.58635086592228E-2</v>
      </c>
      <c r="U60">
        <v>-0.86894841361518405</v>
      </c>
      <c r="V60">
        <f t="shared" si="1"/>
        <v>-0.86894841361518194</v>
      </c>
      <c r="Y60" s="1">
        <f t="shared" si="15"/>
        <v>44469</v>
      </c>
      <c r="Z60" s="7">
        <f t="shared" si="15"/>
        <v>-0.18253860796940199</v>
      </c>
      <c r="AA60" s="7">
        <f t="shared" si="15"/>
        <v>-0.32735517720011498</v>
      </c>
      <c r="AB60" s="7">
        <f t="shared" si="15"/>
        <v>0.10585840698514799</v>
      </c>
      <c r="AC60" s="7">
        <f t="shared" si="3"/>
        <v>-0.40614982665432797</v>
      </c>
      <c r="AD60" s="7">
        <f t="shared" si="4"/>
        <v>-2.9927182196509701E-2</v>
      </c>
      <c r="AE60" s="7">
        <f t="shared" si="5"/>
        <v>-4.46995352392901E-2</v>
      </c>
      <c r="AF60" s="7">
        <f t="shared" si="6"/>
        <v>-1.4678883821933699E-14</v>
      </c>
      <c r="AG60" s="7">
        <f t="shared" si="6"/>
        <v>3.2676600783173003E-14</v>
      </c>
      <c r="AH60" s="7">
        <f t="shared" si="7"/>
        <v>1.5863508659296987E-2</v>
      </c>
      <c r="AI60" s="7">
        <f t="shared" si="0"/>
        <v>-0.86894841361518182</v>
      </c>
      <c r="AJ60" s="8">
        <f t="shared" si="8"/>
        <v>-0.45084936189361807</v>
      </c>
      <c r="AK60" s="8">
        <f t="shared" si="9"/>
        <v>-0.25142395241147669</v>
      </c>
      <c r="AL60" s="8">
        <f t="shared" si="10"/>
        <v>-0.18253860796940199</v>
      </c>
      <c r="AM60" s="8">
        <f t="shared" si="11"/>
        <v>1.5863508659296987E-2</v>
      </c>
      <c r="AN60" s="8">
        <f t="shared" si="12"/>
        <v>-0.86894841361519981</v>
      </c>
      <c r="AO60" s="9">
        <f t="shared" si="14"/>
        <v>3.0560687024647128</v>
      </c>
      <c r="AP60" s="9">
        <f t="shared" si="14"/>
        <v>-1.6930748611962125</v>
      </c>
      <c r="AQ60" s="9">
        <f t="shared" si="14"/>
        <v>-0.36752559382040906</v>
      </c>
      <c r="AR60" s="9">
        <f t="shared" si="14"/>
        <v>4.531752551908786E-3</v>
      </c>
      <c r="AS60" s="9">
        <f t="shared" si="14"/>
        <v>1</v>
      </c>
      <c r="AT60" s="7"/>
      <c r="AU60" s="7"/>
      <c r="AV60" s="7"/>
      <c r="AW60" s="7"/>
      <c r="AX60" s="7"/>
    </row>
    <row r="61" spans="1:87" x14ac:dyDescent="0.25">
      <c r="A61" s="1">
        <v>44561</v>
      </c>
      <c r="B61">
        <v>-0.16361501281638</v>
      </c>
      <c r="C61">
        <v>-0.32193092488806602</v>
      </c>
      <c r="D61">
        <v>0.13534883360642</v>
      </c>
      <c r="E61">
        <v>-4.0471875940992497E-2</v>
      </c>
      <c r="F61">
        <v>-0.223865016622427</v>
      </c>
      <c r="G61" s="2">
        <v>-1.6451280744712401E-14</v>
      </c>
      <c r="H61" s="2">
        <v>3.3065358764624903E-14</v>
      </c>
      <c r="I61" s="2">
        <v>1.0296597002392101E-14</v>
      </c>
      <c r="J61" s="2">
        <v>5.5814346791894401E-16</v>
      </c>
      <c r="K61" s="2">
        <v>2.24254105984927E-16</v>
      </c>
      <c r="L61" s="2">
        <v>-6.1847672229149296E-16</v>
      </c>
      <c r="M61" s="2">
        <v>-1.8633226442449299E-15</v>
      </c>
      <c r="N61" s="2">
        <v>-2.2985790470412602E-15</v>
      </c>
      <c r="O61" s="2">
        <v>-3.2648627634052698E-15</v>
      </c>
      <c r="P61" s="2">
        <v>7.4667664382102503E-14</v>
      </c>
      <c r="Q61">
        <v>-3.6680630192912803E-2</v>
      </c>
      <c r="R61">
        <v>0</v>
      </c>
      <c r="S61">
        <v>-0.24093544046568</v>
      </c>
      <c r="T61">
        <v>1.5674211833197501E-2</v>
      </c>
      <c r="U61">
        <v>-0.876475855486749</v>
      </c>
      <c r="V61">
        <f t="shared" si="1"/>
        <v>-0.87647585548674634</v>
      </c>
      <c r="Y61" s="1">
        <f t="shared" si="15"/>
        <v>44561</v>
      </c>
      <c r="Z61" s="7">
        <f t="shared" si="15"/>
        <v>-0.16361501281638</v>
      </c>
      <c r="AA61" s="7">
        <f t="shared" si="15"/>
        <v>-0.32193092488806602</v>
      </c>
      <c r="AB61" s="7">
        <f t="shared" si="15"/>
        <v>0.13534883360642</v>
      </c>
      <c r="AC61" s="7">
        <f t="shared" si="3"/>
        <v>-0.46480045708810702</v>
      </c>
      <c r="AD61" s="7">
        <f t="shared" si="4"/>
        <v>-4.0471875940992497E-2</v>
      </c>
      <c r="AE61" s="7">
        <f t="shared" si="5"/>
        <v>-3.6680630192912803E-2</v>
      </c>
      <c r="AF61" s="7">
        <f t="shared" si="6"/>
        <v>-1.6451280744712401E-14</v>
      </c>
      <c r="AG61" s="7">
        <f t="shared" si="6"/>
        <v>3.3065358764624903E-14</v>
      </c>
      <c r="AH61" s="7">
        <f t="shared" si="7"/>
        <v>1.5674211833275203E-2</v>
      </c>
      <c r="AI61" s="7">
        <f t="shared" si="0"/>
        <v>-0.87647585548674634</v>
      </c>
      <c r="AJ61" s="8">
        <f t="shared" si="8"/>
        <v>-0.50148108728101981</v>
      </c>
      <c r="AK61" s="8">
        <f t="shared" si="9"/>
        <v>-0.22705396722263851</v>
      </c>
      <c r="AL61" s="8">
        <f t="shared" si="10"/>
        <v>-0.16361501281638</v>
      </c>
      <c r="AM61" s="8">
        <f t="shared" si="11"/>
        <v>1.5674211833275203E-2</v>
      </c>
      <c r="AN61" s="8">
        <f t="shared" si="12"/>
        <v>-0.8764758554867631</v>
      </c>
      <c r="AO61" s="9">
        <f t="shared" si="14"/>
        <v>6.7262858021760596</v>
      </c>
      <c r="AP61" s="9">
        <f t="shared" si="14"/>
        <v>-3.2374856697202299</v>
      </c>
      <c r="AQ61" s="9">
        <f t="shared" si="14"/>
        <v>-2.5139476964293013</v>
      </c>
      <c r="AR61" s="9">
        <f t="shared" si="14"/>
        <v>2.5147563973479253E-2</v>
      </c>
      <c r="AS61" s="9">
        <f t="shared" si="14"/>
        <v>1</v>
      </c>
      <c r="AT61" s="7"/>
      <c r="AU61" s="7"/>
      <c r="AV61" s="7"/>
      <c r="AW61" s="7"/>
      <c r="AX61" s="7"/>
    </row>
    <row r="62" spans="1:87" x14ac:dyDescent="0.25">
      <c r="A62" s="1">
        <v>44651</v>
      </c>
      <c r="B62">
        <v>-0.16081164147108001</v>
      </c>
      <c r="C62">
        <v>-0.44333422198414602</v>
      </c>
      <c r="D62">
        <v>0.15819713977651101</v>
      </c>
      <c r="E62">
        <v>6.0592638264893501E-4</v>
      </c>
      <c r="F62">
        <v>-0.181900598283979</v>
      </c>
      <c r="G62" s="2">
        <v>-1.8833327346544299E-14</v>
      </c>
      <c r="H62" s="2">
        <v>3.4203333217356298E-14</v>
      </c>
      <c r="I62" s="2">
        <v>1.2125414820352199E-14</v>
      </c>
      <c r="J62" s="2">
        <v>7.3009628071703399E-16</v>
      </c>
      <c r="K62" s="2">
        <v>1.21930930304985E-17</v>
      </c>
      <c r="L62" s="2">
        <v>-1.02377720253477E-15</v>
      </c>
      <c r="M62" s="2">
        <v>-1.7055557494823E-15</v>
      </c>
      <c r="N62" s="2">
        <v>-2.68645683923108E-15</v>
      </c>
      <c r="O62" s="2">
        <v>-3.2954621917570201E-15</v>
      </c>
      <c r="P62" s="2">
        <v>7.5068047634758499E-14</v>
      </c>
      <c r="Q62">
        <v>3.1758349636247601E-2</v>
      </c>
      <c r="R62">
        <v>0</v>
      </c>
      <c r="S62">
        <v>-0.35834913221332698</v>
      </c>
      <c r="T62">
        <v>1.54873097768873E-2</v>
      </c>
      <c r="U62">
        <v>-0.93834686838014503</v>
      </c>
      <c r="V62">
        <f t="shared" si="1"/>
        <v>-0.93834686838014258</v>
      </c>
      <c r="Y62" s="1">
        <f t="shared" si="15"/>
        <v>44651</v>
      </c>
      <c r="Z62" s="7">
        <f t="shared" si="15"/>
        <v>-0.16081164147108001</v>
      </c>
      <c r="AA62" s="7">
        <f t="shared" si="15"/>
        <v>-0.44333422198414602</v>
      </c>
      <c r="AB62" s="7">
        <f t="shared" si="15"/>
        <v>0.15819713977651101</v>
      </c>
      <c r="AC62" s="7">
        <f t="shared" si="3"/>
        <v>-0.54024973049730596</v>
      </c>
      <c r="AD62" s="7">
        <f t="shared" si="4"/>
        <v>6.0592638264893501E-4</v>
      </c>
      <c r="AE62" s="7">
        <f t="shared" si="5"/>
        <v>3.1758349636247601E-2</v>
      </c>
      <c r="AF62" s="7">
        <f t="shared" si="6"/>
        <v>-1.8833327346544299E-14</v>
      </c>
      <c r="AG62" s="7">
        <f t="shared" si="6"/>
        <v>3.4203333217356298E-14</v>
      </c>
      <c r="AH62" s="7">
        <f t="shared" si="7"/>
        <v>1.5487309776966525E-2</v>
      </c>
      <c r="AI62" s="7">
        <f t="shared" si="0"/>
        <v>-0.93834686838014258</v>
      </c>
      <c r="AJ62" s="8">
        <f t="shared" si="8"/>
        <v>-0.50849138086105838</v>
      </c>
      <c r="AK62" s="8">
        <f t="shared" si="9"/>
        <v>-0.28453115582498606</v>
      </c>
      <c r="AL62" s="8">
        <f t="shared" si="10"/>
        <v>-0.16081164147108001</v>
      </c>
      <c r="AM62" s="8">
        <f t="shared" si="11"/>
        <v>1.5487309776966525E-2</v>
      </c>
      <c r="AN62" s="8">
        <f t="shared" si="12"/>
        <v>-0.93834686838015791</v>
      </c>
      <c r="AO62" s="9">
        <f t="shared" si="14"/>
        <v>0.11330497517662225</v>
      </c>
      <c r="AP62" s="9">
        <f t="shared" si="14"/>
        <v>0.92898412219922888</v>
      </c>
      <c r="AQ62" s="9">
        <f t="shared" si="14"/>
        <v>-4.5309931326488161E-2</v>
      </c>
      <c r="AR62" s="9">
        <f t="shared" si="14"/>
        <v>3.020833950637175E-3</v>
      </c>
      <c r="AS62" s="9">
        <f t="shared" si="14"/>
        <v>1</v>
      </c>
      <c r="AT62" s="7"/>
      <c r="AU62" s="7"/>
      <c r="AV62" s="7"/>
      <c r="AW62" s="7"/>
      <c r="AX62" s="7"/>
    </row>
    <row r="63" spans="1:87" x14ac:dyDescent="0.25">
      <c r="A63" s="1">
        <v>44742</v>
      </c>
      <c r="B63">
        <v>-0.16413371141581501</v>
      </c>
      <c r="C63">
        <v>-0.35405222447881202</v>
      </c>
      <c r="D63">
        <v>0.241343202347858</v>
      </c>
      <c r="E63">
        <v>-4.0604788100907403E-2</v>
      </c>
      <c r="F63">
        <v>-0.16131374594188599</v>
      </c>
      <c r="G63" s="2">
        <v>-2.0440667265013699E-14</v>
      </c>
      <c r="H63" s="2">
        <v>3.5984823855253002E-14</v>
      </c>
      <c r="I63" s="2">
        <v>1.2677766465012899E-14</v>
      </c>
      <c r="J63" s="2">
        <v>5.4094163803422101E-16</v>
      </c>
      <c r="K63" s="2">
        <v>-3.4475447856620499E-16</v>
      </c>
      <c r="L63" s="2">
        <v>-8.2974920941001395E-16</v>
      </c>
      <c r="M63" s="2">
        <v>-1.91675993741009E-15</v>
      </c>
      <c r="N63" s="2">
        <v>-2.5122423543259002E-15</v>
      </c>
      <c r="O63" s="2">
        <v>-3.3499663847091499E-15</v>
      </c>
      <c r="P63" s="2">
        <v>8.2169180826063599E-14</v>
      </c>
      <c r="Q63">
        <v>2.8612543321535101E-2</v>
      </c>
      <c r="R63">
        <v>0</v>
      </c>
      <c r="S63">
        <v>-0.61938835587943897</v>
      </c>
      <c r="T63">
        <v>1.53027701563707E-2</v>
      </c>
      <c r="U63">
        <v>-1.0542343099909901</v>
      </c>
      <c r="V63">
        <f t="shared" si="1"/>
        <v>-1.0542343099909937</v>
      </c>
      <c r="Y63" s="1">
        <f t="shared" si="15"/>
        <v>44742</v>
      </c>
      <c r="Z63" s="7">
        <f t="shared" si="15"/>
        <v>-0.16413371141581501</v>
      </c>
      <c r="AA63" s="7">
        <f t="shared" si="15"/>
        <v>-0.35405222447881202</v>
      </c>
      <c r="AB63" s="7">
        <f t="shared" si="15"/>
        <v>0.241343202347858</v>
      </c>
      <c r="AC63" s="7">
        <f t="shared" si="3"/>
        <v>-0.78070210182132493</v>
      </c>
      <c r="AD63" s="7">
        <f t="shared" si="4"/>
        <v>-4.0604788100907403E-2</v>
      </c>
      <c r="AE63" s="7">
        <f t="shared" si="5"/>
        <v>2.8612543321535101E-2</v>
      </c>
      <c r="AF63" s="7">
        <f t="shared" si="6"/>
        <v>-2.0440667265013699E-14</v>
      </c>
      <c r="AG63" s="7">
        <f t="shared" si="6"/>
        <v>3.5984823855253002E-14</v>
      </c>
      <c r="AH63" s="7">
        <f t="shared" si="7"/>
        <v>1.5302770156457134E-2</v>
      </c>
      <c r="AI63" s="7">
        <f t="shared" si="0"/>
        <v>-1.0542343099909934</v>
      </c>
      <c r="AJ63" s="8">
        <f t="shared" si="8"/>
        <v>-0.75208955849978987</v>
      </c>
      <c r="AK63" s="8">
        <f t="shared" si="9"/>
        <v>-0.15331381023186141</v>
      </c>
      <c r="AL63" s="8">
        <f t="shared" si="10"/>
        <v>-0.16413371141581501</v>
      </c>
      <c r="AM63" s="8">
        <f t="shared" si="11"/>
        <v>1.5302770156457134E-2</v>
      </c>
      <c r="AN63" s="8">
        <f t="shared" si="12"/>
        <v>-1.0542343099910092</v>
      </c>
      <c r="AO63" s="9">
        <f t="shared" si="14"/>
        <v>2.1020239488652392</v>
      </c>
      <c r="AP63" s="9">
        <f t="shared" si="14"/>
        <v>-1.1322827026741258</v>
      </c>
      <c r="AQ63" s="9">
        <f t="shared" si="14"/>
        <v>2.8666349852561838E-2</v>
      </c>
      <c r="AR63" s="9">
        <f t="shared" si="14"/>
        <v>1.5924039563240447E-3</v>
      </c>
      <c r="AS63" s="9">
        <f t="shared" si="14"/>
        <v>1</v>
      </c>
      <c r="AT63" s="7"/>
      <c r="AU63" s="7"/>
      <c r="AV63" s="7"/>
      <c r="AW63" s="7"/>
      <c r="AX63" s="7"/>
    </row>
    <row r="64" spans="1:87" x14ac:dyDescent="0.25">
      <c r="A64" s="1">
        <v>44834</v>
      </c>
      <c r="B64">
        <v>-0.15489273699270001</v>
      </c>
      <c r="C64">
        <v>-0.29028640422250201</v>
      </c>
      <c r="D64">
        <v>0.29374628590519702</v>
      </c>
      <c r="E64">
        <v>-5.9955037064387498E-2</v>
      </c>
      <c r="F64">
        <v>-0.18242233178262199</v>
      </c>
      <c r="G64" s="2">
        <v>-2.0641202691026501E-14</v>
      </c>
      <c r="H64" s="2">
        <v>3.67248659805942E-14</v>
      </c>
      <c r="I64" s="2">
        <v>1.20053520707973E-14</v>
      </c>
      <c r="J64" s="2">
        <v>2.6729313369706598E-16</v>
      </c>
      <c r="K64" s="2">
        <v>-1.4543732879517801E-16</v>
      </c>
      <c r="L64" s="2">
        <v>-1.01092873334452E-15</v>
      </c>
      <c r="M64" s="2">
        <v>-1.7855673814743901E-15</v>
      </c>
      <c r="N64" s="2">
        <v>-2.6050448820905999E-15</v>
      </c>
      <c r="O64" s="2">
        <v>-3.20113900272537E-15</v>
      </c>
      <c r="P64" s="2">
        <v>8.5261058492816105E-14</v>
      </c>
      <c r="Q64">
        <v>3.9412626292984303E-2</v>
      </c>
      <c r="R64">
        <v>0</v>
      </c>
      <c r="S64">
        <v>-0.61739226565599803</v>
      </c>
      <c r="T64">
        <v>1.51205610921903E-2</v>
      </c>
      <c r="U64">
        <v>-0.95666930242773396</v>
      </c>
      <c r="V64">
        <f t="shared" si="1"/>
        <v>-0.95666930242773307</v>
      </c>
      <c r="Y64" s="1">
        <f t="shared" si="15"/>
        <v>44834</v>
      </c>
      <c r="Z64" s="7">
        <f t="shared" si="15"/>
        <v>-0.15489273699270001</v>
      </c>
      <c r="AA64" s="7">
        <f t="shared" si="15"/>
        <v>-0.29028640422250201</v>
      </c>
      <c r="AB64" s="7">
        <f t="shared" si="15"/>
        <v>0.29374628590519702</v>
      </c>
      <c r="AC64" s="7">
        <f t="shared" si="3"/>
        <v>-0.79981459743862005</v>
      </c>
      <c r="AD64" s="7">
        <f t="shared" si="4"/>
        <v>-5.9955037064387498E-2</v>
      </c>
      <c r="AE64" s="7">
        <f t="shared" si="5"/>
        <v>3.9412626292984303E-2</v>
      </c>
      <c r="AF64" s="7">
        <f t="shared" si="6"/>
        <v>-2.0641202691026501E-14</v>
      </c>
      <c r="AG64" s="7">
        <f t="shared" si="6"/>
        <v>3.67248659805942E-14</v>
      </c>
      <c r="AH64" s="7">
        <f t="shared" si="7"/>
        <v>1.5120561092279087E-2</v>
      </c>
      <c r="AI64" s="7">
        <f t="shared" si="0"/>
        <v>-0.95666930242773307</v>
      </c>
      <c r="AJ64" s="8">
        <f t="shared" si="8"/>
        <v>-0.76040197114563579</v>
      </c>
      <c r="AK64" s="8">
        <f t="shared" si="9"/>
        <v>-5.6495155381692488E-2</v>
      </c>
      <c r="AL64" s="8">
        <f t="shared" si="10"/>
        <v>-0.15489273699270001</v>
      </c>
      <c r="AM64" s="8">
        <f t="shared" si="11"/>
        <v>1.5120561092279087E-2</v>
      </c>
      <c r="AN64" s="8">
        <f t="shared" si="12"/>
        <v>-0.95666930242774917</v>
      </c>
      <c r="AO64" s="9">
        <f t="shared" si="14"/>
        <v>-8.5198708568297407E-2</v>
      </c>
      <c r="AP64" s="9">
        <f t="shared" si="14"/>
        <v>0.99235020083807013</v>
      </c>
      <c r="AQ64" s="9">
        <f t="shared" si="14"/>
        <v>9.4716073456185185E-2</v>
      </c>
      <c r="AR64" s="9">
        <f t="shared" si="14"/>
        <v>-1.867565725958717E-3</v>
      </c>
      <c r="AS64" s="9">
        <f t="shared" si="14"/>
        <v>1</v>
      </c>
      <c r="AT64" s="7"/>
      <c r="AU64" s="7"/>
      <c r="AV64" s="7"/>
      <c r="AW64" s="7"/>
      <c r="AX64" s="7"/>
    </row>
    <row r="65" spans="1:50" x14ac:dyDescent="0.25">
      <c r="A65" s="1">
        <v>44926</v>
      </c>
      <c r="B65">
        <v>-0.154920537043373</v>
      </c>
      <c r="C65">
        <v>-0.23935864198090601</v>
      </c>
      <c r="D65">
        <v>0.34232106472177298</v>
      </c>
      <c r="E65">
        <v>-7.1823439263221905E-2</v>
      </c>
      <c r="F65">
        <v>-0.191456450086507</v>
      </c>
      <c r="G65" s="2">
        <v>-2.12692810912844E-14</v>
      </c>
      <c r="H65" s="2">
        <v>3.80205563965848E-14</v>
      </c>
      <c r="I65" s="2">
        <v>1.0825678914347E-14</v>
      </c>
      <c r="J65" s="2">
        <v>4.3848429822899898E-16</v>
      </c>
      <c r="K65" s="2">
        <v>-3.1637284494716099E-16</v>
      </c>
      <c r="L65" s="2">
        <v>-9.0397139006406608E-16</v>
      </c>
      <c r="M65" s="2">
        <v>-1.8719076618019801E-15</v>
      </c>
      <c r="N65" s="2">
        <v>-2.4834027950276499E-15</v>
      </c>
      <c r="O65" s="2">
        <v>-3.1521495124287499E-15</v>
      </c>
      <c r="P65" s="2">
        <v>8.9601044729478504E-14</v>
      </c>
      <c r="Q65">
        <v>3.6397984120373997E-2</v>
      </c>
      <c r="R65">
        <v>0</v>
      </c>
      <c r="S65">
        <v>-0.75980050432090496</v>
      </c>
      <c r="T65">
        <v>1.4940651153157101E-2</v>
      </c>
      <c r="U65">
        <v>-1.0236998726994999</v>
      </c>
      <c r="V65">
        <f t="shared" si="1"/>
        <v>-1.0236998726994999</v>
      </c>
      <c r="Y65" s="1">
        <f t="shared" si="15"/>
        <v>44926</v>
      </c>
      <c r="Z65" s="7">
        <f t="shared" si="15"/>
        <v>-0.154920537043373</v>
      </c>
      <c r="AA65" s="7">
        <f t="shared" si="15"/>
        <v>-0.23935864198090601</v>
      </c>
      <c r="AB65" s="7">
        <f t="shared" si="15"/>
        <v>0.34232106472177298</v>
      </c>
      <c r="AC65" s="7">
        <f t="shared" si="3"/>
        <v>-0.95125695440741198</v>
      </c>
      <c r="AD65" s="7">
        <f t="shared" si="4"/>
        <v>-7.1823439263221905E-2</v>
      </c>
      <c r="AE65" s="7">
        <f t="shared" si="5"/>
        <v>3.6397984120373997E-2</v>
      </c>
      <c r="AF65" s="7">
        <f t="shared" si="6"/>
        <v>-2.12692810912844E-14</v>
      </c>
      <c r="AG65" s="7">
        <f t="shared" si="6"/>
        <v>3.80205563965848E-14</v>
      </c>
      <c r="AH65" s="7">
        <f t="shared" si="7"/>
        <v>1.4940651153249239E-2</v>
      </c>
      <c r="AI65" s="7">
        <f t="shared" si="0"/>
        <v>-1.0236998726994999</v>
      </c>
      <c r="AJ65" s="8">
        <f t="shared" si="8"/>
        <v>-0.914858970287038</v>
      </c>
      <c r="AK65" s="8">
        <f t="shared" si="9"/>
        <v>3.1138983477645071E-2</v>
      </c>
      <c r="AL65" s="8">
        <f t="shared" si="10"/>
        <v>-0.154920537043373</v>
      </c>
      <c r="AM65" s="8">
        <f t="shared" si="11"/>
        <v>1.4940651153249239E-2</v>
      </c>
      <c r="AN65" s="8">
        <f t="shared" si="12"/>
        <v>-1.0236998726995166</v>
      </c>
      <c r="AO65" s="9">
        <f t="shared" si="14"/>
        <v>2.3042769666910909</v>
      </c>
      <c r="AP65" s="9">
        <f t="shared" si="14"/>
        <v>-1.3073757019228014</v>
      </c>
      <c r="AQ65" s="9">
        <f t="shared" si="14"/>
        <v>4.1473689631874093E-4</v>
      </c>
      <c r="AR65" s="9">
        <f t="shared" si="14"/>
        <v>2.6839983353927075E-3</v>
      </c>
      <c r="AS65" s="9">
        <f t="shared" si="14"/>
        <v>1</v>
      </c>
      <c r="AT65" s="7"/>
      <c r="AU65" s="7"/>
      <c r="AV65" s="7"/>
      <c r="AW65" s="7"/>
      <c r="AX65" s="7"/>
    </row>
    <row r="66" spans="1:50" x14ac:dyDescent="0.25">
      <c r="A66" s="1">
        <v>45016</v>
      </c>
      <c r="B66">
        <v>-0.15587828197259501</v>
      </c>
      <c r="C66">
        <v>-0.233489262319095</v>
      </c>
      <c r="D66">
        <v>0.31739258191987602</v>
      </c>
      <c r="E66">
        <v>-5.7007910613677402E-2</v>
      </c>
      <c r="F66">
        <v>-0.16541827193411199</v>
      </c>
      <c r="G66" s="2">
        <v>-2.2327032836956201E-14</v>
      </c>
      <c r="H66" s="2">
        <v>3.90715927863564E-14</v>
      </c>
      <c r="I66" s="2">
        <v>1.2101946025025099E-14</v>
      </c>
      <c r="J66" s="2">
        <v>4.26841192252132E-16</v>
      </c>
      <c r="K66" s="2">
        <v>-1.13506348224562E-16</v>
      </c>
      <c r="L66" s="2">
        <v>-9.1471729320216598E-16</v>
      </c>
      <c r="M66" s="2">
        <v>-1.7395136077409001E-15</v>
      </c>
      <c r="N66" s="2">
        <v>-2.4535226591055599E-15</v>
      </c>
      <c r="O66" s="2">
        <v>-3.1840656331354599E-15</v>
      </c>
      <c r="P66" s="2">
        <v>8.6381044168133606E-14</v>
      </c>
      <c r="Q66">
        <v>5.9713552194289803E-2</v>
      </c>
      <c r="R66">
        <v>0</v>
      </c>
      <c r="S66">
        <v>-0.44946442885341198</v>
      </c>
      <c r="T66">
        <v>1.4763009350221901E-2</v>
      </c>
      <c r="U66">
        <v>-0.66938901222839797</v>
      </c>
      <c r="V66">
        <f t="shared" si="1"/>
        <v>-0.66938901222839631</v>
      </c>
      <c r="Y66" s="1">
        <f t="shared" si="15"/>
        <v>45016</v>
      </c>
      <c r="Z66" s="7">
        <f t="shared" si="15"/>
        <v>-0.15587828197259501</v>
      </c>
      <c r="AA66" s="7">
        <f t="shared" si="15"/>
        <v>-0.233489262319095</v>
      </c>
      <c r="AB66" s="7">
        <f t="shared" si="15"/>
        <v>0.31739258191987602</v>
      </c>
      <c r="AC66" s="7">
        <f t="shared" si="3"/>
        <v>-0.61488270078752394</v>
      </c>
      <c r="AD66" s="7">
        <f t="shared" si="4"/>
        <v>-5.7007910613677402E-2</v>
      </c>
      <c r="AE66" s="7">
        <f t="shared" si="5"/>
        <v>5.9713552194289803E-2</v>
      </c>
      <c r="AF66" s="7">
        <f t="shared" si="6"/>
        <v>-2.2327032836956201E-14</v>
      </c>
      <c r="AG66" s="7">
        <f t="shared" si="6"/>
        <v>3.90715927863564E-14</v>
      </c>
      <c r="AH66" s="7">
        <f t="shared" si="7"/>
        <v>1.4763009350312406E-2</v>
      </c>
      <c r="AI66" s="7">
        <f t="shared" ref="AI66:AI129" si="16">+SUM(Z66:AH66)</f>
        <v>-0.66938901222839642</v>
      </c>
      <c r="AJ66" s="8">
        <f t="shared" si="8"/>
        <v>-0.55516914859323419</v>
      </c>
      <c r="AK66" s="8">
        <f t="shared" si="9"/>
        <v>2.689540898710361E-2</v>
      </c>
      <c r="AL66" s="8">
        <f t="shared" si="10"/>
        <v>-0.15587828197259501</v>
      </c>
      <c r="AM66" s="8">
        <f t="shared" si="11"/>
        <v>1.4763009350312406E-2</v>
      </c>
      <c r="AN66" s="8">
        <f t="shared" si="12"/>
        <v>-0.66938901222841318</v>
      </c>
      <c r="AO66" s="9">
        <f t="shared" si="14"/>
        <v>1.0151814743006986</v>
      </c>
      <c r="AP66" s="9">
        <f t="shared" si="14"/>
        <v>-1.1976981131481731E-2</v>
      </c>
      <c r="AQ66" s="9">
        <f t="shared" si="14"/>
        <v>-2.7031204404758184E-3</v>
      </c>
      <c r="AR66" s="9">
        <f t="shared" si="14"/>
        <v>-5.0137272874061542E-4</v>
      </c>
      <c r="AS66" s="9">
        <f t="shared" si="14"/>
        <v>1</v>
      </c>
      <c r="AT66" s="7"/>
      <c r="AU66" s="7"/>
      <c r="AV66" s="7"/>
      <c r="AW66" s="7"/>
      <c r="AX66" s="7"/>
    </row>
    <row r="67" spans="1:50" x14ac:dyDescent="0.25">
      <c r="A67" s="1">
        <v>45107</v>
      </c>
      <c r="B67">
        <v>-0.161835902942537</v>
      </c>
      <c r="C67">
        <v>-0.23971461638024799</v>
      </c>
      <c r="D67">
        <v>0.34550865978247702</v>
      </c>
      <c r="E67">
        <v>-1.9889655247962299E-2</v>
      </c>
      <c r="F67">
        <v>-0.19243945171395699</v>
      </c>
      <c r="G67" s="2">
        <v>-2.2079440016881799E-14</v>
      </c>
      <c r="H67" s="2">
        <v>3.9593114829579002E-14</v>
      </c>
      <c r="I67" s="2">
        <v>1.0515458983293599E-14</v>
      </c>
      <c r="J67" s="2">
        <v>3.2502110028701102E-16</v>
      </c>
      <c r="K67" s="2">
        <v>-3.6873146066158901E-16</v>
      </c>
      <c r="L67" s="2">
        <v>-1.00834701076155E-15</v>
      </c>
      <c r="M67" s="2">
        <v>-1.9049695063363201E-15</v>
      </c>
      <c r="N67" s="2">
        <v>-2.6680417750612601E-15</v>
      </c>
      <c r="O67" s="2">
        <v>-2.99021529525271E-15</v>
      </c>
      <c r="P67" s="2">
        <v>8.6761306296032E-14</v>
      </c>
      <c r="Q67">
        <v>8.8485534828335197E-2</v>
      </c>
      <c r="R67">
        <v>0</v>
      </c>
      <c r="S67">
        <v>-0.48568843327036099</v>
      </c>
      <c r="T67">
        <v>1.45876051304158E-2</v>
      </c>
      <c r="U67">
        <v>-0.65098625981373204</v>
      </c>
      <c r="V67">
        <f t="shared" ref="V67:V130" si="17">SUM(B67:T67)</f>
        <v>-0.65098625981373115</v>
      </c>
      <c r="Y67" s="1">
        <f t="shared" ref="Y67:AB98" si="18">+A67</f>
        <v>45107</v>
      </c>
      <c r="Z67" s="7">
        <f t="shared" si="18"/>
        <v>-0.161835902942537</v>
      </c>
      <c r="AA67" s="7">
        <f t="shared" si="18"/>
        <v>-0.23971461638024799</v>
      </c>
      <c r="AB67" s="7">
        <f t="shared" si="18"/>
        <v>0.34550865978247702</v>
      </c>
      <c r="AC67" s="7">
        <f t="shared" ref="AC67:AC130" si="19">+F67+S67</f>
        <v>-0.67812788498431797</v>
      </c>
      <c r="AD67" s="7">
        <f t="shared" ref="AD67:AD130" si="20">+E67</f>
        <v>-1.9889655247962299E-2</v>
      </c>
      <c r="AE67" s="7">
        <f t="shared" ref="AE67:AE130" si="21">+Q67</f>
        <v>8.8485534828335197E-2</v>
      </c>
      <c r="AF67" s="7">
        <f t="shared" ref="AF67:AG130" si="22">+G67</f>
        <v>-2.2079440016881799E-14</v>
      </c>
      <c r="AG67" s="7">
        <f t="shared" si="22"/>
        <v>3.9593114829579002E-14</v>
      </c>
      <c r="AH67" s="7">
        <f t="shared" ref="AH67:AH130" si="23">+SUM(T67,I67:P67)</f>
        <v>1.458760513050446E-2</v>
      </c>
      <c r="AI67" s="7">
        <f t="shared" si="16"/>
        <v>-0.65098625981373093</v>
      </c>
      <c r="AJ67" s="8">
        <f t="shared" ref="AJ67:AJ130" si="24">SUM(AC67+AE67)</f>
        <v>-0.58964235015598276</v>
      </c>
      <c r="AK67" s="8">
        <f t="shared" ref="AK67:AK130" si="25">AB67+AA67+AD67</f>
        <v>8.5904388154266736E-2</v>
      </c>
      <c r="AL67" s="8">
        <f t="shared" ref="AL67:AL130" si="26">Z67</f>
        <v>-0.161835902942537</v>
      </c>
      <c r="AM67" s="8">
        <f t="shared" ref="AM67:AM130" si="27">AH67</f>
        <v>1.458760513050446E-2</v>
      </c>
      <c r="AN67" s="8">
        <f t="shared" ref="AN67:AN130" si="28">SUM(AJ67:AM67)</f>
        <v>-0.65098625981374858</v>
      </c>
      <c r="AO67" s="9">
        <f t="shared" ref="AO67:AS130" si="29">(AJ67-AJ66)/($AN67-$AN66)</f>
        <v>-1.8732633459372043</v>
      </c>
      <c r="AP67" s="9">
        <f t="shared" si="29"/>
        <v>3.2065300797146321</v>
      </c>
      <c r="AQ67" s="9">
        <f t="shared" si="29"/>
        <v>-0.32373532152693285</v>
      </c>
      <c r="AR67" s="9">
        <f t="shared" si="29"/>
        <v>-9.5314122504942412E-3</v>
      </c>
      <c r="AS67" s="9">
        <f t="shared" si="29"/>
        <v>1</v>
      </c>
      <c r="AT67" s="7"/>
      <c r="AU67" s="7"/>
      <c r="AV67" s="7"/>
      <c r="AW67" s="7"/>
      <c r="AX67" s="7"/>
    </row>
    <row r="68" spans="1:50" x14ac:dyDescent="0.25">
      <c r="A68" s="1">
        <v>45199</v>
      </c>
      <c r="B68">
        <v>-0.15250710932225001</v>
      </c>
      <c r="C68">
        <v>-7.9030365234388694E-2</v>
      </c>
      <c r="D68">
        <v>0.41855031136103799</v>
      </c>
      <c r="E68">
        <v>-3.8211549356562402E-2</v>
      </c>
      <c r="F68">
        <v>-0.202216991867193</v>
      </c>
      <c r="G68" s="2">
        <v>-2.1891699045423799E-14</v>
      </c>
      <c r="H68" s="2">
        <v>4.0177487967300999E-14</v>
      </c>
      <c r="I68" s="2">
        <v>9.3235097114622996E-15</v>
      </c>
      <c r="J68" s="2">
        <v>-5.0033970424876203E-17</v>
      </c>
      <c r="K68" s="2">
        <v>-5.8464733583732204E-16</v>
      </c>
      <c r="L68" s="2">
        <v>-1.2300661580963999E-15</v>
      </c>
      <c r="M68" s="2">
        <v>-2.1032259483739301E-15</v>
      </c>
      <c r="N68" s="2">
        <v>-2.43909754736724E-15</v>
      </c>
      <c r="O68" s="2">
        <v>-2.7471057064808002E-15</v>
      </c>
      <c r="P68" s="2">
        <v>8.8389494724962496E-14</v>
      </c>
      <c r="Q68">
        <v>6.7983067163841601E-2</v>
      </c>
      <c r="R68">
        <v>0</v>
      </c>
      <c r="S68">
        <v>-0.41957403176010699</v>
      </c>
      <c r="T68">
        <v>1.44144083708593E-2</v>
      </c>
      <c r="U68">
        <v>-0.39059226064465502</v>
      </c>
      <c r="V68">
        <f t="shared" si="17"/>
        <v>-0.39059226064465535</v>
      </c>
      <c r="Y68" s="1">
        <f t="shared" si="18"/>
        <v>45199</v>
      </c>
      <c r="Z68" s="7">
        <f t="shared" si="18"/>
        <v>-0.15250710932225001</v>
      </c>
      <c r="AA68" s="7">
        <f t="shared" si="18"/>
        <v>-7.9030365234388694E-2</v>
      </c>
      <c r="AB68" s="7">
        <f t="shared" si="18"/>
        <v>0.41855031136103799</v>
      </c>
      <c r="AC68" s="7">
        <f t="shared" si="19"/>
        <v>-0.62179102362729999</v>
      </c>
      <c r="AD68" s="7">
        <f t="shared" si="20"/>
        <v>-3.8211549356562402E-2</v>
      </c>
      <c r="AE68" s="7">
        <f t="shared" si="21"/>
        <v>6.7983067163841601E-2</v>
      </c>
      <c r="AF68" s="7">
        <f t="shared" si="22"/>
        <v>-2.1891699045423799E-14</v>
      </c>
      <c r="AG68" s="7">
        <f t="shared" si="22"/>
        <v>4.0177487967300999E-14</v>
      </c>
      <c r="AH68" s="7">
        <f t="shared" si="23"/>
        <v>1.4414408370947859E-2</v>
      </c>
      <c r="AI68" s="7">
        <f t="shared" si="16"/>
        <v>-0.3905922606446553</v>
      </c>
      <c r="AJ68" s="8">
        <f t="shared" si="24"/>
        <v>-0.55380795646345837</v>
      </c>
      <c r="AK68" s="8">
        <f t="shared" si="25"/>
        <v>0.30130839677008686</v>
      </c>
      <c r="AL68" s="8">
        <f t="shared" si="26"/>
        <v>-0.15250710932225001</v>
      </c>
      <c r="AM68" s="8">
        <f t="shared" si="27"/>
        <v>1.4414408370947859E-2</v>
      </c>
      <c r="AN68" s="8">
        <f t="shared" si="28"/>
        <v>-0.39059226064467367</v>
      </c>
      <c r="AO68" s="9">
        <f t="shared" si="29"/>
        <v>0.13761605031941221</v>
      </c>
      <c r="AP68" s="9">
        <f t="shared" si="29"/>
        <v>0.82722339724871086</v>
      </c>
      <c r="AQ68" s="9">
        <f t="shared" si="29"/>
        <v>3.5825685883912273E-2</v>
      </c>
      <c r="AR68" s="9">
        <f t="shared" si="29"/>
        <v>-6.6513345203528674E-4</v>
      </c>
      <c r="AS68" s="9">
        <f t="shared" si="29"/>
        <v>1</v>
      </c>
      <c r="AT68" s="7"/>
      <c r="AU68" s="7"/>
      <c r="AV68" s="7"/>
      <c r="AW68" s="7"/>
      <c r="AX68" s="7"/>
    </row>
    <row r="69" spans="1:50" x14ac:dyDescent="0.25">
      <c r="A69" s="1">
        <v>45291</v>
      </c>
      <c r="B69">
        <v>-0.15286543478265999</v>
      </c>
      <c r="C69">
        <v>-6.0451129937793703E-2</v>
      </c>
      <c r="D69">
        <v>0.42227925788713699</v>
      </c>
      <c r="E69">
        <v>-3.1496433560984201E-2</v>
      </c>
      <c r="F69">
        <v>-0.23367326307646399</v>
      </c>
      <c r="G69" s="2">
        <v>-2.12830987272179E-14</v>
      </c>
      <c r="H69" s="2">
        <v>4.0666901433997401E-14</v>
      </c>
      <c r="I69" s="2">
        <v>8.6383362394506607E-15</v>
      </c>
      <c r="J69" s="2">
        <v>-6.0473449674988205E-17</v>
      </c>
      <c r="K69" s="2">
        <v>-6.4289950219502504E-16</v>
      </c>
      <c r="L69" s="2">
        <v>-1.3022654214966099E-15</v>
      </c>
      <c r="M69" s="2">
        <v>-1.84630699232122E-15</v>
      </c>
      <c r="N69" s="2">
        <v>-2.2095804920819E-15</v>
      </c>
      <c r="O69" s="2">
        <v>-2.5546385335795699E-15</v>
      </c>
      <c r="P69" s="2">
        <v>8.8601814108230502E-14</v>
      </c>
      <c r="Q69">
        <v>5.7833958696511201E-2</v>
      </c>
      <c r="R69">
        <v>0</v>
      </c>
      <c r="S69">
        <v>-0.43257888591141302</v>
      </c>
      <c r="T69">
        <v>1.42433893728387E-2</v>
      </c>
      <c r="U69">
        <v>-0.41670854131272</v>
      </c>
      <c r="V69">
        <f t="shared" si="17"/>
        <v>-0.41670854131272</v>
      </c>
      <c r="Y69" s="1">
        <f t="shared" si="18"/>
        <v>45291</v>
      </c>
      <c r="Z69" s="7">
        <f t="shared" si="18"/>
        <v>-0.15286543478265999</v>
      </c>
      <c r="AA69" s="7">
        <f t="shared" si="18"/>
        <v>-6.0451129937793703E-2</v>
      </c>
      <c r="AB69" s="7">
        <f t="shared" si="18"/>
        <v>0.42227925788713699</v>
      </c>
      <c r="AC69" s="7">
        <f t="shared" si="19"/>
        <v>-0.66625214898787699</v>
      </c>
      <c r="AD69" s="7">
        <f t="shared" si="20"/>
        <v>-3.1496433560984201E-2</v>
      </c>
      <c r="AE69" s="7">
        <f t="shared" si="21"/>
        <v>5.7833958696511201E-2</v>
      </c>
      <c r="AF69" s="7">
        <f t="shared" si="22"/>
        <v>-2.12830987272179E-14</v>
      </c>
      <c r="AG69" s="7">
        <f t="shared" si="22"/>
        <v>4.0666901433997401E-14</v>
      </c>
      <c r="AH69" s="7">
        <f t="shared" si="23"/>
        <v>1.4243389372927321E-2</v>
      </c>
      <c r="AI69" s="7">
        <f t="shared" si="16"/>
        <v>-0.41670854131271995</v>
      </c>
      <c r="AJ69" s="8">
        <f t="shared" si="24"/>
        <v>-0.60841819029136579</v>
      </c>
      <c r="AK69" s="8">
        <f t="shared" si="25"/>
        <v>0.33033169438835908</v>
      </c>
      <c r="AL69" s="8">
        <f t="shared" si="26"/>
        <v>-0.15286543478265999</v>
      </c>
      <c r="AM69" s="8">
        <f t="shared" si="27"/>
        <v>1.4243389372927321E-2</v>
      </c>
      <c r="AN69" s="8">
        <f t="shared" si="28"/>
        <v>-0.41670854131273943</v>
      </c>
      <c r="AO69" s="9">
        <f t="shared" si="29"/>
        <v>2.0910417728311232</v>
      </c>
      <c r="AP69" s="9">
        <f t="shared" si="29"/>
        <v>-1.1113105264549048</v>
      </c>
      <c r="AQ69" s="9">
        <f t="shared" si="29"/>
        <v>1.3720386335414548E-2</v>
      </c>
      <c r="AR69" s="9">
        <f t="shared" si="29"/>
        <v>6.5483672883656467E-3</v>
      </c>
      <c r="AS69" s="9">
        <f t="shared" si="29"/>
        <v>1</v>
      </c>
      <c r="AT69" s="7"/>
      <c r="AU69" s="7"/>
      <c r="AV69" s="7"/>
      <c r="AW69" s="7"/>
      <c r="AX69" s="7"/>
    </row>
    <row r="70" spans="1:50" x14ac:dyDescent="0.25">
      <c r="A70" s="1">
        <v>45382</v>
      </c>
      <c r="B70">
        <v>-0.16249663397403899</v>
      </c>
      <c r="C70">
        <v>-9.6077797829872094E-2</v>
      </c>
      <c r="D70">
        <v>0.43522038244167199</v>
      </c>
      <c r="E70">
        <v>9.1978312410350696E-4</v>
      </c>
      <c r="F70">
        <v>-0.25716891392402802</v>
      </c>
      <c r="G70" s="2">
        <v>-2.2700397586364601E-14</v>
      </c>
      <c r="H70" s="2">
        <v>4.04395864923198E-14</v>
      </c>
      <c r="I70" s="2">
        <v>7.2728597577894095E-15</v>
      </c>
      <c r="J70" s="2">
        <v>-3.6123482530264799E-16</v>
      </c>
      <c r="K70" s="2">
        <v>-9.4138559289403198E-16</v>
      </c>
      <c r="L70" s="2">
        <v>-1.28546772093655E-15</v>
      </c>
      <c r="M70" s="2">
        <v>-1.84429731214274E-15</v>
      </c>
      <c r="N70" s="2">
        <v>-2.2359370932194099E-15</v>
      </c>
      <c r="O70" s="2">
        <v>-2.6176115842354901E-15</v>
      </c>
      <c r="P70" s="2">
        <v>8.4373078286343697E-14</v>
      </c>
      <c r="Q70">
        <v>6.6223182648320195E-2</v>
      </c>
      <c r="R70">
        <v>0</v>
      </c>
      <c r="S70">
        <v>-0.23745773446306001</v>
      </c>
      <c r="T70">
        <v>1.40745188559509E-2</v>
      </c>
      <c r="U70">
        <v>-0.236763213120852</v>
      </c>
      <c r="V70">
        <f t="shared" si="17"/>
        <v>-0.23676321312085247</v>
      </c>
      <c r="Y70" s="1">
        <f t="shared" si="18"/>
        <v>45382</v>
      </c>
      <c r="Z70" s="7">
        <f t="shared" si="18"/>
        <v>-0.16249663397403899</v>
      </c>
      <c r="AA70" s="7">
        <f t="shared" si="18"/>
        <v>-9.6077797829872094E-2</v>
      </c>
      <c r="AB70" s="7">
        <f t="shared" si="18"/>
        <v>0.43522038244167199</v>
      </c>
      <c r="AC70" s="7">
        <f t="shared" si="19"/>
        <v>-0.49462664838708803</v>
      </c>
      <c r="AD70" s="7">
        <f t="shared" si="20"/>
        <v>9.1978312410350696E-4</v>
      </c>
      <c r="AE70" s="7">
        <f t="shared" si="21"/>
        <v>6.6223182648320195E-2</v>
      </c>
      <c r="AF70" s="7">
        <f t="shared" si="22"/>
        <v>-2.2700397586364601E-14</v>
      </c>
      <c r="AG70" s="7">
        <f t="shared" si="22"/>
        <v>4.04395864923198E-14</v>
      </c>
      <c r="AH70" s="7">
        <f t="shared" si="23"/>
        <v>1.4074518856033261E-2</v>
      </c>
      <c r="AI70" s="7">
        <f t="shared" si="16"/>
        <v>-0.23676321312085244</v>
      </c>
      <c r="AJ70" s="8">
        <f t="shared" si="24"/>
        <v>-0.42840346573876786</v>
      </c>
      <c r="AK70" s="8">
        <f t="shared" si="25"/>
        <v>0.34006236773590343</v>
      </c>
      <c r="AL70" s="8">
        <f t="shared" si="26"/>
        <v>-0.16249663397403899</v>
      </c>
      <c r="AM70" s="8">
        <f t="shared" si="27"/>
        <v>1.4074518856033261E-2</v>
      </c>
      <c r="AN70" s="8">
        <f t="shared" si="28"/>
        <v>-0.23676321312087015</v>
      </c>
      <c r="AO70" s="9">
        <f t="shared" si="29"/>
        <v>1.0003856524724812</v>
      </c>
      <c r="AP70" s="9">
        <f t="shared" si="29"/>
        <v>5.4075720916571278E-2</v>
      </c>
      <c r="AQ70" s="9">
        <f t="shared" si="29"/>
        <v>-5.3522918811815992E-2</v>
      </c>
      <c r="AR70" s="9">
        <f t="shared" si="29"/>
        <v>-9.3845457723692452E-4</v>
      </c>
      <c r="AS70" s="9">
        <f t="shared" si="29"/>
        <v>1</v>
      </c>
      <c r="AT70" s="7"/>
      <c r="AU70" s="7"/>
      <c r="AV70" s="7"/>
      <c r="AW70" s="7"/>
      <c r="AX70" s="7"/>
    </row>
    <row r="71" spans="1:50" x14ac:dyDescent="0.25">
      <c r="A71" s="1">
        <v>45473</v>
      </c>
      <c r="B71">
        <v>-0.16478724063563199</v>
      </c>
      <c r="C71">
        <v>-8.98709283629609E-2</v>
      </c>
      <c r="D71">
        <v>0.48627179567766698</v>
      </c>
      <c r="E71">
        <v>-1.19339740527403E-2</v>
      </c>
      <c r="F71">
        <v>-0.27241151859825702</v>
      </c>
      <c r="G71" s="2">
        <v>-2.2742835611200001E-14</v>
      </c>
      <c r="H71" s="2">
        <v>4.1182123489524502E-14</v>
      </c>
      <c r="I71" s="2">
        <v>6.3133813526525099E-15</v>
      </c>
      <c r="J71" s="2">
        <v>-5.5494128124822099E-16</v>
      </c>
      <c r="K71" s="2">
        <v>-8.5510227822283099E-16</v>
      </c>
      <c r="L71" s="2">
        <v>-1.2008524565024301E-15</v>
      </c>
      <c r="M71" s="2">
        <v>-1.7553063653885501E-15</v>
      </c>
      <c r="N71" s="2">
        <v>-2.1433297071614601E-15</v>
      </c>
      <c r="O71" s="2">
        <v>-2.5219618454824698E-15</v>
      </c>
      <c r="P71" s="2">
        <v>8.6281632295170895E-14</v>
      </c>
      <c r="Q71">
        <v>4.7973355258498801E-2</v>
      </c>
      <c r="R71">
        <v>0</v>
      </c>
      <c r="S71">
        <v>-0.31179451738425601</v>
      </c>
      <c r="T71">
        <v>1.39077679523162E-2</v>
      </c>
      <c r="U71">
        <v>-0.302645260145263</v>
      </c>
      <c r="V71">
        <f t="shared" si="17"/>
        <v>-0.30264526014526227</v>
      </c>
      <c r="Y71" s="1">
        <f t="shared" si="18"/>
        <v>45473</v>
      </c>
      <c r="Z71" s="7">
        <f t="shared" si="18"/>
        <v>-0.16478724063563199</v>
      </c>
      <c r="AA71" s="7">
        <f t="shared" si="18"/>
        <v>-8.98709283629609E-2</v>
      </c>
      <c r="AB71" s="7">
        <f t="shared" si="18"/>
        <v>0.48627179567766698</v>
      </c>
      <c r="AC71" s="7">
        <f t="shared" si="19"/>
        <v>-0.58420603598251297</v>
      </c>
      <c r="AD71" s="7">
        <f t="shared" si="20"/>
        <v>-1.19339740527403E-2</v>
      </c>
      <c r="AE71" s="7">
        <f t="shared" si="21"/>
        <v>4.7973355258498801E-2</v>
      </c>
      <c r="AF71" s="7">
        <f t="shared" si="22"/>
        <v>-2.2742835611200001E-14</v>
      </c>
      <c r="AG71" s="7">
        <f t="shared" si="22"/>
        <v>4.1182123489524502E-14</v>
      </c>
      <c r="AH71" s="7">
        <f t="shared" si="23"/>
        <v>1.3907767952399761E-2</v>
      </c>
      <c r="AI71" s="7">
        <f t="shared" si="16"/>
        <v>-0.30264526014526216</v>
      </c>
      <c r="AJ71" s="8">
        <f t="shared" si="24"/>
        <v>-0.5362326807240142</v>
      </c>
      <c r="AK71" s="8">
        <f t="shared" si="25"/>
        <v>0.38446689326196576</v>
      </c>
      <c r="AL71" s="8">
        <f t="shared" si="26"/>
        <v>-0.16478724063563199</v>
      </c>
      <c r="AM71" s="8">
        <f t="shared" si="27"/>
        <v>1.3907767952399761E-2</v>
      </c>
      <c r="AN71" s="8">
        <f t="shared" si="28"/>
        <v>-0.30264526014528065</v>
      </c>
      <c r="AO71" s="9">
        <f t="shared" si="29"/>
        <v>1.6367010415643832</v>
      </c>
      <c r="AP71" s="9">
        <f t="shared" si="29"/>
        <v>-0.67400039208875284</v>
      </c>
      <c r="AQ71" s="9">
        <f t="shared" si="29"/>
        <v>3.4768298270153805E-2</v>
      </c>
      <c r="AR71" s="9">
        <f t="shared" si="29"/>
        <v>2.5310522542160174E-3</v>
      </c>
      <c r="AS71" s="9">
        <f t="shared" si="29"/>
        <v>1</v>
      </c>
      <c r="AT71" s="7"/>
      <c r="AU71" s="7"/>
      <c r="AV71" s="7"/>
      <c r="AW71" s="7"/>
      <c r="AX71" s="7"/>
    </row>
    <row r="72" spans="1:50" x14ac:dyDescent="0.25">
      <c r="A72" s="1">
        <v>45565</v>
      </c>
      <c r="B72">
        <v>-0.17306390857123399</v>
      </c>
      <c r="C72">
        <v>-0.12828041779680899</v>
      </c>
      <c r="D72">
        <v>0.477826531351566</v>
      </c>
      <c r="E72">
        <v>-1.2844082556844501E-2</v>
      </c>
      <c r="F72">
        <v>-0.28132349508177001</v>
      </c>
      <c r="G72" s="2">
        <v>-2.2484249134806501E-14</v>
      </c>
      <c r="H72" s="2">
        <v>4.2016076568960299E-14</v>
      </c>
      <c r="I72" s="2">
        <v>5.75389266390627E-15</v>
      </c>
      <c r="J72" s="2">
        <v>-4.2052344160313999E-16</v>
      </c>
      <c r="K72" s="2">
        <v>-7.2879299457095897E-16</v>
      </c>
      <c r="L72" s="2">
        <v>-1.09276258510838E-15</v>
      </c>
      <c r="M72" s="2">
        <v>-1.6597849521271901E-15</v>
      </c>
      <c r="N72" s="2">
        <v>-2.0628979153574901E-15</v>
      </c>
      <c r="O72" s="2">
        <v>-2.4578695562876398E-15</v>
      </c>
      <c r="P72" s="2">
        <v>8.6634650889816006E-14</v>
      </c>
      <c r="Q72">
        <v>4.3044514256790498E-2</v>
      </c>
      <c r="R72">
        <v>0</v>
      </c>
      <c r="S72">
        <v>-0.37264545456271903</v>
      </c>
      <c r="T72">
        <v>1.37431082008576E-2</v>
      </c>
      <c r="U72">
        <v>-0.43354320476005898</v>
      </c>
      <c r="V72">
        <f t="shared" si="17"/>
        <v>-0.43354320476005892</v>
      </c>
      <c r="Y72" s="1">
        <f t="shared" si="18"/>
        <v>45565</v>
      </c>
      <c r="Z72" s="7">
        <f t="shared" si="18"/>
        <v>-0.17306390857123399</v>
      </c>
      <c r="AA72" s="7">
        <f t="shared" si="18"/>
        <v>-0.12828041779680899</v>
      </c>
      <c r="AB72" s="7">
        <f t="shared" si="18"/>
        <v>0.477826531351566</v>
      </c>
      <c r="AC72" s="7">
        <f t="shared" si="19"/>
        <v>-0.65396894964448904</v>
      </c>
      <c r="AD72" s="7">
        <f t="shared" si="20"/>
        <v>-1.2844082556844501E-2</v>
      </c>
      <c r="AE72" s="7">
        <f t="shared" si="21"/>
        <v>4.3044514256790498E-2</v>
      </c>
      <c r="AF72" s="7">
        <f t="shared" si="22"/>
        <v>-2.2484249134806501E-14</v>
      </c>
      <c r="AG72" s="7">
        <f t="shared" si="22"/>
        <v>4.2016076568960299E-14</v>
      </c>
      <c r="AH72" s="7">
        <f t="shared" si="23"/>
        <v>1.3743108200941566E-2</v>
      </c>
      <c r="AI72" s="7">
        <f t="shared" si="16"/>
        <v>-0.43354320476005892</v>
      </c>
      <c r="AJ72" s="8">
        <f t="shared" si="24"/>
        <v>-0.61092443538769858</v>
      </c>
      <c r="AK72" s="8">
        <f t="shared" si="25"/>
        <v>0.33670203099791252</v>
      </c>
      <c r="AL72" s="8">
        <f t="shared" si="26"/>
        <v>-0.17306390857123399</v>
      </c>
      <c r="AM72" s="8">
        <f t="shared" si="27"/>
        <v>1.3743108200941566E-2</v>
      </c>
      <c r="AN72" s="8">
        <f t="shared" si="28"/>
        <v>-0.43354320476007852</v>
      </c>
      <c r="AO72" s="9">
        <f t="shared" si="29"/>
        <v>0.57061059960478988</v>
      </c>
      <c r="AP72" s="9">
        <f t="shared" si="29"/>
        <v>0.36490154528105156</v>
      </c>
      <c r="AQ72" s="9">
        <f t="shared" si="29"/>
        <v>6.3229930461920575E-2</v>
      </c>
      <c r="AR72" s="9">
        <f t="shared" si="29"/>
        <v>1.2579246522376694E-3</v>
      </c>
      <c r="AS72" s="9">
        <f t="shared" si="29"/>
        <v>1</v>
      </c>
      <c r="AT72" s="7"/>
      <c r="AU72" s="7"/>
      <c r="AV72" s="7"/>
      <c r="AW72" s="7"/>
      <c r="AX72" s="7"/>
    </row>
    <row r="73" spans="1:50" x14ac:dyDescent="0.25">
      <c r="A73" s="1">
        <v>45657</v>
      </c>
      <c r="B73">
        <v>-0.17107207284220799</v>
      </c>
      <c r="C73">
        <v>-0.12699781963962101</v>
      </c>
      <c r="D73">
        <v>0.472690257236627</v>
      </c>
      <c r="E73">
        <v>-1.70154527183097E-2</v>
      </c>
      <c r="F73">
        <v>-0.27515898255186699</v>
      </c>
      <c r="G73" s="2">
        <v>-2.2135135202931101E-14</v>
      </c>
      <c r="H73" s="2">
        <v>4.2495849287064102E-14</v>
      </c>
      <c r="I73" s="2">
        <v>5.6734372760362696E-15</v>
      </c>
      <c r="J73" s="2">
        <v>-4.1602154135588098E-16</v>
      </c>
      <c r="K73" s="2">
        <v>-7.2148787938238295E-16</v>
      </c>
      <c r="L73" s="2">
        <v>-1.0818433788684299E-15</v>
      </c>
      <c r="M73" s="2">
        <v>-1.64297162624026E-15</v>
      </c>
      <c r="N73" s="2">
        <v>-2.0418755588302198E-15</v>
      </c>
      <c r="O73" s="2">
        <v>-2.4326208874292801E-15</v>
      </c>
      <c r="P73" s="2">
        <v>8.6412024287646299E-14</v>
      </c>
      <c r="Q73">
        <v>3.8913803715301003E-2</v>
      </c>
      <c r="R73">
        <v>0</v>
      </c>
      <c r="S73">
        <v>-0.36917406298577399</v>
      </c>
      <c r="T73">
        <v>1.35805115416479E-2</v>
      </c>
      <c r="U73">
        <v>-0.43423381824409901</v>
      </c>
      <c r="V73">
        <f t="shared" si="17"/>
        <v>-0.43423381824409968</v>
      </c>
      <c r="Y73" s="1">
        <f t="shared" si="18"/>
        <v>45657</v>
      </c>
      <c r="Z73" s="7">
        <f t="shared" si="18"/>
        <v>-0.17107207284220799</v>
      </c>
      <c r="AA73" s="7">
        <f t="shared" si="18"/>
        <v>-0.12699781963962101</v>
      </c>
      <c r="AB73" s="7">
        <f t="shared" si="18"/>
        <v>0.472690257236627</v>
      </c>
      <c r="AC73" s="7">
        <f t="shared" si="19"/>
        <v>-0.64433304553764104</v>
      </c>
      <c r="AD73" s="7">
        <f t="shared" si="20"/>
        <v>-1.70154527183097E-2</v>
      </c>
      <c r="AE73" s="7">
        <f t="shared" si="21"/>
        <v>3.8913803715301003E-2</v>
      </c>
      <c r="AF73" s="7">
        <f t="shared" si="22"/>
        <v>-2.2135135202931101E-14</v>
      </c>
      <c r="AG73" s="7">
        <f t="shared" si="22"/>
        <v>4.2495849287064102E-14</v>
      </c>
      <c r="AH73" s="7">
        <f t="shared" si="23"/>
        <v>1.3580511541731649E-2</v>
      </c>
      <c r="AI73" s="7">
        <f t="shared" si="16"/>
        <v>-0.43423381824409968</v>
      </c>
      <c r="AJ73" s="8">
        <f t="shared" si="24"/>
        <v>-0.60541924182234008</v>
      </c>
      <c r="AK73" s="8">
        <f t="shared" si="25"/>
        <v>0.32867698487869629</v>
      </c>
      <c r="AL73" s="8">
        <f t="shared" si="26"/>
        <v>-0.17107207284220799</v>
      </c>
      <c r="AM73" s="8">
        <f t="shared" si="27"/>
        <v>1.3580511541731649E-2</v>
      </c>
      <c r="AN73" s="8">
        <f t="shared" si="28"/>
        <v>-0.43423381824412011</v>
      </c>
      <c r="AO73" s="9">
        <f t="shared" si="29"/>
        <v>-7.9714539211443478</v>
      </c>
      <c r="AP73" s="9">
        <f t="shared" si="29"/>
        <v>11.620170043961858</v>
      </c>
      <c r="AQ73" s="9">
        <f t="shared" si="29"/>
        <v>-2.8841541253574023</v>
      </c>
      <c r="AR73" s="9">
        <f t="shared" si="29"/>
        <v>0.23543800253996292</v>
      </c>
      <c r="AS73" s="9">
        <f t="shared" si="29"/>
        <v>1</v>
      </c>
      <c r="AT73" s="7"/>
      <c r="AU73" s="7"/>
      <c r="AV73" s="7"/>
      <c r="AW73" s="7"/>
      <c r="AX73" s="7"/>
    </row>
    <row r="74" spans="1:50" x14ac:dyDescent="0.25">
      <c r="A74" s="1">
        <v>45747</v>
      </c>
      <c r="B74">
        <v>-0.169082893810171</v>
      </c>
      <c r="C74">
        <v>-0.125727948389079</v>
      </c>
      <c r="D74">
        <v>0.46771396900566697</v>
      </c>
      <c r="E74">
        <v>-2.0663114487445199E-2</v>
      </c>
      <c r="F74">
        <v>-0.26847116757921802</v>
      </c>
      <c r="G74" s="2">
        <v>-2.17765658951801E-14</v>
      </c>
      <c r="H74" s="2">
        <v>4.2955120816308199E-14</v>
      </c>
      <c r="I74" s="2">
        <v>5.5872961726068404E-15</v>
      </c>
      <c r="J74" s="2">
        <v>-4.1246847191762699E-16</v>
      </c>
      <c r="K74" s="2">
        <v>-7.1473290942964996E-16</v>
      </c>
      <c r="L74" s="2">
        <v>-1.0712496464523301E-15</v>
      </c>
      <c r="M74" s="2">
        <v>-1.6263444468730499E-15</v>
      </c>
      <c r="N74" s="2">
        <v>-2.0209445311261798E-15</v>
      </c>
      <c r="O74" s="2">
        <v>-2.4074056279014499E-15</v>
      </c>
      <c r="P74" s="2">
        <v>8.6185605894395701E-14</v>
      </c>
      <c r="Q74">
        <v>3.5200104663305497E-2</v>
      </c>
      <c r="R74">
        <v>0</v>
      </c>
      <c r="S74">
        <v>-0.36572901874205599</v>
      </c>
      <c r="T74">
        <v>1.3419950310324001E-2</v>
      </c>
      <c r="U74">
        <v>-0.433340119028568</v>
      </c>
      <c r="V74">
        <f t="shared" si="17"/>
        <v>-0.43334011902856806</v>
      </c>
      <c r="Y74" s="1">
        <f t="shared" si="18"/>
        <v>45747</v>
      </c>
      <c r="Z74" s="7">
        <f t="shared" si="18"/>
        <v>-0.169082893810171</v>
      </c>
      <c r="AA74" s="7">
        <f t="shared" si="18"/>
        <v>-0.125727948389079</v>
      </c>
      <c r="AB74" s="7">
        <f t="shared" si="18"/>
        <v>0.46771396900566697</v>
      </c>
      <c r="AC74" s="7">
        <f t="shared" si="19"/>
        <v>-0.63420018632127406</v>
      </c>
      <c r="AD74" s="7">
        <f t="shared" si="20"/>
        <v>-2.0663114487445199E-2</v>
      </c>
      <c r="AE74" s="7">
        <f t="shared" si="21"/>
        <v>3.5200104663305497E-2</v>
      </c>
      <c r="AF74" s="7">
        <f t="shared" si="22"/>
        <v>-2.17765658951801E-14</v>
      </c>
      <c r="AG74" s="7">
        <f t="shared" si="22"/>
        <v>4.2955120816308199E-14</v>
      </c>
      <c r="AH74" s="7">
        <f t="shared" si="23"/>
        <v>1.3419950310407519E-2</v>
      </c>
      <c r="AI74" s="7">
        <f t="shared" si="16"/>
        <v>-0.43334011902856806</v>
      </c>
      <c r="AJ74" s="8">
        <f t="shared" si="24"/>
        <v>-0.59900008165796859</v>
      </c>
      <c r="AK74" s="8">
        <f t="shared" si="25"/>
        <v>0.32132290612914283</v>
      </c>
      <c r="AL74" s="8">
        <f t="shared" si="26"/>
        <v>-0.169082893810171</v>
      </c>
      <c r="AM74" s="8">
        <f t="shared" si="27"/>
        <v>1.3419950310407519E-2</v>
      </c>
      <c r="AN74" s="8">
        <f t="shared" si="28"/>
        <v>-0.43334011902858927</v>
      </c>
      <c r="AO74" s="9">
        <f t="shared" si="29"/>
        <v>7.182685239975994</v>
      </c>
      <c r="AP74" s="9">
        <f t="shared" si="29"/>
        <v>-8.2288074351562148</v>
      </c>
      <c r="AQ74" s="9">
        <f t="shared" si="29"/>
        <v>2.225781333885871</v>
      </c>
      <c r="AR74" s="9">
        <f t="shared" si="29"/>
        <v>-0.17965913870558742</v>
      </c>
      <c r="AS74" s="9">
        <f t="shared" si="29"/>
        <v>1</v>
      </c>
      <c r="AT74" s="7"/>
      <c r="AU74" s="7"/>
      <c r="AV74" s="7"/>
      <c r="AW74" s="7"/>
      <c r="AX74" s="7"/>
    </row>
    <row r="75" spans="1:50" x14ac:dyDescent="0.25">
      <c r="A75" s="1">
        <v>45838</v>
      </c>
      <c r="B75">
        <v>-0.16710071510637101</v>
      </c>
      <c r="C75">
        <v>-0.124470724421024</v>
      </c>
      <c r="D75">
        <v>0.46286310954541299</v>
      </c>
      <c r="E75">
        <v>-2.38299220350453E-2</v>
      </c>
      <c r="F75">
        <v>-0.26134892651339398</v>
      </c>
      <c r="G75" s="2">
        <v>-2.1409647413498701E-14</v>
      </c>
      <c r="H75" s="2">
        <v>4.3394601943611298E-14</v>
      </c>
      <c r="I75" s="2">
        <v>5.4964075094399902E-15</v>
      </c>
      <c r="J75" s="2">
        <v>-4.0971300890218902E-16</v>
      </c>
      <c r="K75" s="2">
        <v>-7.0842736407478196E-16</v>
      </c>
      <c r="L75" s="2">
        <v>-1.06091088648364E-15</v>
      </c>
      <c r="M75" s="2">
        <v>-1.60985990901912E-15</v>
      </c>
      <c r="N75" s="2">
        <v>-2.0000725064863699E-15</v>
      </c>
      <c r="O75" s="2">
        <v>-2.3821963589603099E-15</v>
      </c>
      <c r="P75" s="2">
        <v>8.5955313890315901E-14</v>
      </c>
      <c r="Q75">
        <v>3.1865479729335601E-2</v>
      </c>
      <c r="R75">
        <v>0</v>
      </c>
      <c r="S75">
        <v>-0.362310528705998</v>
      </c>
      <c r="T75">
        <v>1.32613972325668E-2</v>
      </c>
      <c r="U75">
        <v>-0.43107083027441201</v>
      </c>
      <c r="V75">
        <f t="shared" si="17"/>
        <v>-0.43107083027441162</v>
      </c>
      <c r="Y75" s="1">
        <f t="shared" si="18"/>
        <v>45838</v>
      </c>
      <c r="Z75" s="7">
        <f t="shared" si="18"/>
        <v>-0.16710071510637101</v>
      </c>
      <c r="AA75" s="7">
        <f t="shared" si="18"/>
        <v>-0.124470724421024</v>
      </c>
      <c r="AB75" s="7">
        <f t="shared" si="18"/>
        <v>0.46286310954541299</v>
      </c>
      <c r="AC75" s="7">
        <f t="shared" si="19"/>
        <v>-0.62365945521939192</v>
      </c>
      <c r="AD75" s="7">
        <f t="shared" si="20"/>
        <v>-2.38299220350453E-2</v>
      </c>
      <c r="AE75" s="7">
        <f t="shared" si="21"/>
        <v>3.1865479729335601E-2</v>
      </c>
      <c r="AF75" s="7">
        <f t="shared" si="22"/>
        <v>-2.1409647413498701E-14</v>
      </c>
      <c r="AG75" s="7">
        <f t="shared" si="22"/>
        <v>4.3394601943611298E-14</v>
      </c>
      <c r="AH75" s="7">
        <f t="shared" si="23"/>
        <v>1.3261397232650081E-2</v>
      </c>
      <c r="AI75" s="7">
        <f t="shared" si="16"/>
        <v>-0.43107083027441156</v>
      </c>
      <c r="AJ75" s="8">
        <f t="shared" si="24"/>
        <v>-0.5917939754900563</v>
      </c>
      <c r="AK75" s="8">
        <f t="shared" si="25"/>
        <v>0.31456246308934366</v>
      </c>
      <c r="AL75" s="8">
        <f t="shared" si="26"/>
        <v>-0.16710071510637101</v>
      </c>
      <c r="AM75" s="8">
        <f t="shared" si="27"/>
        <v>1.3261397232650081E-2</v>
      </c>
      <c r="AN75" s="8">
        <f t="shared" si="28"/>
        <v>-0.4310708302744336</v>
      </c>
      <c r="AO75" s="9">
        <f t="shared" si="29"/>
        <v>3.1754910672852961</v>
      </c>
      <c r="AP75" s="9">
        <f t="shared" si="29"/>
        <v>-2.9791021646844302</v>
      </c>
      <c r="AQ75" s="9">
        <f t="shared" si="29"/>
        <v>0.87348015988273975</v>
      </c>
      <c r="AR75" s="9">
        <f t="shared" si="29"/>
        <v>-6.9869062483602362E-2</v>
      </c>
      <c r="AS75" s="9">
        <f t="shared" si="29"/>
        <v>1</v>
      </c>
      <c r="AT75" s="7"/>
      <c r="AU75" s="7"/>
      <c r="AV75" s="7"/>
      <c r="AW75" s="7"/>
      <c r="AX75" s="7"/>
    </row>
    <row r="76" spans="1:50" x14ac:dyDescent="0.25">
      <c r="A76" s="1">
        <v>45930</v>
      </c>
      <c r="B76">
        <v>-0.16512898712159799</v>
      </c>
      <c r="C76">
        <v>-0.123226045995211</v>
      </c>
      <c r="D76">
        <v>0.45811346684597298</v>
      </c>
      <c r="E76">
        <v>-2.6558057773517801E-2</v>
      </c>
      <c r="F76">
        <v>-0.25387717719575098</v>
      </c>
      <c r="G76" s="2">
        <v>-2.1035275272705902E-14</v>
      </c>
      <c r="H76" s="2">
        <v>4.3814928822726799E-14</v>
      </c>
      <c r="I76" s="2">
        <v>5.4017927209924399E-15</v>
      </c>
      <c r="J76" s="2">
        <v>-4.0760302288457699E-16</v>
      </c>
      <c r="K76" s="2">
        <v>-7.0247676022738198E-16</v>
      </c>
      <c r="L76" s="2">
        <v>-1.05076761304291E-15</v>
      </c>
      <c r="M76" s="2">
        <v>-1.59348827131632E-15</v>
      </c>
      <c r="N76" s="2">
        <v>-1.9792454388595698E-15</v>
      </c>
      <c r="O76" s="2">
        <v>-2.35698854738722E-15</v>
      </c>
      <c r="P76" s="2">
        <v>8.5721068556124594E-14</v>
      </c>
      <c r="Q76">
        <v>2.8874282464226499E-2</v>
      </c>
      <c r="R76">
        <v>0</v>
      </c>
      <c r="S76">
        <v>-0.35891875464134598</v>
      </c>
      <c r="T76">
        <v>1.31048254186477E-2</v>
      </c>
      <c r="U76">
        <v>-0.42761644799846998</v>
      </c>
      <c r="V76">
        <f t="shared" si="17"/>
        <v>-0.42761644799847076</v>
      </c>
      <c r="Y76" s="1">
        <f t="shared" si="18"/>
        <v>45930</v>
      </c>
      <c r="Z76" s="7">
        <f t="shared" si="18"/>
        <v>-0.16512898712159799</v>
      </c>
      <c r="AA76" s="7">
        <f t="shared" si="18"/>
        <v>-0.123226045995211</v>
      </c>
      <c r="AB76" s="7">
        <f t="shared" si="18"/>
        <v>0.45811346684597298</v>
      </c>
      <c r="AC76" s="7">
        <f t="shared" si="19"/>
        <v>-0.61279593183709702</v>
      </c>
      <c r="AD76" s="7">
        <f t="shared" si="20"/>
        <v>-2.6558057773517801E-2</v>
      </c>
      <c r="AE76" s="7">
        <f t="shared" si="21"/>
        <v>2.8874282464226499E-2</v>
      </c>
      <c r="AF76" s="7">
        <f t="shared" si="22"/>
        <v>-2.1035275272705902E-14</v>
      </c>
      <c r="AG76" s="7">
        <f t="shared" si="22"/>
        <v>4.3814928822726799E-14</v>
      </c>
      <c r="AH76" s="7">
        <f t="shared" si="23"/>
        <v>1.3104825418730731E-2</v>
      </c>
      <c r="AI76" s="7">
        <f t="shared" si="16"/>
        <v>-0.42761644799847087</v>
      </c>
      <c r="AJ76" s="8">
        <f t="shared" si="24"/>
        <v>-0.5839216493728705</v>
      </c>
      <c r="AK76" s="8">
        <f t="shared" si="25"/>
        <v>0.30832936307724412</v>
      </c>
      <c r="AL76" s="8">
        <f t="shared" si="26"/>
        <v>-0.16512898712159799</v>
      </c>
      <c r="AM76" s="8">
        <f t="shared" si="27"/>
        <v>1.3104825418730731E-2</v>
      </c>
      <c r="AN76" s="8">
        <f t="shared" si="28"/>
        <v>-0.42761644799849363</v>
      </c>
      <c r="AO76" s="9">
        <f t="shared" si="29"/>
        <v>2.2789388922057459</v>
      </c>
      <c r="AP76" s="9">
        <f t="shared" si="29"/>
        <v>-1.8044036572076978</v>
      </c>
      <c r="AQ76" s="9">
        <f t="shared" si="29"/>
        <v>0.57079032581490796</v>
      </c>
      <c r="AR76" s="9">
        <f t="shared" si="29"/>
        <v>-4.5325560812966202E-2</v>
      </c>
      <c r="AS76" s="9">
        <f t="shared" si="29"/>
        <v>1</v>
      </c>
      <c r="AT76" s="7"/>
      <c r="AU76" s="7"/>
      <c r="AV76" s="7"/>
      <c r="AW76" s="7"/>
      <c r="AX76" s="7"/>
    </row>
    <row r="77" spans="1:50" x14ac:dyDescent="0.25">
      <c r="A77" s="1">
        <v>46022</v>
      </c>
      <c r="B77">
        <v>-0.16317044078583001</v>
      </c>
      <c r="C77">
        <v>-0.12199380049495399</v>
      </c>
      <c r="D77">
        <v>0.45344803660031702</v>
      </c>
      <c r="E77">
        <v>-2.8888217679095999E-2</v>
      </c>
      <c r="F77">
        <v>-0.24613538680444</v>
      </c>
      <c r="G77" s="2">
        <v>-2.0654212145551301E-14</v>
      </c>
      <c r="H77" s="2">
        <v>4.4216664726401803E-14</v>
      </c>
      <c r="I77" s="2">
        <v>5.3044836890316203E-15</v>
      </c>
      <c r="J77" s="2">
        <v>-4.0599261445657299E-16</v>
      </c>
      <c r="K77" s="2">
        <v>-6.9679522979463404E-16</v>
      </c>
      <c r="L77" s="2">
        <v>-1.04077072830265E-15</v>
      </c>
      <c r="M77" s="2">
        <v>-1.5772107314148401E-15</v>
      </c>
      <c r="N77" s="2">
        <v>-1.9584626666366799E-15</v>
      </c>
      <c r="O77" s="2">
        <v>-2.3317938193729499E-15</v>
      </c>
      <c r="P77" s="2">
        <v>8.5482795505058199E-14</v>
      </c>
      <c r="Q77">
        <v>2.61933233670106E-2</v>
      </c>
      <c r="R77">
        <v>0</v>
      </c>
      <c r="S77">
        <v>-0.35555381840788503</v>
      </c>
      <c r="T77">
        <v>1.2950208358042E-2</v>
      </c>
      <c r="U77">
        <v>-0.42315009584672902</v>
      </c>
      <c r="V77">
        <f t="shared" si="17"/>
        <v>-0.42315009584672908</v>
      </c>
      <c r="Y77" s="1">
        <f t="shared" si="18"/>
        <v>46022</v>
      </c>
      <c r="Z77" s="7">
        <f t="shared" si="18"/>
        <v>-0.16317044078583001</v>
      </c>
      <c r="AA77" s="7">
        <f t="shared" si="18"/>
        <v>-0.12199380049495399</v>
      </c>
      <c r="AB77" s="7">
        <f t="shared" si="18"/>
        <v>0.45344803660031702</v>
      </c>
      <c r="AC77" s="7">
        <f t="shared" si="19"/>
        <v>-0.60168920521232505</v>
      </c>
      <c r="AD77" s="7">
        <f t="shared" si="20"/>
        <v>-2.8888217679095999E-2</v>
      </c>
      <c r="AE77" s="7">
        <f t="shared" si="21"/>
        <v>2.61933233670106E-2</v>
      </c>
      <c r="AF77" s="7">
        <f t="shared" si="22"/>
        <v>-2.0654212145551301E-14</v>
      </c>
      <c r="AG77" s="7">
        <f t="shared" si="22"/>
        <v>4.4216664726401803E-14</v>
      </c>
      <c r="AH77" s="7">
        <f t="shared" si="23"/>
        <v>1.2950208358124776E-2</v>
      </c>
      <c r="AI77" s="7">
        <f t="shared" si="16"/>
        <v>-0.42315009584672908</v>
      </c>
      <c r="AJ77" s="8">
        <f t="shared" si="24"/>
        <v>-0.57549588184531442</v>
      </c>
      <c r="AK77" s="8">
        <f t="shared" si="25"/>
        <v>0.30256601842626701</v>
      </c>
      <c r="AL77" s="8">
        <f t="shared" si="26"/>
        <v>-0.16317044078583001</v>
      </c>
      <c r="AM77" s="8">
        <f t="shared" si="27"/>
        <v>1.2950208358124776E-2</v>
      </c>
      <c r="AN77" s="8">
        <f t="shared" si="28"/>
        <v>-0.42315009584675267</v>
      </c>
      <c r="AO77" s="9">
        <f t="shared" si="29"/>
        <v>1.8864986999002675</v>
      </c>
      <c r="AP77" s="9">
        <f t="shared" si="29"/>
        <v>-1.2903919026471276</v>
      </c>
      <c r="AQ77" s="9">
        <f t="shared" si="29"/>
        <v>0.43851140018248308</v>
      </c>
      <c r="AR77" s="9">
        <f t="shared" si="29"/>
        <v>-3.4618197435615637E-2</v>
      </c>
      <c r="AS77" s="9">
        <f t="shared" si="29"/>
        <v>1</v>
      </c>
      <c r="AT77" s="7"/>
      <c r="AU77" s="7"/>
      <c r="AV77" s="7"/>
      <c r="AW77" s="7"/>
      <c r="AX77" s="7"/>
    </row>
    <row r="78" spans="1:50" x14ac:dyDescent="0.25">
      <c r="A78" s="1">
        <v>46112</v>
      </c>
      <c r="B78">
        <v>-0.16122722719916599</v>
      </c>
      <c r="C78">
        <v>-0.12077387025561601</v>
      </c>
      <c r="D78">
        <v>0.44885483670576598</v>
      </c>
      <c r="E78">
        <v>-3.0859072793068699E-2</v>
      </c>
      <c r="F78">
        <v>-0.23819668504137601</v>
      </c>
      <c r="G78" s="2">
        <v>-2.02671466655215E-14</v>
      </c>
      <c r="H78" s="2">
        <v>4.4600304944164301E-14</v>
      </c>
      <c r="I78" s="2">
        <v>5.2054716465548199E-15</v>
      </c>
      <c r="J78" s="2">
        <v>-4.04746840537E-16</v>
      </c>
      <c r="K78" s="2">
        <v>-6.9130683304373704E-16</v>
      </c>
      <c r="L78" s="2">
        <v>-1.0308806568192199E-15</v>
      </c>
      <c r="M78" s="2">
        <v>-1.56101699264562E-15</v>
      </c>
      <c r="N78" s="2">
        <v>-1.93773291890105E-15</v>
      </c>
      <c r="O78" s="2">
        <v>-2.3066345645262501E-15</v>
      </c>
      <c r="P78" s="2">
        <v>8.5240428345573302E-14</v>
      </c>
      <c r="Q78">
        <v>2.37919287194755E-2</v>
      </c>
      <c r="R78">
        <v>0</v>
      </c>
      <c r="S78">
        <v>-0.35221580656677998</v>
      </c>
      <c r="T78">
        <v>1.27975199141058E-2</v>
      </c>
      <c r="U78">
        <v>-0.41782837651655202</v>
      </c>
      <c r="V78">
        <f t="shared" si="17"/>
        <v>-0.41782837651655247</v>
      </c>
      <c r="Y78" s="1">
        <f t="shared" si="18"/>
        <v>46112</v>
      </c>
      <c r="Z78" s="7">
        <f t="shared" si="18"/>
        <v>-0.16122722719916599</v>
      </c>
      <c r="AA78" s="7">
        <f t="shared" si="18"/>
        <v>-0.12077387025561601</v>
      </c>
      <c r="AB78" s="7">
        <f t="shared" si="18"/>
        <v>0.44885483670576598</v>
      </c>
      <c r="AC78" s="7">
        <f t="shared" si="19"/>
        <v>-0.59041249160815601</v>
      </c>
      <c r="AD78" s="7">
        <f t="shared" si="20"/>
        <v>-3.0859072793068699E-2</v>
      </c>
      <c r="AE78" s="7">
        <f t="shared" si="21"/>
        <v>2.37919287194755E-2</v>
      </c>
      <c r="AF78" s="7">
        <f t="shared" si="22"/>
        <v>-2.02671466655215E-14</v>
      </c>
      <c r="AG78" s="7">
        <f t="shared" si="22"/>
        <v>4.4600304944164301E-14</v>
      </c>
      <c r="AH78" s="7">
        <f t="shared" si="23"/>
        <v>1.2797519914188314E-2</v>
      </c>
      <c r="AI78" s="7">
        <f t="shared" si="16"/>
        <v>-0.41782837651655258</v>
      </c>
      <c r="AJ78" s="8">
        <f t="shared" si="24"/>
        <v>-0.56662056288868046</v>
      </c>
      <c r="AK78" s="8">
        <f t="shared" si="25"/>
        <v>0.29722189365708124</v>
      </c>
      <c r="AL78" s="8">
        <f t="shared" si="26"/>
        <v>-0.16122722719916599</v>
      </c>
      <c r="AM78" s="8">
        <f t="shared" si="27"/>
        <v>1.2797519914188314E-2</v>
      </c>
      <c r="AN78" s="8">
        <f t="shared" si="28"/>
        <v>-0.41782837651657689</v>
      </c>
      <c r="AO78" s="9">
        <f t="shared" si="29"/>
        <v>1.6677540482656017</v>
      </c>
      <c r="AP78" s="9">
        <f t="shared" si="29"/>
        <v>-1.0042101880275709</v>
      </c>
      <c r="AQ78" s="9">
        <f t="shared" si="29"/>
        <v>0.36514770248130263</v>
      </c>
      <c r="AR78" s="9">
        <f t="shared" si="29"/>
        <v>-2.8691562719339932E-2</v>
      </c>
      <c r="AS78" s="9">
        <f t="shared" si="29"/>
        <v>1</v>
      </c>
      <c r="AT78" s="7"/>
      <c r="AU78" s="7"/>
      <c r="AV78" s="7"/>
      <c r="AW78" s="7"/>
      <c r="AX78" s="7"/>
    </row>
    <row r="79" spans="1:50" x14ac:dyDescent="0.25">
      <c r="A79" s="1">
        <v>46203</v>
      </c>
      <c r="B79">
        <v>-0.15930102989144601</v>
      </c>
      <c r="C79">
        <v>-0.11956613558420599</v>
      </c>
      <c r="D79">
        <v>0.44432538485186401</v>
      </c>
      <c r="E79">
        <v>-3.2506938067046499E-2</v>
      </c>
      <c r="F79">
        <v>-0.23012742290718</v>
      </c>
      <c r="G79" s="2">
        <v>-1.98747358379014E-14</v>
      </c>
      <c r="H79" s="2">
        <v>4.4966283653669202E-14</v>
      </c>
      <c r="I79" s="2">
        <v>5.1056731919592096E-15</v>
      </c>
      <c r="J79" s="2">
        <v>-4.0374457954953498E-16</v>
      </c>
      <c r="K79" s="2">
        <v>-6.8594608031539601E-16</v>
      </c>
      <c r="L79" s="2">
        <v>-1.02106635244168E-15</v>
      </c>
      <c r="M79" s="2">
        <v>-1.5449032080786E-15</v>
      </c>
      <c r="N79" s="2">
        <v>-1.9170711224115801E-15</v>
      </c>
      <c r="O79" s="2">
        <v>-2.28153969973389E-15</v>
      </c>
      <c r="P79" s="2">
        <v>8.4993910781012297E-14</v>
      </c>
      <c r="Q79">
        <v>2.1641922498048201E-2</v>
      </c>
      <c r="R79">
        <v>0</v>
      </c>
      <c r="S79">
        <v>-0.34890477445439899</v>
      </c>
      <c r="T79">
        <v>1.26467343188201E-2</v>
      </c>
      <c r="U79">
        <v>-0.411792259235439</v>
      </c>
      <c r="V79">
        <f t="shared" si="17"/>
        <v>-0.41179225923543783</v>
      </c>
      <c r="Y79" s="1">
        <f t="shared" si="18"/>
        <v>46203</v>
      </c>
      <c r="Z79" s="7">
        <f t="shared" si="18"/>
        <v>-0.15930102989144601</v>
      </c>
      <c r="AA79" s="7">
        <f t="shared" si="18"/>
        <v>-0.11956613558420599</v>
      </c>
      <c r="AB79" s="7">
        <f t="shared" si="18"/>
        <v>0.44432538485186401</v>
      </c>
      <c r="AC79" s="7">
        <f t="shared" si="19"/>
        <v>-0.57903219736157896</v>
      </c>
      <c r="AD79" s="7">
        <f t="shared" si="20"/>
        <v>-3.2506938067046499E-2</v>
      </c>
      <c r="AE79" s="7">
        <f t="shared" si="21"/>
        <v>2.1641922498048201E-2</v>
      </c>
      <c r="AF79" s="7">
        <f t="shared" si="22"/>
        <v>-1.98747358379014E-14</v>
      </c>
      <c r="AG79" s="7">
        <f t="shared" si="22"/>
        <v>4.4966283653669202E-14</v>
      </c>
      <c r="AH79" s="7">
        <f t="shared" si="23"/>
        <v>1.2646734318902345E-2</v>
      </c>
      <c r="AI79" s="7">
        <f t="shared" si="16"/>
        <v>-0.41179225923543783</v>
      </c>
      <c r="AJ79" s="8">
        <f t="shared" si="24"/>
        <v>-0.55739027486353077</v>
      </c>
      <c r="AK79" s="8">
        <f t="shared" si="25"/>
        <v>0.29225231120061151</v>
      </c>
      <c r="AL79" s="8">
        <f t="shared" si="26"/>
        <v>-0.15930102989144601</v>
      </c>
      <c r="AM79" s="8">
        <f t="shared" si="27"/>
        <v>1.2646734318902345E-2</v>
      </c>
      <c r="AN79" s="8">
        <f t="shared" si="28"/>
        <v>-0.41179225923546292</v>
      </c>
      <c r="AO79" s="9">
        <f t="shared" si="29"/>
        <v>1.5291763886082461</v>
      </c>
      <c r="AP79" s="9">
        <f t="shared" si="29"/>
        <v>-0.82330780285179961</v>
      </c>
      <c r="AQ79" s="9">
        <f t="shared" si="29"/>
        <v>0.31911197513453499</v>
      </c>
      <c r="AR79" s="9">
        <f t="shared" si="29"/>
        <v>-2.4980560890980719E-2</v>
      </c>
      <c r="AS79" s="9">
        <f t="shared" si="29"/>
        <v>1</v>
      </c>
      <c r="AT79" s="7"/>
      <c r="AU79" s="7"/>
      <c r="AV79" s="7"/>
      <c r="AW79" s="7"/>
      <c r="AX79" s="7"/>
    </row>
    <row r="80" spans="1:50" x14ac:dyDescent="0.25">
      <c r="A80" s="1">
        <v>46295</v>
      </c>
      <c r="B80">
        <v>-0.15739315513441801</v>
      </c>
      <c r="C80">
        <v>-0.118370476320942</v>
      </c>
      <c r="D80">
        <v>0.43985363800830002</v>
      </c>
      <c r="E80">
        <v>-3.38655951402324E-2</v>
      </c>
      <c r="F80">
        <v>-0.221987054054162</v>
      </c>
      <c r="G80" s="2">
        <v>-1.9477633757279701E-14</v>
      </c>
      <c r="H80" s="2">
        <v>4.5314981862520601E-14</v>
      </c>
      <c r="I80" s="2">
        <v>5.0059095349531198E-15</v>
      </c>
      <c r="J80" s="2">
        <v>-4.0287998780295898E-16</v>
      </c>
      <c r="K80" s="2">
        <v>-6.8065788117016302E-16</v>
      </c>
      <c r="L80" s="2">
        <v>-1.01130425719958E-15</v>
      </c>
      <c r="M80" s="2">
        <v>-1.5288702730782499E-15</v>
      </c>
      <c r="N80" s="2">
        <v>-1.8964959008482802E-15</v>
      </c>
      <c r="O80" s="2">
        <v>-2.2565414197400801E-15</v>
      </c>
      <c r="P80" s="2">
        <v>8.4743198174992704E-14</v>
      </c>
      <c r="Q80">
        <v>1.97175545123656E-2</v>
      </c>
      <c r="R80">
        <v>0</v>
      </c>
      <c r="S80">
        <v>-0.345620749786401</v>
      </c>
      <c r="T80">
        <v>1.2497826167598199E-2</v>
      </c>
      <c r="U80">
        <v>-0.405168011747784</v>
      </c>
      <c r="V80">
        <f t="shared" si="17"/>
        <v>-0.40516801174778377</v>
      </c>
      <c r="Y80" s="1">
        <f t="shared" si="18"/>
        <v>46295</v>
      </c>
      <c r="Z80" s="7">
        <f t="shared" si="18"/>
        <v>-0.15739315513441801</v>
      </c>
      <c r="AA80" s="7">
        <f t="shared" si="18"/>
        <v>-0.118370476320942</v>
      </c>
      <c r="AB80" s="7">
        <f t="shared" si="18"/>
        <v>0.43985363800830002</v>
      </c>
      <c r="AC80" s="7">
        <f t="shared" si="19"/>
        <v>-0.56760780384056297</v>
      </c>
      <c r="AD80" s="7">
        <f t="shared" si="20"/>
        <v>-3.38655951402324E-2</v>
      </c>
      <c r="AE80" s="7">
        <f t="shared" si="21"/>
        <v>1.97175545123656E-2</v>
      </c>
      <c r="AF80" s="7">
        <f t="shared" si="22"/>
        <v>-1.9477633757279701E-14</v>
      </c>
      <c r="AG80" s="7">
        <f t="shared" si="22"/>
        <v>4.5314981862520601E-14</v>
      </c>
      <c r="AH80" s="7">
        <f t="shared" si="23"/>
        <v>1.2497826167680174E-2</v>
      </c>
      <c r="AI80" s="7">
        <f t="shared" si="16"/>
        <v>-0.40516801174778372</v>
      </c>
      <c r="AJ80" s="8">
        <f t="shared" si="24"/>
        <v>-0.54789024932819741</v>
      </c>
      <c r="AK80" s="8">
        <f t="shared" si="25"/>
        <v>0.28761756654712561</v>
      </c>
      <c r="AL80" s="8">
        <f t="shared" si="26"/>
        <v>-0.15739315513441801</v>
      </c>
      <c r="AM80" s="8">
        <f t="shared" si="27"/>
        <v>1.2497826167680174E-2</v>
      </c>
      <c r="AN80" s="8">
        <f t="shared" si="28"/>
        <v>-0.40516801174780964</v>
      </c>
      <c r="AO80" s="9">
        <f t="shared" si="29"/>
        <v>1.434129016622665</v>
      </c>
      <c r="AP80" s="9">
        <f t="shared" si="29"/>
        <v>-0.6996635711640381</v>
      </c>
      <c r="AQ80" s="9">
        <f t="shared" si="29"/>
        <v>0.28801380995864451</v>
      </c>
      <c r="AR80" s="9">
        <f t="shared" si="29"/>
        <v>-2.2479255417270673E-2</v>
      </c>
      <c r="AS80" s="9">
        <f t="shared" si="29"/>
        <v>1</v>
      </c>
      <c r="AT80" s="7"/>
      <c r="AU80" s="7"/>
      <c r="AV80" s="7"/>
      <c r="AW80" s="7"/>
      <c r="AX80" s="7"/>
    </row>
    <row r="81" spans="1:50" x14ac:dyDescent="0.25">
      <c r="A81" s="1">
        <v>46387</v>
      </c>
      <c r="B81">
        <v>-0.15550460464795399</v>
      </c>
      <c r="C81">
        <v>-0.11718677264399401</v>
      </c>
      <c r="D81">
        <v>0.43543525366831598</v>
      </c>
      <c r="E81">
        <v>-3.4966227768746E-2</v>
      </c>
      <c r="F81">
        <v>-0.21382824450479301</v>
      </c>
      <c r="G81" s="2">
        <v>-1.90765092161848E-14</v>
      </c>
      <c r="H81" s="2">
        <v>4.5646735743698203E-14</v>
      </c>
      <c r="I81" s="2">
        <v>4.9068957706533797E-15</v>
      </c>
      <c r="J81" s="2">
        <v>-4.0206291538199099E-16</v>
      </c>
      <c r="K81" s="2">
        <v>-6.7539709477148703E-16</v>
      </c>
      <c r="L81" s="2">
        <v>-1.0015772676289E-15</v>
      </c>
      <c r="M81" s="2">
        <v>-1.51292243011594E-15</v>
      </c>
      <c r="N81" s="2">
        <v>-1.87602765980158E-15</v>
      </c>
      <c r="O81" s="2">
        <v>-2.2316727701561402E-15</v>
      </c>
      <c r="P81" s="2">
        <v>8.4488258626088494E-14</v>
      </c>
      <c r="Q81">
        <v>1.79953923553338E-2</v>
      </c>
      <c r="R81">
        <v>0</v>
      </c>
      <c r="S81">
        <v>-0.34236373584670599</v>
      </c>
      <c r="T81">
        <v>1.23507704141583E-2</v>
      </c>
      <c r="U81">
        <v>-0.39806816897427699</v>
      </c>
      <c r="V81">
        <f t="shared" si="17"/>
        <v>-0.39806816897427666</v>
      </c>
      <c r="Y81" s="1">
        <f t="shared" si="18"/>
        <v>46387</v>
      </c>
      <c r="Z81" s="7">
        <f t="shared" si="18"/>
        <v>-0.15550460464795399</v>
      </c>
      <c r="AA81" s="7">
        <f t="shared" si="18"/>
        <v>-0.11718677264399401</v>
      </c>
      <c r="AB81" s="7">
        <f t="shared" si="18"/>
        <v>0.43543525366831598</v>
      </c>
      <c r="AC81" s="7">
        <f t="shared" si="19"/>
        <v>-0.55619198035149897</v>
      </c>
      <c r="AD81" s="7">
        <f t="shared" si="20"/>
        <v>-3.4966227768746E-2</v>
      </c>
      <c r="AE81" s="7">
        <f t="shared" si="21"/>
        <v>1.79953923553338E-2</v>
      </c>
      <c r="AF81" s="7">
        <f t="shared" si="22"/>
        <v>-1.90765092161848E-14</v>
      </c>
      <c r="AG81" s="7">
        <f t="shared" si="22"/>
        <v>4.5646735743698203E-14</v>
      </c>
      <c r="AH81" s="7">
        <f t="shared" si="23"/>
        <v>1.2350770414239999E-2</v>
      </c>
      <c r="AI81" s="7">
        <f t="shared" si="16"/>
        <v>-0.39806816897427666</v>
      </c>
      <c r="AJ81" s="8">
        <f t="shared" si="24"/>
        <v>-0.53819658799616521</v>
      </c>
      <c r="AK81" s="8">
        <f t="shared" si="25"/>
        <v>0.28328225325557599</v>
      </c>
      <c r="AL81" s="8">
        <f t="shared" si="26"/>
        <v>-0.15550460464795399</v>
      </c>
      <c r="AM81" s="8">
        <f t="shared" si="27"/>
        <v>1.2350770414239999E-2</v>
      </c>
      <c r="AN81" s="8">
        <f t="shared" si="28"/>
        <v>-0.39806816897430325</v>
      </c>
      <c r="AO81" s="9">
        <f t="shared" si="29"/>
        <v>1.365334647719924</v>
      </c>
      <c r="AP81" s="9">
        <f t="shared" si="29"/>
        <v>-0.61062102779616168</v>
      </c>
      <c r="AQ81" s="9">
        <f t="shared" si="29"/>
        <v>0.26599891669591547</v>
      </c>
      <c r="AR81" s="9">
        <f t="shared" si="29"/>
        <v>-2.0712536619673431E-2</v>
      </c>
      <c r="AS81" s="9">
        <f t="shared" si="29"/>
        <v>1</v>
      </c>
      <c r="AT81" s="7"/>
      <c r="AU81" s="7"/>
      <c r="AV81" s="7"/>
      <c r="AW81" s="7"/>
      <c r="AX81" s="7"/>
    </row>
    <row r="82" spans="1:50" x14ac:dyDescent="0.25">
      <c r="A82" s="1">
        <v>46477</v>
      </c>
      <c r="B82">
        <v>-0.153636134176447</v>
      </c>
      <c r="C82">
        <v>-0.116014905481435</v>
      </c>
      <c r="D82">
        <v>0.43106707522419102</v>
      </c>
      <c r="E82">
        <v>-3.5837438153012498E-2</v>
      </c>
      <c r="F82">
        <v>-0.20569713903954501</v>
      </c>
      <c r="G82" s="2">
        <v>-1.86720545763577E-14</v>
      </c>
      <c r="H82" s="2">
        <v>4.59618448738261E-14</v>
      </c>
      <c r="I82" s="2">
        <v>4.8092375728877197E-15</v>
      </c>
      <c r="J82" s="2">
        <v>-4.0121857726045598E-16</v>
      </c>
      <c r="K82" s="2">
        <v>-6.7012781739745104E-16</v>
      </c>
      <c r="L82" s="2">
        <v>-9.9187374597209594E-16</v>
      </c>
      <c r="M82" s="2">
        <v>-1.4970661470877399E-15</v>
      </c>
      <c r="N82" s="2">
        <v>-1.8556871583381498E-15</v>
      </c>
      <c r="O82" s="2">
        <v>-2.2069658935938101E-15</v>
      </c>
      <c r="P82" s="2">
        <v>8.4229073604217504E-14</v>
      </c>
      <c r="Q82">
        <v>1.6454190412179701E-2</v>
      </c>
      <c r="R82">
        <v>0</v>
      </c>
      <c r="S82">
        <v>-0.33913371430963801</v>
      </c>
      <c r="T82">
        <v>1.22055423654597E-2</v>
      </c>
      <c r="U82">
        <v>-0.39059252315813697</v>
      </c>
      <c r="V82">
        <f t="shared" si="17"/>
        <v>-0.39059252315813842</v>
      </c>
      <c r="Y82" s="1">
        <f t="shared" si="18"/>
        <v>46477</v>
      </c>
      <c r="Z82" s="7">
        <f t="shared" si="18"/>
        <v>-0.153636134176447</v>
      </c>
      <c r="AA82" s="7">
        <f t="shared" si="18"/>
        <v>-0.116014905481435</v>
      </c>
      <c r="AB82" s="7">
        <f t="shared" si="18"/>
        <v>0.43106707522419102</v>
      </c>
      <c r="AC82" s="7">
        <f t="shared" si="19"/>
        <v>-0.54483085334918302</v>
      </c>
      <c r="AD82" s="7">
        <f t="shared" si="20"/>
        <v>-3.5837438153012498E-2</v>
      </c>
      <c r="AE82" s="7">
        <f t="shared" si="21"/>
        <v>1.6454190412179701E-2</v>
      </c>
      <c r="AF82" s="7">
        <f t="shared" si="22"/>
        <v>-1.86720545763577E-14</v>
      </c>
      <c r="AG82" s="7">
        <f t="shared" si="22"/>
        <v>4.59618448738261E-14</v>
      </c>
      <c r="AH82" s="7">
        <f t="shared" si="23"/>
        <v>1.2205542365541116E-2</v>
      </c>
      <c r="AI82" s="7">
        <f t="shared" si="16"/>
        <v>-0.39059252315813836</v>
      </c>
      <c r="AJ82" s="8">
        <f t="shared" si="24"/>
        <v>-0.52837666293700336</v>
      </c>
      <c r="AK82" s="8">
        <f t="shared" si="25"/>
        <v>0.27921473158974353</v>
      </c>
      <c r="AL82" s="8">
        <f t="shared" si="26"/>
        <v>-0.153636134176447</v>
      </c>
      <c r="AM82" s="8">
        <f t="shared" si="27"/>
        <v>1.2205542365541116E-2</v>
      </c>
      <c r="AN82" s="8">
        <f t="shared" si="28"/>
        <v>-0.39059252315816573</v>
      </c>
      <c r="AO82" s="9">
        <f t="shared" si="29"/>
        <v>1.3135888591676963</v>
      </c>
      <c r="AP82" s="9">
        <f t="shared" si="29"/>
        <v>-0.54410304686345468</v>
      </c>
      <c r="AQ82" s="9">
        <f t="shared" si="29"/>
        <v>0.249941010778434</v>
      </c>
      <c r="AR82" s="9">
        <f t="shared" si="29"/>
        <v>-1.9426823082680251E-2</v>
      </c>
      <c r="AS82" s="9">
        <f t="shared" si="29"/>
        <v>1</v>
      </c>
      <c r="AT82" s="7"/>
      <c r="AU82" s="7"/>
      <c r="AV82" s="7"/>
      <c r="AW82" s="7"/>
      <c r="AX82" s="7"/>
    </row>
    <row r="83" spans="1:50" x14ac:dyDescent="0.25">
      <c r="A83" s="1">
        <v>46568</v>
      </c>
      <c r="B83">
        <v>-0.151788300719332</v>
      </c>
      <c r="C83">
        <v>-0.114854756719332</v>
      </c>
      <c r="D83">
        <v>0.42674677347120599</v>
      </c>
      <c r="E83">
        <v>-3.6505319873336099E-2</v>
      </c>
      <c r="F83">
        <v>-0.19763373011604099</v>
      </c>
      <c r="G83" s="2">
        <v>-1.82649880063517E-14</v>
      </c>
      <c r="H83" s="2">
        <v>4.6260580033620399E-14</v>
      </c>
      <c r="I83" s="2">
        <v>4.7134332110509796E-15</v>
      </c>
      <c r="J83" s="2">
        <v>-4.0028671367299499E-16</v>
      </c>
      <c r="K83" s="2">
        <v>-6.6482251161725899E-16</v>
      </c>
      <c r="L83" s="2">
        <v>-9.8218660018518698E-16</v>
      </c>
      <c r="M83" s="2">
        <v>-1.48130923085977E-15</v>
      </c>
      <c r="N83" s="2">
        <v>-1.8354944780342199E-15</v>
      </c>
      <c r="O83" s="2">
        <v>-2.1824508172668001E-15</v>
      </c>
      <c r="P83" s="2">
        <v>8.39656382054295E-14</v>
      </c>
      <c r="Q83">
        <v>1.5074745806168299E-2</v>
      </c>
      <c r="R83">
        <v>0</v>
      </c>
      <c r="S83">
        <v>-0.335930647737892</v>
      </c>
      <c r="T83">
        <v>1.2062117676702301E-2</v>
      </c>
      <c r="U83">
        <v>-0.38282911821174898</v>
      </c>
      <c r="V83">
        <f t="shared" si="17"/>
        <v>-0.38282911821174742</v>
      </c>
      <c r="Y83" s="1">
        <f t="shared" si="18"/>
        <v>46568</v>
      </c>
      <c r="Z83" s="7">
        <f t="shared" si="18"/>
        <v>-0.151788300719332</v>
      </c>
      <c r="AA83" s="7">
        <f t="shared" si="18"/>
        <v>-0.114854756719332</v>
      </c>
      <c r="AB83" s="7">
        <f t="shared" si="18"/>
        <v>0.42674677347120599</v>
      </c>
      <c r="AC83" s="7">
        <f t="shared" si="19"/>
        <v>-0.53356437785393296</v>
      </c>
      <c r="AD83" s="7">
        <f t="shared" si="20"/>
        <v>-3.6505319873336099E-2</v>
      </c>
      <c r="AE83" s="7">
        <f t="shared" si="21"/>
        <v>1.5074745806168299E-2</v>
      </c>
      <c r="AF83" s="7">
        <f t="shared" si="22"/>
        <v>-1.82649880063517E-14</v>
      </c>
      <c r="AG83" s="7">
        <f t="shared" si="22"/>
        <v>4.6260580033620399E-14</v>
      </c>
      <c r="AH83" s="7">
        <f t="shared" si="23"/>
        <v>1.2062117676783434E-2</v>
      </c>
      <c r="AI83" s="7">
        <f t="shared" si="16"/>
        <v>-0.38282911821174737</v>
      </c>
      <c r="AJ83" s="8">
        <f t="shared" si="24"/>
        <v>-0.51848963204776466</v>
      </c>
      <c r="AK83" s="8">
        <f t="shared" si="25"/>
        <v>0.2753866968785379</v>
      </c>
      <c r="AL83" s="8">
        <f t="shared" si="26"/>
        <v>-0.151788300719332</v>
      </c>
      <c r="AM83" s="8">
        <f t="shared" si="27"/>
        <v>1.2062117676783434E-2</v>
      </c>
      <c r="AN83" s="8">
        <f t="shared" si="28"/>
        <v>-0.38282911821177534</v>
      </c>
      <c r="AO83" s="9">
        <f t="shared" si="29"/>
        <v>1.2735431112395732</v>
      </c>
      <c r="AP83" s="9">
        <f t="shared" si="29"/>
        <v>-0.49308708455115241</v>
      </c>
      <c r="AQ83" s="9">
        <f t="shared" si="29"/>
        <v>0.2380184300413391</v>
      </c>
      <c r="AR83" s="9">
        <f t="shared" si="29"/>
        <v>-1.8474456729758528E-2</v>
      </c>
      <c r="AS83" s="9">
        <f t="shared" si="29"/>
        <v>1</v>
      </c>
      <c r="AT83" s="7"/>
      <c r="AU83" s="7"/>
      <c r="AV83" s="7"/>
      <c r="AW83" s="7"/>
      <c r="AX83" s="7"/>
    </row>
    <row r="84" spans="1:50" x14ac:dyDescent="0.25">
      <c r="A84" s="1">
        <v>46660</v>
      </c>
      <c r="B84">
        <v>-0.14996150064613001</v>
      </c>
      <c r="C84">
        <v>-0.113706209304086</v>
      </c>
      <c r="D84">
        <v>0.42247259686941002</v>
      </c>
      <c r="E84">
        <v>-3.6993568978278997E-2</v>
      </c>
      <c r="F84">
        <v>-0.189672288830143</v>
      </c>
      <c r="G84" s="2">
        <v>-1.78560508988608E-14</v>
      </c>
      <c r="H84" s="2">
        <v>4.6543190348572198E-14</v>
      </c>
      <c r="I84" s="2">
        <v>4.6198792308139599E-15</v>
      </c>
      <c r="J84" s="2">
        <v>-3.99220422135946E-16</v>
      </c>
      <c r="K84" s="2">
        <v>-6.5946105603764198E-16</v>
      </c>
      <c r="L84" s="2">
        <v>-9.7251244667212899E-16</v>
      </c>
      <c r="M84" s="2">
        <v>-1.4656601399931E-15</v>
      </c>
      <c r="N84" s="2">
        <v>-1.8154683114467999E-15</v>
      </c>
      <c r="O84" s="2">
        <v>-2.15815466860119E-15</v>
      </c>
      <c r="P84" s="2">
        <v>8.3697961082670295E-14</v>
      </c>
      <c r="Q84">
        <v>1.3839748550311001E-2</v>
      </c>
      <c r="R84">
        <v>0</v>
      </c>
      <c r="S84">
        <v>-0.33275448179403999</v>
      </c>
      <c r="T84">
        <v>1.19204723463901E-2</v>
      </c>
      <c r="U84">
        <v>-0.37485523178645802</v>
      </c>
      <c r="V84">
        <f t="shared" si="17"/>
        <v>-0.37485523178645735</v>
      </c>
      <c r="Y84" s="1">
        <f t="shared" si="18"/>
        <v>46660</v>
      </c>
      <c r="Z84" s="7">
        <f t="shared" si="18"/>
        <v>-0.14996150064613001</v>
      </c>
      <c r="AA84" s="7">
        <f t="shared" si="18"/>
        <v>-0.113706209304086</v>
      </c>
      <c r="AB84" s="7">
        <f t="shared" si="18"/>
        <v>0.42247259686941002</v>
      </c>
      <c r="AC84" s="7">
        <f t="shared" si="19"/>
        <v>-0.52242677062418297</v>
      </c>
      <c r="AD84" s="7">
        <f t="shared" si="20"/>
        <v>-3.6993568978278997E-2</v>
      </c>
      <c r="AE84" s="7">
        <f t="shared" si="21"/>
        <v>1.3839748550311001E-2</v>
      </c>
      <c r="AF84" s="7">
        <f t="shared" si="22"/>
        <v>-1.78560508988608E-14</v>
      </c>
      <c r="AG84" s="7">
        <f t="shared" si="22"/>
        <v>4.6543190348572198E-14</v>
      </c>
      <c r="AH84" s="7">
        <f t="shared" si="23"/>
        <v>1.1920472346470947E-2</v>
      </c>
      <c r="AI84" s="7">
        <f t="shared" si="16"/>
        <v>-0.37485523178645735</v>
      </c>
      <c r="AJ84" s="8">
        <f t="shared" si="24"/>
        <v>-0.50858702207387196</v>
      </c>
      <c r="AK84" s="8">
        <f t="shared" si="25"/>
        <v>0.27177281858704505</v>
      </c>
      <c r="AL84" s="8">
        <f t="shared" si="26"/>
        <v>-0.14996150064613001</v>
      </c>
      <c r="AM84" s="8">
        <f t="shared" si="27"/>
        <v>1.1920472346470947E-2</v>
      </c>
      <c r="AN84" s="8">
        <f t="shared" si="28"/>
        <v>-0.374855231786486</v>
      </c>
      <c r="AO84" s="9">
        <f t="shared" si="29"/>
        <v>1.2418799874658817</v>
      </c>
      <c r="AP84" s="9">
        <f t="shared" si="29"/>
        <v>-0.45321416668681852</v>
      </c>
      <c r="AQ84" s="9">
        <f t="shared" si="29"/>
        <v>0.22909782956128588</v>
      </c>
      <c r="AR84" s="9">
        <f t="shared" si="29"/>
        <v>-1.7763650340347915E-2</v>
      </c>
      <c r="AS84" s="9">
        <f t="shared" si="29"/>
        <v>1</v>
      </c>
      <c r="AT84" s="7"/>
      <c r="AU84" s="7"/>
      <c r="AV84" s="7"/>
      <c r="AW84" s="7"/>
      <c r="AX84" s="7"/>
    </row>
    <row r="85" spans="1:50" x14ac:dyDescent="0.25">
      <c r="A85" s="1">
        <v>46752</v>
      </c>
      <c r="B85">
        <v>-0.14815600048344599</v>
      </c>
      <c r="C85">
        <v>-0.112569147289922</v>
      </c>
      <c r="D85">
        <v>0.41824319756522998</v>
      </c>
      <c r="E85">
        <v>-3.7323619318584599E-2</v>
      </c>
      <c r="F85">
        <v>-0.181841828000844</v>
      </c>
      <c r="G85" s="2">
        <v>-1.7446001990603399E-14</v>
      </c>
      <c r="H85" s="2">
        <v>4.68099096399311E-14</v>
      </c>
      <c r="I85" s="2">
        <v>4.5288785040027802E-15</v>
      </c>
      <c r="J85" s="2">
        <v>-3.9798480082180402E-16</v>
      </c>
      <c r="K85" s="2">
        <v>-6.5402977381496599E-16</v>
      </c>
      <c r="L85" s="2">
        <v>-9.6285086234729891E-16</v>
      </c>
      <c r="M85" s="2">
        <v>-1.4501274637783899E-15</v>
      </c>
      <c r="N85" s="2">
        <v>-1.79562550306349E-15</v>
      </c>
      <c r="O85" s="2">
        <v>-2.1341012228850898E-15</v>
      </c>
      <c r="P85" s="2">
        <v>8.3426064108534102E-14</v>
      </c>
      <c r="Q85">
        <v>1.27336311643682E-2</v>
      </c>
      <c r="R85">
        <v>0</v>
      </c>
      <c r="S85">
        <v>-0.32960514719887601</v>
      </c>
      <c r="T85">
        <v>1.1780582711455901E-2</v>
      </c>
      <c r="U85">
        <v>-0.366738330850507</v>
      </c>
      <c r="V85">
        <f t="shared" si="17"/>
        <v>-0.36673833085050861</v>
      </c>
      <c r="Y85" s="1">
        <f t="shared" si="18"/>
        <v>46752</v>
      </c>
      <c r="Z85" s="7">
        <f t="shared" si="18"/>
        <v>-0.14815600048344599</v>
      </c>
      <c r="AA85" s="7">
        <f t="shared" si="18"/>
        <v>-0.112569147289922</v>
      </c>
      <c r="AB85" s="7">
        <f t="shared" si="18"/>
        <v>0.41824319756522998</v>
      </c>
      <c r="AC85" s="7">
        <f t="shared" si="19"/>
        <v>-0.51144697519972004</v>
      </c>
      <c r="AD85" s="7">
        <f t="shared" si="20"/>
        <v>-3.7323619318584599E-2</v>
      </c>
      <c r="AE85" s="7">
        <f t="shared" si="21"/>
        <v>1.27336311643682E-2</v>
      </c>
      <c r="AF85" s="7">
        <f t="shared" si="22"/>
        <v>-1.7446001990603399E-14</v>
      </c>
      <c r="AG85" s="7">
        <f t="shared" si="22"/>
        <v>4.68099096399311E-14</v>
      </c>
      <c r="AH85" s="7">
        <f t="shared" si="23"/>
        <v>1.1780582711536463E-2</v>
      </c>
      <c r="AI85" s="7">
        <f t="shared" si="16"/>
        <v>-0.36673833085050855</v>
      </c>
      <c r="AJ85" s="8">
        <f t="shared" si="24"/>
        <v>-0.49871334403535184</v>
      </c>
      <c r="AK85" s="8">
        <f t="shared" si="25"/>
        <v>0.2683504309567234</v>
      </c>
      <c r="AL85" s="8">
        <f t="shared" si="26"/>
        <v>-0.14815600048344599</v>
      </c>
      <c r="AM85" s="8">
        <f t="shared" si="27"/>
        <v>1.1780582711536463E-2</v>
      </c>
      <c r="AN85" s="8">
        <f t="shared" si="28"/>
        <v>-0.36673833085053797</v>
      </c>
      <c r="AO85" s="9">
        <f t="shared" si="29"/>
        <v>1.2164344638964009</v>
      </c>
      <c r="AP85" s="9">
        <f t="shared" si="29"/>
        <v>-0.42163723043170698</v>
      </c>
      <c r="AQ85" s="9">
        <f t="shared" si="29"/>
        <v>0.22243713172447938</v>
      </c>
      <c r="AR85" s="9">
        <f t="shared" si="29"/>
        <v>-1.7234365189174945E-2</v>
      </c>
      <c r="AS85" s="9">
        <f t="shared" si="29"/>
        <v>1</v>
      </c>
      <c r="AT85" s="7"/>
      <c r="AU85" s="7"/>
      <c r="AV85" s="7"/>
      <c r="AW85" s="7"/>
      <c r="AX85" s="7"/>
    </row>
    <row r="86" spans="1:50" x14ac:dyDescent="0.25">
      <c r="A86" s="1">
        <v>46843</v>
      </c>
      <c r="B86">
        <v>-0.14637196180700901</v>
      </c>
      <c r="C86">
        <v>-0.111443455857967</v>
      </c>
      <c r="D86">
        <v>0.41405751018679599</v>
      </c>
      <c r="E86">
        <v>-3.7514791753391299E-2</v>
      </c>
      <c r="F86">
        <v>-0.17416657561354601</v>
      </c>
      <c r="G86" s="2">
        <v>-1.7035609431365801E-14</v>
      </c>
      <c r="H86" s="2">
        <v>4.7060961925750102E-14</v>
      </c>
      <c r="I86" s="2">
        <v>4.4406496547070803E-15</v>
      </c>
      <c r="J86" s="2">
        <v>-3.96555508141738E-16</v>
      </c>
      <c r="K86" s="2">
        <v>-6.4852048159378297E-16</v>
      </c>
      <c r="L86" s="2">
        <v>-9.5320372738257796E-16</v>
      </c>
      <c r="M86" s="2">
        <v>-1.4347195383077999E-15</v>
      </c>
      <c r="N86" s="2">
        <v>-1.7759807862332801E-15</v>
      </c>
      <c r="O86" s="2">
        <v>-2.1103107030825502E-15</v>
      </c>
      <c r="P86" s="2">
        <v>8.3149981822763902E-14</v>
      </c>
      <c r="Q86">
        <v>1.17424214756093E-2</v>
      </c>
      <c r="R86">
        <v>0</v>
      </c>
      <c r="S86">
        <v>-0.32648256146604399</v>
      </c>
      <c r="T86">
        <v>1.1642425442449599E-2</v>
      </c>
      <c r="U86">
        <v>-0.358536989392992</v>
      </c>
      <c r="V86">
        <f t="shared" si="17"/>
        <v>-0.35853698939299211</v>
      </c>
      <c r="Y86" s="1">
        <f t="shared" si="18"/>
        <v>46843</v>
      </c>
      <c r="Z86" s="7">
        <f t="shared" si="18"/>
        <v>-0.14637196180700901</v>
      </c>
      <c r="AA86" s="7">
        <f t="shared" si="18"/>
        <v>-0.111443455857967</v>
      </c>
      <c r="AB86" s="7">
        <f t="shared" si="18"/>
        <v>0.41405751018679599</v>
      </c>
      <c r="AC86" s="7">
        <f t="shared" si="19"/>
        <v>-0.50064913707959002</v>
      </c>
      <c r="AD86" s="7">
        <f t="shared" si="20"/>
        <v>-3.7514791753391299E-2</v>
      </c>
      <c r="AE86" s="7">
        <f t="shared" si="21"/>
        <v>1.17424214756093E-2</v>
      </c>
      <c r="AF86" s="7">
        <f t="shared" si="22"/>
        <v>-1.7035609431365801E-14</v>
      </c>
      <c r="AG86" s="7">
        <f t="shared" si="22"/>
        <v>4.7060961925750102E-14</v>
      </c>
      <c r="AH86" s="7">
        <f t="shared" si="23"/>
        <v>1.164242544252987E-2</v>
      </c>
      <c r="AI86" s="7">
        <f t="shared" si="16"/>
        <v>-0.35853698939299217</v>
      </c>
      <c r="AJ86" s="8">
        <f t="shared" si="24"/>
        <v>-0.48890671560398075</v>
      </c>
      <c r="AK86" s="8">
        <f t="shared" si="25"/>
        <v>0.2650992625754377</v>
      </c>
      <c r="AL86" s="8">
        <f t="shared" si="26"/>
        <v>-0.14637196180700901</v>
      </c>
      <c r="AM86" s="8">
        <f t="shared" si="27"/>
        <v>1.164242544252987E-2</v>
      </c>
      <c r="AN86" s="8">
        <f t="shared" si="28"/>
        <v>-0.3585369893930222</v>
      </c>
      <c r="AO86" s="9">
        <f t="shared" si="29"/>
        <v>1.1957346834259919</v>
      </c>
      <c r="AP86" s="9">
        <f t="shared" si="29"/>
        <v>-0.39641909779360535</v>
      </c>
      <c r="AQ86" s="9">
        <f t="shared" si="29"/>
        <v>0.21753010598065881</v>
      </c>
      <c r="AR86" s="9">
        <f t="shared" si="29"/>
        <v>-1.6845691613045138E-2</v>
      </c>
      <c r="AS86" s="9">
        <f t="shared" si="29"/>
        <v>1</v>
      </c>
      <c r="AT86" s="7"/>
      <c r="AU86" s="7"/>
      <c r="AV86" s="7"/>
      <c r="AW86" s="7"/>
      <c r="AX86" s="7"/>
    </row>
    <row r="87" spans="1:50" x14ac:dyDescent="0.25">
      <c r="A87" s="1">
        <v>46934</v>
      </c>
      <c r="B87">
        <v>-0.144609461388153</v>
      </c>
      <c r="C87">
        <v>-0.110329021320642</v>
      </c>
      <c r="D87">
        <v>0.40991466740110799</v>
      </c>
      <c r="E87">
        <v>-3.7584449591229897E-2</v>
      </c>
      <c r="F87">
        <v>-0.16666644311207299</v>
      </c>
      <c r="G87" s="2">
        <v>-1.6625641795892499E-14</v>
      </c>
      <c r="H87" s="2">
        <v>4.7296566063138803E-14</v>
      </c>
      <c r="I87" s="2">
        <v>4.3553371151103001E-15</v>
      </c>
      <c r="J87" s="2">
        <v>-3.9491731528017298E-16</v>
      </c>
      <c r="K87" s="2">
        <v>-6.4292958749607399E-16</v>
      </c>
      <c r="L87" s="2">
        <v>-9.4357465634208691E-16</v>
      </c>
      <c r="M87" s="2">
        <v>-1.4194441739917501E-15</v>
      </c>
      <c r="N87" s="2">
        <v>-1.75654666911133E-15</v>
      </c>
      <c r="O87" s="2">
        <v>-2.0867997663077799E-15</v>
      </c>
      <c r="P87" s="2">
        <v>8.2869760712931803E-14</v>
      </c>
      <c r="Q87">
        <v>1.08536011480429E-2</v>
      </c>
      <c r="R87">
        <v>0</v>
      </c>
      <c r="S87">
        <v>-0.323386630438942</v>
      </c>
      <c r="T87">
        <v>1.15059775387873E-2</v>
      </c>
      <c r="U87">
        <v>-0.35030175976299199</v>
      </c>
      <c r="V87">
        <f t="shared" si="17"/>
        <v>-0.35030175976299105</v>
      </c>
      <c r="Y87" s="1">
        <f t="shared" si="18"/>
        <v>46934</v>
      </c>
      <c r="Z87" s="7">
        <f t="shared" si="18"/>
        <v>-0.144609461388153</v>
      </c>
      <c r="AA87" s="7">
        <f t="shared" si="18"/>
        <v>-0.110329021320642</v>
      </c>
      <c r="AB87" s="7">
        <f t="shared" si="18"/>
        <v>0.40991466740110799</v>
      </c>
      <c r="AC87" s="7">
        <f t="shared" si="19"/>
        <v>-0.49005307355101502</v>
      </c>
      <c r="AD87" s="7">
        <f t="shared" si="20"/>
        <v>-3.7584449591229897E-2</v>
      </c>
      <c r="AE87" s="7">
        <f t="shared" si="21"/>
        <v>1.08536011480429E-2</v>
      </c>
      <c r="AF87" s="7">
        <f t="shared" si="22"/>
        <v>-1.6625641795892499E-14</v>
      </c>
      <c r="AG87" s="7">
        <f t="shared" si="22"/>
        <v>4.7296566063138803E-14</v>
      </c>
      <c r="AH87" s="7">
        <f t="shared" si="23"/>
        <v>1.1505977538867279E-2</v>
      </c>
      <c r="AI87" s="7">
        <f t="shared" si="16"/>
        <v>-0.35030175976299111</v>
      </c>
      <c r="AJ87" s="8">
        <f t="shared" si="24"/>
        <v>-0.47919947240297212</v>
      </c>
      <c r="AK87" s="8">
        <f t="shared" si="25"/>
        <v>0.26200119648923609</v>
      </c>
      <c r="AL87" s="8">
        <f t="shared" si="26"/>
        <v>-0.144609461388153</v>
      </c>
      <c r="AM87" s="8">
        <f t="shared" si="27"/>
        <v>1.1505977538867279E-2</v>
      </c>
      <c r="AN87" s="8">
        <f t="shared" si="28"/>
        <v>-0.35030175976302175</v>
      </c>
      <c r="AO87" s="9">
        <f t="shared" si="29"/>
        <v>1.1787459047463256</v>
      </c>
      <c r="AP87" s="9">
        <f t="shared" si="29"/>
        <v>-0.37619668490063002</v>
      </c>
      <c r="AQ87" s="9">
        <f t="shared" si="29"/>
        <v>0.21401958391485787</v>
      </c>
      <c r="AR87" s="9">
        <f t="shared" si="29"/>
        <v>-1.6568803760555622E-2</v>
      </c>
      <c r="AS87" s="9">
        <f t="shared" si="29"/>
        <v>1</v>
      </c>
      <c r="AT87" s="7"/>
      <c r="AU87" s="7"/>
      <c r="AV87" s="7"/>
      <c r="AW87" s="7"/>
      <c r="AX87" s="7"/>
    </row>
    <row r="88" spans="1:50" x14ac:dyDescent="0.25">
      <c r="A88" s="1">
        <v>47026</v>
      </c>
      <c r="B88">
        <v>-0.142868507517043</v>
      </c>
      <c r="C88">
        <v>-0.109225731118469</v>
      </c>
      <c r="D88">
        <v>0.40581394107927499</v>
      </c>
      <c r="E88">
        <v>-3.7548154736809003E-2</v>
      </c>
      <c r="F88">
        <v>-0.15935747780098999</v>
      </c>
      <c r="G88" s="2">
        <v>-1.62168588075395E-14</v>
      </c>
      <c r="H88" s="2">
        <v>4.7516939559461698E-14</v>
      </c>
      <c r="I88" s="2">
        <v>4.27302126342464E-15</v>
      </c>
      <c r="J88" s="2">
        <v>-3.9306270603009302E-16</v>
      </c>
      <c r="K88" s="2">
        <v>-6.3725725664916601E-16</v>
      </c>
      <c r="L88" s="2">
        <v>-9.3396851296559393E-16</v>
      </c>
      <c r="M88" s="2">
        <v>-1.40430847248262E-15</v>
      </c>
      <c r="N88" s="2">
        <v>-1.7373334311098799E-15</v>
      </c>
      <c r="O88" s="2">
        <v>-2.0635816240020401E-15</v>
      </c>
      <c r="P88" s="2">
        <v>8.2585458371774798E-14</v>
      </c>
      <c r="Q88">
        <v>1.00559715975215E-2</v>
      </c>
      <c r="R88">
        <v>0</v>
      </c>
      <c r="S88">
        <v>-0.320317249652874</v>
      </c>
      <c r="T88">
        <v>1.13712163240616E-2</v>
      </c>
      <c r="U88">
        <v>-0.34207599182521398</v>
      </c>
      <c r="V88">
        <f t="shared" si="17"/>
        <v>-0.34207599182521597</v>
      </c>
      <c r="Y88" s="1">
        <f t="shared" si="18"/>
        <v>47026</v>
      </c>
      <c r="Z88" s="7">
        <f t="shared" si="18"/>
        <v>-0.142868507517043</v>
      </c>
      <c r="AA88" s="7">
        <f t="shared" si="18"/>
        <v>-0.109225731118469</v>
      </c>
      <c r="AB88" s="7">
        <f t="shared" si="18"/>
        <v>0.40581394107927499</v>
      </c>
      <c r="AC88" s="7">
        <f t="shared" si="19"/>
        <v>-0.47967472745386397</v>
      </c>
      <c r="AD88" s="7">
        <f t="shared" si="20"/>
        <v>-3.7548154736809003E-2</v>
      </c>
      <c r="AE88" s="7">
        <f t="shared" si="21"/>
        <v>1.00559715975215E-2</v>
      </c>
      <c r="AF88" s="7">
        <f t="shared" si="22"/>
        <v>-1.62168588075395E-14</v>
      </c>
      <c r="AG88" s="7">
        <f t="shared" si="22"/>
        <v>4.7516939559461698E-14</v>
      </c>
      <c r="AH88" s="7">
        <f t="shared" si="23"/>
        <v>1.1371216324141287E-2</v>
      </c>
      <c r="AI88" s="7">
        <f t="shared" si="16"/>
        <v>-0.34207599182521592</v>
      </c>
      <c r="AJ88" s="8">
        <f t="shared" si="24"/>
        <v>-0.4696187558563425</v>
      </c>
      <c r="AK88" s="8">
        <f t="shared" si="25"/>
        <v>0.25904005522399698</v>
      </c>
      <c r="AL88" s="8">
        <f t="shared" si="26"/>
        <v>-0.142868507517043</v>
      </c>
      <c r="AM88" s="8">
        <f t="shared" si="27"/>
        <v>1.1371216324141287E-2</v>
      </c>
      <c r="AN88" s="8">
        <f t="shared" si="28"/>
        <v>-0.34207599182524723</v>
      </c>
      <c r="AO88" s="9">
        <f t="shared" si="29"/>
        <v>1.1647200138765015</v>
      </c>
      <c r="AP88" s="9">
        <f t="shared" si="29"/>
        <v>-0.35998356477343624</v>
      </c>
      <c r="AQ88" s="9">
        <f t="shared" si="29"/>
        <v>0.21164636351034988</v>
      </c>
      <c r="AR88" s="9">
        <f t="shared" si="29"/>
        <v>-1.6382812613414479E-2</v>
      </c>
      <c r="AS88" s="9">
        <f t="shared" si="29"/>
        <v>1</v>
      </c>
      <c r="AT88" s="7"/>
      <c r="AU88" s="7"/>
      <c r="AV88" s="7"/>
      <c r="AW88" s="7"/>
      <c r="AX88" s="7"/>
    </row>
    <row r="89" spans="1:50" x14ac:dyDescent="0.25">
      <c r="A89" s="1">
        <v>47118</v>
      </c>
      <c r="B89">
        <v>-0.14114905324313001</v>
      </c>
      <c r="C89">
        <v>-0.108133473813012</v>
      </c>
      <c r="D89">
        <v>0.40175470130024998</v>
      </c>
      <c r="E89">
        <v>-3.7419820631210701E-2</v>
      </c>
      <c r="F89">
        <v>-0.152252292232263</v>
      </c>
      <c r="G89" s="2">
        <v>-1.5810002347829701E-14</v>
      </c>
      <c r="H89" s="2">
        <v>4.7722301605051101E-14</v>
      </c>
      <c r="I89" s="2">
        <v>4.1937282548898E-15</v>
      </c>
      <c r="J89" s="2">
        <v>-3.9099056066878402E-16</v>
      </c>
      <c r="K89" s="2">
        <v>-6.3150665498327801E-16</v>
      </c>
      <c r="L89" s="2">
        <v>-9.2439100233312302E-16</v>
      </c>
      <c r="M89" s="2">
        <v>-1.38931871427568E-15</v>
      </c>
      <c r="N89" s="2">
        <v>-1.718349198705E-15</v>
      </c>
      <c r="O89" s="2">
        <v>-2.0406662536122501E-15</v>
      </c>
      <c r="P89" s="2">
        <v>8.2297142569444795E-14</v>
      </c>
      <c r="Q89">
        <v>9.3395282856681694E-3</v>
      </c>
      <c r="R89">
        <v>0</v>
      </c>
      <c r="S89">
        <v>-0.317274305542743</v>
      </c>
      <c r="T89">
        <v>1.1238119441413501E-2</v>
      </c>
      <c r="U89">
        <v>-0.33389659643491398</v>
      </c>
      <c r="V89">
        <f t="shared" si="17"/>
        <v>-0.33389659643491576</v>
      </c>
      <c r="Y89" s="1">
        <f t="shared" si="18"/>
        <v>47118</v>
      </c>
      <c r="Z89" s="7">
        <f t="shared" si="18"/>
        <v>-0.14114905324313001</v>
      </c>
      <c r="AA89" s="7">
        <f t="shared" si="18"/>
        <v>-0.108133473813012</v>
      </c>
      <c r="AB89" s="7">
        <f t="shared" si="18"/>
        <v>0.40175470130024998</v>
      </c>
      <c r="AC89" s="7">
        <f t="shared" si="19"/>
        <v>-0.46952659777500599</v>
      </c>
      <c r="AD89" s="7">
        <f t="shared" si="20"/>
        <v>-3.7419820631210701E-2</v>
      </c>
      <c r="AE89" s="7">
        <f t="shared" si="21"/>
        <v>9.3395282856681694E-3</v>
      </c>
      <c r="AF89" s="7">
        <f t="shared" si="22"/>
        <v>-1.5810002347829701E-14</v>
      </c>
      <c r="AG89" s="7">
        <f t="shared" si="22"/>
        <v>4.7722301605051101E-14</v>
      </c>
      <c r="AH89" s="7">
        <f t="shared" si="23"/>
        <v>1.1238119441492897E-2</v>
      </c>
      <c r="AI89" s="7">
        <f t="shared" si="16"/>
        <v>-0.3338965964349157</v>
      </c>
      <c r="AJ89" s="8">
        <f t="shared" si="24"/>
        <v>-0.46018706948933785</v>
      </c>
      <c r="AK89" s="8">
        <f t="shared" si="25"/>
        <v>0.25620140685602727</v>
      </c>
      <c r="AL89" s="8">
        <f t="shared" si="26"/>
        <v>-0.14114905324313001</v>
      </c>
      <c r="AM89" s="8">
        <f t="shared" si="27"/>
        <v>1.1238119441492897E-2</v>
      </c>
      <c r="AN89" s="8">
        <f t="shared" si="28"/>
        <v>-0.33389659643494773</v>
      </c>
      <c r="AO89" s="9">
        <f t="shared" si="29"/>
        <v>1.1531031227797508</v>
      </c>
      <c r="AP89" s="9">
        <f t="shared" si="29"/>
        <v>-0.34704867933591493</v>
      </c>
      <c r="AQ89" s="9">
        <f t="shared" si="29"/>
        <v>0.21021777183582588</v>
      </c>
      <c r="AR89" s="9">
        <f t="shared" si="29"/>
        <v>-1.6272215279657234E-2</v>
      </c>
      <c r="AS89" s="9">
        <f t="shared" si="29"/>
        <v>1</v>
      </c>
      <c r="AT89" s="7"/>
      <c r="AU89" s="7"/>
      <c r="AV89" s="7"/>
      <c r="AW89" s="7"/>
      <c r="AX89" s="7"/>
    </row>
    <row r="90" spans="1:50" x14ac:dyDescent="0.25">
      <c r="A90" s="1">
        <v>47208</v>
      </c>
      <c r="B90">
        <v>-0.13945100712762801</v>
      </c>
      <c r="C90">
        <v>-0.107052139077855</v>
      </c>
      <c r="D90">
        <v>0.39773638778079501</v>
      </c>
      <c r="E90">
        <v>-3.7211859304854801E-2</v>
      </c>
      <c r="F90">
        <v>-0.14536046616091799</v>
      </c>
      <c r="G90" s="2">
        <v>-1.54057881611202E-14</v>
      </c>
      <c r="H90" s="2">
        <v>4.7912875395647697E-14</v>
      </c>
      <c r="I90" s="2">
        <v>4.1174392816033103E-15</v>
      </c>
      <c r="J90" s="2">
        <v>-3.88704946968866E-16</v>
      </c>
      <c r="K90" s="2">
        <v>-6.2568327620435103E-16</v>
      </c>
      <c r="L90" s="2">
        <v>-9.1484833329525696E-16</v>
      </c>
      <c r="M90" s="2">
        <v>-1.37448030125582E-15</v>
      </c>
      <c r="N90" s="2">
        <v>-1.69960007574506E-15</v>
      </c>
      <c r="O90" s="2">
        <v>-2.0180606686555899E-15</v>
      </c>
      <c r="P90" s="2">
        <v>8.2004890273706797E-14</v>
      </c>
      <c r="Q90">
        <v>8.6953438938703505E-3</v>
      </c>
      <c r="R90">
        <v>0</v>
      </c>
      <c r="S90">
        <v>-0.314257676514196</v>
      </c>
      <c r="T90">
        <v>1.11066648489631E-2</v>
      </c>
      <c r="U90">
        <v>-0.32579475166171201</v>
      </c>
      <c r="V90">
        <f t="shared" si="17"/>
        <v>-0.32579475166171173</v>
      </c>
      <c r="Y90" s="1">
        <f t="shared" si="18"/>
        <v>47208</v>
      </c>
      <c r="Z90" s="7">
        <f t="shared" si="18"/>
        <v>-0.13945100712762801</v>
      </c>
      <c r="AA90" s="7">
        <f t="shared" si="18"/>
        <v>-0.107052139077855</v>
      </c>
      <c r="AB90" s="7">
        <f t="shared" si="18"/>
        <v>0.39773638778079501</v>
      </c>
      <c r="AC90" s="7">
        <f t="shared" si="19"/>
        <v>-0.45961814267511403</v>
      </c>
      <c r="AD90" s="7">
        <f t="shared" si="20"/>
        <v>-3.7211859304854801E-2</v>
      </c>
      <c r="AE90" s="7">
        <f t="shared" si="21"/>
        <v>8.6953438938703505E-3</v>
      </c>
      <c r="AF90" s="7">
        <f t="shared" si="22"/>
        <v>-1.54057881611202E-14</v>
      </c>
      <c r="AG90" s="7">
        <f t="shared" si="22"/>
        <v>4.7912875395647697E-14</v>
      </c>
      <c r="AH90" s="7">
        <f t="shared" si="23"/>
        <v>1.1106664849042203E-2</v>
      </c>
      <c r="AI90" s="7">
        <f t="shared" si="16"/>
        <v>-0.32579475166171185</v>
      </c>
      <c r="AJ90" s="8">
        <f t="shared" si="24"/>
        <v>-0.45092279878124369</v>
      </c>
      <c r="AK90" s="8">
        <f t="shared" si="25"/>
        <v>0.2534723893980852</v>
      </c>
      <c r="AL90" s="8">
        <f t="shared" si="26"/>
        <v>-0.13945100712762801</v>
      </c>
      <c r="AM90" s="8">
        <f t="shared" si="27"/>
        <v>1.1106664849042203E-2</v>
      </c>
      <c r="AN90" s="8">
        <f t="shared" si="28"/>
        <v>-0.32579475166174432</v>
      </c>
      <c r="AO90" s="9">
        <f t="shared" si="29"/>
        <v>1.1434766978917479</v>
      </c>
      <c r="AP90" s="9">
        <f t="shared" si="29"/>
        <v>-0.33683902053618814</v>
      </c>
      <c r="AQ90" s="9">
        <f t="shared" si="29"/>
        <v>0.20958758937448876</v>
      </c>
      <c r="AR90" s="9">
        <f t="shared" si="29"/>
        <v>-1.6225266730050883E-2</v>
      </c>
      <c r="AS90" s="9">
        <f t="shared" si="29"/>
        <v>1</v>
      </c>
      <c r="AT90" s="7"/>
      <c r="AU90" s="7"/>
      <c r="AV90" s="7"/>
      <c r="AW90" s="7"/>
      <c r="AX90" s="7"/>
    </row>
    <row r="91" spans="1:50" x14ac:dyDescent="0.25">
      <c r="A91" s="1">
        <v>47299</v>
      </c>
      <c r="B91">
        <v>-0.137774241986069</v>
      </c>
      <c r="C91">
        <v>-0.105981617688619</v>
      </c>
      <c r="D91">
        <v>0.39375848996159801</v>
      </c>
      <c r="E91">
        <v>-3.69353207939613E-2</v>
      </c>
      <c r="F91">
        <v>-0.13868891866548699</v>
      </c>
      <c r="G91" s="2">
        <v>-1.50048985269599E-14</v>
      </c>
      <c r="H91" s="2">
        <v>4.8088889821377901E-14</v>
      </c>
      <c r="I91" s="2">
        <v>4.0440990937873501E-15</v>
      </c>
      <c r="J91" s="2">
        <v>-3.8621403104202499E-16</v>
      </c>
      <c r="K91" s="2">
        <v>-6.19794352574995E-16</v>
      </c>
      <c r="L91" s="2">
        <v>-9.0534694370398591E-16</v>
      </c>
      <c r="M91" s="2">
        <v>-1.3597977411234E-15</v>
      </c>
      <c r="N91" s="2">
        <v>-1.68109030871958E-15</v>
      </c>
      <c r="O91" s="2">
        <v>-1.9957692216238101E-15</v>
      </c>
      <c r="P91" s="2">
        <v>8.1708786646068704E-14</v>
      </c>
      <c r="Q91">
        <v>8.1154605202555501E-3</v>
      </c>
      <c r="R91">
        <v>0</v>
      </c>
      <c r="S91">
        <v>-0.31126723389407401</v>
      </c>
      <c r="T91">
        <v>1.0976830815301699E-2</v>
      </c>
      <c r="U91">
        <v>-0.31779655173094201</v>
      </c>
      <c r="V91">
        <f t="shared" si="17"/>
        <v>-0.31779655173094312</v>
      </c>
      <c r="Y91" s="1">
        <f t="shared" si="18"/>
        <v>47299</v>
      </c>
      <c r="Z91" s="7">
        <f t="shared" si="18"/>
        <v>-0.137774241986069</v>
      </c>
      <c r="AA91" s="7">
        <f t="shared" si="18"/>
        <v>-0.105981617688619</v>
      </c>
      <c r="AB91" s="7">
        <f t="shared" si="18"/>
        <v>0.39375848996159801</v>
      </c>
      <c r="AC91" s="7">
        <f t="shared" si="19"/>
        <v>-0.44995615255956101</v>
      </c>
      <c r="AD91" s="7">
        <f t="shared" si="20"/>
        <v>-3.69353207939613E-2</v>
      </c>
      <c r="AE91" s="7">
        <f t="shared" si="21"/>
        <v>8.1154605202555501E-3</v>
      </c>
      <c r="AF91" s="7">
        <f t="shared" si="22"/>
        <v>-1.50048985269599E-14</v>
      </c>
      <c r="AG91" s="7">
        <f t="shared" si="22"/>
        <v>4.8088889821377901E-14</v>
      </c>
      <c r="AH91" s="7">
        <f t="shared" si="23"/>
        <v>1.0976830815380504E-2</v>
      </c>
      <c r="AI91" s="7">
        <f t="shared" si="16"/>
        <v>-0.31779655173094318</v>
      </c>
      <c r="AJ91" s="8">
        <f t="shared" si="24"/>
        <v>-0.44184069203930548</v>
      </c>
      <c r="AK91" s="8">
        <f t="shared" si="25"/>
        <v>0.25084155147901771</v>
      </c>
      <c r="AL91" s="8">
        <f t="shared" si="26"/>
        <v>-0.137774241986069</v>
      </c>
      <c r="AM91" s="8">
        <f t="shared" si="27"/>
        <v>1.0976830815380504E-2</v>
      </c>
      <c r="AN91" s="8">
        <f t="shared" si="28"/>
        <v>-0.31779655173097632</v>
      </c>
      <c r="AO91" s="9">
        <f t="shared" si="29"/>
        <v>1.1355188443090258</v>
      </c>
      <c r="AP91" s="9">
        <f t="shared" si="29"/>
        <v>-0.32892875169911734</v>
      </c>
      <c r="AQ91" s="9">
        <f t="shared" si="29"/>
        <v>0.20964281414230729</v>
      </c>
      <c r="AR91" s="9">
        <f t="shared" si="29"/>
        <v>-1.6232906752211191E-2</v>
      </c>
      <c r="AS91" s="9">
        <f t="shared" si="29"/>
        <v>1</v>
      </c>
      <c r="AT91" s="7"/>
      <c r="AU91" s="7"/>
      <c r="AV91" s="7"/>
      <c r="AW91" s="7"/>
      <c r="AX91" s="7"/>
    </row>
    <row r="92" spans="1:50" x14ac:dyDescent="0.25">
      <c r="A92" s="1">
        <v>47391</v>
      </c>
      <c r="B92">
        <v>-0.13611860200543899</v>
      </c>
      <c r="C92">
        <v>-0.104921801512534</v>
      </c>
      <c r="D92">
        <v>0.38982053312329201</v>
      </c>
      <c r="E92">
        <v>-3.6600023868930701E-2</v>
      </c>
      <c r="F92">
        <v>-0.13224224949993099</v>
      </c>
      <c r="G92" s="2">
        <v>-1.46079760620721E-14</v>
      </c>
      <c r="H92" s="2">
        <v>4.8250580602392501E-14</v>
      </c>
      <c r="I92" s="2">
        <v>3.9736236890053602E-15</v>
      </c>
      <c r="J92" s="2">
        <v>-3.8352911294844899E-16</v>
      </c>
      <c r="K92" s="2">
        <v>-6.1384834709710498E-16</v>
      </c>
      <c r="L92" s="2">
        <v>-8.9589328098624204E-16</v>
      </c>
      <c r="M92" s="2">
        <v>-1.3452746629635501E-15</v>
      </c>
      <c r="N92" s="2">
        <v>-1.66282247187426E-15</v>
      </c>
      <c r="O92" s="2">
        <v>-1.9737939204107301E-15</v>
      </c>
      <c r="P92" s="2">
        <v>8.1408924037083299E-14</v>
      </c>
      <c r="Q92">
        <v>7.5927907866934598E-3</v>
      </c>
      <c r="R92">
        <v>0</v>
      </c>
      <c r="S92">
        <v>-0.30830284277411801</v>
      </c>
      <c r="T92">
        <v>1.0848595915041699E-2</v>
      </c>
      <c r="U92">
        <v>-0.30992359983581402</v>
      </c>
      <c r="V92">
        <f t="shared" si="17"/>
        <v>-0.30992359983581336</v>
      </c>
      <c r="Y92" s="1">
        <f t="shared" si="18"/>
        <v>47391</v>
      </c>
      <c r="Z92" s="7">
        <f t="shared" si="18"/>
        <v>-0.13611860200543899</v>
      </c>
      <c r="AA92" s="7">
        <f t="shared" si="18"/>
        <v>-0.104921801512534</v>
      </c>
      <c r="AB92" s="7">
        <f t="shared" si="18"/>
        <v>0.38982053312329201</v>
      </c>
      <c r="AC92" s="7">
        <f t="shared" si="19"/>
        <v>-0.44054509227404903</v>
      </c>
      <c r="AD92" s="7">
        <f t="shared" si="20"/>
        <v>-3.6600023868930701E-2</v>
      </c>
      <c r="AE92" s="7">
        <f t="shared" si="21"/>
        <v>7.5927907866934598E-3</v>
      </c>
      <c r="AF92" s="7">
        <f t="shared" si="22"/>
        <v>-1.46079760620721E-14</v>
      </c>
      <c r="AG92" s="7">
        <f t="shared" si="22"/>
        <v>4.8250580602392501E-14</v>
      </c>
      <c r="AH92" s="7">
        <f t="shared" si="23"/>
        <v>1.0848595915120208E-2</v>
      </c>
      <c r="AI92" s="7">
        <f t="shared" si="16"/>
        <v>-0.30992359983581336</v>
      </c>
      <c r="AJ92" s="8">
        <f t="shared" si="24"/>
        <v>-0.43295230148735558</v>
      </c>
      <c r="AK92" s="8">
        <f t="shared" si="25"/>
        <v>0.24829870774182733</v>
      </c>
      <c r="AL92" s="8">
        <f t="shared" si="26"/>
        <v>-0.13611860200543899</v>
      </c>
      <c r="AM92" s="8">
        <f t="shared" si="27"/>
        <v>1.0848595915120208E-2</v>
      </c>
      <c r="AN92" s="8">
        <f t="shared" si="28"/>
        <v>-0.30992359983584705</v>
      </c>
      <c r="AO92" s="9">
        <f t="shared" si="29"/>
        <v>1.1289781355642285</v>
      </c>
      <c r="AP92" s="9">
        <f t="shared" si="29"/>
        <v>-0.32298479287845699</v>
      </c>
      <c r="AQ92" s="9">
        <f t="shared" si="29"/>
        <v>0.21029469031232081</v>
      </c>
      <c r="AR92" s="9">
        <f t="shared" si="29"/>
        <v>-1.6288032998097092E-2</v>
      </c>
      <c r="AS92" s="9">
        <f t="shared" si="29"/>
        <v>1</v>
      </c>
      <c r="AT92" s="7"/>
      <c r="AU92" s="7"/>
      <c r="AV92" s="7"/>
      <c r="AW92" s="7"/>
      <c r="AX92" s="7"/>
    </row>
    <row r="93" spans="1:50" x14ac:dyDescent="0.25">
      <c r="A93" s="1">
        <v>47483</v>
      </c>
      <c r="B93">
        <v>-0.13448390854536399</v>
      </c>
      <c r="C93">
        <v>-0.10387258349782499</v>
      </c>
      <c r="D93">
        <v>0.38592206870296702</v>
      </c>
      <c r="E93">
        <v>-3.6214677539554298E-2</v>
      </c>
      <c r="F93">
        <v>-0.12602304979927101</v>
      </c>
      <c r="G93" s="2">
        <v>-1.42156187264257E-14</v>
      </c>
      <c r="H93" s="2">
        <v>4.8398190950742501E-14</v>
      </c>
      <c r="I93" s="2">
        <v>3.9059071311503802E-15</v>
      </c>
      <c r="J93" s="2">
        <v>-3.8066378635216702E-16</v>
      </c>
      <c r="K93" s="2">
        <v>-6.0785452261952E-16</v>
      </c>
      <c r="L93" s="2">
        <v>-8.8649363085749E-16</v>
      </c>
      <c r="M93" s="2">
        <v>-1.3309138552349299E-15</v>
      </c>
      <c r="N93" s="2">
        <v>-1.6447976607048201E-15</v>
      </c>
      <c r="O93" s="2">
        <v>-1.9521347440119801E-15</v>
      </c>
      <c r="P93" s="2">
        <v>8.11054009996998E-14</v>
      </c>
      <c r="Q93">
        <v>7.1210275652532299E-3</v>
      </c>
      <c r="R93">
        <v>0</v>
      </c>
      <c r="S93">
        <v>-0.30536436276031598</v>
      </c>
      <c r="T93">
        <v>1.07219390244261E-2</v>
      </c>
      <c r="U93">
        <v>-0.302193546849572</v>
      </c>
      <c r="V93">
        <f t="shared" si="17"/>
        <v>-0.3021935468495715</v>
      </c>
      <c r="Y93" s="1">
        <f t="shared" si="18"/>
        <v>47483</v>
      </c>
      <c r="Z93" s="7">
        <f t="shared" si="18"/>
        <v>-0.13448390854536399</v>
      </c>
      <c r="AA93" s="7">
        <f t="shared" si="18"/>
        <v>-0.10387258349782499</v>
      </c>
      <c r="AB93" s="7">
        <f t="shared" si="18"/>
        <v>0.38592206870296702</v>
      </c>
      <c r="AC93" s="7">
        <f t="shared" si="19"/>
        <v>-0.43138741255958701</v>
      </c>
      <c r="AD93" s="7">
        <f t="shared" si="20"/>
        <v>-3.6214677539554298E-2</v>
      </c>
      <c r="AE93" s="7">
        <f t="shared" si="21"/>
        <v>7.1210275652532299E-3</v>
      </c>
      <c r="AF93" s="7">
        <f t="shared" si="22"/>
        <v>-1.42156187264257E-14</v>
      </c>
      <c r="AG93" s="7">
        <f t="shared" si="22"/>
        <v>4.8398190950742501E-14</v>
      </c>
      <c r="AH93" s="7">
        <f t="shared" si="23"/>
        <v>1.0721939024504312E-2</v>
      </c>
      <c r="AI93" s="7">
        <f t="shared" si="16"/>
        <v>-0.30219354684957156</v>
      </c>
      <c r="AJ93" s="8">
        <f t="shared" si="24"/>
        <v>-0.42426638499433378</v>
      </c>
      <c r="AK93" s="8">
        <f t="shared" si="25"/>
        <v>0.24583480766558777</v>
      </c>
      <c r="AL93" s="8">
        <f t="shared" si="26"/>
        <v>-0.13448390854536399</v>
      </c>
      <c r="AM93" s="8">
        <f t="shared" si="27"/>
        <v>1.0721939024504312E-2</v>
      </c>
      <c r="AN93" s="8">
        <f t="shared" si="28"/>
        <v>-0.3021935468496057</v>
      </c>
      <c r="AO93" s="9">
        <f t="shared" si="29"/>
        <v>1.1236554922044888</v>
      </c>
      <c r="AP93" s="9">
        <f t="shared" si="29"/>
        <v>-0.31874297377068866</v>
      </c>
      <c r="AQ93" s="9">
        <f t="shared" si="29"/>
        <v>0.21147247800041907</v>
      </c>
      <c r="AR93" s="9">
        <f t="shared" si="29"/>
        <v>-1.6384996434220006E-2</v>
      </c>
      <c r="AS93" s="9">
        <f t="shared" si="29"/>
        <v>1</v>
      </c>
      <c r="AT93" s="7"/>
      <c r="AU93" s="7"/>
      <c r="AV93" s="7"/>
      <c r="AW93" s="7"/>
      <c r="AX93" s="7"/>
    </row>
    <row r="94" spans="1:50" x14ac:dyDescent="0.25">
      <c r="A94" s="1">
        <v>47573</v>
      </c>
      <c r="B94">
        <v>-0.13286996487257799</v>
      </c>
      <c r="C94">
        <v>-0.10283385766306199</v>
      </c>
      <c r="D94">
        <v>0.38206266753684398</v>
      </c>
      <c r="E94">
        <v>-3.5786993178565797E-2</v>
      </c>
      <c r="F94">
        <v>-0.12003218299916001</v>
      </c>
      <c r="G94" s="2">
        <v>-1.3828376040621801E-14</v>
      </c>
      <c r="H94" s="2">
        <v>4.8531971834810003E-14</v>
      </c>
      <c r="I94" s="2">
        <v>3.84082750140447E-15</v>
      </c>
      <c r="J94" s="2">
        <v>-3.7763321752435302E-16</v>
      </c>
      <c r="K94" s="2">
        <v>-6.0182258207469E-16</v>
      </c>
      <c r="L94" s="2">
        <v>-8.7715398739234399E-16</v>
      </c>
      <c r="M94" s="2">
        <v>-1.31671731917168E-15</v>
      </c>
      <c r="N94" s="2">
        <v>-1.62701568533098E-15</v>
      </c>
      <c r="O94" s="2">
        <v>-1.93078994731476E-15</v>
      </c>
      <c r="P94" s="2">
        <v>8.0798321335612403E-14</v>
      </c>
      <c r="Q94">
        <v>6.6945619152742799E-3</v>
      </c>
      <c r="R94">
        <v>0</v>
      </c>
      <c r="S94">
        <v>-0.302451648638771</v>
      </c>
      <c r="T94">
        <v>1.05968393169958E-2</v>
      </c>
      <c r="U94">
        <v>-0.29462057858291002</v>
      </c>
      <c r="V94">
        <f t="shared" si="17"/>
        <v>-0.29462057858291013</v>
      </c>
      <c r="Y94" s="1">
        <f t="shared" si="18"/>
        <v>47573</v>
      </c>
      <c r="Z94" s="7">
        <f t="shared" si="18"/>
        <v>-0.13286996487257799</v>
      </c>
      <c r="AA94" s="7">
        <f t="shared" si="18"/>
        <v>-0.10283385766306199</v>
      </c>
      <c r="AB94" s="7">
        <f t="shared" si="18"/>
        <v>0.38206266753684398</v>
      </c>
      <c r="AC94" s="7">
        <f t="shared" si="19"/>
        <v>-0.42248383163793102</v>
      </c>
      <c r="AD94" s="7">
        <f t="shared" si="20"/>
        <v>-3.5786993178565797E-2</v>
      </c>
      <c r="AE94" s="7">
        <f t="shared" si="21"/>
        <v>6.6945619152742799E-3</v>
      </c>
      <c r="AF94" s="7">
        <f t="shared" si="22"/>
        <v>-1.3828376040621801E-14</v>
      </c>
      <c r="AG94" s="7">
        <f t="shared" si="22"/>
        <v>4.8531971834810003E-14</v>
      </c>
      <c r="AH94" s="7">
        <f t="shared" si="23"/>
        <v>1.0596839317073706E-2</v>
      </c>
      <c r="AI94" s="7">
        <f t="shared" si="16"/>
        <v>-0.29462057858291013</v>
      </c>
      <c r="AJ94" s="8">
        <f t="shared" si="24"/>
        <v>-0.41578926972265673</v>
      </c>
      <c r="AK94" s="8">
        <f t="shared" si="25"/>
        <v>0.24344181669521617</v>
      </c>
      <c r="AL94" s="8">
        <f t="shared" si="26"/>
        <v>-0.13286996487257799</v>
      </c>
      <c r="AM94" s="8">
        <f t="shared" si="27"/>
        <v>1.0596839317073706E-2</v>
      </c>
      <c r="AN94" s="8">
        <f t="shared" si="28"/>
        <v>-0.29462057858294483</v>
      </c>
      <c r="AO94" s="9">
        <f t="shared" si="29"/>
        <v>1.1193913632249828</v>
      </c>
      <c r="AP94" s="9">
        <f t="shared" si="29"/>
        <v>-0.31599115249253973</v>
      </c>
      <c r="AQ94" s="9">
        <f t="shared" si="29"/>
        <v>0.21311903284887679</v>
      </c>
      <c r="AR94" s="9">
        <f t="shared" si="29"/>
        <v>-1.6519243581323669E-2</v>
      </c>
      <c r="AS94" s="9">
        <f t="shared" si="29"/>
        <v>1</v>
      </c>
      <c r="AT94" s="7"/>
      <c r="AU94" s="7"/>
      <c r="AV94" s="7"/>
      <c r="AW94" s="7"/>
      <c r="AX94" s="7"/>
    </row>
    <row r="95" spans="1:50" x14ac:dyDescent="0.25">
      <c r="A95" s="1">
        <v>47664</v>
      </c>
      <c r="B95">
        <v>-0.131276560029635</v>
      </c>
      <c r="C95">
        <v>-0.10180551908654401</v>
      </c>
      <c r="D95">
        <v>0.378241915141389</v>
      </c>
      <c r="E95">
        <v>-3.5323787374153898E-2</v>
      </c>
      <c r="F95">
        <v>-0.114269037326671</v>
      </c>
      <c r="G95" s="2">
        <v>-1.34467464718716E-14</v>
      </c>
      <c r="H95" s="2">
        <v>4.86521819175372E-14</v>
      </c>
      <c r="I95" s="2">
        <v>3.7782520118941898E-15</v>
      </c>
      <c r="J95" s="2">
        <v>-3.7445353633023598E-16</v>
      </c>
      <c r="K95" s="2">
        <v>-5.9576237330195305E-16</v>
      </c>
      <c r="L95" s="2">
        <v>-8.6787995818999703E-16</v>
      </c>
      <c r="M95" s="2">
        <v>-1.3026863320424799E-15</v>
      </c>
      <c r="N95" s="2">
        <v>-1.6094752576426999E-15</v>
      </c>
      <c r="O95" s="2">
        <v>-1.90975634802281E-15</v>
      </c>
      <c r="P95" s="2">
        <v>8.0487793186059906E-14</v>
      </c>
      <c r="Q95">
        <v>6.3084087485552297E-3</v>
      </c>
      <c r="R95">
        <v>0</v>
      </c>
      <c r="S95">
        <v>-0.29956455096773998</v>
      </c>
      <c r="T95">
        <v>1.0473276259314501E-2</v>
      </c>
      <c r="U95">
        <v>-0.28721585463537103</v>
      </c>
      <c r="V95">
        <f t="shared" si="17"/>
        <v>-0.28721585463537236</v>
      </c>
      <c r="Y95" s="1">
        <f t="shared" si="18"/>
        <v>47664</v>
      </c>
      <c r="Z95" s="7">
        <f t="shared" si="18"/>
        <v>-0.131276560029635</v>
      </c>
      <c r="AA95" s="7">
        <f t="shared" si="18"/>
        <v>-0.10180551908654401</v>
      </c>
      <c r="AB95" s="7">
        <f t="shared" si="18"/>
        <v>0.378241915141389</v>
      </c>
      <c r="AC95" s="7">
        <f t="shared" si="19"/>
        <v>-0.41383358829441097</v>
      </c>
      <c r="AD95" s="7">
        <f t="shared" si="20"/>
        <v>-3.5323787374153898E-2</v>
      </c>
      <c r="AE95" s="7">
        <f t="shared" si="21"/>
        <v>6.3084087485552297E-3</v>
      </c>
      <c r="AF95" s="7">
        <f t="shared" si="22"/>
        <v>-1.34467464718716E-14</v>
      </c>
      <c r="AG95" s="7">
        <f t="shared" si="22"/>
        <v>4.86521819175372E-14</v>
      </c>
      <c r="AH95" s="7">
        <f t="shared" si="23"/>
        <v>1.0473276259392107E-2</v>
      </c>
      <c r="AI95" s="7">
        <f t="shared" si="16"/>
        <v>-0.28721585463537236</v>
      </c>
      <c r="AJ95" s="8">
        <f t="shared" si="24"/>
        <v>-0.40752517954585576</v>
      </c>
      <c r="AK95" s="8">
        <f t="shared" si="25"/>
        <v>0.24111260868069109</v>
      </c>
      <c r="AL95" s="8">
        <f t="shared" si="26"/>
        <v>-0.131276560029635</v>
      </c>
      <c r="AM95" s="8">
        <f t="shared" si="27"/>
        <v>1.0473276259392107E-2</v>
      </c>
      <c r="AN95" s="8">
        <f t="shared" si="28"/>
        <v>-0.28721585463540755</v>
      </c>
      <c r="AO95" s="9">
        <f t="shared" si="29"/>
        <v>1.1160564843946015</v>
      </c>
      <c r="AP95" s="9">
        <f t="shared" si="29"/>
        <v>-0.31455703562044918</v>
      </c>
      <c r="AQ95" s="9">
        <f t="shared" si="29"/>
        <v>0.21518760918466573</v>
      </c>
      <c r="AR95" s="9">
        <f t="shared" si="29"/>
        <v>-1.6687057958817614E-2</v>
      </c>
      <c r="AS95" s="9">
        <f t="shared" si="29"/>
        <v>1</v>
      </c>
      <c r="AT95" s="7"/>
      <c r="AU95" s="7"/>
      <c r="AV95" s="7"/>
      <c r="AW95" s="7"/>
      <c r="AX95" s="7"/>
    </row>
    <row r="96" spans="1:50" x14ac:dyDescent="0.25">
      <c r="A96" s="1">
        <v>47756</v>
      </c>
      <c r="B96">
        <v>-0.12970347199997501</v>
      </c>
      <c r="C96">
        <v>-0.10078746389573701</v>
      </c>
      <c r="D96">
        <v>0.37445940841451197</v>
      </c>
      <c r="E96">
        <v>-3.4831075809056103E-2</v>
      </c>
      <c r="F96">
        <v>-0.108731751535087</v>
      </c>
      <c r="G96" s="2">
        <v>-1.3071175910384E-14</v>
      </c>
      <c r="H96" s="2">
        <v>4.8759087233504203E-14</v>
      </c>
      <c r="I96" s="2">
        <v>3.7180413319969199E-15</v>
      </c>
      <c r="J96" s="2">
        <v>-3.7114133018211501E-16</v>
      </c>
      <c r="K96" s="2">
        <v>-5.8968365159776596E-16</v>
      </c>
      <c r="L96" s="2">
        <v>-8.58676698947159E-16</v>
      </c>
      <c r="M96" s="2">
        <v>-1.28882151592473E-15</v>
      </c>
      <c r="N96" s="2">
        <v>-1.59217416801113E-15</v>
      </c>
      <c r="O96" s="2">
        <v>-1.8890295912855E-15</v>
      </c>
      <c r="P96" s="2">
        <v>8.01739281754903E-14</v>
      </c>
      <c r="Q96">
        <v>5.9581396996933001E-3</v>
      </c>
      <c r="R96">
        <v>0</v>
      </c>
      <c r="S96">
        <v>-0.29670291660435</v>
      </c>
      <c r="T96">
        <v>1.03512296067509E-2</v>
      </c>
      <c r="U96">
        <v>-0.27998790212313501</v>
      </c>
      <c r="V96">
        <f t="shared" si="17"/>
        <v>-0.27998790212313596</v>
      </c>
      <c r="Y96" s="1">
        <f t="shared" si="18"/>
        <v>47756</v>
      </c>
      <c r="Z96" s="7">
        <f t="shared" si="18"/>
        <v>-0.12970347199997501</v>
      </c>
      <c r="AA96" s="7">
        <f t="shared" si="18"/>
        <v>-0.10078746389573701</v>
      </c>
      <c r="AB96" s="7">
        <f t="shared" si="18"/>
        <v>0.37445940841451197</v>
      </c>
      <c r="AC96" s="7">
        <f t="shared" si="19"/>
        <v>-0.40543466813943702</v>
      </c>
      <c r="AD96" s="7">
        <f t="shared" si="20"/>
        <v>-3.4831075809056103E-2</v>
      </c>
      <c r="AE96" s="7">
        <f t="shared" si="21"/>
        <v>5.9581396996933001E-3</v>
      </c>
      <c r="AF96" s="7">
        <f t="shared" si="22"/>
        <v>-1.3071175910384E-14</v>
      </c>
      <c r="AG96" s="7">
        <f t="shared" si="22"/>
        <v>4.8759087233504203E-14</v>
      </c>
      <c r="AH96" s="7">
        <f t="shared" si="23"/>
        <v>1.0351229606828201E-2</v>
      </c>
      <c r="AI96" s="7">
        <f t="shared" si="16"/>
        <v>-0.27998790212313596</v>
      </c>
      <c r="AJ96" s="8">
        <f t="shared" si="24"/>
        <v>-0.39947652843974374</v>
      </c>
      <c r="AK96" s="8">
        <f t="shared" si="25"/>
        <v>0.23884086870971888</v>
      </c>
      <c r="AL96" s="8">
        <f t="shared" si="26"/>
        <v>-0.12970347199997501</v>
      </c>
      <c r="AM96" s="8">
        <f t="shared" si="27"/>
        <v>1.0351229606828201E-2</v>
      </c>
      <c r="AN96" s="8">
        <f t="shared" si="28"/>
        <v>-0.27998790212317165</v>
      </c>
      <c r="AO96" s="9">
        <f t="shared" si="29"/>
        <v>1.1135451004259915</v>
      </c>
      <c r="AP96" s="9">
        <f t="shared" si="29"/>
        <v>-0.31429923856396114</v>
      </c>
      <c r="AQ96" s="9">
        <f t="shared" si="29"/>
        <v>0.21763950814521557</v>
      </c>
      <c r="AR96" s="9">
        <f t="shared" si="29"/>
        <v>-1.6885370007245982E-2</v>
      </c>
      <c r="AS96" s="9">
        <f t="shared" si="29"/>
        <v>1</v>
      </c>
      <c r="AT96" s="7"/>
      <c r="AU96" s="7"/>
      <c r="AV96" s="7"/>
      <c r="AW96" s="7"/>
      <c r="AX96" s="7"/>
    </row>
    <row r="97" spans="1:50" x14ac:dyDescent="0.25">
      <c r="A97" s="1">
        <v>47848</v>
      </c>
      <c r="B97">
        <v>-0.12815047030029</v>
      </c>
      <c r="C97">
        <v>-9.9779589256809895E-2</v>
      </c>
      <c r="D97">
        <v>0.37071475332609999</v>
      </c>
      <c r="E97">
        <v>-3.4314158588553703E-2</v>
      </c>
      <c r="F97">
        <v>-0.10341741573586</v>
      </c>
      <c r="G97" s="2">
        <v>-1.27020571344359E-14</v>
      </c>
      <c r="H97" s="2">
        <v>4.8852960663135099E-14</v>
      </c>
      <c r="I97" s="2">
        <v>3.66005318929157E-15</v>
      </c>
      <c r="J97" s="2">
        <v>-3.6771323105781699E-16</v>
      </c>
      <c r="K97" s="2">
        <v>-5.8359589312992003E-16</v>
      </c>
      <c r="L97" s="2">
        <v>-8.4954887234550502E-16</v>
      </c>
      <c r="M97" s="2">
        <v>-1.2751229086577099E-15</v>
      </c>
      <c r="N97" s="2">
        <v>-1.57510944884862E-15</v>
      </c>
      <c r="O97" s="2">
        <v>-1.8686043895433801E-15</v>
      </c>
      <c r="P97" s="2">
        <v>7.9856840613880703E-14</v>
      </c>
      <c r="Q97">
        <v>5.6398226624728397E-3</v>
      </c>
      <c r="R97">
        <v>0</v>
      </c>
      <c r="S97">
        <v>-0.29386658917351</v>
      </c>
      <c r="T97">
        <v>1.0230679399317599E-2</v>
      </c>
      <c r="U97">
        <v>-0.27294296766701898</v>
      </c>
      <c r="V97">
        <f t="shared" si="17"/>
        <v>-0.27294296766702003</v>
      </c>
      <c r="Y97" s="1">
        <f t="shared" si="18"/>
        <v>47848</v>
      </c>
      <c r="Z97" s="7">
        <f t="shared" si="18"/>
        <v>-0.12815047030029</v>
      </c>
      <c r="AA97" s="7">
        <f t="shared" si="18"/>
        <v>-9.9779589256809895E-2</v>
      </c>
      <c r="AB97" s="7">
        <f t="shared" si="18"/>
        <v>0.37071475332609999</v>
      </c>
      <c r="AC97" s="7">
        <f t="shared" si="19"/>
        <v>-0.39728400490936999</v>
      </c>
      <c r="AD97" s="7">
        <f t="shared" si="20"/>
        <v>-3.4314158588553703E-2</v>
      </c>
      <c r="AE97" s="7">
        <f t="shared" si="21"/>
        <v>5.6398226624728397E-3</v>
      </c>
      <c r="AF97" s="7">
        <f t="shared" si="22"/>
        <v>-1.27020571344359E-14</v>
      </c>
      <c r="AG97" s="7">
        <f t="shared" si="22"/>
        <v>4.8852960663135099E-14</v>
      </c>
      <c r="AH97" s="7">
        <f t="shared" si="23"/>
        <v>1.0230679399394597E-2</v>
      </c>
      <c r="AI97" s="7">
        <f t="shared" si="16"/>
        <v>-0.27294296766702003</v>
      </c>
      <c r="AJ97" s="8">
        <f t="shared" si="24"/>
        <v>-0.39164418224689718</v>
      </c>
      <c r="AK97" s="8">
        <f t="shared" si="25"/>
        <v>0.23662100548073639</v>
      </c>
      <c r="AL97" s="8">
        <f t="shared" si="26"/>
        <v>-0.12815047030029</v>
      </c>
      <c r="AM97" s="8">
        <f t="shared" si="27"/>
        <v>1.0230679399394597E-2</v>
      </c>
      <c r="AN97" s="8">
        <f t="shared" si="28"/>
        <v>-0.27294296766705617</v>
      </c>
      <c r="AO97" s="9">
        <f t="shared" si="29"/>
        <v>1.1117699166168329</v>
      </c>
      <c r="AP97" s="9">
        <f t="shared" si="29"/>
        <v>-0.31510062198740491</v>
      </c>
      <c r="AQ97" s="9">
        <f t="shared" si="29"/>
        <v>0.22044232055798499</v>
      </c>
      <c r="AR97" s="9">
        <f t="shared" si="29"/>
        <v>-1.7111615187414275E-2</v>
      </c>
      <c r="AS97" s="9">
        <f t="shared" si="29"/>
        <v>1</v>
      </c>
      <c r="AT97" s="7"/>
      <c r="AU97" s="7"/>
      <c r="AV97" s="7"/>
      <c r="AW97" s="7"/>
      <c r="AX97" s="7"/>
    </row>
    <row r="98" spans="1:50" x14ac:dyDescent="0.25">
      <c r="A98" s="1">
        <v>47938</v>
      </c>
      <c r="B98">
        <v>-0.12661731810605401</v>
      </c>
      <c r="C98">
        <v>-9.8781793364257395E-2</v>
      </c>
      <c r="D98">
        <v>0.36700756329782402</v>
      </c>
      <c r="E98">
        <v>-3.3777697517563897E-2</v>
      </c>
      <c r="F98">
        <v>-9.8322249261811906E-2</v>
      </c>
      <c r="G98" s="2">
        <v>-1.23397301484635E-14</v>
      </c>
      <c r="H98" s="2">
        <v>4.8934081255349999E-14</v>
      </c>
      <c r="I98" s="2">
        <v>3.6041453137101596E-15</v>
      </c>
      <c r="J98" s="2">
        <v>-3.64185585374514E-16</v>
      </c>
      <c r="K98" s="2">
        <v>-5.7750815257212302E-16</v>
      </c>
      <c r="L98" s="2">
        <v>-8.4050062674959797E-16</v>
      </c>
      <c r="M98" s="2">
        <v>-1.26159003446519E-15</v>
      </c>
      <c r="N98" s="2">
        <v>-1.5582775234553601E-15</v>
      </c>
      <c r="O98" s="2">
        <v>-1.84847473657024E-15</v>
      </c>
      <c r="P98" s="2">
        <v>7.9536646761290702E-14</v>
      </c>
      <c r="Q98">
        <v>5.3499674545994099E-3</v>
      </c>
      <c r="R98">
        <v>0</v>
      </c>
      <c r="S98">
        <v>-0.291055409485656</v>
      </c>
      <c r="T98">
        <v>1.01116059575658E-2</v>
      </c>
      <c r="U98">
        <v>-0.26608533102523901</v>
      </c>
      <c r="V98">
        <f t="shared" si="17"/>
        <v>-0.26608533102524068</v>
      </c>
      <c r="Y98" s="1">
        <f t="shared" si="18"/>
        <v>47938</v>
      </c>
      <c r="Z98" s="7">
        <f t="shared" si="18"/>
        <v>-0.12661731810605401</v>
      </c>
      <c r="AA98" s="7">
        <f t="shared" si="18"/>
        <v>-9.8781793364257395E-2</v>
      </c>
      <c r="AB98" s="7">
        <f t="shared" si="18"/>
        <v>0.36700756329782402</v>
      </c>
      <c r="AC98" s="7">
        <f t="shared" si="19"/>
        <v>-0.38937765874746788</v>
      </c>
      <c r="AD98" s="7">
        <f t="shared" si="20"/>
        <v>-3.3777697517563897E-2</v>
      </c>
      <c r="AE98" s="7">
        <f t="shared" si="21"/>
        <v>5.3499674545994099E-3</v>
      </c>
      <c r="AF98" s="7">
        <f t="shared" si="22"/>
        <v>-1.23397301484635E-14</v>
      </c>
      <c r="AG98" s="7">
        <f t="shared" si="22"/>
        <v>4.8934081255349999E-14</v>
      </c>
      <c r="AH98" s="7">
        <f t="shared" si="23"/>
        <v>1.0111605957642491E-2</v>
      </c>
      <c r="AI98" s="7">
        <f t="shared" si="16"/>
        <v>-0.26608533102524057</v>
      </c>
      <c r="AJ98" s="8">
        <f t="shared" si="24"/>
        <v>-0.38402769129286846</v>
      </c>
      <c r="AK98" s="8">
        <f t="shared" si="25"/>
        <v>0.23444807241600271</v>
      </c>
      <c r="AL98" s="8">
        <f t="shared" si="26"/>
        <v>-0.12661731810605401</v>
      </c>
      <c r="AM98" s="8">
        <f t="shared" si="27"/>
        <v>1.0111605957642491E-2</v>
      </c>
      <c r="AN98" s="8">
        <f t="shared" si="28"/>
        <v>-0.26608533102527726</v>
      </c>
      <c r="AO98" s="9">
        <f t="shared" si="29"/>
        <v>1.1106582853379297</v>
      </c>
      <c r="AP98" s="9">
        <f t="shared" si="29"/>
        <v>-0.31686325453516712</v>
      </c>
      <c r="AQ98" s="9">
        <f t="shared" si="29"/>
        <v>0.22356859576016996</v>
      </c>
      <c r="AR98" s="9">
        <f t="shared" si="29"/>
        <v>-1.7363626562928811E-2</v>
      </c>
      <c r="AS98" s="9">
        <f t="shared" si="29"/>
        <v>1</v>
      </c>
      <c r="AT98" s="7"/>
      <c r="AU98" s="7"/>
      <c r="AV98" s="7"/>
      <c r="AW98" s="7"/>
      <c r="AX98" s="7"/>
    </row>
    <row r="99" spans="1:50" x14ac:dyDescent="0.25">
      <c r="A99" s="1">
        <v>48029</v>
      </c>
      <c r="B99">
        <v>-0.12510377399591399</v>
      </c>
      <c r="C99">
        <v>-9.7793975430623001E-2</v>
      </c>
      <c r="D99">
        <v>0.363337458063207</v>
      </c>
      <c r="E99">
        <v>-3.32257858700412E-2</v>
      </c>
      <c r="F99">
        <v>-9.3441757504818396E-2</v>
      </c>
      <c r="G99" s="2">
        <v>-1.19844832721422E-14</v>
      </c>
      <c r="H99" s="2">
        <v>4.9002733443124602E-14</v>
      </c>
      <c r="I99" s="2">
        <v>3.55017779592113E-15</v>
      </c>
      <c r="J99" s="2">
        <v>-3.6057419661509399E-16</v>
      </c>
      <c r="K99" s="2">
        <v>-5.7142895868575397E-16</v>
      </c>
      <c r="L99" s="2">
        <v>-8.3153559077769803E-16</v>
      </c>
      <c r="M99" s="2">
        <v>-1.2482219724100701E-15</v>
      </c>
      <c r="N99" s="2">
        <v>-1.54167433946572E-15</v>
      </c>
      <c r="O99" s="2">
        <v>-1.8286340957751501E-15</v>
      </c>
      <c r="P99" s="2">
        <v>7.9213464156373504E-14</v>
      </c>
      <c r="Q99">
        <v>5.0854770867940196E-3</v>
      </c>
      <c r="R99">
        <v>0</v>
      </c>
      <c r="S99">
        <v>-0.28826921590919602</v>
      </c>
      <c r="T99">
        <v>9.9939898785355794E-3</v>
      </c>
      <c r="U99">
        <v>-0.25941758368194101</v>
      </c>
      <c r="V99">
        <f t="shared" si="17"/>
        <v>-0.25941758368194262</v>
      </c>
      <c r="Y99" s="1">
        <f t="shared" ref="Y99:AB132" si="30">+A99</f>
        <v>48029</v>
      </c>
      <c r="Z99" s="7">
        <f t="shared" si="30"/>
        <v>-0.12510377399591399</v>
      </c>
      <c r="AA99" s="7">
        <f t="shared" si="30"/>
        <v>-9.7793975430623001E-2</v>
      </c>
      <c r="AB99" s="7">
        <f t="shared" si="30"/>
        <v>0.363337458063207</v>
      </c>
      <c r="AC99" s="7">
        <f t="shared" si="19"/>
        <v>-0.38171097341401439</v>
      </c>
      <c r="AD99" s="7">
        <f t="shared" si="20"/>
        <v>-3.32257858700412E-2</v>
      </c>
      <c r="AE99" s="7">
        <f t="shared" si="21"/>
        <v>5.0854770867940196E-3</v>
      </c>
      <c r="AF99" s="7">
        <f t="shared" si="22"/>
        <v>-1.19844832721422E-14</v>
      </c>
      <c r="AG99" s="7">
        <f t="shared" si="22"/>
        <v>4.9002733443124602E-14</v>
      </c>
      <c r="AH99" s="7">
        <f t="shared" si="23"/>
        <v>9.993989878611961E-3</v>
      </c>
      <c r="AI99" s="7">
        <f t="shared" si="16"/>
        <v>-0.25941758368194262</v>
      </c>
      <c r="AJ99" s="8">
        <f t="shared" si="24"/>
        <v>-0.37662549632722037</v>
      </c>
      <c r="AK99" s="8">
        <f t="shared" si="25"/>
        <v>0.23231769676254277</v>
      </c>
      <c r="AL99" s="8">
        <f t="shared" si="26"/>
        <v>-0.12510377399591399</v>
      </c>
      <c r="AM99" s="8">
        <f t="shared" si="27"/>
        <v>9.993989878611961E-3</v>
      </c>
      <c r="AN99" s="8">
        <f t="shared" si="28"/>
        <v>-0.25941758368197965</v>
      </c>
      <c r="AO99" s="9">
        <f t="shared" si="29"/>
        <v>1.1101492879883548</v>
      </c>
      <c r="AP99" s="9">
        <f t="shared" si="29"/>
        <v>-0.31950455585294268</v>
      </c>
      <c r="AQ99" s="9">
        <f t="shared" si="29"/>
        <v>0.22699482032135196</v>
      </c>
      <c r="AR99" s="9">
        <f t="shared" si="29"/>
        <v>-1.7639552456761378E-2</v>
      </c>
      <c r="AS99" s="9">
        <f t="shared" si="29"/>
        <v>1</v>
      </c>
      <c r="AT99" s="7"/>
      <c r="AU99" s="7"/>
      <c r="AV99" s="7"/>
      <c r="AW99" s="7"/>
      <c r="AX99" s="7"/>
    </row>
    <row r="100" spans="1:50" x14ac:dyDescent="0.25">
      <c r="A100" s="1">
        <v>48121</v>
      </c>
      <c r="B100">
        <v>-0.12360959338437801</v>
      </c>
      <c r="C100">
        <v>-9.6816035676320994E-2</v>
      </c>
      <c r="D100">
        <v>0.35970406286234402</v>
      </c>
      <c r="E100">
        <v>-3.2662011211345397E-2</v>
      </c>
      <c r="F100">
        <v>-8.8770869629591007E-2</v>
      </c>
      <c r="G100" s="2">
        <v>-1.16365548578726E-14</v>
      </c>
      <c r="H100" s="2">
        <v>4.90592061898671E-14</v>
      </c>
      <c r="I100" s="2">
        <v>3.4980149304688501E-15</v>
      </c>
      <c r="J100" s="2">
        <v>-3.56894131004184E-16</v>
      </c>
      <c r="K100" s="2">
        <v>-5.6536624204175104E-16</v>
      </c>
      <c r="L100" s="2">
        <v>-8.2265688034036697E-16</v>
      </c>
      <c r="M100" s="2">
        <v>-1.2350174213854001E-15</v>
      </c>
      <c r="N100" s="2">
        <v>-1.5252954868584301E-15</v>
      </c>
      <c r="O100" s="2">
        <v>-1.8090755636036699E-15</v>
      </c>
      <c r="P100" s="2">
        <v>7.8887411009063303E-14</v>
      </c>
      <c r="Q100">
        <v>4.8436041343351199E-3</v>
      </c>
      <c r="R100">
        <v>0</v>
      </c>
      <c r="S100">
        <v>-0.28550784470283203</v>
      </c>
      <c r="T100">
        <v>9.8778120317611195E-3</v>
      </c>
      <c r="U100">
        <v>-0.25294087557591199</v>
      </c>
      <c r="V100">
        <f t="shared" si="17"/>
        <v>-0.25294087557591366</v>
      </c>
      <c r="Y100" s="1">
        <f t="shared" si="30"/>
        <v>48121</v>
      </c>
      <c r="Z100" s="7">
        <f t="shared" si="30"/>
        <v>-0.12360959338437801</v>
      </c>
      <c r="AA100" s="7">
        <f t="shared" si="30"/>
        <v>-9.6816035676320994E-2</v>
      </c>
      <c r="AB100" s="7">
        <f t="shared" si="30"/>
        <v>0.35970406286234402</v>
      </c>
      <c r="AC100" s="7">
        <f t="shared" si="19"/>
        <v>-0.37427871433242305</v>
      </c>
      <c r="AD100" s="7">
        <f t="shared" si="20"/>
        <v>-3.2662011211345397E-2</v>
      </c>
      <c r="AE100" s="7">
        <f t="shared" si="21"/>
        <v>4.8436041343351199E-3</v>
      </c>
      <c r="AF100" s="7">
        <f t="shared" si="22"/>
        <v>-1.16365548578726E-14</v>
      </c>
      <c r="AG100" s="7">
        <f t="shared" si="22"/>
        <v>4.90592061898671E-14</v>
      </c>
      <c r="AH100" s="7">
        <f t="shared" si="23"/>
        <v>9.8778120318371888E-3</v>
      </c>
      <c r="AI100" s="7">
        <f t="shared" si="16"/>
        <v>-0.25294087557591372</v>
      </c>
      <c r="AJ100" s="8">
        <f t="shared" si="24"/>
        <v>-0.36943511019808795</v>
      </c>
      <c r="AK100" s="8">
        <f t="shared" si="25"/>
        <v>0.23022601597467759</v>
      </c>
      <c r="AL100" s="8">
        <f t="shared" si="26"/>
        <v>-0.12360959338437801</v>
      </c>
      <c r="AM100" s="8">
        <f t="shared" si="27"/>
        <v>9.8778120318371888E-3</v>
      </c>
      <c r="AN100" s="8">
        <f t="shared" si="28"/>
        <v>-0.25294087557595119</v>
      </c>
      <c r="AO100" s="9">
        <f t="shared" si="29"/>
        <v>1.1101914755799591</v>
      </c>
      <c r="AP100" s="9">
        <f t="shared" si="29"/>
        <v>-0.32295430851951734</v>
      </c>
      <c r="AQ100" s="9">
        <f t="shared" si="29"/>
        <v>0.23070062554543974</v>
      </c>
      <c r="AR100" s="9">
        <f t="shared" si="29"/>
        <v>-1.7937792605881811E-2</v>
      </c>
      <c r="AS100" s="9">
        <f t="shared" si="29"/>
        <v>1</v>
      </c>
      <c r="AT100" s="7"/>
      <c r="AU100" s="7"/>
      <c r="AV100" s="7"/>
      <c r="AW100" s="7"/>
      <c r="AX100" s="7"/>
    </row>
    <row r="101" spans="1:50" x14ac:dyDescent="0.25">
      <c r="A101" s="1">
        <v>48213</v>
      </c>
      <c r="B101">
        <v>-0.122134529699154</v>
      </c>
      <c r="C101">
        <v>-9.5847875319560003E-2</v>
      </c>
      <c r="D101">
        <v>0.356107007869856</v>
      </c>
      <c r="E101">
        <v>-3.2089511833252003E-2</v>
      </c>
      <c r="F101">
        <v>-8.4304058988933298E-2</v>
      </c>
      <c r="G101" s="2">
        <v>-1.12961355178702E-14</v>
      </c>
      <c r="H101" s="2">
        <v>4.9103792098405298E-14</v>
      </c>
      <c r="I101" s="2">
        <v>3.4475266115867701E-15</v>
      </c>
      <c r="J101" s="2">
        <v>-3.5315957712632101E-16</v>
      </c>
      <c r="K101" s="2">
        <v>-5.5932728959529202E-16</v>
      </c>
      <c r="L101" s="2">
        <v>-8.1386711523343703E-16</v>
      </c>
      <c r="M101" s="2">
        <v>-1.22197476077702E-15</v>
      </c>
      <c r="N101" s="2">
        <v>-1.5091363009642101E-15</v>
      </c>
      <c r="O101" s="2">
        <v>-1.78979200940916E-15</v>
      </c>
      <c r="P101" s="2">
        <v>7.8558605656435898E-14</v>
      </c>
      <c r="Q101">
        <v>4.6219117365756002E-3</v>
      </c>
      <c r="R101">
        <v>0</v>
      </c>
      <c r="S101">
        <v>-0.28277113031234602</v>
      </c>
      <c r="T101">
        <v>9.7630535553305392E-3</v>
      </c>
      <c r="U101">
        <v>-0.24665513299136799</v>
      </c>
      <c r="V101">
        <f t="shared" si="17"/>
        <v>-0.24665513299136965</v>
      </c>
      <c r="Y101" s="1">
        <f t="shared" si="30"/>
        <v>48213</v>
      </c>
      <c r="Z101" s="7">
        <f t="shared" si="30"/>
        <v>-0.122134529699154</v>
      </c>
      <c r="AA101" s="7">
        <f t="shared" si="30"/>
        <v>-9.5847875319560003E-2</v>
      </c>
      <c r="AB101" s="7">
        <f t="shared" si="30"/>
        <v>0.356107007869856</v>
      </c>
      <c r="AC101" s="7">
        <f t="shared" si="19"/>
        <v>-0.3670751893012793</v>
      </c>
      <c r="AD101" s="7">
        <f t="shared" si="20"/>
        <v>-3.2089511833252003E-2</v>
      </c>
      <c r="AE101" s="7">
        <f t="shared" si="21"/>
        <v>4.6219117365756002E-3</v>
      </c>
      <c r="AF101" s="7">
        <f t="shared" si="22"/>
        <v>-1.12961355178702E-14</v>
      </c>
      <c r="AG101" s="7">
        <f t="shared" si="22"/>
        <v>4.9103792098405298E-14</v>
      </c>
      <c r="AH101" s="7">
        <f t="shared" si="23"/>
        <v>9.763053555406298E-3</v>
      </c>
      <c r="AI101" s="7">
        <f t="shared" si="16"/>
        <v>-0.24665513299136954</v>
      </c>
      <c r="AJ101" s="8">
        <f t="shared" si="24"/>
        <v>-0.36245327756470369</v>
      </c>
      <c r="AK101" s="8">
        <f t="shared" si="25"/>
        <v>0.22816962071704397</v>
      </c>
      <c r="AL101" s="8">
        <f t="shared" si="26"/>
        <v>-0.122134529699154</v>
      </c>
      <c r="AM101" s="8">
        <f t="shared" si="27"/>
        <v>9.763053555406298E-3</v>
      </c>
      <c r="AN101" s="8">
        <f t="shared" si="28"/>
        <v>-0.2466551329914074</v>
      </c>
      <c r="AO101" s="9">
        <f t="shared" si="29"/>
        <v>1.1107411001131526</v>
      </c>
      <c r="AP101" s="9">
        <f t="shared" si="29"/>
        <v>-0.32715231811912909</v>
      </c>
      <c r="AQ101" s="9">
        <f t="shared" si="29"/>
        <v>0.23466816615288746</v>
      </c>
      <c r="AR101" s="9">
        <f t="shared" si="29"/>
        <v>-1.8256948146918091E-2</v>
      </c>
      <c r="AS101" s="9">
        <f t="shared" si="29"/>
        <v>1</v>
      </c>
      <c r="AT101" s="7"/>
      <c r="AU101" s="7"/>
      <c r="AV101" s="7"/>
      <c r="AW101" s="7"/>
      <c r="AX101" s="7"/>
    </row>
    <row r="102" spans="1:50" x14ac:dyDescent="0.25">
      <c r="A102" s="1">
        <v>48304</v>
      </c>
      <c r="B102">
        <v>-0.12067833534892999</v>
      </c>
      <c r="C102">
        <v>-9.4889396566365497E-2</v>
      </c>
      <c r="D102">
        <v>0.35254592778542099</v>
      </c>
      <c r="E102">
        <v>-3.1511027347319802E-2</v>
      </c>
      <c r="F102">
        <v>-8.0035447967136797E-2</v>
      </c>
      <c r="G102" s="2">
        <v>-1.0963370748929399E-14</v>
      </c>
      <c r="H102" s="2">
        <v>4.91367865087822E-14</v>
      </c>
      <c r="I102" s="2">
        <v>3.3985893455802699E-15</v>
      </c>
      <c r="J102" s="2">
        <v>-3.4938375109487798E-16</v>
      </c>
      <c r="K102" s="2">
        <v>-5.5331872136752895E-16</v>
      </c>
      <c r="L102" s="2">
        <v>-8.0516844281912896E-16</v>
      </c>
      <c r="M102" s="2">
        <v>-1.2090921062726801E-15</v>
      </c>
      <c r="N102" s="2">
        <v>-1.4931919512311499E-15</v>
      </c>
      <c r="O102" s="2">
        <v>-1.77077619350647E-15</v>
      </c>
      <c r="P102" s="2">
        <v>7.8227166079795304E-14</v>
      </c>
      <c r="Q102">
        <v>4.4182387805303302E-3</v>
      </c>
      <c r="R102">
        <v>0</v>
      </c>
      <c r="S102">
        <v>-0.28005890563588198</v>
      </c>
      <c r="T102">
        <v>9.6496958519994395E-3</v>
      </c>
      <c r="U102">
        <v>-0.24055925044756801</v>
      </c>
      <c r="V102">
        <f t="shared" si="17"/>
        <v>-0.24055925044756971</v>
      </c>
      <c r="Y102" s="1">
        <f t="shared" si="30"/>
        <v>48304</v>
      </c>
      <c r="Z102" s="7">
        <f t="shared" si="30"/>
        <v>-0.12067833534892999</v>
      </c>
      <c r="AA102" s="7">
        <f t="shared" si="30"/>
        <v>-9.4889396566365497E-2</v>
      </c>
      <c r="AB102" s="7">
        <f t="shared" si="30"/>
        <v>0.35254592778542099</v>
      </c>
      <c r="AC102" s="7">
        <f t="shared" si="19"/>
        <v>-0.36009435360301878</v>
      </c>
      <c r="AD102" s="7">
        <f t="shared" si="20"/>
        <v>-3.1511027347319802E-2</v>
      </c>
      <c r="AE102" s="7">
        <f t="shared" si="21"/>
        <v>4.4182387805303302E-3</v>
      </c>
      <c r="AF102" s="7">
        <f t="shared" si="22"/>
        <v>-1.0963370748929399E-14</v>
      </c>
      <c r="AG102" s="7">
        <f t="shared" si="22"/>
        <v>4.91367865087822E-14</v>
      </c>
      <c r="AH102" s="7">
        <f t="shared" si="23"/>
        <v>9.6496958520748844E-3</v>
      </c>
      <c r="AI102" s="7">
        <f t="shared" si="16"/>
        <v>-0.24055925044756968</v>
      </c>
      <c r="AJ102" s="8">
        <f t="shared" si="24"/>
        <v>-0.35567611482248845</v>
      </c>
      <c r="AK102" s="8">
        <f t="shared" si="25"/>
        <v>0.22614550387173571</v>
      </c>
      <c r="AL102" s="8">
        <f t="shared" si="26"/>
        <v>-0.12067833534892999</v>
      </c>
      <c r="AM102" s="8">
        <f t="shared" si="27"/>
        <v>9.6496958520748844E-3</v>
      </c>
      <c r="AN102" s="8">
        <f t="shared" si="28"/>
        <v>-0.24055925044760781</v>
      </c>
      <c r="AO102" s="9">
        <f t="shared" si="29"/>
        <v>1.1117607161096983</v>
      </c>
      <c r="AP102" s="9">
        <f t="shared" si="29"/>
        <v>-0.33204656270273558</v>
      </c>
      <c r="AQ102" s="9">
        <f t="shared" si="29"/>
        <v>0.23888162866674253</v>
      </c>
      <c r="AR102" s="9">
        <f t="shared" si="29"/>
        <v>-1.8595782073707309E-2</v>
      </c>
      <c r="AS102" s="9">
        <f t="shared" si="29"/>
        <v>1</v>
      </c>
      <c r="AT102" s="7"/>
      <c r="AU102" s="7"/>
      <c r="AV102" s="7"/>
      <c r="AW102" s="7"/>
      <c r="AX102" s="7"/>
    </row>
    <row r="103" spans="1:50" x14ac:dyDescent="0.25">
      <c r="A103" s="1">
        <v>48395</v>
      </c>
      <c r="B103">
        <v>-0.11924076251886</v>
      </c>
      <c r="C103">
        <v>-9.3940502600702497E-2</v>
      </c>
      <c r="D103">
        <v>0.34902046153766197</v>
      </c>
      <c r="E103">
        <v>-3.0928943959585099E-2</v>
      </c>
      <c r="F103">
        <v>-7.5958898866019101E-2</v>
      </c>
      <c r="G103" s="2">
        <v>-1.0638363851879801E-14</v>
      </c>
      <c r="H103" s="2">
        <v>4.9158486606023E-14</v>
      </c>
      <c r="I103" s="2">
        <v>3.3510869387719001E-15</v>
      </c>
      <c r="J103" s="2">
        <v>-3.4557883966019999E-16</v>
      </c>
      <c r="K103" s="2">
        <v>-5.4734648502910202E-16</v>
      </c>
      <c r="L103" s="2">
        <v>-7.9656256673062297E-16</v>
      </c>
      <c r="M103" s="2">
        <v>-1.1963673605550901E-15</v>
      </c>
      <c r="N103" s="2">
        <v>-1.47745751672126E-15</v>
      </c>
      <c r="O103" s="2">
        <v>-1.7520208653154401E-15</v>
      </c>
      <c r="P103" s="2">
        <v>7.7893209480312104E-14</v>
      </c>
      <c r="Q103">
        <v>4.2306688566817203E-3</v>
      </c>
      <c r="R103">
        <v>0</v>
      </c>
      <c r="S103">
        <v>-0.27737100226130301</v>
      </c>
      <c r="T103">
        <v>9.5377205853575796E-3</v>
      </c>
      <c r="U103">
        <v>-0.234651259226654</v>
      </c>
      <c r="V103">
        <f t="shared" si="17"/>
        <v>-0.23465125922665478</v>
      </c>
      <c r="Y103" s="1">
        <f t="shared" si="30"/>
        <v>48395</v>
      </c>
      <c r="Z103" s="7">
        <f t="shared" si="30"/>
        <v>-0.11924076251886</v>
      </c>
      <c r="AA103" s="7">
        <f t="shared" si="30"/>
        <v>-9.3940502600702497E-2</v>
      </c>
      <c r="AB103" s="7">
        <f t="shared" si="30"/>
        <v>0.34902046153766197</v>
      </c>
      <c r="AC103" s="7">
        <f t="shared" si="19"/>
        <v>-0.3533299011273221</v>
      </c>
      <c r="AD103" s="7">
        <f t="shared" si="20"/>
        <v>-3.0928943959585099E-2</v>
      </c>
      <c r="AE103" s="7">
        <f t="shared" si="21"/>
        <v>4.2306688566817203E-3</v>
      </c>
      <c r="AF103" s="7">
        <f t="shared" si="22"/>
        <v>-1.0638363851879801E-14</v>
      </c>
      <c r="AG103" s="7">
        <f t="shared" si="22"/>
        <v>4.9158486606023E-14</v>
      </c>
      <c r="AH103" s="7">
        <f t="shared" si="23"/>
        <v>9.5377205854327071E-3</v>
      </c>
      <c r="AI103" s="7">
        <f t="shared" si="16"/>
        <v>-0.23465125922665475</v>
      </c>
      <c r="AJ103" s="8">
        <f t="shared" si="24"/>
        <v>-0.34909923227064038</v>
      </c>
      <c r="AK103" s="8">
        <f t="shared" si="25"/>
        <v>0.22415101497737436</v>
      </c>
      <c r="AL103" s="8">
        <f t="shared" si="26"/>
        <v>-0.11924076251886</v>
      </c>
      <c r="AM103" s="8">
        <f t="shared" si="27"/>
        <v>9.5377205854327071E-3</v>
      </c>
      <c r="AN103" s="8">
        <f t="shared" si="28"/>
        <v>-0.2346512592266933</v>
      </c>
      <c r="AO103" s="9">
        <f t="shared" si="29"/>
        <v>1.113218064469301</v>
      </c>
      <c r="AP103" s="9">
        <f t="shared" si="29"/>
        <v>-0.3375917159965956</v>
      </c>
      <c r="AQ103" s="9">
        <f t="shared" si="29"/>
        <v>0.24332683924460402</v>
      </c>
      <c r="AR103" s="9">
        <f t="shared" si="29"/>
        <v>-1.8953187717304101E-2</v>
      </c>
      <c r="AS103" s="9">
        <f t="shared" si="29"/>
        <v>1</v>
      </c>
      <c r="AT103" s="7"/>
      <c r="AU103" s="7"/>
      <c r="AV103" s="7"/>
      <c r="AW103" s="7"/>
      <c r="AX103" s="7"/>
    </row>
    <row r="104" spans="1:50" x14ac:dyDescent="0.25">
      <c r="A104" s="1">
        <v>48487</v>
      </c>
      <c r="B104">
        <v>-0.11782156382412599</v>
      </c>
      <c r="C104">
        <v>-9.3001097574695796E-2</v>
      </c>
      <c r="D104">
        <v>0.34553025206711402</v>
      </c>
      <c r="E104">
        <v>-3.0345334921126399E-2</v>
      </c>
      <c r="F104">
        <v>-7.2068092329257094E-2</v>
      </c>
      <c r="G104" s="2">
        <v>-1.0321179052963199E-14</v>
      </c>
      <c r="H104" s="2">
        <v>4.9169190554570101E-14</v>
      </c>
      <c r="I104" s="2">
        <v>3.3049109146209801E-15</v>
      </c>
      <c r="J104" s="2">
        <v>-3.4175597444675098E-16</v>
      </c>
      <c r="K104" s="2">
        <v>-5.4141586470307698E-16</v>
      </c>
      <c r="L104" s="2">
        <v>-7.8805077889186403E-16</v>
      </c>
      <c r="M104" s="2">
        <v>-1.18379825881686E-15</v>
      </c>
      <c r="N104" s="2">
        <v>-1.46192804943815E-15</v>
      </c>
      <c r="O104" s="2">
        <v>-1.7335188435851399E-15</v>
      </c>
      <c r="P104" s="2">
        <v>7.7556851910015796E-14</v>
      </c>
      <c r="Q104">
        <v>4.0575026074867399E-3</v>
      </c>
      <c r="R104">
        <v>0</v>
      </c>
      <c r="S104">
        <v>-0.27470725067878499</v>
      </c>
      <c r="T104">
        <v>9.4271096760486991E-3</v>
      </c>
      <c r="U104">
        <v>-0.22892847497722499</v>
      </c>
      <c r="V104">
        <f t="shared" si="17"/>
        <v>-0.22892847497722713</v>
      </c>
      <c r="Y104" s="1">
        <f t="shared" si="30"/>
        <v>48487</v>
      </c>
      <c r="Z104" s="7">
        <f t="shared" si="30"/>
        <v>-0.11782156382412599</v>
      </c>
      <c r="AA104" s="7">
        <f t="shared" si="30"/>
        <v>-9.3001097574695796E-2</v>
      </c>
      <c r="AB104" s="7">
        <f t="shared" si="30"/>
        <v>0.34553025206711402</v>
      </c>
      <c r="AC104" s="7">
        <f t="shared" si="19"/>
        <v>-0.34677534300804208</v>
      </c>
      <c r="AD104" s="7">
        <f t="shared" si="20"/>
        <v>-3.0345334921126399E-2</v>
      </c>
      <c r="AE104" s="7">
        <f t="shared" si="21"/>
        <v>4.0575026074867399E-3</v>
      </c>
      <c r="AF104" s="7">
        <f t="shared" si="22"/>
        <v>-1.0321179052963199E-14</v>
      </c>
      <c r="AG104" s="7">
        <f t="shared" si="22"/>
        <v>4.9169190554570101E-14</v>
      </c>
      <c r="AH104" s="7">
        <f t="shared" si="23"/>
        <v>9.4271096761235108E-3</v>
      </c>
      <c r="AI104" s="7">
        <f t="shared" si="16"/>
        <v>-0.22892847497722713</v>
      </c>
      <c r="AJ104" s="8">
        <f t="shared" si="24"/>
        <v>-0.34271784040055536</v>
      </c>
      <c r="AK104" s="8">
        <f t="shared" si="25"/>
        <v>0.2221838195712918</v>
      </c>
      <c r="AL104" s="8">
        <f t="shared" si="26"/>
        <v>-0.11782156382412599</v>
      </c>
      <c r="AM104" s="8">
        <f t="shared" si="27"/>
        <v>9.4271096761235108E-3</v>
      </c>
      <c r="AN104" s="8">
        <f t="shared" si="28"/>
        <v>-0.22892847497726607</v>
      </c>
      <c r="AO104" s="9">
        <f t="shared" si="29"/>
        <v>1.1150851739210152</v>
      </c>
      <c r="AP104" s="9">
        <f t="shared" si="29"/>
        <v>-0.34374795909516376</v>
      </c>
      <c r="AQ104" s="9">
        <f t="shared" si="29"/>
        <v>0.24799094861492338</v>
      </c>
      <c r="AR104" s="9">
        <f t="shared" si="29"/>
        <v>-1.9328163440770402E-2</v>
      </c>
      <c r="AS104" s="9">
        <f t="shared" si="29"/>
        <v>1</v>
      </c>
      <c r="AT104" s="7"/>
      <c r="AU104" s="7"/>
      <c r="AV104" s="7"/>
      <c r="AW104" s="7"/>
      <c r="AX104" s="7"/>
    </row>
    <row r="105" spans="1:50" x14ac:dyDescent="0.25">
      <c r="A105" s="1">
        <v>48579</v>
      </c>
      <c r="B105">
        <v>-0.116420492846368</v>
      </c>
      <c r="C105">
        <v>-9.2071086598948901E-2</v>
      </c>
      <c r="D105">
        <v>0.342074946164375</v>
      </c>
      <c r="E105">
        <v>-2.9761996617302399E-2</v>
      </c>
      <c r="F105">
        <v>-6.8356594679997801E-2</v>
      </c>
      <c r="G105" s="2">
        <v>-1.0011844745183E-14</v>
      </c>
      <c r="H105" s="2">
        <v>4.9169196672181303E-14</v>
      </c>
      <c r="I105" s="2">
        <v>3.2599607080720702E-15</v>
      </c>
      <c r="J105" s="2">
        <v>-3.3792523130103099E-16</v>
      </c>
      <c r="K105" s="2">
        <v>-5.3553150079913204E-16</v>
      </c>
      <c r="L105" s="2">
        <v>-7.7963399345750604E-16</v>
      </c>
      <c r="M105" s="2">
        <v>-1.1713824091839899E-15</v>
      </c>
      <c r="N105" s="2">
        <v>-1.4465986266455399E-15</v>
      </c>
      <c r="O105" s="2">
        <v>-1.7152630806918301E-15</v>
      </c>
      <c r="P105" s="2">
        <v>7.7218207954582405E-14</v>
      </c>
      <c r="Q105">
        <v>3.8972331208406998E-3</v>
      </c>
      <c r="R105">
        <v>0</v>
      </c>
      <c r="S105">
        <v>-0.27206748047142199</v>
      </c>
      <c r="T105">
        <v>9.3178452980421708E-3</v>
      </c>
      <c r="U105">
        <v>-0.223387626630666</v>
      </c>
      <c r="V105">
        <f t="shared" si="17"/>
        <v>-0.22338762663066758</v>
      </c>
      <c r="Y105" s="1">
        <f t="shared" si="30"/>
        <v>48579</v>
      </c>
      <c r="Z105" s="7">
        <f t="shared" si="30"/>
        <v>-0.116420492846368</v>
      </c>
      <c r="AA105" s="7">
        <f t="shared" si="30"/>
        <v>-9.2071086598948901E-2</v>
      </c>
      <c r="AB105" s="7">
        <f t="shared" si="30"/>
        <v>0.342074946164375</v>
      </c>
      <c r="AC105" s="7">
        <f t="shared" si="19"/>
        <v>-0.34042407515141981</v>
      </c>
      <c r="AD105" s="7">
        <f t="shared" si="20"/>
        <v>-2.9761996617302399E-2</v>
      </c>
      <c r="AE105" s="7">
        <f t="shared" si="21"/>
        <v>3.8972331208406998E-3</v>
      </c>
      <c r="AF105" s="7">
        <f t="shared" si="22"/>
        <v>-1.0011844745183E-14</v>
      </c>
      <c r="AG105" s="7">
        <f t="shared" si="22"/>
        <v>4.9169196672181303E-14</v>
      </c>
      <c r="AH105" s="7">
        <f t="shared" si="23"/>
        <v>9.3178452981166615E-3</v>
      </c>
      <c r="AI105" s="7">
        <f t="shared" si="16"/>
        <v>-0.22338762663066758</v>
      </c>
      <c r="AJ105" s="8">
        <f t="shared" si="24"/>
        <v>-0.33652684203057909</v>
      </c>
      <c r="AK105" s="8">
        <f t="shared" si="25"/>
        <v>0.2202418629481237</v>
      </c>
      <c r="AL105" s="8">
        <f t="shared" si="26"/>
        <v>-0.116420492846368</v>
      </c>
      <c r="AM105" s="8">
        <f t="shared" si="27"/>
        <v>9.3178452981166615E-3</v>
      </c>
      <c r="AN105" s="8">
        <f t="shared" si="28"/>
        <v>-0.22338762663070674</v>
      </c>
      <c r="AO105" s="9">
        <f t="shared" si="29"/>
        <v>1.1173376318485007</v>
      </c>
      <c r="AP105" s="9">
        <f t="shared" si="29"/>
        <v>-0.35048001708510634</v>
      </c>
      <c r="AQ105" s="9">
        <f t="shared" si="29"/>
        <v>0.25286217743678308</v>
      </c>
      <c r="AR105" s="9">
        <f t="shared" si="29"/>
        <v>-1.9719792200177926E-2</v>
      </c>
      <c r="AS105" s="9">
        <f t="shared" si="29"/>
        <v>1</v>
      </c>
      <c r="AT105" s="7"/>
      <c r="AU105" s="7"/>
      <c r="AV105" s="7"/>
      <c r="AW105" s="7"/>
      <c r="AX105" s="7"/>
    </row>
    <row r="106" spans="1:50" x14ac:dyDescent="0.25">
      <c r="A106" s="1">
        <v>48669</v>
      </c>
      <c r="B106">
        <v>-0.115037304573281</v>
      </c>
      <c r="C106">
        <v>-9.1150375732959504E-2</v>
      </c>
      <c r="D106">
        <v>0.33865419434681299</v>
      </c>
      <c r="E106">
        <v>-2.91804807251436E-2</v>
      </c>
      <c r="F106">
        <v>-6.4817915427708497E-2</v>
      </c>
      <c r="G106" s="2">
        <v>-9.7103567786222506E-15</v>
      </c>
      <c r="H106" s="2">
        <v>4.9158802652716801E-14</v>
      </c>
      <c r="I106" s="2">
        <v>3.21614367967542E-15</v>
      </c>
      <c r="J106" s="2">
        <v>-3.3409564949308098E-16</v>
      </c>
      <c r="K106" s="2">
        <v>-5.2969741814935005E-16</v>
      </c>
      <c r="L106" s="2">
        <v>-7.71312781550315E-16</v>
      </c>
      <c r="M106" s="2">
        <v>-1.15911732824257E-15</v>
      </c>
      <c r="N106" s="2">
        <v>-1.43146439334633E-15</v>
      </c>
      <c r="O106" s="2">
        <v>-1.6972467129462901E-15</v>
      </c>
      <c r="P106" s="2">
        <v>7.6877390464137496E-14</v>
      </c>
      <c r="Q106">
        <v>3.7485240513741901E-3</v>
      </c>
      <c r="R106">
        <v>0</v>
      </c>
      <c r="S106">
        <v>-0.26945152048632998</v>
      </c>
      <c r="T106">
        <v>9.2099098749566597E-3</v>
      </c>
      <c r="U106">
        <v>-0.218024968672164</v>
      </c>
      <c r="V106">
        <f t="shared" si="17"/>
        <v>-0.21802496867216511</v>
      </c>
      <c r="Y106" s="1">
        <f t="shared" si="30"/>
        <v>48669</v>
      </c>
      <c r="Z106" s="7">
        <f t="shared" si="30"/>
        <v>-0.115037304573281</v>
      </c>
      <c r="AA106" s="7">
        <f t="shared" si="30"/>
        <v>-9.1150375732959504E-2</v>
      </c>
      <c r="AB106" s="7">
        <f t="shared" si="30"/>
        <v>0.33865419434681299</v>
      </c>
      <c r="AC106" s="7">
        <f t="shared" si="19"/>
        <v>-0.33426943591403846</v>
      </c>
      <c r="AD106" s="7">
        <f t="shared" si="20"/>
        <v>-2.91804807251436E-2</v>
      </c>
      <c r="AE106" s="7">
        <f t="shared" si="21"/>
        <v>3.7485240513741901E-3</v>
      </c>
      <c r="AF106" s="7">
        <f t="shared" si="22"/>
        <v>-9.7103567786222506E-15</v>
      </c>
      <c r="AG106" s="7">
        <f t="shared" si="22"/>
        <v>4.9158802652716801E-14</v>
      </c>
      <c r="AH106" s="7">
        <f t="shared" si="23"/>
        <v>9.2099098750308313E-3</v>
      </c>
      <c r="AI106" s="7">
        <f t="shared" si="16"/>
        <v>-0.21802496867216511</v>
      </c>
      <c r="AJ106" s="8">
        <f t="shared" si="24"/>
        <v>-0.33052091186266425</v>
      </c>
      <c r="AK106" s="8">
        <f t="shared" si="25"/>
        <v>0.21832333788870989</v>
      </c>
      <c r="AL106" s="8">
        <f t="shared" si="26"/>
        <v>-0.115037304573281</v>
      </c>
      <c r="AM106" s="8">
        <f t="shared" si="27"/>
        <v>9.2099098750308313E-3</v>
      </c>
      <c r="AN106" s="8">
        <f t="shared" si="28"/>
        <v>-0.2180249686722045</v>
      </c>
      <c r="AO106" s="9">
        <f t="shared" si="29"/>
        <v>1.1199539881883984</v>
      </c>
      <c r="AP106" s="9">
        <f t="shared" si="29"/>
        <v>-0.35775637272783356</v>
      </c>
      <c r="AQ106" s="9">
        <f t="shared" si="29"/>
        <v>0.25792960949411753</v>
      </c>
      <c r="AR106" s="9">
        <f t="shared" si="29"/>
        <v>-2.0127224954689434E-2</v>
      </c>
      <c r="AS106" s="9">
        <f t="shared" si="29"/>
        <v>1</v>
      </c>
      <c r="AT106" s="7"/>
      <c r="AU106" s="7"/>
      <c r="AV106" s="7"/>
      <c r="AW106" s="7"/>
      <c r="AX106" s="7"/>
    </row>
    <row r="107" spans="1:50" x14ac:dyDescent="0.25">
      <c r="A107" s="1">
        <v>48760</v>
      </c>
      <c r="B107">
        <v>-0.11367175575796901</v>
      </c>
      <c r="C107">
        <v>-9.0238871975629895E-2</v>
      </c>
      <c r="D107">
        <v>0.33526765076223403</v>
      </c>
      <c r="E107">
        <v>-2.8602122834723701E-2</v>
      </c>
      <c r="F107">
        <v>-6.1445556085276701E-2</v>
      </c>
      <c r="G107" s="2">
        <v>-9.4166817394148801E-15</v>
      </c>
      <c r="H107" s="2">
        <v>4.91383048443777E-14</v>
      </c>
      <c r="I107" s="2">
        <v>3.1733749867097499E-15</v>
      </c>
      <c r="J107" s="2">
        <v>-3.30275266229946E-16</v>
      </c>
      <c r="K107" s="2">
        <v>-5.2391706013474304E-16</v>
      </c>
      <c r="L107" s="2">
        <v>-7.6308740590811499E-16</v>
      </c>
      <c r="M107" s="2">
        <v>-1.14700047193768E-15</v>
      </c>
      <c r="N107" s="2">
        <v>-1.41652059606612E-15</v>
      </c>
      <c r="O107" s="2">
        <v>-1.6794630987480299E-15</v>
      </c>
      <c r="P107" s="2">
        <v>7.6534510328188703E-14</v>
      </c>
      <c r="Q107">
        <v>3.6101901815456198E-3</v>
      </c>
      <c r="R107">
        <v>0</v>
      </c>
      <c r="S107">
        <v>-0.26685919898840998</v>
      </c>
      <c r="T107">
        <v>9.1032860764344303E-3</v>
      </c>
      <c r="U107">
        <v>-0.21283637862168001</v>
      </c>
      <c r="V107">
        <f t="shared" si="17"/>
        <v>-0.21283637862168167</v>
      </c>
      <c r="Y107" s="1">
        <f t="shared" si="30"/>
        <v>48760</v>
      </c>
      <c r="Z107" s="7">
        <f t="shared" si="30"/>
        <v>-0.11367175575796901</v>
      </c>
      <c r="AA107" s="7">
        <f t="shared" si="30"/>
        <v>-9.0238871975629895E-2</v>
      </c>
      <c r="AB107" s="7">
        <f t="shared" si="30"/>
        <v>0.33526765076223403</v>
      </c>
      <c r="AC107" s="7">
        <f t="shared" si="19"/>
        <v>-0.32830475507368667</v>
      </c>
      <c r="AD107" s="7">
        <f t="shared" si="20"/>
        <v>-2.8602122834723701E-2</v>
      </c>
      <c r="AE107" s="7">
        <f t="shared" si="21"/>
        <v>3.6101901815456198E-3</v>
      </c>
      <c r="AF107" s="7">
        <f t="shared" si="22"/>
        <v>-9.4166817394148801E-15</v>
      </c>
      <c r="AG107" s="7">
        <f t="shared" si="22"/>
        <v>4.91383048443777E-14</v>
      </c>
      <c r="AH107" s="7">
        <f t="shared" si="23"/>
        <v>9.1032860765082775E-3</v>
      </c>
      <c r="AI107" s="7">
        <f t="shared" si="16"/>
        <v>-0.21283637862168162</v>
      </c>
      <c r="AJ107" s="8">
        <f t="shared" si="24"/>
        <v>-0.32469456489214105</v>
      </c>
      <c r="AK107" s="8">
        <f t="shared" si="25"/>
        <v>0.21642665595188043</v>
      </c>
      <c r="AL107" s="8">
        <f t="shared" si="26"/>
        <v>-0.11367175575796901</v>
      </c>
      <c r="AM107" s="8">
        <f t="shared" si="27"/>
        <v>9.1032860765082775E-3</v>
      </c>
      <c r="AN107" s="8">
        <f t="shared" si="28"/>
        <v>-0.21283637862172133</v>
      </c>
      <c r="AO107" s="9">
        <f t="shared" si="29"/>
        <v>1.1229152648089138</v>
      </c>
      <c r="AP107" s="9">
        <f t="shared" si="29"/>
        <v>-0.36554862079590156</v>
      </c>
      <c r="AQ107" s="9">
        <f t="shared" si="29"/>
        <v>0.26318302313840186</v>
      </c>
      <c r="AR107" s="9">
        <f t="shared" si="29"/>
        <v>-2.0549667151411367E-2</v>
      </c>
      <c r="AS107" s="9">
        <f t="shared" si="29"/>
        <v>1</v>
      </c>
      <c r="AT107" s="7"/>
      <c r="AU107" s="7"/>
      <c r="AV107" s="7"/>
      <c r="AW107" s="7"/>
      <c r="AX107" s="7"/>
    </row>
    <row r="108" spans="1:50" x14ac:dyDescent="0.25">
      <c r="A108" s="1">
        <v>48852</v>
      </c>
      <c r="B108">
        <v>-0.112323605211718</v>
      </c>
      <c r="C108">
        <v>-8.9336483255873594E-2</v>
      </c>
      <c r="D108">
        <v>0.33191497311142898</v>
      </c>
      <c r="E108">
        <v>-2.80280678972449E-2</v>
      </c>
      <c r="F108">
        <v>-5.82330513280791E-2</v>
      </c>
      <c r="G108" s="2">
        <v>-9.1307601672255195E-15</v>
      </c>
      <c r="H108" s="2">
        <v>4.9107997587547603E-14</v>
      </c>
      <c r="I108" s="2">
        <v>3.13157734353132E-15</v>
      </c>
      <c r="J108" s="2">
        <v>-3.26471162600616E-16</v>
      </c>
      <c r="K108" s="2">
        <v>-5.1819332686906396E-16</v>
      </c>
      <c r="L108" s="2">
        <v>-7.5495785475276304E-16</v>
      </c>
      <c r="M108" s="2">
        <v>-1.1350292621621799E-15</v>
      </c>
      <c r="N108" s="2">
        <v>-1.4017626090339E-15</v>
      </c>
      <c r="O108" s="2">
        <v>-1.6619058462992001E-15</v>
      </c>
      <c r="P108" s="2">
        <v>7.6189676290787001E-14</v>
      </c>
      <c r="Q108">
        <v>3.4811801618062502E-3</v>
      </c>
      <c r="R108">
        <v>0</v>
      </c>
      <c r="S108">
        <v>-0.26429034379870597</v>
      </c>
      <c r="T108">
        <v>8.9979568145667002E-3</v>
      </c>
      <c r="U108">
        <v>-0.20781744140370401</v>
      </c>
      <c r="V108">
        <f t="shared" si="17"/>
        <v>-0.20781744140370617</v>
      </c>
      <c r="Y108" s="1">
        <f t="shared" si="30"/>
        <v>48852</v>
      </c>
      <c r="Z108" s="7">
        <f t="shared" si="30"/>
        <v>-0.112323605211718</v>
      </c>
      <c r="AA108" s="7">
        <f t="shared" si="30"/>
        <v>-8.9336483255873594E-2</v>
      </c>
      <c r="AB108" s="7">
        <f t="shared" si="30"/>
        <v>0.33191497311142898</v>
      </c>
      <c r="AC108" s="7">
        <f t="shared" si="19"/>
        <v>-0.32252339512678507</v>
      </c>
      <c r="AD108" s="7">
        <f t="shared" si="20"/>
        <v>-2.80280678972449E-2</v>
      </c>
      <c r="AE108" s="7">
        <f t="shared" si="21"/>
        <v>3.4811801618062502E-3</v>
      </c>
      <c r="AF108" s="7">
        <f t="shared" si="22"/>
        <v>-9.1307601672255195E-15</v>
      </c>
      <c r="AG108" s="7">
        <f t="shared" si="22"/>
        <v>4.9107997587547603E-14</v>
      </c>
      <c r="AH108" s="7">
        <f t="shared" si="23"/>
        <v>8.997956814640223E-3</v>
      </c>
      <c r="AI108" s="7">
        <f t="shared" si="16"/>
        <v>-0.20781744140370614</v>
      </c>
      <c r="AJ108" s="8">
        <f t="shared" si="24"/>
        <v>-0.31904221496497881</v>
      </c>
      <c r="AK108" s="8">
        <f t="shared" si="25"/>
        <v>0.21455042195831048</v>
      </c>
      <c r="AL108" s="8">
        <f t="shared" si="26"/>
        <v>-0.112323605211718</v>
      </c>
      <c r="AM108" s="8">
        <f t="shared" si="27"/>
        <v>8.997956814640223E-3</v>
      </c>
      <c r="AN108" s="8">
        <f t="shared" si="28"/>
        <v>-0.20781744140374611</v>
      </c>
      <c r="AO108" s="9">
        <f t="shared" si="29"/>
        <v>1.1262045492257722</v>
      </c>
      <c r="AP108" s="9">
        <f t="shared" si="29"/>
        <v>-0.3738309351330914</v>
      </c>
      <c r="AQ108" s="9">
        <f t="shared" si="29"/>
        <v>0.26861275359704345</v>
      </c>
      <c r="AR108" s="9">
        <f t="shared" si="29"/>
        <v>-2.098636768972122E-2</v>
      </c>
      <c r="AS108" s="9">
        <f t="shared" si="29"/>
        <v>1</v>
      </c>
      <c r="AT108" s="7"/>
      <c r="AU108" s="7"/>
      <c r="AV108" s="7"/>
      <c r="AW108" s="7"/>
      <c r="AX108" s="7"/>
    </row>
    <row r="109" spans="1:50" x14ac:dyDescent="0.25">
      <c r="A109" s="1">
        <v>48944</v>
      </c>
      <c r="B109">
        <v>-0.110992614041399</v>
      </c>
      <c r="C109">
        <v>-8.8443118423314898E-2</v>
      </c>
      <c r="D109">
        <v>0.32859582258398401</v>
      </c>
      <c r="E109">
        <v>-2.7459292830663899E-2</v>
      </c>
      <c r="F109">
        <v>-5.5174003424089797E-2</v>
      </c>
      <c r="G109" s="2">
        <v>-8.8525096705522003E-15</v>
      </c>
      <c r="H109" s="2">
        <v>4.9068172614399703E-14</v>
      </c>
      <c r="I109" s="2">
        <v>3.09068069873689E-15</v>
      </c>
      <c r="J109" s="2">
        <v>-3.2268951767395602E-16</v>
      </c>
      <c r="K109" s="2">
        <v>-5.1252861584273303E-16</v>
      </c>
      <c r="L109" s="2">
        <v>-7.4692387436313998E-16</v>
      </c>
      <c r="M109" s="2">
        <v>-1.12320110938059E-15</v>
      </c>
      <c r="N109" s="2">
        <v>-1.38718595378427E-15</v>
      </c>
      <c r="O109" s="2">
        <v>-1.64456883245071E-15</v>
      </c>
      <c r="P109" s="2">
        <v>7.5842994802076798E-14</v>
      </c>
      <c r="Q109">
        <v>3.3605611945353598E-3</v>
      </c>
      <c r="R109">
        <v>0</v>
      </c>
      <c r="S109">
        <v>-0.26174478241906202</v>
      </c>
      <c r="T109">
        <v>8.8939052403683508E-3</v>
      </c>
      <c r="U109">
        <v>-0.20296352211952701</v>
      </c>
      <c r="V109">
        <f t="shared" si="17"/>
        <v>-0.20296352211952851</v>
      </c>
      <c r="Y109" s="1">
        <f t="shared" si="30"/>
        <v>48944</v>
      </c>
      <c r="Z109" s="7">
        <f t="shared" si="30"/>
        <v>-0.110992614041399</v>
      </c>
      <c r="AA109" s="7">
        <f t="shared" si="30"/>
        <v>-8.8443118423314898E-2</v>
      </c>
      <c r="AB109" s="7">
        <f t="shared" si="30"/>
        <v>0.32859582258398401</v>
      </c>
      <c r="AC109" s="7">
        <f t="shared" si="19"/>
        <v>-0.31691878584315181</v>
      </c>
      <c r="AD109" s="7">
        <f t="shared" si="20"/>
        <v>-2.7459292830663899E-2</v>
      </c>
      <c r="AE109" s="7">
        <f t="shared" si="21"/>
        <v>3.3605611945353598E-3</v>
      </c>
      <c r="AF109" s="7">
        <f t="shared" si="22"/>
        <v>-8.8525096705522003E-15</v>
      </c>
      <c r="AG109" s="7">
        <f t="shared" si="22"/>
        <v>4.9068172614399703E-14</v>
      </c>
      <c r="AH109" s="7">
        <f t="shared" si="23"/>
        <v>8.8939052404415492E-3</v>
      </c>
      <c r="AI109" s="7">
        <f t="shared" si="16"/>
        <v>-0.20296352211952845</v>
      </c>
      <c r="AJ109" s="8">
        <f t="shared" si="24"/>
        <v>-0.31355822464861643</v>
      </c>
      <c r="AK109" s="8">
        <f t="shared" si="25"/>
        <v>0.21269341133000522</v>
      </c>
      <c r="AL109" s="8">
        <f t="shared" si="26"/>
        <v>-0.110992614041399</v>
      </c>
      <c r="AM109" s="8">
        <f t="shared" si="27"/>
        <v>8.8939052404415492E-3</v>
      </c>
      <c r="AN109" s="8">
        <f t="shared" si="28"/>
        <v>-0.2029635221195687</v>
      </c>
      <c r="AO109" s="9">
        <f t="shared" si="29"/>
        <v>1.1298066562908937</v>
      </c>
      <c r="AP109" s="9">
        <f t="shared" si="29"/>
        <v>-0.38257962680975344</v>
      </c>
      <c r="AQ109" s="9">
        <f t="shared" si="29"/>
        <v>0.27420958042250576</v>
      </c>
      <c r="AR109" s="9">
        <f t="shared" si="29"/>
        <v>-2.1436609903641452E-2</v>
      </c>
      <c r="AS109" s="9">
        <f t="shared" si="29"/>
        <v>1</v>
      </c>
      <c r="AT109" s="7"/>
      <c r="AU109" s="7"/>
      <c r="AV109" s="7"/>
      <c r="AW109" s="7"/>
      <c r="AX109" s="7"/>
    </row>
    <row r="110" spans="1:50" x14ac:dyDescent="0.25">
      <c r="A110" s="1">
        <v>49034</v>
      </c>
      <c r="B110">
        <v>-0.10967854584075599</v>
      </c>
      <c r="C110">
        <v>-8.7558687239081806E-2</v>
      </c>
      <c r="D110">
        <v>0.32530986380342802</v>
      </c>
      <c r="E110">
        <v>-2.6896626583372801E-2</v>
      </c>
      <c r="F110">
        <v>-5.2262110768635503E-2</v>
      </c>
      <c r="G110" s="2">
        <v>-8.5818279078110503E-15</v>
      </c>
      <c r="H110" s="2">
        <v>4.9019118510812298E-14</v>
      </c>
      <c r="I110" s="2">
        <v>3.0506218524989298E-15</v>
      </c>
      <c r="J110" s="2">
        <v>-3.1893566801220502E-16</v>
      </c>
      <c r="K110" s="2">
        <v>-5.0692486372583697E-16</v>
      </c>
      <c r="L110" s="2">
        <v>-7.3898499997609901E-16</v>
      </c>
      <c r="M110" s="2">
        <v>-1.11151343164569E-15</v>
      </c>
      <c r="N110" s="2">
        <v>-1.3727863131273799E-15</v>
      </c>
      <c r="O110" s="2">
        <v>-1.6274462141057399E-15</v>
      </c>
      <c r="P110" s="2">
        <v>7.5494569902509994E-14</v>
      </c>
      <c r="Q110">
        <v>3.24750544992635E-3</v>
      </c>
      <c r="R110">
        <v>0</v>
      </c>
      <c r="S110">
        <v>-0.25922234214458101</v>
      </c>
      <c r="T110">
        <v>8.7911147403027697E-3</v>
      </c>
      <c r="U110">
        <v>-0.19826982858265499</v>
      </c>
      <c r="V110">
        <f t="shared" si="17"/>
        <v>-0.19826982858265665</v>
      </c>
      <c r="Y110" s="1">
        <f t="shared" si="30"/>
        <v>49034</v>
      </c>
      <c r="Z110" s="7">
        <f t="shared" si="30"/>
        <v>-0.10967854584075599</v>
      </c>
      <c r="AA110" s="7">
        <f t="shared" si="30"/>
        <v>-8.7558687239081806E-2</v>
      </c>
      <c r="AB110" s="7">
        <f t="shared" si="30"/>
        <v>0.32530986380342802</v>
      </c>
      <c r="AC110" s="7">
        <f t="shared" si="19"/>
        <v>-0.31148445291321653</v>
      </c>
      <c r="AD110" s="7">
        <f t="shared" si="20"/>
        <v>-2.6896626583372801E-2</v>
      </c>
      <c r="AE110" s="7">
        <f t="shared" si="21"/>
        <v>3.24750544992635E-3</v>
      </c>
      <c r="AF110" s="7">
        <f t="shared" si="22"/>
        <v>-8.5818279078110503E-15</v>
      </c>
      <c r="AG110" s="7">
        <f t="shared" si="22"/>
        <v>4.9019118510812298E-14</v>
      </c>
      <c r="AH110" s="7">
        <f t="shared" si="23"/>
        <v>8.7911147403756402E-3</v>
      </c>
      <c r="AI110" s="7">
        <f t="shared" si="16"/>
        <v>-0.19826982858265668</v>
      </c>
      <c r="AJ110" s="8">
        <f t="shared" si="24"/>
        <v>-0.30823694746329017</v>
      </c>
      <c r="AK110" s="8">
        <f t="shared" si="25"/>
        <v>0.21085454998097342</v>
      </c>
      <c r="AL110" s="8">
        <f t="shared" si="26"/>
        <v>-0.10967854584075599</v>
      </c>
      <c r="AM110" s="8">
        <f t="shared" si="27"/>
        <v>8.7911147403756402E-3</v>
      </c>
      <c r="AN110" s="8">
        <f t="shared" si="28"/>
        <v>-0.19826982858269709</v>
      </c>
      <c r="AO110" s="9">
        <f t="shared" si="29"/>
        <v>1.1337078451169944</v>
      </c>
      <c r="AP110" s="9">
        <f t="shared" si="29"/>
        <v>-0.39177277651097392</v>
      </c>
      <c r="AQ110" s="9">
        <f t="shared" si="29"/>
        <v>0.27996463559460355</v>
      </c>
      <c r="AR110" s="9">
        <f t="shared" si="29"/>
        <v>-2.1899704200632579E-2</v>
      </c>
      <c r="AS110" s="9">
        <f t="shared" si="29"/>
        <v>1</v>
      </c>
      <c r="AT110" s="7"/>
      <c r="AU110" s="7"/>
      <c r="AV110" s="7"/>
      <c r="AW110" s="7"/>
      <c r="AX110" s="7"/>
    </row>
    <row r="111" spans="1:50" x14ac:dyDescent="0.25">
      <c r="A111" s="1">
        <v>49125</v>
      </c>
      <c r="B111">
        <v>-0.108381166843209</v>
      </c>
      <c r="C111">
        <v>-8.6683100366690996E-2</v>
      </c>
      <c r="D111">
        <v>0.32205676477898298</v>
      </c>
      <c r="E111">
        <v>-2.6340767927957798E-2</v>
      </c>
      <c r="F111">
        <v>-4.9491191269316802E-2</v>
      </c>
      <c r="G111" s="2">
        <v>-8.3185954099184396E-15</v>
      </c>
      <c r="H111" s="2">
        <v>4.8961120239837502E-14</v>
      </c>
      <c r="I111" s="2">
        <v>3.0113440336226999E-15</v>
      </c>
      <c r="J111" s="2">
        <v>-3.1521417034352101E-16</v>
      </c>
      <c r="K111" s="2">
        <v>-5.0138358828762202E-16</v>
      </c>
      <c r="L111" s="2">
        <v>-7.3114058475689799E-16</v>
      </c>
      <c r="M111" s="2">
        <v>-1.0999636703654699E-15</v>
      </c>
      <c r="N111" s="2">
        <v>-1.3585595403487199E-15</v>
      </c>
      <c r="O111" s="2">
        <v>-1.61053243345693E-15</v>
      </c>
      <c r="P111" s="2">
        <v>7.5144503136161897E-14</v>
      </c>
      <c r="Q111">
        <v>3.1412780235673399E-3</v>
      </c>
      <c r="R111">
        <v>0</v>
      </c>
      <c r="S111">
        <v>-0.256722850165223</v>
      </c>
      <c r="T111">
        <v>8.6895689328549096E-3</v>
      </c>
      <c r="U111">
        <v>-0.193731464836878</v>
      </c>
      <c r="V111">
        <f t="shared" si="17"/>
        <v>-0.19373146483687917</v>
      </c>
      <c r="Y111" s="1">
        <f t="shared" si="30"/>
        <v>49125</v>
      </c>
      <c r="Z111" s="7">
        <f t="shared" si="30"/>
        <v>-0.108381166843209</v>
      </c>
      <c r="AA111" s="7">
        <f t="shared" si="30"/>
        <v>-8.6683100366690996E-2</v>
      </c>
      <c r="AB111" s="7">
        <f t="shared" si="30"/>
        <v>0.32205676477898298</v>
      </c>
      <c r="AC111" s="7">
        <f t="shared" si="19"/>
        <v>-0.30621404143453979</v>
      </c>
      <c r="AD111" s="7">
        <f t="shared" si="20"/>
        <v>-2.6340767927957798E-2</v>
      </c>
      <c r="AE111" s="7">
        <f t="shared" si="21"/>
        <v>3.1412780235673399E-3</v>
      </c>
      <c r="AF111" s="7">
        <f t="shared" si="22"/>
        <v>-8.3185954099184396E-15</v>
      </c>
      <c r="AG111" s="7">
        <f t="shared" si="22"/>
        <v>4.8961120239837502E-14</v>
      </c>
      <c r="AH111" s="7">
        <f t="shared" si="23"/>
        <v>8.6895689329274505E-3</v>
      </c>
      <c r="AI111" s="7">
        <f t="shared" si="16"/>
        <v>-0.1937314648368792</v>
      </c>
      <c r="AJ111" s="8">
        <f t="shared" si="24"/>
        <v>-0.30307276341097245</v>
      </c>
      <c r="AK111" s="8">
        <f t="shared" si="25"/>
        <v>0.20903289648433418</v>
      </c>
      <c r="AL111" s="8">
        <f t="shared" si="26"/>
        <v>-0.108381166843209</v>
      </c>
      <c r="AM111" s="8">
        <f t="shared" si="27"/>
        <v>8.6895689329274505E-3</v>
      </c>
      <c r="AN111" s="8">
        <f t="shared" si="28"/>
        <v>-0.19373146483691983</v>
      </c>
      <c r="AO111" s="9">
        <f t="shared" si="29"/>
        <v>1.1378955812263298</v>
      </c>
      <c r="AP111" s="9">
        <f t="shared" si="29"/>
        <v>-0.40138992788627847</v>
      </c>
      <c r="AQ111" s="9">
        <f t="shared" si="29"/>
        <v>0.28586932873199999</v>
      </c>
      <c r="AR111" s="9">
        <f t="shared" si="29"/>
        <v>-2.2374982072045971E-2</v>
      </c>
      <c r="AS111" s="9">
        <f t="shared" si="29"/>
        <v>1</v>
      </c>
      <c r="AT111" s="7"/>
      <c r="AU111" s="7"/>
      <c r="AV111" s="7"/>
      <c r="AW111" s="7"/>
      <c r="AX111" s="7"/>
    </row>
    <row r="112" spans="1:50" x14ac:dyDescent="0.25">
      <c r="A112" s="1">
        <v>49217</v>
      </c>
      <c r="B112">
        <v>-0.10710024604250699</v>
      </c>
      <c r="C112">
        <v>-8.5816269363024097E-2</v>
      </c>
      <c r="D112">
        <v>0.31883619686202302</v>
      </c>
      <c r="E112">
        <v>-2.5792301230556602E-2</v>
      </c>
      <c r="F112">
        <v>-4.6855201245882799E-2</v>
      </c>
      <c r="G112" s="2">
        <v>-8.0626782269427E-15</v>
      </c>
      <c r="H112" s="2">
        <v>4.8894458724961E-14</v>
      </c>
      <c r="I112" s="2">
        <v>2.9727964524840401E-15</v>
      </c>
      <c r="J112" s="2">
        <v>-3.1152886555993802E-16</v>
      </c>
      <c r="K112" s="2">
        <v>-4.9590592961292296E-16</v>
      </c>
      <c r="L112" s="2">
        <v>-7.2338982667701498E-16</v>
      </c>
      <c r="M112" s="2">
        <v>-1.0885493031695E-15</v>
      </c>
      <c r="N112" s="2">
        <v>-1.3445016644158699E-15</v>
      </c>
      <c r="O112" s="2">
        <v>-1.59382221818887E-15</v>
      </c>
      <c r="P112" s="2">
        <v>7.4792893489774396E-14</v>
      </c>
      <c r="Q112">
        <v>3.0412262651582302E-3</v>
      </c>
      <c r="R112">
        <v>0</v>
      </c>
      <c r="S112">
        <v>-0.25424613365771698</v>
      </c>
      <c r="T112">
        <v>8.5892516651530793E-3</v>
      </c>
      <c r="U112">
        <v>-0.189343476747239</v>
      </c>
      <c r="V112">
        <f t="shared" si="17"/>
        <v>-0.18934347674724009</v>
      </c>
      <c r="Y112" s="1">
        <f t="shared" si="30"/>
        <v>49217</v>
      </c>
      <c r="Z112" s="7">
        <f t="shared" si="30"/>
        <v>-0.10710024604250699</v>
      </c>
      <c r="AA112" s="7">
        <f t="shared" si="30"/>
        <v>-8.5816269363024097E-2</v>
      </c>
      <c r="AB112" s="7">
        <f t="shared" si="30"/>
        <v>0.31883619686202302</v>
      </c>
      <c r="AC112" s="7">
        <f t="shared" si="19"/>
        <v>-0.3011013349035998</v>
      </c>
      <c r="AD112" s="7">
        <f t="shared" si="20"/>
        <v>-2.5792301230556602E-2</v>
      </c>
      <c r="AE112" s="7">
        <f t="shared" si="21"/>
        <v>3.0412262651582302E-3</v>
      </c>
      <c r="AF112" s="7">
        <f t="shared" si="22"/>
        <v>-8.0626782269427E-15</v>
      </c>
      <c r="AG112" s="7">
        <f t="shared" si="22"/>
        <v>4.8894458724961E-14</v>
      </c>
      <c r="AH112" s="7">
        <f t="shared" si="23"/>
        <v>8.5892516652252855E-3</v>
      </c>
      <c r="AI112" s="7">
        <f t="shared" si="16"/>
        <v>-0.18934347674724009</v>
      </c>
      <c r="AJ112" s="8">
        <f t="shared" si="24"/>
        <v>-0.29806010863844157</v>
      </c>
      <c r="AK112" s="8">
        <f t="shared" si="25"/>
        <v>0.20722762626844232</v>
      </c>
      <c r="AL112" s="8">
        <f t="shared" si="26"/>
        <v>-0.10710024604250699</v>
      </c>
      <c r="AM112" s="8">
        <f t="shared" si="27"/>
        <v>8.5892516652252855E-3</v>
      </c>
      <c r="AN112" s="8">
        <f t="shared" si="28"/>
        <v>-0.18934347674728097</v>
      </c>
      <c r="AO112" s="9">
        <f t="shared" si="29"/>
        <v>1.1423583360144052</v>
      </c>
      <c r="AP112" s="9">
        <f t="shared" si="29"/>
        <v>-0.41141183134807335</v>
      </c>
      <c r="AQ112" s="9">
        <f t="shared" si="29"/>
        <v>0.29191528658124311</v>
      </c>
      <c r="AR112" s="9">
        <f t="shared" si="29"/>
        <v>-2.2861791247574089E-2</v>
      </c>
      <c r="AS112" s="9">
        <f t="shared" si="29"/>
        <v>1</v>
      </c>
      <c r="AT112" s="7"/>
      <c r="AU112" s="7"/>
      <c r="AV112" s="7"/>
      <c r="AW112" s="7"/>
      <c r="AX112" s="7"/>
    </row>
    <row r="113" spans="1:50" x14ac:dyDescent="0.25">
      <c r="A113" s="1">
        <v>49309</v>
      </c>
      <c r="B113">
        <v>-0.105835555286471</v>
      </c>
      <c r="C113">
        <v>-8.4958106669393796E-2</v>
      </c>
      <c r="D113">
        <v>0.31564783470590202</v>
      </c>
      <c r="E113">
        <v>-2.5251710416830699E-2</v>
      </c>
      <c r="F113">
        <v>-4.4348250436249202E-2</v>
      </c>
      <c r="G113" s="2">
        <v>-7.8139303873628801E-15</v>
      </c>
      <c r="H113" s="2">
        <v>4.8819410490621898E-14</v>
      </c>
      <c r="I113" s="2">
        <v>2.9349338430190198E-15</v>
      </c>
      <c r="J113" s="2">
        <v>-3.0788294257525501E-16</v>
      </c>
      <c r="K113" s="2">
        <v>-4.9049268998689595E-16</v>
      </c>
      <c r="L113" s="2">
        <v>-7.1573179321512003E-16</v>
      </c>
      <c r="M113" s="2">
        <v>-1.0772678542087899E-15</v>
      </c>
      <c r="N113" s="2">
        <v>-1.33060889188503E-15</v>
      </c>
      <c r="O113" s="2">
        <v>-1.57731057763867E-15</v>
      </c>
      <c r="P113" s="2">
        <v>7.4439837354366902E-14</v>
      </c>
      <c r="Q113">
        <v>2.9467703257248798E-3</v>
      </c>
      <c r="R113">
        <v>0</v>
      </c>
      <c r="S113">
        <v>-0.25179201986882699</v>
      </c>
      <c r="T113">
        <v>8.4901470096382398E-3</v>
      </c>
      <c r="U113">
        <v>-0.18510089063639401</v>
      </c>
      <c r="V113">
        <f t="shared" si="17"/>
        <v>-0.18510089063639362</v>
      </c>
      <c r="Y113" s="1">
        <f t="shared" si="30"/>
        <v>49309</v>
      </c>
      <c r="Z113" s="7">
        <f t="shared" si="30"/>
        <v>-0.105835555286471</v>
      </c>
      <c r="AA113" s="7">
        <f t="shared" si="30"/>
        <v>-8.4958106669393796E-2</v>
      </c>
      <c r="AB113" s="7">
        <f t="shared" si="30"/>
        <v>0.31564783470590202</v>
      </c>
      <c r="AC113" s="7">
        <f t="shared" si="19"/>
        <v>-0.29614027030507617</v>
      </c>
      <c r="AD113" s="7">
        <f t="shared" si="20"/>
        <v>-2.5251710416830699E-2</v>
      </c>
      <c r="AE113" s="7">
        <f t="shared" si="21"/>
        <v>2.9467703257248798E-3</v>
      </c>
      <c r="AF113" s="7">
        <f t="shared" si="22"/>
        <v>-7.8139303873628801E-15</v>
      </c>
      <c r="AG113" s="7">
        <f t="shared" si="22"/>
        <v>4.8819410490621898E-14</v>
      </c>
      <c r="AH113" s="7">
        <f t="shared" si="23"/>
        <v>8.4901470097101164E-3</v>
      </c>
      <c r="AI113" s="7">
        <f t="shared" si="16"/>
        <v>-0.18510089063639362</v>
      </c>
      <c r="AJ113" s="8">
        <f t="shared" si="24"/>
        <v>-0.29319349997935129</v>
      </c>
      <c r="AK113" s="8">
        <f t="shared" si="25"/>
        <v>0.20543801761967753</v>
      </c>
      <c r="AL113" s="8">
        <f t="shared" si="26"/>
        <v>-0.105835555286471</v>
      </c>
      <c r="AM113" s="8">
        <f t="shared" si="27"/>
        <v>8.4901470097101164E-3</v>
      </c>
      <c r="AN113" s="8">
        <f t="shared" si="28"/>
        <v>-0.18510089063643465</v>
      </c>
      <c r="AO113" s="9">
        <f t="shared" si="29"/>
        <v>1.1470854172290377</v>
      </c>
      <c r="AP113" s="9">
        <f t="shared" si="29"/>
        <v>-0.42182022992758844</v>
      </c>
      <c r="AQ113" s="9">
        <f t="shared" si="29"/>
        <v>0.2980943045098764</v>
      </c>
      <c r="AR113" s="9">
        <f t="shared" si="29"/>
        <v>-2.3359491811328108E-2</v>
      </c>
      <c r="AS113" s="9">
        <f t="shared" si="29"/>
        <v>1</v>
      </c>
      <c r="AT113" s="7"/>
      <c r="AU113" s="7"/>
      <c r="AV113" s="7"/>
      <c r="AW113" s="7"/>
      <c r="AX113" s="7"/>
    </row>
    <row r="114" spans="1:50" x14ac:dyDescent="0.25">
      <c r="A114" s="1">
        <v>49399</v>
      </c>
      <c r="B114">
        <v>-0.104586869348192</v>
      </c>
      <c r="C114">
        <v>-8.4108525602699893E-2</v>
      </c>
      <c r="D114">
        <v>0.31249135622823099</v>
      </c>
      <c r="E114">
        <v>-2.4719391333073101E-2</v>
      </c>
      <c r="F114">
        <v>-4.1964613633090099E-2</v>
      </c>
      <c r="G114" s="2">
        <v>-7.5721961635811794E-15</v>
      </c>
      <c r="H114" s="2">
        <v>4.8736247356905301E-14</v>
      </c>
      <c r="I114" s="2">
        <v>2.89771600433121E-15</v>
      </c>
      <c r="J114" s="2">
        <v>-3.0427900089491499E-16</v>
      </c>
      <c r="K114" s="2">
        <v>-4.8514437198093301E-16</v>
      </c>
      <c r="L114" s="2">
        <v>-7.0816544385900999E-16</v>
      </c>
      <c r="M114" s="2">
        <v>-1.06611690220398E-15</v>
      </c>
      <c r="N114" s="2">
        <v>-1.31687760611954E-15</v>
      </c>
      <c r="O114" s="2">
        <v>-1.56099279577771E-15</v>
      </c>
      <c r="P114" s="2">
        <v>7.4085428506478797E-14</v>
      </c>
      <c r="Q114">
        <v>2.8573947869310998E-3</v>
      </c>
      <c r="R114">
        <v>0</v>
      </c>
      <c r="S114">
        <v>-0.24936033619091</v>
      </c>
      <c r="T114">
        <v>8.3922392607805596E-3</v>
      </c>
      <c r="U114">
        <v>-0.180998745831909</v>
      </c>
      <c r="V114">
        <f t="shared" si="17"/>
        <v>-0.18099874583190972</v>
      </c>
      <c r="Y114" s="1">
        <f t="shared" si="30"/>
        <v>49399</v>
      </c>
      <c r="Z114" s="7">
        <f t="shared" si="30"/>
        <v>-0.104586869348192</v>
      </c>
      <c r="AA114" s="7">
        <f t="shared" si="30"/>
        <v>-8.4108525602699893E-2</v>
      </c>
      <c r="AB114" s="7">
        <f t="shared" si="30"/>
        <v>0.31249135622823099</v>
      </c>
      <c r="AC114" s="7">
        <f t="shared" si="19"/>
        <v>-0.29132494982400009</v>
      </c>
      <c r="AD114" s="7">
        <f t="shared" si="20"/>
        <v>-2.4719391333073101E-2</v>
      </c>
      <c r="AE114" s="7">
        <f t="shared" si="21"/>
        <v>2.8573947869310998E-3</v>
      </c>
      <c r="AF114" s="7">
        <f t="shared" si="22"/>
        <v>-7.5721961635811794E-15</v>
      </c>
      <c r="AG114" s="7">
        <f t="shared" si="22"/>
        <v>4.8736247356905301E-14</v>
      </c>
      <c r="AH114" s="7">
        <f t="shared" si="23"/>
        <v>8.3922392608520996E-3</v>
      </c>
      <c r="AI114" s="7">
        <f t="shared" si="16"/>
        <v>-0.18099874583190972</v>
      </c>
      <c r="AJ114" s="8">
        <f t="shared" si="24"/>
        <v>-0.288467555037069</v>
      </c>
      <c r="AK114" s="8">
        <f t="shared" si="25"/>
        <v>0.203663439292458</v>
      </c>
      <c r="AL114" s="8">
        <f t="shared" si="26"/>
        <v>-0.104586869348192</v>
      </c>
      <c r="AM114" s="8">
        <f t="shared" si="27"/>
        <v>8.3922392608520996E-3</v>
      </c>
      <c r="AN114" s="8">
        <f t="shared" si="28"/>
        <v>-0.18099874583195091</v>
      </c>
      <c r="AO114" s="9">
        <f t="shared" si="29"/>
        <v>1.1520668254120945</v>
      </c>
      <c r="AP114" s="9">
        <f t="shared" si="29"/>
        <v>-0.43259768043289848</v>
      </c>
      <c r="AQ114" s="9">
        <f t="shared" si="29"/>
        <v>0.30439830815190999</v>
      </c>
      <c r="AR114" s="9">
        <f t="shared" si="29"/>
        <v>-2.3867453131103885E-2</v>
      </c>
      <c r="AS114" s="9">
        <f t="shared" si="29"/>
        <v>1</v>
      </c>
      <c r="AT114" s="7"/>
      <c r="AU114" s="7"/>
      <c r="AV114" s="7"/>
      <c r="AW114" s="7"/>
      <c r="AX114" s="7"/>
    </row>
    <row r="115" spans="1:50" x14ac:dyDescent="0.25">
      <c r="A115" s="1">
        <v>49490</v>
      </c>
      <c r="B115">
        <v>-0.103353965978325</v>
      </c>
      <c r="C115">
        <v>-8.3267440346672897E-2</v>
      </c>
      <c r="D115">
        <v>0.30936644257496598</v>
      </c>
      <c r="E115">
        <v>-2.4195662680424699E-2</v>
      </c>
      <c r="F115">
        <v>-3.9698739415111303E-2</v>
      </c>
      <c r="G115" s="2">
        <v>-7.3373121416403098E-15</v>
      </c>
      <c r="H115" s="2">
        <v>4.8645236184937401E-14</v>
      </c>
      <c r="I115" s="2">
        <v>2.86110735023085E-15</v>
      </c>
      <c r="J115" s="2">
        <v>-3.0071911102104599E-16</v>
      </c>
      <c r="K115" s="2">
        <v>-4.7986121440816396E-16</v>
      </c>
      <c r="L115" s="2">
        <v>-7.0068965043482005E-16</v>
      </c>
      <c r="M115" s="2">
        <v>-1.05509408653488E-15</v>
      </c>
      <c r="N115" s="2">
        <v>-1.3033043643559301E-15</v>
      </c>
      <c r="O115" s="2">
        <v>-1.54486442175799E-15</v>
      </c>
      <c r="P115" s="2">
        <v>7.3729758106338297E-14</v>
      </c>
      <c r="Q115">
        <v>2.7726412507621599E-3</v>
      </c>
      <c r="R115">
        <v>0</v>
      </c>
      <c r="S115">
        <v>-0.24695091023056101</v>
      </c>
      <c r="T115">
        <v>8.2955129318428092E-3</v>
      </c>
      <c r="U115">
        <v>-0.177032121893411</v>
      </c>
      <c r="V115">
        <f t="shared" si="17"/>
        <v>-0.17703212189341144</v>
      </c>
      <c r="Y115" s="1">
        <f t="shared" si="30"/>
        <v>49490</v>
      </c>
      <c r="Z115" s="7">
        <f t="shared" si="30"/>
        <v>-0.103353965978325</v>
      </c>
      <c r="AA115" s="7">
        <f t="shared" si="30"/>
        <v>-8.3267440346672897E-2</v>
      </c>
      <c r="AB115" s="7">
        <f t="shared" si="30"/>
        <v>0.30936644257496598</v>
      </c>
      <c r="AC115" s="7">
        <f t="shared" si="19"/>
        <v>-0.2866496496456723</v>
      </c>
      <c r="AD115" s="7">
        <f t="shared" si="20"/>
        <v>-2.4195662680424699E-2</v>
      </c>
      <c r="AE115" s="7">
        <f t="shared" si="21"/>
        <v>2.7726412507621599E-3</v>
      </c>
      <c r="AF115" s="7">
        <f t="shared" si="22"/>
        <v>-7.3373121416403098E-15</v>
      </c>
      <c r="AG115" s="7">
        <f t="shared" si="22"/>
        <v>4.8645236184937401E-14</v>
      </c>
      <c r="AH115" s="7">
        <f t="shared" si="23"/>
        <v>8.2955129319140144E-3</v>
      </c>
      <c r="AI115" s="7">
        <f t="shared" si="16"/>
        <v>-0.17703212189341141</v>
      </c>
      <c r="AJ115" s="8">
        <f t="shared" si="24"/>
        <v>-0.28387700839491015</v>
      </c>
      <c r="AK115" s="8">
        <f t="shared" si="25"/>
        <v>0.2019033395478684</v>
      </c>
      <c r="AL115" s="8">
        <f t="shared" si="26"/>
        <v>-0.103353965978325</v>
      </c>
      <c r="AM115" s="8">
        <f t="shared" si="27"/>
        <v>8.2955129319140144E-3</v>
      </c>
      <c r="AN115" s="8">
        <f t="shared" si="28"/>
        <v>-0.17703212189345272</v>
      </c>
      <c r="AO115" s="9">
        <f t="shared" si="29"/>
        <v>1.157293132228935</v>
      </c>
      <c r="AP115" s="9">
        <f t="shared" si="29"/>
        <v>-0.44372740443249331</v>
      </c>
      <c r="AQ115" s="9">
        <f t="shared" si="29"/>
        <v>0.31081932368254567</v>
      </c>
      <c r="AR115" s="9">
        <f t="shared" si="29"/>
        <v>-2.4385051478993169E-2</v>
      </c>
      <c r="AS115" s="9">
        <f t="shared" si="29"/>
        <v>1</v>
      </c>
      <c r="AT115" s="7"/>
      <c r="AU115" s="7"/>
      <c r="AV115" s="7"/>
      <c r="AW115" s="7"/>
      <c r="AX115" s="7"/>
    </row>
    <row r="116" spans="1:50" x14ac:dyDescent="0.25">
      <c r="A116" s="1">
        <v>49582</v>
      </c>
      <c r="B116">
        <v>-0.102136625941502</v>
      </c>
      <c r="C116">
        <v>-8.2434765943206104E-2</v>
      </c>
      <c r="D116">
        <v>0.30627277808583803</v>
      </c>
      <c r="E116">
        <v>-2.3680775681461E-2</v>
      </c>
      <c r="F116">
        <v>-3.7545256382810401E-2</v>
      </c>
      <c r="G116" s="2">
        <v>-7.1091090966584296E-15</v>
      </c>
      <c r="H116" s="2">
        <v>4.8546638669272702E-14</v>
      </c>
      <c r="I116" s="2">
        <v>2.8250764730937598E-15</v>
      </c>
      <c r="J116" s="2">
        <v>-2.9720487204516902E-16</v>
      </c>
      <c r="K116" s="2">
        <v>-4.7464322592913198E-16</v>
      </c>
      <c r="L116" s="2">
        <v>-6.9330321532684298E-16</v>
      </c>
      <c r="M116" s="2">
        <v>-1.04419711164064E-15</v>
      </c>
      <c r="N116" s="2">
        <v>-1.28988589308251E-15</v>
      </c>
      <c r="O116" s="2">
        <v>-1.5289212586567801E-15</v>
      </c>
      <c r="P116" s="2">
        <v>7.3372914710484305E-14</v>
      </c>
      <c r="Q116">
        <v>2.6921017810743802E-3</v>
      </c>
      <c r="R116">
        <v>0</v>
      </c>
      <c r="S116">
        <v>-0.24456356987109501</v>
      </c>
      <c r="T116">
        <v>8.1999527516893895E-3</v>
      </c>
      <c r="U116">
        <v>-0.17319616120136</v>
      </c>
      <c r="V116">
        <f t="shared" si="17"/>
        <v>-0.17319616120136044</v>
      </c>
      <c r="Y116" s="1">
        <f t="shared" si="30"/>
        <v>49582</v>
      </c>
      <c r="Z116" s="7">
        <f t="shared" si="30"/>
        <v>-0.102136625941502</v>
      </c>
      <c r="AA116" s="7">
        <f t="shared" si="30"/>
        <v>-8.2434765943206104E-2</v>
      </c>
      <c r="AB116" s="7">
        <f t="shared" si="30"/>
        <v>0.30627277808583803</v>
      </c>
      <c r="AC116" s="7">
        <f t="shared" si="19"/>
        <v>-0.28210882625390543</v>
      </c>
      <c r="AD116" s="7">
        <f t="shared" si="20"/>
        <v>-2.3680775681461E-2</v>
      </c>
      <c r="AE116" s="7">
        <f t="shared" si="21"/>
        <v>2.6921017810743802E-3</v>
      </c>
      <c r="AF116" s="7">
        <f t="shared" si="22"/>
        <v>-7.1091090966584296E-15</v>
      </c>
      <c r="AG116" s="7">
        <f t="shared" si="22"/>
        <v>4.8546638669272702E-14</v>
      </c>
      <c r="AH116" s="7">
        <f t="shared" si="23"/>
        <v>8.1999527517602599E-3</v>
      </c>
      <c r="AI116" s="7">
        <f t="shared" si="16"/>
        <v>-0.17319616120136044</v>
      </c>
      <c r="AJ116" s="8">
        <f t="shared" si="24"/>
        <v>-0.27941672447283106</v>
      </c>
      <c r="AK116" s="8">
        <f t="shared" si="25"/>
        <v>0.20015723646117095</v>
      </c>
      <c r="AL116" s="8">
        <f t="shared" si="26"/>
        <v>-0.102136625941502</v>
      </c>
      <c r="AM116" s="8">
        <f t="shared" si="27"/>
        <v>8.1999527517602599E-3</v>
      </c>
      <c r="AN116" s="8">
        <f t="shared" si="28"/>
        <v>-0.17319616120140185</v>
      </c>
      <c r="AO116" s="9">
        <f t="shared" si="29"/>
        <v>1.162755377374433</v>
      </c>
      <c r="AP116" s="9">
        <f t="shared" si="29"/>
        <v>-0.45519316460042136</v>
      </c>
      <c r="AQ116" s="9">
        <f t="shared" si="29"/>
        <v>0.31734945546904464</v>
      </c>
      <c r="AR116" s="9">
        <f t="shared" si="29"/>
        <v>-2.4911668243050779E-2</v>
      </c>
      <c r="AS116" s="9">
        <f t="shared" si="29"/>
        <v>1</v>
      </c>
      <c r="AT116" s="7"/>
      <c r="AU116" s="7"/>
      <c r="AV116" s="7"/>
      <c r="AW116" s="7"/>
      <c r="AX116" s="7"/>
    </row>
    <row r="117" spans="1:50" x14ac:dyDescent="0.25">
      <c r="A117" s="1">
        <v>49674</v>
      </c>
      <c r="B117">
        <v>-0.100934633039429</v>
      </c>
      <c r="C117">
        <v>-8.1610418283774105E-2</v>
      </c>
      <c r="D117">
        <v>0.30321005026083198</v>
      </c>
      <c r="E117">
        <v>-2.3174922621471399E-2</v>
      </c>
      <c r="F117">
        <v>-3.5498977259792397E-2</v>
      </c>
      <c r="G117" s="2">
        <v>-6.8874136783803697E-15</v>
      </c>
      <c r="H117" s="2">
        <v>4.8440711173447798E-14</v>
      </c>
      <c r="I117" s="2">
        <v>2.7895957267949798E-15</v>
      </c>
      <c r="J117" s="2">
        <v>-2.9373746597299902E-16</v>
      </c>
      <c r="K117" s="2">
        <v>-4.6949021618020496E-16</v>
      </c>
      <c r="L117" s="2">
        <v>-6.8600488767879396E-16</v>
      </c>
      <c r="M117" s="2">
        <v>-1.03342374997621E-15</v>
      </c>
      <c r="N117" s="2">
        <v>-1.2766190821298801E-15</v>
      </c>
      <c r="O117" s="2">
        <v>-1.5131593509552E-15</v>
      </c>
      <c r="P117" s="2">
        <v>7.3014984296594606E-14</v>
      </c>
      <c r="Q117">
        <v>2.6154131003907101E-3</v>
      </c>
      <c r="R117">
        <v>0</v>
      </c>
      <c r="S117">
        <v>-0.242198143329479</v>
      </c>
      <c r="T117">
        <v>8.1055436616415E-3</v>
      </c>
      <c r="U117">
        <v>-0.16948608751097</v>
      </c>
      <c r="V117">
        <f t="shared" si="17"/>
        <v>-0.16948608751096961</v>
      </c>
      <c r="Y117" s="1">
        <f t="shared" si="30"/>
        <v>49674</v>
      </c>
      <c r="Z117" s="7">
        <f t="shared" si="30"/>
        <v>-0.100934633039429</v>
      </c>
      <c r="AA117" s="7">
        <f t="shared" si="30"/>
        <v>-8.1610418283774105E-2</v>
      </c>
      <c r="AB117" s="7">
        <f t="shared" si="30"/>
        <v>0.30321005026083198</v>
      </c>
      <c r="AC117" s="7">
        <f t="shared" si="19"/>
        <v>-0.27769712058927143</v>
      </c>
      <c r="AD117" s="7">
        <f t="shared" si="20"/>
        <v>-2.3174922621471399E-2</v>
      </c>
      <c r="AE117" s="7">
        <f t="shared" si="21"/>
        <v>2.6154131003907101E-3</v>
      </c>
      <c r="AF117" s="7">
        <f t="shared" si="22"/>
        <v>-6.8874136783803697E-15</v>
      </c>
      <c r="AG117" s="7">
        <f t="shared" si="22"/>
        <v>4.8440711173447798E-14</v>
      </c>
      <c r="AH117" s="7">
        <f t="shared" si="23"/>
        <v>8.1055436617120322E-3</v>
      </c>
      <c r="AI117" s="7">
        <f t="shared" si="16"/>
        <v>-0.16948608751096964</v>
      </c>
      <c r="AJ117" s="8">
        <f t="shared" si="24"/>
        <v>-0.27508170748888072</v>
      </c>
      <c r="AK117" s="8">
        <f t="shared" si="25"/>
        <v>0.19842470935558648</v>
      </c>
      <c r="AL117" s="8">
        <f t="shared" si="26"/>
        <v>-0.100934633039429</v>
      </c>
      <c r="AM117" s="8">
        <f t="shared" si="27"/>
        <v>8.1055436617120322E-3</v>
      </c>
      <c r="AN117" s="8">
        <f t="shared" si="28"/>
        <v>-0.16948608751101121</v>
      </c>
      <c r="AO117" s="9">
        <f t="shared" si="29"/>
        <v>1.168444981343185</v>
      </c>
      <c r="AP117" s="9">
        <f t="shared" si="29"/>
        <v>-0.46697916272440609</v>
      </c>
      <c r="AQ117" s="9">
        <f t="shared" si="29"/>
        <v>0.32398087002590997</v>
      </c>
      <c r="AR117" s="9">
        <f t="shared" si="29"/>
        <v>-2.5446688644690282E-2</v>
      </c>
      <c r="AS117" s="9">
        <f t="shared" si="29"/>
        <v>1</v>
      </c>
      <c r="AT117" s="7"/>
      <c r="AU117" s="7"/>
      <c r="AV117" s="7"/>
      <c r="AW117" s="7"/>
      <c r="AX117" s="7"/>
    </row>
    <row r="118" spans="1:50" x14ac:dyDescent="0.25">
      <c r="A118" s="1">
        <v>49765</v>
      </c>
      <c r="B118">
        <v>-9.9747774122779895E-2</v>
      </c>
      <c r="C118">
        <v>-8.0794314100936293E-2</v>
      </c>
      <c r="D118">
        <v>0.30017794972746997</v>
      </c>
      <c r="E118">
        <v>-2.2678244391433702E-2</v>
      </c>
      <c r="F118">
        <v>-3.3554901177094802E-2</v>
      </c>
      <c r="G118" s="2">
        <v>-6.6720499135238196E-15</v>
      </c>
      <c r="H118" s="2">
        <v>4.8327704604850003E-14</v>
      </c>
      <c r="I118" s="2">
        <v>2.7546408321022299E-15</v>
      </c>
      <c r="J118" s="2">
        <v>-2.9031770848462302E-16</v>
      </c>
      <c r="K118" s="2">
        <v>-4.6440182437147002E-16</v>
      </c>
      <c r="L118" s="2">
        <v>-6.7879337768682604E-16</v>
      </c>
      <c r="M118" s="2">
        <v>-1.0227718437467601E-15</v>
      </c>
      <c r="N118" s="2">
        <v>-1.2635009778142001E-15</v>
      </c>
      <c r="O118" s="2">
        <v>-1.49757497119788E-15</v>
      </c>
      <c r="P118" s="2">
        <v>7.2656050298495306E-14</v>
      </c>
      <c r="Q118">
        <v>2.5422514559844101E-3</v>
      </c>
      <c r="R118">
        <v>0</v>
      </c>
      <c r="S118">
        <v>-0.239854459208311</v>
      </c>
      <c r="T118">
        <v>8.0122708123768205E-3</v>
      </c>
      <c r="U118">
        <v>-0.16589722100461199</v>
      </c>
      <c r="V118">
        <f t="shared" si="17"/>
        <v>-0.16589722100461268</v>
      </c>
      <c r="Y118" s="1">
        <f t="shared" si="30"/>
        <v>49765</v>
      </c>
      <c r="Z118" s="7">
        <f t="shared" si="30"/>
        <v>-9.9747774122779895E-2</v>
      </c>
      <c r="AA118" s="7">
        <f t="shared" si="30"/>
        <v>-8.0794314100936293E-2</v>
      </c>
      <c r="AB118" s="7">
        <f t="shared" si="30"/>
        <v>0.30017794972746997</v>
      </c>
      <c r="AC118" s="7">
        <f t="shared" si="19"/>
        <v>-0.27340936038540581</v>
      </c>
      <c r="AD118" s="7">
        <f t="shared" si="20"/>
        <v>-2.2678244391433702E-2</v>
      </c>
      <c r="AE118" s="7">
        <f t="shared" si="21"/>
        <v>2.5422514559844101E-3</v>
      </c>
      <c r="AF118" s="7">
        <f t="shared" si="22"/>
        <v>-6.6720499135238196E-15</v>
      </c>
      <c r="AG118" s="7">
        <f t="shared" si="22"/>
        <v>4.8327704604850003E-14</v>
      </c>
      <c r="AH118" s="7">
        <f t="shared" si="23"/>
        <v>8.0122708124470143E-3</v>
      </c>
      <c r="AI118" s="7">
        <f t="shared" si="16"/>
        <v>-0.16589722100461265</v>
      </c>
      <c r="AJ118" s="8">
        <f t="shared" si="24"/>
        <v>-0.2708671089294214</v>
      </c>
      <c r="AK118" s="8">
        <f t="shared" si="25"/>
        <v>0.19670539123509997</v>
      </c>
      <c r="AL118" s="8">
        <f t="shared" si="26"/>
        <v>-9.9747774122779895E-2</v>
      </c>
      <c r="AM118" s="8">
        <f t="shared" si="27"/>
        <v>8.0122708124470143E-3</v>
      </c>
      <c r="AN118" s="8">
        <f t="shared" si="28"/>
        <v>-0.16589722100465429</v>
      </c>
      <c r="AO118" s="9">
        <f t="shared" ref="AO118:AS181" si="31">(AJ118-AJ117)/($AN118-$AN117)</f>
        <v>1.1743536718331675</v>
      </c>
      <c r="AP118" s="9">
        <f t="shared" si="31"/>
        <v>-0.47906995633331456</v>
      </c>
      <c r="AQ118" s="9">
        <f t="shared" si="31"/>
        <v>0.33070578539124568</v>
      </c>
      <c r="AR118" s="9">
        <f t="shared" si="31"/>
        <v>-2.5989500891104345E-2</v>
      </c>
      <c r="AS118" s="9">
        <f t="shared" si="31"/>
        <v>1</v>
      </c>
      <c r="AT118" s="7"/>
      <c r="AU118" s="7"/>
      <c r="AV118" s="7"/>
      <c r="AW118" s="7"/>
      <c r="AX118" s="7"/>
    </row>
    <row r="119" spans="1:50" x14ac:dyDescent="0.25">
      <c r="A119" s="1">
        <v>49856</v>
      </c>
      <c r="B119">
        <v>-9.8575839093689804E-2</v>
      </c>
      <c r="C119">
        <v>-7.9986370959927E-2</v>
      </c>
      <c r="D119">
        <v>0.29717617020877302</v>
      </c>
      <c r="E119">
        <v>-2.2190837145888799E-2</v>
      </c>
      <c r="F119">
        <v>-3.1708214419041203E-2</v>
      </c>
      <c r="G119" s="2">
        <v>-6.4628405333452102E-15</v>
      </c>
      <c r="H119" s="2">
        <v>4.82078643251037E-14</v>
      </c>
      <c r="I119" s="2">
        <v>2.7201905067773399E-15</v>
      </c>
      <c r="J119" s="2">
        <v>-2.86946095963244E-16</v>
      </c>
      <c r="K119" s="2">
        <v>-4.5937754535983696E-16</v>
      </c>
      <c r="L119" s="2">
        <v>-6.7166736910753997E-16</v>
      </c>
      <c r="M119" s="2">
        <v>-1.0122393056184301E-15</v>
      </c>
      <c r="N119" s="2">
        <v>-1.2505287754204501E-15</v>
      </c>
      <c r="O119" s="2">
        <v>-1.48216460620354E-15</v>
      </c>
      <c r="P119" s="2">
        <v>7.2296193649536094E-14</v>
      </c>
      <c r="Q119">
        <v>2.47232807884095E-3</v>
      </c>
      <c r="R119">
        <v>0</v>
      </c>
      <c r="S119">
        <v>-0.237532346543327</v>
      </c>
      <c r="T119">
        <v>7.9201195608738402E-3</v>
      </c>
      <c r="U119">
        <v>-0.16242499031327401</v>
      </c>
      <c r="V119">
        <f t="shared" si="17"/>
        <v>-0.1624249903132744</v>
      </c>
      <c r="Y119" s="1">
        <f t="shared" si="30"/>
        <v>49856</v>
      </c>
      <c r="Z119" s="7">
        <f t="shared" si="30"/>
        <v>-9.8575839093689804E-2</v>
      </c>
      <c r="AA119" s="7">
        <f t="shared" si="30"/>
        <v>-7.9986370959927E-2</v>
      </c>
      <c r="AB119" s="7">
        <f t="shared" si="30"/>
        <v>0.29717617020877302</v>
      </c>
      <c r="AC119" s="7">
        <f t="shared" si="19"/>
        <v>-0.2692405609623682</v>
      </c>
      <c r="AD119" s="7">
        <f t="shared" si="20"/>
        <v>-2.2190837145888799E-2</v>
      </c>
      <c r="AE119" s="7">
        <f t="shared" si="21"/>
        <v>2.47232807884095E-3</v>
      </c>
      <c r="AF119" s="7">
        <f t="shared" si="22"/>
        <v>-6.4628405333452102E-15</v>
      </c>
      <c r="AG119" s="7">
        <f t="shared" si="22"/>
        <v>4.82078643251037E-14</v>
      </c>
      <c r="AH119" s="7">
        <f t="shared" si="23"/>
        <v>7.920119560943694E-3</v>
      </c>
      <c r="AI119" s="7">
        <f t="shared" si="16"/>
        <v>-0.1624249903132744</v>
      </c>
      <c r="AJ119" s="8">
        <f t="shared" si="24"/>
        <v>-0.26676823288352725</v>
      </c>
      <c r="AK119" s="8">
        <f t="shared" si="25"/>
        <v>0.19499896210295722</v>
      </c>
      <c r="AL119" s="8">
        <f t="shared" si="26"/>
        <v>-9.8575839093689804E-2</v>
      </c>
      <c r="AM119" s="8">
        <f t="shared" si="27"/>
        <v>7.920119560943694E-3</v>
      </c>
      <c r="AN119" s="8">
        <f t="shared" si="28"/>
        <v>-0.16242499031331614</v>
      </c>
      <c r="AO119" s="9">
        <f t="shared" si="31"/>
        <v>1.1804734219184339</v>
      </c>
      <c r="AP119" s="9">
        <f t="shared" si="31"/>
        <v>-0.4914503913578156</v>
      </c>
      <c r="AQ119" s="9">
        <f t="shared" si="31"/>
        <v>0.337516465139718</v>
      </c>
      <c r="AR119" s="9">
        <f t="shared" si="31"/>
        <v>-2.6539495700329336E-2</v>
      </c>
      <c r="AS119" s="9">
        <f t="shared" si="31"/>
        <v>1</v>
      </c>
      <c r="AT119" s="7"/>
      <c r="AU119" s="7"/>
      <c r="AV119" s="7"/>
      <c r="AW119" s="7"/>
      <c r="AX119" s="7"/>
    </row>
    <row r="120" spans="1:50" x14ac:dyDescent="0.25">
      <c r="A120" s="1">
        <v>49948</v>
      </c>
      <c r="B120">
        <v>-9.7418620900366695E-2</v>
      </c>
      <c r="C120">
        <v>-7.9186507250327706E-2</v>
      </c>
      <c r="D120">
        <v>0.29420440849176199</v>
      </c>
      <c r="E120">
        <v>-2.1712758176509701E-2</v>
      </c>
      <c r="F120">
        <v>-2.99542898744674E-2</v>
      </c>
      <c r="G120" s="2">
        <v>-6.2596081361279602E-15</v>
      </c>
      <c r="H120" s="2">
        <v>4.8081430092289503E-14</v>
      </c>
      <c r="I120" s="2">
        <v>2.6862261217013499E-15</v>
      </c>
      <c r="J120" s="2">
        <v>-2.8362284873037298E-16</v>
      </c>
      <c r="K120" s="2">
        <v>-4.5441675324897796E-16</v>
      </c>
      <c r="L120" s="2">
        <v>-6.6462553011190596E-16</v>
      </c>
      <c r="M120" s="2">
        <v>-1.0018241185821401E-15</v>
      </c>
      <c r="N120" s="2">
        <v>-1.2376998112660099E-15</v>
      </c>
      <c r="O120" s="2">
        <v>-1.4669249431275701E-15</v>
      </c>
      <c r="P120" s="2">
        <v>7.1935492832716597E-14</v>
      </c>
      <c r="Q120">
        <v>2.4053851676256199E-3</v>
      </c>
      <c r="R120">
        <v>0</v>
      </c>
      <c r="S120">
        <v>-0.23523163484689699</v>
      </c>
      <c r="T120">
        <v>7.8290754674001702E-3</v>
      </c>
      <c r="U120">
        <v>-0.15906494192166901</v>
      </c>
      <c r="V120">
        <f t="shared" si="17"/>
        <v>-0.15906494192166937</v>
      </c>
      <c r="Y120" s="1">
        <f t="shared" si="30"/>
        <v>49948</v>
      </c>
      <c r="Z120" s="7">
        <f t="shared" si="30"/>
        <v>-9.7418620900366695E-2</v>
      </c>
      <c r="AA120" s="7">
        <f t="shared" si="30"/>
        <v>-7.9186507250327706E-2</v>
      </c>
      <c r="AB120" s="7">
        <f t="shared" si="30"/>
        <v>0.29420440849176199</v>
      </c>
      <c r="AC120" s="7">
        <f t="shared" si="19"/>
        <v>-0.26518592472136437</v>
      </c>
      <c r="AD120" s="7">
        <f t="shared" si="20"/>
        <v>-2.1712758176509701E-2</v>
      </c>
      <c r="AE120" s="7">
        <f t="shared" si="21"/>
        <v>2.4053851676256199E-3</v>
      </c>
      <c r="AF120" s="7">
        <f t="shared" si="22"/>
        <v>-6.2596081361279602E-15</v>
      </c>
      <c r="AG120" s="7">
        <f t="shared" si="22"/>
        <v>4.8081430092289503E-14</v>
      </c>
      <c r="AH120" s="7">
        <f t="shared" si="23"/>
        <v>7.8290754674696841E-3</v>
      </c>
      <c r="AI120" s="7">
        <f t="shared" si="16"/>
        <v>-0.15906494192166937</v>
      </c>
      <c r="AJ120" s="8">
        <f t="shared" si="24"/>
        <v>-0.26278053955373876</v>
      </c>
      <c r="AK120" s="8">
        <f t="shared" si="25"/>
        <v>0.19330514306492458</v>
      </c>
      <c r="AL120" s="8">
        <f t="shared" si="26"/>
        <v>-9.7418620900366695E-2</v>
      </c>
      <c r="AM120" s="8">
        <f t="shared" si="27"/>
        <v>7.8290754674696841E-3</v>
      </c>
      <c r="AN120" s="8">
        <f t="shared" si="28"/>
        <v>-0.15906494192171117</v>
      </c>
      <c r="AO120" s="9">
        <f t="shared" si="31"/>
        <v>1.1867963984541634</v>
      </c>
      <c r="AP120" s="9">
        <f t="shared" si="31"/>
        <v>-0.50410554867740132</v>
      </c>
      <c r="AQ120" s="9">
        <f t="shared" si="31"/>
        <v>0.34440521636962118</v>
      </c>
      <c r="AR120" s="9">
        <f t="shared" si="31"/>
        <v>-2.7096066146393049E-2</v>
      </c>
      <c r="AS120" s="9">
        <f t="shared" si="31"/>
        <v>1</v>
      </c>
      <c r="AT120" s="7"/>
      <c r="AU120" s="7"/>
      <c r="AV120" s="7"/>
      <c r="AW120" s="7"/>
      <c r="AX120" s="7"/>
    </row>
    <row r="121" spans="1:50" x14ac:dyDescent="0.25">
      <c r="A121" s="1">
        <v>50040</v>
      </c>
      <c r="B121">
        <v>-9.6275915525084799E-2</v>
      </c>
      <c r="C121">
        <v>-7.8394642177824395E-2</v>
      </c>
      <c r="D121">
        <v>0.29126236439644998</v>
      </c>
      <c r="E121">
        <v>-2.12440310910341E-2</v>
      </c>
      <c r="F121">
        <v>-2.8288685406339598E-2</v>
      </c>
      <c r="G121" s="2">
        <v>-6.0621761951728498E-15</v>
      </c>
      <c r="H121" s="2">
        <v>4.7948636031466001E-14</v>
      </c>
      <c r="I121" s="2">
        <v>2.6527313835844401E-15</v>
      </c>
      <c r="J121" s="2">
        <v>-2.8034795050838499E-16</v>
      </c>
      <c r="K121" s="2">
        <v>-4.4951872260258504E-16</v>
      </c>
      <c r="L121" s="2">
        <v>-6.5766652261935597E-16</v>
      </c>
      <c r="M121" s="2">
        <v>-9.915243351260079E-16</v>
      </c>
      <c r="N121" s="2">
        <v>-1.2250115545428999E-15</v>
      </c>
      <c r="O121" s="2">
        <v>-1.45185285561849E-15</v>
      </c>
      <c r="P121" s="2">
        <v>7.1574023936135903E-14</v>
      </c>
      <c r="Q121">
        <v>2.34119233740652E-3</v>
      </c>
      <c r="R121">
        <v>0</v>
      </c>
      <c r="S121">
        <v>-0.23295215414790199</v>
      </c>
      <c r="T121">
        <v>7.7391242925440801E-3</v>
      </c>
      <c r="U121">
        <v>-0.155812747321673</v>
      </c>
      <c r="V121">
        <f t="shared" si="17"/>
        <v>-0.15581274732167322</v>
      </c>
      <c r="Y121" s="1">
        <f t="shared" si="30"/>
        <v>50040</v>
      </c>
      <c r="Z121" s="7">
        <f t="shared" si="30"/>
        <v>-9.6275915525084799E-2</v>
      </c>
      <c r="AA121" s="7">
        <f t="shared" si="30"/>
        <v>-7.8394642177824395E-2</v>
      </c>
      <c r="AB121" s="7">
        <f t="shared" si="30"/>
        <v>0.29126236439644998</v>
      </c>
      <c r="AC121" s="7">
        <f t="shared" si="19"/>
        <v>-0.2612408395542416</v>
      </c>
      <c r="AD121" s="7">
        <f t="shared" si="20"/>
        <v>-2.12440310910341E-2</v>
      </c>
      <c r="AE121" s="7">
        <f t="shared" si="21"/>
        <v>2.34119233740652E-3</v>
      </c>
      <c r="AF121" s="7">
        <f t="shared" si="22"/>
        <v>-6.0621761951728498E-15</v>
      </c>
      <c r="AG121" s="7">
        <f t="shared" si="22"/>
        <v>4.7948636031466001E-14</v>
      </c>
      <c r="AH121" s="7">
        <f t="shared" si="23"/>
        <v>7.7391242926132513E-3</v>
      </c>
      <c r="AI121" s="7">
        <f t="shared" si="16"/>
        <v>-0.15581274732167322</v>
      </c>
      <c r="AJ121" s="8">
        <f t="shared" si="24"/>
        <v>-0.25889964721683506</v>
      </c>
      <c r="AK121" s="8">
        <f t="shared" si="25"/>
        <v>0.19162369112759151</v>
      </c>
      <c r="AL121" s="8">
        <f t="shared" si="26"/>
        <v>-9.6275915525084799E-2</v>
      </c>
      <c r="AM121" s="8">
        <f t="shared" si="27"/>
        <v>7.7391242926132513E-3</v>
      </c>
      <c r="AN121" s="8">
        <f t="shared" si="28"/>
        <v>-0.1558127473217151</v>
      </c>
      <c r="AO121" s="9">
        <f t="shared" si="31"/>
        <v>1.1933149193804056</v>
      </c>
      <c r="AP121" s="9">
        <f t="shared" si="31"/>
        <v>-0.5170207026772341</v>
      </c>
      <c r="AQ121" s="9">
        <f t="shared" si="31"/>
        <v>0.35136439107403927</v>
      </c>
      <c r="AR121" s="9">
        <f t="shared" si="31"/>
        <v>-2.7658607777204205E-2</v>
      </c>
      <c r="AS121" s="9">
        <f t="shared" si="31"/>
        <v>1</v>
      </c>
      <c r="AT121" s="7"/>
      <c r="AU121" s="7"/>
      <c r="AV121" s="7"/>
      <c r="AW121" s="7"/>
      <c r="AX121" s="7"/>
    </row>
    <row r="122" spans="1:50" x14ac:dyDescent="0.25">
      <c r="A122" s="1">
        <v>50130</v>
      </c>
      <c r="B122">
        <v>-9.5147521966648496E-2</v>
      </c>
      <c r="C122">
        <v>-7.7610695756046205E-2</v>
      </c>
      <c r="D122">
        <v>0.288349740745244</v>
      </c>
      <c r="E122">
        <v>-2.0784650377259999E-2</v>
      </c>
      <c r="F122">
        <v>-2.6707141325449799E-2</v>
      </c>
      <c r="G122" s="2">
        <v>-5.87036992340464E-15</v>
      </c>
      <c r="H122" s="2">
        <v>4.7809710630151698E-14</v>
      </c>
      <c r="I122" s="2">
        <v>2.6196920442214E-15</v>
      </c>
      <c r="J122" s="2">
        <v>-2.77121184195823E-16</v>
      </c>
      <c r="K122" s="2">
        <v>-4.4468264738299396E-16</v>
      </c>
      <c r="L122" s="2">
        <v>-6.5078901024632404E-16</v>
      </c>
      <c r="M122" s="2">
        <v>-9.8133807585276006E-16</v>
      </c>
      <c r="N122" s="2">
        <v>-1.21246159910055E-15</v>
      </c>
      <c r="O122" s="2">
        <v>-1.4369453902591799E-15</v>
      </c>
      <c r="P122" s="2">
        <v>7.1211860712511198E-14</v>
      </c>
      <c r="Q122">
        <v>2.2795434796802402E-3</v>
      </c>
      <c r="R122">
        <v>0</v>
      </c>
      <c r="S122">
        <v>-0.23069373502834201</v>
      </c>
      <c r="T122">
        <v>7.6502519942889596E-3</v>
      </c>
      <c r="U122">
        <v>-0.15266420823442201</v>
      </c>
      <c r="V122">
        <f t="shared" si="17"/>
        <v>-0.15266420823442256</v>
      </c>
      <c r="Y122" s="1">
        <f t="shared" si="30"/>
        <v>50130</v>
      </c>
      <c r="Z122" s="7">
        <f t="shared" si="30"/>
        <v>-9.5147521966648496E-2</v>
      </c>
      <c r="AA122" s="7">
        <f t="shared" si="30"/>
        <v>-7.7610695756046205E-2</v>
      </c>
      <c r="AB122" s="7">
        <f t="shared" si="30"/>
        <v>0.288349740745244</v>
      </c>
      <c r="AC122" s="7">
        <f t="shared" si="19"/>
        <v>-0.25740087635379183</v>
      </c>
      <c r="AD122" s="7">
        <f t="shared" si="20"/>
        <v>-2.0784650377259999E-2</v>
      </c>
      <c r="AE122" s="7">
        <f t="shared" si="21"/>
        <v>2.2795434796802402E-3</v>
      </c>
      <c r="AF122" s="7">
        <f t="shared" si="22"/>
        <v>-5.87036992340464E-15</v>
      </c>
      <c r="AG122" s="7">
        <f t="shared" si="22"/>
        <v>4.7809710630151698E-14</v>
      </c>
      <c r="AH122" s="7">
        <f t="shared" si="23"/>
        <v>7.6502519943577882E-3</v>
      </c>
      <c r="AI122" s="7">
        <f t="shared" si="16"/>
        <v>-0.15266420823442256</v>
      </c>
      <c r="AJ122" s="8">
        <f t="shared" si="24"/>
        <v>-0.25512133287411159</v>
      </c>
      <c r="AK122" s="8">
        <f t="shared" si="25"/>
        <v>0.1899543946119378</v>
      </c>
      <c r="AL122" s="8">
        <f t="shared" si="26"/>
        <v>-9.5147521966648496E-2</v>
      </c>
      <c r="AM122" s="8">
        <f t="shared" si="27"/>
        <v>7.6502519943577882E-3</v>
      </c>
      <c r="AN122" s="8">
        <f t="shared" si="28"/>
        <v>-0.1526642082344645</v>
      </c>
      <c r="AO122" s="9">
        <f t="shared" si="31"/>
        <v>1.2000214188297731</v>
      </c>
      <c r="AP122" s="9">
        <f t="shared" si="31"/>
        <v>-0.53018129024130389</v>
      </c>
      <c r="AQ122" s="9">
        <f t="shared" si="31"/>
        <v>0.35838639037562325</v>
      </c>
      <c r="AR122" s="9">
        <f t="shared" si="31"/>
        <v>-2.8226518964091715E-2</v>
      </c>
      <c r="AS122" s="9">
        <f t="shared" si="31"/>
        <v>1</v>
      </c>
      <c r="AT122" s="7"/>
      <c r="AU122" s="7"/>
      <c r="AV122" s="7"/>
      <c r="AW122" s="7"/>
      <c r="AX122" s="7"/>
    </row>
    <row r="123" spans="1:50" x14ac:dyDescent="0.25">
      <c r="A123" s="1">
        <v>50221</v>
      </c>
      <c r="B123">
        <v>-9.4033242218240803E-2</v>
      </c>
      <c r="C123">
        <v>-7.6834588798485703E-2</v>
      </c>
      <c r="D123">
        <v>0.285466243332748</v>
      </c>
      <c r="E123">
        <v>-2.0334585422887401E-2</v>
      </c>
      <c r="F123">
        <v>-2.52055771296621E-2</v>
      </c>
      <c r="G123" s="2">
        <v>-5.6840170059583999E-15</v>
      </c>
      <c r="H123" s="2">
        <v>4.7664876755635202E-14</v>
      </c>
      <c r="I123" s="2">
        <v>2.58709563578358E-15</v>
      </c>
      <c r="J123" s="2">
        <v>-2.73942164089686E-16</v>
      </c>
      <c r="K123" s="2">
        <v>-4.3990765774509402E-16</v>
      </c>
      <c r="L123" s="2">
        <v>-6.43991665000923E-16</v>
      </c>
      <c r="M123" s="2">
        <v>-9.7126352766095591E-16</v>
      </c>
      <c r="N123" s="2">
        <v>-1.2000476552991401E-15</v>
      </c>
      <c r="O123" s="2">
        <v>-1.4221997534394201E-15</v>
      </c>
      <c r="P123" s="2">
        <v>7.0849074641670402E-14</v>
      </c>
      <c r="Q123">
        <v>2.22025398630279E-3</v>
      </c>
      <c r="R123">
        <v>0</v>
      </c>
      <c r="S123">
        <v>-0.22845620865699601</v>
      </c>
      <c r="T123">
        <v>7.5624447251301102E-3</v>
      </c>
      <c r="U123">
        <v>-0.14961526018198101</v>
      </c>
      <c r="V123">
        <f t="shared" si="17"/>
        <v>-0.14961526018198062</v>
      </c>
      <c r="Y123" s="1">
        <f t="shared" si="30"/>
        <v>50221</v>
      </c>
      <c r="Z123" s="7">
        <f t="shared" si="30"/>
        <v>-9.4033242218240803E-2</v>
      </c>
      <c r="AA123" s="7">
        <f t="shared" si="30"/>
        <v>-7.6834588798485703E-2</v>
      </c>
      <c r="AB123" s="7">
        <f t="shared" si="30"/>
        <v>0.285466243332748</v>
      </c>
      <c r="AC123" s="7">
        <f t="shared" si="19"/>
        <v>-0.2536617857866581</v>
      </c>
      <c r="AD123" s="7">
        <f t="shared" si="20"/>
        <v>-2.0334585422887401E-2</v>
      </c>
      <c r="AE123" s="7">
        <f t="shared" si="21"/>
        <v>2.22025398630279E-3</v>
      </c>
      <c r="AF123" s="7">
        <f t="shared" si="22"/>
        <v>-5.6840170059583999E-15</v>
      </c>
      <c r="AG123" s="7">
        <f t="shared" si="22"/>
        <v>4.7664876755635202E-14</v>
      </c>
      <c r="AH123" s="7">
        <f t="shared" si="23"/>
        <v>7.5624447251985945E-3</v>
      </c>
      <c r="AI123" s="7">
        <f t="shared" si="16"/>
        <v>-0.14961526018198065</v>
      </c>
      <c r="AJ123" s="8">
        <f t="shared" si="24"/>
        <v>-0.25144153180035533</v>
      </c>
      <c r="AK123" s="8">
        <f t="shared" si="25"/>
        <v>0.18829706911137489</v>
      </c>
      <c r="AL123" s="8">
        <f t="shared" si="26"/>
        <v>-9.4033242218240803E-2</v>
      </c>
      <c r="AM123" s="8">
        <f t="shared" si="27"/>
        <v>7.5624447251985945E-3</v>
      </c>
      <c r="AN123" s="8">
        <f t="shared" si="28"/>
        <v>-0.14961526018202265</v>
      </c>
      <c r="AO123" s="9">
        <f t="shared" si="31"/>
        <v>1.2069084190559329</v>
      </c>
      <c r="AP123" s="9">
        <f t="shared" si="31"/>
        <v>-0.54357288876587684</v>
      </c>
      <c r="AQ123" s="9">
        <f t="shared" si="31"/>
        <v>0.36546367115546113</v>
      </c>
      <c r="AR123" s="9">
        <f t="shared" si="31"/>
        <v>-2.8799201445518337E-2</v>
      </c>
      <c r="AS123" s="9">
        <f t="shared" si="31"/>
        <v>1</v>
      </c>
      <c r="AT123" s="7"/>
      <c r="AU123" s="7"/>
      <c r="AV123" s="7"/>
      <c r="AW123" s="7"/>
      <c r="AX123" s="7"/>
    </row>
    <row r="124" spans="1:50" x14ac:dyDescent="0.25">
      <c r="A124" s="1">
        <v>50313</v>
      </c>
      <c r="B124">
        <v>-9.2932881241433299E-2</v>
      </c>
      <c r="C124">
        <v>-7.6066242910500903E-2</v>
      </c>
      <c r="D124">
        <v>0.28261158089590699</v>
      </c>
      <c r="E124">
        <v>-1.98937840540396E-2</v>
      </c>
      <c r="F124">
        <v>-2.3780087648787401E-2</v>
      </c>
      <c r="G124" s="2">
        <v>-5.5029482121220898E-15</v>
      </c>
      <c r="H124" s="2">
        <v>4.7514351691201197E-14</v>
      </c>
      <c r="I124" s="2">
        <v>2.5549312312812502E-15</v>
      </c>
      <c r="J124" s="2">
        <v>-2.7081036472453099E-16</v>
      </c>
      <c r="K124" s="2">
        <v>-4.3519283482689001E-16</v>
      </c>
      <c r="L124" s="2">
        <v>-6.3727317285091296E-16</v>
      </c>
      <c r="M124" s="2">
        <v>-9.6129894159222192E-16</v>
      </c>
      <c r="N124" s="2">
        <v>-1.18776754203625E-15</v>
      </c>
      <c r="O124" s="2">
        <v>-1.40761329876966E-15</v>
      </c>
      <c r="P124" s="2">
        <v>7.0485734995075099E-14</v>
      </c>
      <c r="Q124">
        <v>2.1631582953174E-3</v>
      </c>
      <c r="R124">
        <v>0</v>
      </c>
      <c r="S124">
        <v>-0.226239406820402</v>
      </c>
      <c r="T124">
        <v>7.4756888292331902E-3</v>
      </c>
      <c r="U124">
        <v>-0.14666197465459499</v>
      </c>
      <c r="V124">
        <f t="shared" si="17"/>
        <v>-0.14666197465459549</v>
      </c>
      <c r="Y124" s="1">
        <f t="shared" si="30"/>
        <v>50313</v>
      </c>
      <c r="Z124" s="7">
        <f t="shared" si="30"/>
        <v>-9.2932881241433299E-2</v>
      </c>
      <c r="AA124" s="7">
        <f t="shared" si="30"/>
        <v>-7.6066242910500903E-2</v>
      </c>
      <c r="AB124" s="7">
        <f t="shared" si="30"/>
        <v>0.28261158089590699</v>
      </c>
      <c r="AC124" s="7">
        <f t="shared" si="19"/>
        <v>-0.25001949446918942</v>
      </c>
      <c r="AD124" s="7">
        <f t="shared" si="20"/>
        <v>-1.98937840540396E-2</v>
      </c>
      <c r="AE124" s="7">
        <f t="shared" si="21"/>
        <v>2.1631582953174E-3</v>
      </c>
      <c r="AF124" s="7">
        <f t="shared" si="22"/>
        <v>-5.5029482121220898E-15</v>
      </c>
      <c r="AG124" s="7">
        <f t="shared" si="22"/>
        <v>4.7514351691201197E-14</v>
      </c>
      <c r="AH124" s="7">
        <f t="shared" si="23"/>
        <v>7.4756888293013319E-3</v>
      </c>
      <c r="AI124" s="7">
        <f t="shared" si="16"/>
        <v>-0.14666197465459546</v>
      </c>
      <c r="AJ124" s="8">
        <f t="shared" si="24"/>
        <v>-0.24785633617387201</v>
      </c>
      <c r="AK124" s="8">
        <f t="shared" si="25"/>
        <v>0.18665155393136648</v>
      </c>
      <c r="AL124" s="8">
        <f t="shared" si="26"/>
        <v>-9.2932881241433299E-2</v>
      </c>
      <c r="AM124" s="8">
        <f t="shared" si="27"/>
        <v>7.4756888293013319E-3</v>
      </c>
      <c r="AN124" s="8">
        <f t="shared" si="28"/>
        <v>-0.14666197465463748</v>
      </c>
      <c r="AO124" s="9">
        <f t="shared" si="31"/>
        <v>1.2139685083743503</v>
      </c>
      <c r="AP124" s="9">
        <f t="shared" si="31"/>
        <v>-0.5571812020036373</v>
      </c>
      <c r="AQ124" s="9">
        <f t="shared" si="31"/>
        <v>0.37258875466124108</v>
      </c>
      <c r="AR124" s="9">
        <f t="shared" si="31"/>
        <v>-2.9376061031957251E-2</v>
      </c>
      <c r="AS124" s="9">
        <f t="shared" si="31"/>
        <v>1</v>
      </c>
      <c r="AT124" s="7"/>
      <c r="AU124" s="7"/>
      <c r="AV124" s="7"/>
      <c r="AW124" s="7"/>
      <c r="AX124" s="7"/>
    </row>
    <row r="125" spans="1:50" x14ac:dyDescent="0.25">
      <c r="A125" s="1">
        <v>50405</v>
      </c>
      <c r="B125">
        <v>-9.18462469370179E-2</v>
      </c>
      <c r="C125">
        <v>-7.5305580481395795E-2</v>
      </c>
      <c r="D125">
        <v>0.27978546508449997</v>
      </c>
      <c r="E125">
        <v>-1.9462175648194201E-2</v>
      </c>
      <c r="F125">
        <v>-2.2426938716283099E-2</v>
      </c>
      <c r="G125" s="2">
        <v>-5.3269978978346498E-15</v>
      </c>
      <c r="H125" s="2">
        <v>4.7358347188591002E-14</v>
      </c>
      <c r="I125" s="2">
        <v>2.52318922906581E-15</v>
      </c>
      <c r="J125" s="2">
        <v>-2.67725146522976E-16</v>
      </c>
      <c r="K125" s="2">
        <v>-4.3053722368447899E-16</v>
      </c>
      <c r="L125" s="2">
        <v>-6.3063223828611295E-16</v>
      </c>
      <c r="M125" s="2">
        <v>-9.5144263043238793E-16</v>
      </c>
      <c r="N125" s="2">
        <v>-1.17561917902571E-15</v>
      </c>
      <c r="O125" s="2">
        <v>-1.3931835151141301E-15</v>
      </c>
      <c r="P125" s="2">
        <v>7.0121908901557403E-14</v>
      </c>
      <c r="Q125">
        <v>2.1081077214621202E-3</v>
      </c>
      <c r="R125">
        <v>0</v>
      </c>
      <c r="S125">
        <v>-0.224043161951411</v>
      </c>
      <c r="T125">
        <v>7.38997083963414E-3</v>
      </c>
      <c r="U125">
        <v>-0.14380056008859601</v>
      </c>
      <c r="V125">
        <f t="shared" si="17"/>
        <v>-0.1438005600885959</v>
      </c>
      <c r="Y125" s="1">
        <f t="shared" si="30"/>
        <v>50405</v>
      </c>
      <c r="Z125" s="7">
        <f t="shared" si="30"/>
        <v>-9.18462469370179E-2</v>
      </c>
      <c r="AA125" s="7">
        <f t="shared" si="30"/>
        <v>-7.5305580481395795E-2</v>
      </c>
      <c r="AB125" s="7">
        <f t="shared" si="30"/>
        <v>0.27978546508449997</v>
      </c>
      <c r="AC125" s="7">
        <f t="shared" si="19"/>
        <v>-0.24647010066769409</v>
      </c>
      <c r="AD125" s="7">
        <f t="shared" si="20"/>
        <v>-1.9462175648194201E-2</v>
      </c>
      <c r="AE125" s="7">
        <f t="shared" si="21"/>
        <v>2.1081077214621202E-3</v>
      </c>
      <c r="AF125" s="7">
        <f t="shared" si="22"/>
        <v>-5.3269978978346498E-15</v>
      </c>
      <c r="AG125" s="7">
        <f t="shared" si="22"/>
        <v>4.7358347188591002E-14</v>
      </c>
      <c r="AH125" s="7">
        <f t="shared" si="23"/>
        <v>7.3899708397019365E-3</v>
      </c>
      <c r="AI125" s="7">
        <f t="shared" si="16"/>
        <v>-0.14380056008859593</v>
      </c>
      <c r="AJ125" s="8">
        <f t="shared" si="24"/>
        <v>-0.24436199294623198</v>
      </c>
      <c r="AK125" s="8">
        <f t="shared" si="25"/>
        <v>0.18501770895490999</v>
      </c>
      <c r="AL125" s="8">
        <f t="shared" si="26"/>
        <v>-9.18462469370179E-2</v>
      </c>
      <c r="AM125" s="8">
        <f t="shared" si="27"/>
        <v>7.3899708397019365E-3</v>
      </c>
      <c r="AN125" s="8">
        <f t="shared" si="28"/>
        <v>-0.14380056008863795</v>
      </c>
      <c r="AO125" s="9">
        <f t="shared" si="31"/>
        <v>1.2211943243601286</v>
      </c>
      <c r="AP125" s="9">
        <f t="shared" si="31"/>
        <v>-0.57099205262686914</v>
      </c>
      <c r="AQ125" s="9">
        <f t="shared" si="31"/>
        <v>0.37975423670768316</v>
      </c>
      <c r="AR125" s="9">
        <f t="shared" si="31"/>
        <v>-2.9956508440940617E-2</v>
      </c>
      <c r="AS125" s="9">
        <f t="shared" si="31"/>
        <v>1</v>
      </c>
      <c r="AT125" s="7"/>
      <c r="AU125" s="7"/>
      <c r="AV125" s="7"/>
      <c r="AW125" s="7"/>
      <c r="AX125" s="7"/>
    </row>
    <row r="126" spans="1:50" x14ac:dyDescent="0.25">
      <c r="A126" s="1">
        <v>50495</v>
      </c>
      <c r="B126">
        <v>-9.0773150113225606E-2</v>
      </c>
      <c r="C126">
        <v>-7.4552524676581897E-2</v>
      </c>
      <c r="D126">
        <v>0.27698761043195003</v>
      </c>
      <c r="E126">
        <v>-1.90396738709343E-2</v>
      </c>
      <c r="F126">
        <v>-2.1142562472333998E-2</v>
      </c>
      <c r="G126" s="2">
        <v>-5.1560044096108298E-15</v>
      </c>
      <c r="H126" s="2">
        <v>4.7197069534242897E-14</v>
      </c>
      <c r="I126" s="2">
        <v>2.4918611600560202E-15</v>
      </c>
      <c r="J126" s="2">
        <v>-2.6468577846789302E-16</v>
      </c>
      <c r="K126" s="2">
        <v>-4.2593984452136102E-16</v>
      </c>
      <c r="L126" s="2">
        <v>-6.2406758798945905E-16</v>
      </c>
      <c r="M126" s="2">
        <v>-9.4169296614107999E-16</v>
      </c>
      <c r="N126" s="2">
        <v>-1.1636005793881401E-15</v>
      </c>
      <c r="O126" s="2">
        <v>-1.37890801529582E-15</v>
      </c>
      <c r="P126" s="2">
        <v>6.9757661413581101E-14</v>
      </c>
      <c r="Q126">
        <v>2.0549685383982998E-3</v>
      </c>
      <c r="R126">
        <v>0</v>
      </c>
      <c r="S126">
        <v>-0.22186730715554101</v>
      </c>
      <c r="T126">
        <v>7.3052774754794499E-3</v>
      </c>
      <c r="U126">
        <v>-0.141027361842679</v>
      </c>
      <c r="V126">
        <f t="shared" si="17"/>
        <v>-0.14102736184267953</v>
      </c>
      <c r="Y126" s="1">
        <f t="shared" si="30"/>
        <v>50495</v>
      </c>
      <c r="Z126" s="7">
        <f t="shared" si="30"/>
        <v>-9.0773150113225606E-2</v>
      </c>
      <c r="AA126" s="7">
        <f t="shared" si="30"/>
        <v>-7.4552524676581897E-2</v>
      </c>
      <c r="AB126" s="7">
        <f t="shared" si="30"/>
        <v>0.27698761043195003</v>
      </c>
      <c r="AC126" s="7">
        <f t="shared" si="19"/>
        <v>-0.24300986962787502</v>
      </c>
      <c r="AD126" s="7">
        <f t="shared" si="20"/>
        <v>-1.90396738709343E-2</v>
      </c>
      <c r="AE126" s="7">
        <f t="shared" si="21"/>
        <v>2.0549685383982998E-3</v>
      </c>
      <c r="AF126" s="7">
        <f t="shared" si="22"/>
        <v>-5.1560044096108298E-15</v>
      </c>
      <c r="AG126" s="7">
        <f t="shared" si="22"/>
        <v>4.7197069534242897E-14</v>
      </c>
      <c r="AH126" s="7">
        <f t="shared" si="23"/>
        <v>7.3052774755468994E-3</v>
      </c>
      <c r="AI126" s="7">
        <f t="shared" si="16"/>
        <v>-0.14102736184267958</v>
      </c>
      <c r="AJ126" s="8">
        <f t="shared" si="24"/>
        <v>-0.24095490108947673</v>
      </c>
      <c r="AK126" s="8">
        <f t="shared" si="25"/>
        <v>0.18339541188443381</v>
      </c>
      <c r="AL126" s="8">
        <f t="shared" si="26"/>
        <v>-9.0773150113225606E-2</v>
      </c>
      <c r="AM126" s="8">
        <f t="shared" si="27"/>
        <v>7.3052774755468994E-3</v>
      </c>
      <c r="AN126" s="8">
        <f t="shared" si="28"/>
        <v>-0.1410273618427216</v>
      </c>
      <c r="AO126" s="9">
        <f t="shared" si="31"/>
        <v>1.2285785416792108</v>
      </c>
      <c r="AP126" s="9">
        <f t="shared" si="31"/>
        <v>-0.58499138057117872</v>
      </c>
      <c r="AQ126" s="9">
        <f t="shared" si="31"/>
        <v>0.38695279912731617</v>
      </c>
      <c r="AR126" s="9">
        <f t="shared" si="31"/>
        <v>-3.0539960235353426E-2</v>
      </c>
      <c r="AS126" s="9">
        <f t="shared" si="31"/>
        <v>1</v>
      </c>
      <c r="AT126" s="7"/>
      <c r="AU126" s="7"/>
      <c r="AV126" s="7"/>
      <c r="AW126" s="7"/>
      <c r="AX126" s="7"/>
    </row>
    <row r="127" spans="1:50" x14ac:dyDescent="0.25">
      <c r="A127" s="1">
        <v>50586</v>
      </c>
      <c r="B127">
        <v>-8.9713404451810905E-2</v>
      </c>
      <c r="C127">
        <v>-7.3806999429816098E-2</v>
      </c>
      <c r="D127">
        <v>0.27421773432644297</v>
      </c>
      <c r="E127">
        <v>-1.86261790803076E-2</v>
      </c>
      <c r="F127">
        <v>-1.9923552388242199E-2</v>
      </c>
      <c r="G127" s="2">
        <v>-4.98981040031965E-15</v>
      </c>
      <c r="H127" s="2">
        <v>4.7030719627083399E-14</v>
      </c>
      <c r="I127" s="2">
        <v>2.4609395162510401E-15</v>
      </c>
      <c r="J127" s="2">
        <v>-2.6169145801502402E-16</v>
      </c>
      <c r="K127" s="2">
        <v>-4.2139970236096298E-16</v>
      </c>
      <c r="L127" s="2">
        <v>-6.1757797372329503E-16</v>
      </c>
      <c r="M127" s="2">
        <v>-9.3204837717258301E-16</v>
      </c>
      <c r="N127" s="2">
        <v>-1.15170984259546E-15</v>
      </c>
      <c r="O127" s="2">
        <v>-1.36478452550418E-15</v>
      </c>
      <c r="P127" s="2">
        <v>6.9393055573441098E-14</v>
      </c>
      <c r="Q127">
        <v>2.00362028348072E-3</v>
      </c>
      <c r="R127">
        <v>0</v>
      </c>
      <c r="S127">
        <v>-0.21971167623530699</v>
      </c>
      <c r="T127">
        <v>7.2215956393071401E-3</v>
      </c>
      <c r="U127">
        <v>-0.13833886133614301</v>
      </c>
      <c r="V127">
        <f t="shared" si="17"/>
        <v>-0.13833886133614381</v>
      </c>
      <c r="Y127" s="1">
        <f t="shared" si="30"/>
        <v>50586</v>
      </c>
      <c r="Z127" s="7">
        <f t="shared" si="30"/>
        <v>-8.9713404451810905E-2</v>
      </c>
      <c r="AA127" s="7">
        <f t="shared" si="30"/>
        <v>-7.3806999429816098E-2</v>
      </c>
      <c r="AB127" s="7">
        <f t="shared" si="30"/>
        <v>0.27421773432644297</v>
      </c>
      <c r="AC127" s="7">
        <f t="shared" si="19"/>
        <v>-0.23963522862354919</v>
      </c>
      <c r="AD127" s="7">
        <f t="shared" si="20"/>
        <v>-1.86261790803076E-2</v>
      </c>
      <c r="AE127" s="7">
        <f t="shared" si="21"/>
        <v>2.00362028348072E-3</v>
      </c>
      <c r="AF127" s="7">
        <f t="shared" si="22"/>
        <v>-4.98981040031965E-15</v>
      </c>
      <c r="AG127" s="7">
        <f t="shared" si="22"/>
        <v>4.7030719627083399E-14</v>
      </c>
      <c r="AH127" s="7">
        <f t="shared" si="23"/>
        <v>7.2215956393742444E-3</v>
      </c>
      <c r="AI127" s="7">
        <f t="shared" si="16"/>
        <v>-0.13833886133614381</v>
      </c>
      <c r="AJ127" s="8">
        <f t="shared" si="24"/>
        <v>-0.23763160834006847</v>
      </c>
      <c r="AK127" s="8">
        <f t="shared" si="25"/>
        <v>0.18178455581631925</v>
      </c>
      <c r="AL127" s="8">
        <f t="shared" si="26"/>
        <v>-8.9713404451810905E-2</v>
      </c>
      <c r="AM127" s="8">
        <f t="shared" si="27"/>
        <v>7.2215956393742444E-3</v>
      </c>
      <c r="AN127" s="8">
        <f t="shared" si="28"/>
        <v>-0.13833886133618589</v>
      </c>
      <c r="AO127" s="9">
        <f t="shared" si="31"/>
        <v>1.2361138639659461</v>
      </c>
      <c r="AP127" s="9">
        <f t="shared" si="31"/>
        <v>-0.59916524627709444</v>
      </c>
      <c r="AQ127" s="9">
        <f t="shared" si="31"/>
        <v>0.39417722214984618</v>
      </c>
      <c r="AR127" s="9">
        <f t="shared" si="31"/>
        <v>-3.1125839838685315E-2</v>
      </c>
      <c r="AS127" s="9">
        <f t="shared" si="31"/>
        <v>1</v>
      </c>
      <c r="AT127" s="7"/>
      <c r="AU127" s="7"/>
      <c r="AV127" s="7"/>
      <c r="AW127" s="7"/>
      <c r="AX127" s="7"/>
    </row>
    <row r="128" spans="1:50" x14ac:dyDescent="0.25">
      <c r="A128" s="1">
        <v>50678</v>
      </c>
      <c r="B128">
        <v>-8.8666826472412294E-2</v>
      </c>
      <c r="C128">
        <v>-7.3068929435517904E-2</v>
      </c>
      <c r="D128">
        <v>0.27147555698235198</v>
      </c>
      <c r="E128">
        <v>-1.8221580437573499E-2</v>
      </c>
      <c r="F128">
        <v>-1.8766658089193099E-2</v>
      </c>
      <c r="G128" s="2">
        <v>-4.8282630667139497E-15</v>
      </c>
      <c r="H128" s="2">
        <v>4.6859493065859799E-14</v>
      </c>
      <c r="I128" s="2">
        <v>2.4304175990243599E-15</v>
      </c>
      <c r="J128" s="2">
        <v>-2.5874132846733802E-16</v>
      </c>
      <c r="K128" s="2">
        <v>-4.1691579530766201E-16</v>
      </c>
      <c r="L128" s="2">
        <v>-6.1116217452955595E-16</v>
      </c>
      <c r="M128" s="2">
        <v>-9.2250734574043191E-16</v>
      </c>
      <c r="N128" s="2">
        <v>-1.13994514779782E-15</v>
      </c>
      <c r="O128" s="2">
        <v>-1.3508108754187599E-15</v>
      </c>
      <c r="P128" s="2">
        <v>6.9028152478917596E-14</v>
      </c>
      <c r="Q128">
        <v>1.9539542592450802E-3</v>
      </c>
      <c r="R128">
        <v>0</v>
      </c>
      <c r="S128">
        <v>-0.217576103712733</v>
      </c>
      <c r="T128">
        <v>7.1389124143669304E-3</v>
      </c>
      <c r="U128">
        <v>-0.13573167449135701</v>
      </c>
      <c r="V128">
        <f t="shared" si="17"/>
        <v>-0.13573167449135703</v>
      </c>
      <c r="Y128" s="1">
        <f t="shared" si="30"/>
        <v>50678</v>
      </c>
      <c r="Z128" s="7">
        <f t="shared" si="30"/>
        <v>-8.8666826472412294E-2</v>
      </c>
      <c r="AA128" s="7">
        <f t="shared" si="30"/>
        <v>-7.3068929435517904E-2</v>
      </c>
      <c r="AB128" s="7">
        <f t="shared" si="30"/>
        <v>0.27147555698235198</v>
      </c>
      <c r="AC128" s="7">
        <f t="shared" si="19"/>
        <v>-0.23634276180192609</v>
      </c>
      <c r="AD128" s="7">
        <f t="shared" si="20"/>
        <v>-1.8221580437573499E-2</v>
      </c>
      <c r="AE128" s="7">
        <f t="shared" si="21"/>
        <v>1.9539542592450802E-3</v>
      </c>
      <c r="AF128" s="7">
        <f t="shared" si="22"/>
        <v>-4.8282630667139497E-15</v>
      </c>
      <c r="AG128" s="7">
        <f t="shared" si="22"/>
        <v>4.6859493065859799E-14</v>
      </c>
      <c r="AH128" s="7">
        <f t="shared" si="23"/>
        <v>7.1389124144336886E-3</v>
      </c>
      <c r="AI128" s="7">
        <f t="shared" si="16"/>
        <v>-0.13573167449135703</v>
      </c>
      <c r="AJ128" s="8">
        <f t="shared" si="24"/>
        <v>-0.23438880754268102</v>
      </c>
      <c r="AK128" s="8">
        <f t="shared" si="25"/>
        <v>0.18018504710926059</v>
      </c>
      <c r="AL128" s="8">
        <f t="shared" si="26"/>
        <v>-8.8666826472412294E-2</v>
      </c>
      <c r="AM128" s="8">
        <f t="shared" si="27"/>
        <v>7.1389124144336886E-3</v>
      </c>
      <c r="AN128" s="8">
        <f t="shared" si="28"/>
        <v>-0.13573167449139903</v>
      </c>
      <c r="AO128" s="9">
        <f t="shared" si="31"/>
        <v>1.2437930192350868</v>
      </c>
      <c r="AP128" s="9">
        <f t="shared" si="31"/>
        <v>-0.61349983805607178</v>
      </c>
      <c r="AQ128" s="9">
        <f t="shared" si="31"/>
        <v>0.40142039742616464</v>
      </c>
      <c r="AR128" s="9">
        <f t="shared" si="31"/>
        <v>-3.1713578605186296E-2</v>
      </c>
      <c r="AS128" s="9">
        <f t="shared" si="31"/>
        <v>1</v>
      </c>
      <c r="AT128" s="7"/>
      <c r="AU128" s="7"/>
      <c r="AV128" s="7"/>
      <c r="AW128" s="7"/>
      <c r="AX128" s="7"/>
    </row>
    <row r="129" spans="1:50" x14ac:dyDescent="0.25">
      <c r="A129" s="1">
        <v>50770</v>
      </c>
      <c r="B129">
        <v>-8.76332354955391E-2</v>
      </c>
      <c r="C129">
        <v>-7.2338240141162705E-2</v>
      </c>
      <c r="D129">
        <v>0.26876080141195202</v>
      </c>
      <c r="E129">
        <v>-1.7825757758678899E-2</v>
      </c>
      <c r="F129">
        <v>-1.76687800412005E-2</v>
      </c>
      <c r="G129" s="2">
        <v>-4.6712143180181199E-15</v>
      </c>
      <c r="H129" s="2">
        <v>4.6683580244211503E-14</v>
      </c>
      <c r="I129" s="2">
        <v>2.4002893856661101E-15</v>
      </c>
      <c r="J129" s="2">
        <v>-2.5583449403043402E-16</v>
      </c>
      <c r="K129" s="2">
        <v>-4.1248712153615402E-16</v>
      </c>
      <c r="L129" s="2">
        <v>-6.0481899833442602E-16</v>
      </c>
      <c r="M129" s="2">
        <v>-9.1306840506895409E-16</v>
      </c>
      <c r="N129" s="2">
        <v>-1.1283047475499201E-15</v>
      </c>
      <c r="O129" s="2">
        <v>-1.3369849890485101E-15</v>
      </c>
      <c r="P129" s="2">
        <v>6.8663011347980797E-14</v>
      </c>
      <c r="Q129">
        <v>1.9058722087632899E-3</v>
      </c>
      <c r="R129">
        <v>0</v>
      </c>
      <c r="S129">
        <v>-0.215460424850171</v>
      </c>
      <c r="T129">
        <v>7.0572150619799198E-3</v>
      </c>
      <c r="U129">
        <v>-0.13320254960394801</v>
      </c>
      <c r="V129">
        <f t="shared" si="17"/>
        <v>-0.13320254960394853</v>
      </c>
      <c r="Y129" s="1">
        <f t="shared" si="30"/>
        <v>50770</v>
      </c>
      <c r="Z129" s="7">
        <f t="shared" si="30"/>
        <v>-8.76332354955391E-2</v>
      </c>
      <c r="AA129" s="7">
        <f t="shared" si="30"/>
        <v>-7.2338240141162705E-2</v>
      </c>
      <c r="AB129" s="7">
        <f t="shared" si="30"/>
        <v>0.26876080141195202</v>
      </c>
      <c r="AC129" s="7">
        <f t="shared" si="19"/>
        <v>-0.23312920489137151</v>
      </c>
      <c r="AD129" s="7">
        <f t="shared" si="20"/>
        <v>-1.7825757758678899E-2</v>
      </c>
      <c r="AE129" s="7">
        <f t="shared" si="21"/>
        <v>1.9058722087632899E-3</v>
      </c>
      <c r="AF129" s="7">
        <f t="shared" si="22"/>
        <v>-4.6712143180181199E-15</v>
      </c>
      <c r="AG129" s="7">
        <f t="shared" si="22"/>
        <v>4.6683580244211503E-14</v>
      </c>
      <c r="AH129" s="7">
        <f t="shared" si="23"/>
        <v>7.0572150620463311E-3</v>
      </c>
      <c r="AI129" s="7">
        <f t="shared" si="16"/>
        <v>-0.13320254960394856</v>
      </c>
      <c r="AJ129" s="8">
        <f t="shared" si="24"/>
        <v>-0.23122333268260822</v>
      </c>
      <c r="AK129" s="8">
        <f t="shared" si="25"/>
        <v>0.17859680351211044</v>
      </c>
      <c r="AL129" s="8">
        <f t="shared" si="26"/>
        <v>-8.76332354955391E-2</v>
      </c>
      <c r="AM129" s="8">
        <f t="shared" si="27"/>
        <v>7.0572150620463311E-3</v>
      </c>
      <c r="AN129" s="8">
        <f t="shared" si="28"/>
        <v>-0.13320254960399058</v>
      </c>
      <c r="AO129" s="9">
        <f t="shared" si="31"/>
        <v>1.2516087583624247</v>
      </c>
      <c r="AP129" s="9">
        <f t="shared" si="31"/>
        <v>-0.62798148286682665</v>
      </c>
      <c r="AQ129" s="9">
        <f t="shared" si="31"/>
        <v>0.40867534142700979</v>
      </c>
      <c r="AR129" s="9">
        <f t="shared" si="31"/>
        <v>-3.2302616922595499E-2</v>
      </c>
      <c r="AS129" s="9">
        <f t="shared" si="31"/>
        <v>1</v>
      </c>
      <c r="AT129" s="7"/>
      <c r="AU129" s="7"/>
      <c r="AV129" s="7"/>
      <c r="AW129" s="7"/>
      <c r="AX129" s="7"/>
    </row>
    <row r="130" spans="1:50" x14ac:dyDescent="0.25">
      <c r="A130" s="1">
        <v>50860</v>
      </c>
      <c r="B130">
        <v>-8.6612453604484593E-2</v>
      </c>
      <c r="C130">
        <v>-7.1614857739751098E-2</v>
      </c>
      <c r="D130">
        <v>0.26607319339743102</v>
      </c>
      <c r="E130">
        <v>-1.7438583136852499E-2</v>
      </c>
      <c r="F130">
        <v>-1.6626964158160701E-2</v>
      </c>
      <c r="G130" s="2">
        <v>-4.5185208842529201E-15</v>
      </c>
      <c r="H130" s="2">
        <v>4.65031664518754E-14</v>
      </c>
      <c r="I130" s="2">
        <v>2.37054941264812E-15</v>
      </c>
      <c r="J130" s="2">
        <v>-2.5297003276274402E-16</v>
      </c>
      <c r="K130" s="2">
        <v>-4.0811268514213301E-16</v>
      </c>
      <c r="L130" s="2">
        <v>-5.9854728304006002E-16</v>
      </c>
      <c r="M130" s="2">
        <v>-9.0373013666703405E-16</v>
      </c>
      <c r="N130" s="2">
        <v>-1.11678696194405E-15</v>
      </c>
      <c r="O130" s="2">
        <v>-1.32330487627481E-15</v>
      </c>
      <c r="P130" s="2">
        <v>6.8297689582225004E-14</v>
      </c>
      <c r="Q130">
        <v>1.8592851446544701E-3</v>
      </c>
      <c r="R130">
        <v>0</v>
      </c>
      <c r="S130">
        <v>-0.21336447566959199</v>
      </c>
      <c r="T130">
        <v>6.9764910189367398E-3</v>
      </c>
      <c r="U130">
        <v>-0.13074836474771001</v>
      </c>
      <c r="V130">
        <f t="shared" si="17"/>
        <v>-0.13074836474771057</v>
      </c>
      <c r="Y130" s="1">
        <f t="shared" si="30"/>
        <v>50860</v>
      </c>
      <c r="Z130" s="7">
        <f t="shared" si="30"/>
        <v>-8.6612453604484593E-2</v>
      </c>
      <c r="AA130" s="7">
        <f t="shared" si="30"/>
        <v>-7.1614857739751098E-2</v>
      </c>
      <c r="AB130" s="7">
        <f t="shared" si="30"/>
        <v>0.26607319339743102</v>
      </c>
      <c r="AC130" s="7">
        <f t="shared" si="19"/>
        <v>-0.22999143982775269</v>
      </c>
      <c r="AD130" s="7">
        <f t="shared" si="20"/>
        <v>-1.7438583136852499E-2</v>
      </c>
      <c r="AE130" s="7">
        <f t="shared" si="21"/>
        <v>1.8592851446544701E-3</v>
      </c>
      <c r="AF130" s="7">
        <f t="shared" si="22"/>
        <v>-4.5185208842529201E-15</v>
      </c>
      <c r="AG130" s="7">
        <f t="shared" si="22"/>
        <v>4.65031664518754E-14</v>
      </c>
      <c r="AH130" s="7">
        <f t="shared" si="23"/>
        <v>6.9764910190028033E-3</v>
      </c>
      <c r="AI130" s="7">
        <f t="shared" ref="AI130:AI132" si="32">+SUM(Z130:AH130)</f>
        <v>-0.13074836474771062</v>
      </c>
      <c r="AJ130" s="8">
        <f t="shared" si="24"/>
        <v>-0.22813215468309822</v>
      </c>
      <c r="AK130" s="8">
        <f t="shared" si="25"/>
        <v>0.17701975252082741</v>
      </c>
      <c r="AL130" s="8">
        <f t="shared" si="26"/>
        <v>-8.6612453604484593E-2</v>
      </c>
      <c r="AM130" s="8">
        <f t="shared" si="27"/>
        <v>6.9764910190028033E-3</v>
      </c>
      <c r="AN130" s="8">
        <f t="shared" si="28"/>
        <v>-0.13074836474775262</v>
      </c>
      <c r="AO130" s="9">
        <f t="shared" si="31"/>
        <v>1.2595538562031898</v>
      </c>
      <c r="AP130" s="9">
        <f t="shared" si="31"/>
        <v>-0.64259665985409664</v>
      </c>
      <c r="AQ130" s="9">
        <f t="shared" si="31"/>
        <v>0.41593520897984354</v>
      </c>
      <c r="AR130" s="9">
        <f t="shared" si="31"/>
        <v>-3.2892405328940923E-2</v>
      </c>
      <c r="AS130" s="9">
        <f t="shared" si="31"/>
        <v>1</v>
      </c>
      <c r="AT130" s="7"/>
      <c r="AU130" s="7"/>
      <c r="AV130" s="7"/>
      <c r="AW130" s="7"/>
      <c r="AX130" s="7"/>
    </row>
    <row r="131" spans="1:50" x14ac:dyDescent="0.25">
      <c r="A131" s="1">
        <v>50951</v>
      </c>
      <c r="B131">
        <v>-8.5604305606420295E-2</v>
      </c>
      <c r="C131">
        <v>-7.0898709162353593E-2</v>
      </c>
      <c r="D131">
        <v>0.26341246146317698</v>
      </c>
      <c r="E131">
        <v>-1.70599223632097E-2</v>
      </c>
      <c r="F131">
        <v>-1.5638396376319599E-2</v>
      </c>
      <c r="G131" s="2">
        <v>-4.37004437232773E-15</v>
      </c>
      <c r="H131" s="2">
        <v>4.6318431980607701E-14</v>
      </c>
      <c r="I131" s="2">
        <v>2.3411926741188798E-15</v>
      </c>
      <c r="J131" s="2">
        <v>-2.5014700762607898E-16</v>
      </c>
      <c r="K131" s="2">
        <v>-4.03791500979519E-16</v>
      </c>
      <c r="L131" s="2">
        <v>-5.9234589717817404E-16</v>
      </c>
      <c r="M131" s="2">
        <v>-8.9449116765233008E-16</v>
      </c>
      <c r="N131" s="2">
        <v>-1.10539017314972E-15</v>
      </c>
      <c r="O131" s="2">
        <v>-1.3097686250781101E-15</v>
      </c>
      <c r="P131" s="2">
        <v>6.7932242828772099E-14</v>
      </c>
      <c r="Q131">
        <v>1.81411231387608E-3</v>
      </c>
      <c r="R131">
        <v>0</v>
      </c>
      <c r="S131">
        <v>-0.211288092970456</v>
      </c>
      <c r="T131">
        <v>6.8967278949340896E-3</v>
      </c>
      <c r="U131">
        <v>-0.12836612480666401</v>
      </c>
      <c r="V131">
        <f t="shared" ref="V131:V132" si="33">SUM(B131:T131)</f>
        <v>-0.12836612480666434</v>
      </c>
      <c r="Y131" s="1">
        <f t="shared" si="30"/>
        <v>50951</v>
      </c>
      <c r="Z131" s="7">
        <f t="shared" si="30"/>
        <v>-8.5604305606420295E-2</v>
      </c>
      <c r="AA131" s="7">
        <f t="shared" si="30"/>
        <v>-7.0898709162353593E-2</v>
      </c>
      <c r="AB131" s="7">
        <f t="shared" si="30"/>
        <v>0.26341246146317698</v>
      </c>
      <c r="AC131" s="7">
        <f t="shared" ref="AC131:AC132" si="34">+F131+S131</f>
        <v>-0.22692648934677562</v>
      </c>
      <c r="AD131" s="7">
        <f t="shared" ref="AD131:AD132" si="35">+E131</f>
        <v>-1.70599223632097E-2</v>
      </c>
      <c r="AE131" s="7">
        <f t="shared" ref="AE131:AE132" si="36">+Q131</f>
        <v>1.81411231387608E-3</v>
      </c>
      <c r="AF131" s="7">
        <f t="shared" ref="AF131:AG132" si="37">+G131</f>
        <v>-4.37004437232773E-15</v>
      </c>
      <c r="AG131" s="7">
        <f t="shared" si="37"/>
        <v>4.6318431980607701E-14</v>
      </c>
      <c r="AH131" s="7">
        <f t="shared" ref="AH131:AH132" si="38">+SUM(T131,I131:P131)</f>
        <v>6.8967278949998078E-3</v>
      </c>
      <c r="AI131" s="7">
        <f t="shared" si="32"/>
        <v>-0.12836612480666434</v>
      </c>
      <c r="AJ131" s="8">
        <f t="shared" ref="AJ131:AJ132" si="39">SUM(AC131+AE131)</f>
        <v>-0.22511237703289955</v>
      </c>
      <c r="AK131" s="8">
        <f t="shared" ref="AK131:AK132" si="40">AB131+AA131+AD131</f>
        <v>0.17545382993761371</v>
      </c>
      <c r="AL131" s="8">
        <f t="shared" ref="AL131:AL132" si="41">Z131</f>
        <v>-8.5604305606420295E-2</v>
      </c>
      <c r="AM131" s="8">
        <f t="shared" ref="AM131:AM132" si="42">AH131</f>
        <v>6.8967278949998078E-3</v>
      </c>
      <c r="AN131" s="8">
        <f t="shared" ref="AN131:AN132" si="43">SUM(AJ131:AM131)</f>
        <v>-0.12836612480670631</v>
      </c>
      <c r="AO131" s="9">
        <f t="shared" si="31"/>
        <v>1.2676211149714651</v>
      </c>
      <c r="AP131" s="9">
        <f t="shared" si="31"/>
        <v>-0.65733201607136493</v>
      </c>
      <c r="AQ131" s="9">
        <f t="shared" si="31"/>
        <v>0.42319330672522837</v>
      </c>
      <c r="AR131" s="9">
        <f t="shared" si="31"/>
        <v>-3.3482405625338746E-2</v>
      </c>
      <c r="AS131" s="9">
        <f t="shared" si="31"/>
        <v>1</v>
      </c>
      <c r="AT131" s="7"/>
      <c r="AU131" s="7"/>
      <c r="AV131" s="7"/>
      <c r="AW131" s="7"/>
      <c r="AX131" s="7"/>
    </row>
    <row r="132" spans="1:50" x14ac:dyDescent="0.25">
      <c r="A132" s="1">
        <v>51043</v>
      </c>
      <c r="B132">
        <v>-8.4608618992893E-2</v>
      </c>
      <c r="C132">
        <v>-7.0189722070730098E-2</v>
      </c>
      <c r="D132">
        <v>0.260778336848351</v>
      </c>
      <c r="E132">
        <v>-1.6689636169152301E-2</v>
      </c>
      <c r="F132">
        <v>-1.47003972359348E-2</v>
      </c>
      <c r="G132" s="2">
        <v>-4.2256512772761297E-15</v>
      </c>
      <c r="H132" s="2">
        <v>4.6129552233573497E-14</v>
      </c>
      <c r="I132" s="2">
        <v>2.3122145341878098E-15</v>
      </c>
      <c r="J132" s="2">
        <v>-2.4736447583193101E-16</v>
      </c>
      <c r="K132" s="2">
        <v>-3.9952259860106701E-16</v>
      </c>
      <c r="L132" s="2">
        <v>-5.8621374019281302E-16</v>
      </c>
      <c r="M132" s="2">
        <v>-8.8535016814821899E-16</v>
      </c>
      <c r="N132" s="2">
        <v>-1.09411282035384E-15</v>
      </c>
      <c r="O132" s="2">
        <v>-1.29637439442168E-15</v>
      </c>
      <c r="P132" s="2">
        <v>6.7566725040446097E-14</v>
      </c>
      <c r="Q132">
        <v>1.77028028248953E-3</v>
      </c>
      <c r="R132">
        <v>0</v>
      </c>
      <c r="S132">
        <v>-0.20923111434628799</v>
      </c>
      <c r="T132">
        <v>6.8179134700486104E-3</v>
      </c>
      <c r="U132">
        <v>-0.126052958214002</v>
      </c>
      <c r="V132">
        <f t="shared" si="33"/>
        <v>-0.12605295821400175</v>
      </c>
      <c r="Y132" s="1">
        <f t="shared" si="30"/>
        <v>51043</v>
      </c>
      <c r="Z132" s="7">
        <f t="shared" si="30"/>
        <v>-8.4608618992893E-2</v>
      </c>
      <c r="AA132" s="7">
        <f t="shared" si="30"/>
        <v>-7.0189722070730098E-2</v>
      </c>
      <c r="AB132" s="7">
        <f t="shared" si="30"/>
        <v>0.260778336848351</v>
      </c>
      <c r="AC132" s="7">
        <f t="shared" si="34"/>
        <v>-0.2239315115822228</v>
      </c>
      <c r="AD132" s="7">
        <f t="shared" si="35"/>
        <v>-1.6689636169152301E-2</v>
      </c>
      <c r="AE132" s="7">
        <f t="shared" si="36"/>
        <v>1.77028028248953E-3</v>
      </c>
      <c r="AF132" s="7">
        <f t="shared" si="37"/>
        <v>-4.2256512772761297E-15</v>
      </c>
      <c r="AG132" s="7">
        <f t="shared" si="37"/>
        <v>4.6129552233573497E-14</v>
      </c>
      <c r="AH132" s="7">
        <f t="shared" si="38"/>
        <v>6.81791347011398E-3</v>
      </c>
      <c r="AI132" s="7">
        <f t="shared" si="32"/>
        <v>-0.12605295821400181</v>
      </c>
      <c r="AJ132" s="8">
        <f t="shared" si="39"/>
        <v>-0.22216123129973328</v>
      </c>
      <c r="AK132" s="8">
        <f t="shared" si="40"/>
        <v>0.17389897860846859</v>
      </c>
      <c r="AL132" s="8">
        <f t="shared" si="41"/>
        <v>-8.4608618992893E-2</v>
      </c>
      <c r="AM132" s="8">
        <f t="shared" si="42"/>
        <v>6.81791347011398E-3</v>
      </c>
      <c r="AN132" s="8">
        <f t="shared" si="43"/>
        <v>-0.12605295821404369</v>
      </c>
      <c r="AO132" s="9">
        <f t="shared" si="31"/>
        <v>1.2758033695140341</v>
      </c>
      <c r="AP132" s="9">
        <f t="shared" si="31"/>
        <v>-0.67217438384123451</v>
      </c>
      <c r="AQ132" s="9">
        <f t="shared" si="31"/>
        <v>0.43044310629663213</v>
      </c>
      <c r="AR132" s="9">
        <f t="shared" si="31"/>
        <v>-3.40720919694361E-2</v>
      </c>
      <c r="AS132" s="9">
        <f t="shared" si="31"/>
        <v>1</v>
      </c>
      <c r="AT132" s="7"/>
      <c r="AU132" s="7"/>
      <c r="AV132" s="7"/>
      <c r="AW132" s="7"/>
      <c r="AX132" s="7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Delta</vt:lpstr>
      <vt:lpstr>wFG</vt:lpstr>
      <vt:lpstr>woFG</vt:lpstr>
      <vt:lpstr>DSGE HVD difference</vt:lpstr>
      <vt:lpstr>DSGE HVD wFG</vt:lpstr>
      <vt:lpstr>DSGE HVD woFG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matyasfarkas</dc:creator>
  <cp:lastModifiedBy>matyasfarkas</cp:lastModifiedBy>
  <dcterms:created xsi:type="dcterms:W3CDTF">2025-09-03T18:35:34Z</dcterms:created>
  <dcterms:modified xsi:type="dcterms:W3CDTF">2025-09-11T19:58:01Z</dcterms:modified>
</cp:coreProperties>
</file>