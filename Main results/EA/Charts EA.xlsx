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ink/ink3.xml" ContentType="application/inkml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farkas\Downloads\"/>
    </mc:Choice>
  </mc:AlternateContent>
  <xr:revisionPtr revIDLastSave="0" documentId="13_ncr:1_{FC00ABB0-32D6-474A-832E-D091FF3BA47B}" xr6:coauthVersionLast="47" xr6:coauthVersionMax="47" xr10:uidLastSave="{00000000-0000-0000-0000-000000000000}"/>
  <bookViews>
    <workbookView xWindow="-28920" yWindow="-120" windowWidth="29040" windowHeight="17520" tabRatio="667" xr2:uid="{00000000-000D-0000-FFFF-FFFF00000000}"/>
  </bookViews>
  <sheets>
    <sheet name="Chart NA - DSGE Raw Data" sheetId="1" r:id="rId1"/>
    <sheet name="DSGE HVD wFG - difference" sheetId="21" r:id="rId2"/>
    <sheet name="YC Chart - Policy rate" sheetId="20" r:id="rId3"/>
    <sheet name="Chart 2 - Real rate gaps" sheetId="11" r:id="rId4"/>
    <sheet name="Decomposition" sheetId="14" r:id="rId5"/>
    <sheet name="DSGE HVD wFG" sheetId="15" r:id="rId6"/>
    <sheet name="EA_output" sheetId="19" r:id="rId7"/>
    <sheet name="EA_policy_rarte_vs_shadow_rate" sheetId="18" r:id="rId8"/>
    <sheet name="shockdec_obs_nominalrate_cond=n" sheetId="17" r:id="rId9"/>
    <sheet name="DSGE HVD wo FG" sheetId="16" r:id="rId10"/>
    <sheet name="Chart 3 - rstar" sheetId="12" r:id="rId11"/>
    <sheet name="2025Q2" sheetId="13" r:id="rId12"/>
    <sheet name="hist_ExAnteRealRate_wFG" sheetId="2" r:id="rId13"/>
    <sheet name="hist_RealNaturalRate_wFG" sheetId="3" r:id="rId14"/>
    <sheet name="hist_Forward5YearRealR_wFG" sheetId="5" r:id="rId15"/>
    <sheet name="hist_Forward5YearRNatR_wFG" sheetId="4" r:id="rId16"/>
    <sheet name="hist_ExAnteRealRate_woFG" sheetId="7" r:id="rId17"/>
    <sheet name="hist_RealNaturalRate_woFG" sheetId="8" r:id="rId18"/>
    <sheet name="hist_Forward5YearRealR_woFG" sheetId="10" r:id="rId19"/>
    <sheet name="hist_Forward5YearRNatR_woFG" sheetId="9" r:id="rId20"/>
  </sheets>
  <externalReferences>
    <externalReference r:id="rId21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1" l="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J132" i="19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AJ132" i="18"/>
  <c r="AK132" i="18" s="1"/>
  <c r="AH132" i="18"/>
  <c r="AK131" i="18"/>
  <c r="AJ131" i="18"/>
  <c r="AH131" i="18"/>
  <c r="AJ130" i="18"/>
  <c r="AK130" i="18" s="1"/>
  <c r="AH130" i="18"/>
  <c r="AK129" i="18"/>
  <c r="AJ129" i="18"/>
  <c r="AH129" i="18"/>
  <c r="AJ128" i="18"/>
  <c r="AK128" i="18" s="1"/>
  <c r="AH128" i="18"/>
  <c r="AK127" i="18"/>
  <c r="AJ127" i="18"/>
  <c r="AH127" i="18"/>
  <c r="AJ126" i="18"/>
  <c r="AK126" i="18" s="1"/>
  <c r="AH126" i="18"/>
  <c r="AK125" i="18"/>
  <c r="AJ125" i="18"/>
  <c r="AH125" i="18"/>
  <c r="AJ124" i="18"/>
  <c r="AK124" i="18" s="1"/>
  <c r="AH124" i="18"/>
  <c r="AK123" i="18"/>
  <c r="AJ123" i="18"/>
  <c r="AH123" i="18"/>
  <c r="AJ122" i="18"/>
  <c r="AK122" i="18" s="1"/>
  <c r="AH122" i="18"/>
  <c r="AK121" i="18"/>
  <c r="AJ121" i="18"/>
  <c r="AH121" i="18"/>
  <c r="AJ120" i="18"/>
  <c r="AK120" i="18" s="1"/>
  <c r="AH120" i="18"/>
  <c r="AK119" i="18"/>
  <c r="AJ119" i="18"/>
  <c r="AH119" i="18"/>
  <c r="AJ118" i="18"/>
  <c r="AK118" i="18" s="1"/>
  <c r="AH118" i="18"/>
  <c r="AK117" i="18"/>
  <c r="AJ117" i="18"/>
  <c r="AH117" i="18"/>
  <c r="AJ116" i="18"/>
  <c r="AK116" i="18" s="1"/>
  <c r="AH116" i="18"/>
  <c r="AK115" i="18"/>
  <c r="AJ115" i="18"/>
  <c r="AH115" i="18"/>
  <c r="AJ114" i="18"/>
  <c r="AK114" i="18" s="1"/>
  <c r="AH114" i="18"/>
  <c r="AK113" i="18"/>
  <c r="AJ113" i="18"/>
  <c r="AH113" i="18"/>
  <c r="AJ112" i="18"/>
  <c r="AK112" i="18" s="1"/>
  <c r="AH112" i="18"/>
  <c r="AK111" i="18"/>
  <c r="AJ111" i="18"/>
  <c r="AH111" i="18"/>
  <c r="AJ110" i="18"/>
  <c r="AK110" i="18" s="1"/>
  <c r="AH110" i="18"/>
  <c r="AK109" i="18"/>
  <c r="AJ109" i="18"/>
  <c r="AH109" i="18"/>
  <c r="AJ108" i="18"/>
  <c r="AK108" i="18" s="1"/>
  <c r="AH108" i="18"/>
  <c r="AK107" i="18"/>
  <c r="AJ107" i="18"/>
  <c r="AH107" i="18"/>
  <c r="AJ106" i="18"/>
  <c r="AK106" i="18" s="1"/>
  <c r="AH106" i="18"/>
  <c r="AK105" i="18"/>
  <c r="AJ105" i="18"/>
  <c r="AH105" i="18"/>
  <c r="AJ104" i="18"/>
  <c r="AK104" i="18" s="1"/>
  <c r="AH104" i="18"/>
  <c r="AK103" i="18"/>
  <c r="AJ103" i="18"/>
  <c r="AH103" i="18"/>
  <c r="AJ102" i="18"/>
  <c r="AK102" i="18" s="1"/>
  <c r="AH102" i="18"/>
  <c r="AK101" i="18"/>
  <c r="AJ101" i="18"/>
  <c r="AH101" i="18"/>
  <c r="AJ100" i="18"/>
  <c r="AK100" i="18" s="1"/>
  <c r="AH100" i="18"/>
  <c r="AK99" i="18"/>
  <c r="AJ99" i="18"/>
  <c r="AH99" i="18"/>
  <c r="AJ98" i="18"/>
  <c r="AK98" i="18" s="1"/>
  <c r="AH98" i="18"/>
  <c r="AK97" i="18"/>
  <c r="AJ97" i="18"/>
  <c r="AH97" i="18"/>
  <c r="AJ96" i="18"/>
  <c r="AK96" i="18" s="1"/>
  <c r="AH96" i="18"/>
  <c r="AK95" i="18"/>
  <c r="AJ95" i="18"/>
  <c r="AH95" i="18"/>
  <c r="AJ94" i="18"/>
  <c r="AK94" i="18" s="1"/>
  <c r="AH94" i="18"/>
  <c r="AK93" i="18"/>
  <c r="AJ93" i="18"/>
  <c r="AH93" i="18"/>
  <c r="AJ92" i="18"/>
  <c r="AK92" i="18" s="1"/>
  <c r="AH92" i="18"/>
  <c r="AK91" i="18"/>
  <c r="AJ91" i="18"/>
  <c r="AH91" i="18"/>
  <c r="AJ90" i="18"/>
  <c r="AK90" i="18" s="1"/>
  <c r="AH90" i="18"/>
  <c r="AK89" i="18"/>
  <c r="AJ89" i="18"/>
  <c r="AH89" i="18"/>
  <c r="AJ88" i="18"/>
  <c r="AK88" i="18" s="1"/>
  <c r="AH88" i="18"/>
  <c r="AK87" i="18"/>
  <c r="AJ87" i="18"/>
  <c r="AH87" i="18"/>
  <c r="AJ86" i="18"/>
  <c r="AK86" i="18" s="1"/>
  <c r="AH86" i="18"/>
  <c r="AK85" i="18"/>
  <c r="AJ85" i="18"/>
  <c r="AH85" i="18"/>
  <c r="AJ84" i="18"/>
  <c r="AK84" i="18" s="1"/>
  <c r="AH84" i="18"/>
  <c r="AK83" i="18"/>
  <c r="AJ83" i="18"/>
  <c r="AH83" i="18"/>
  <c r="AJ82" i="18"/>
  <c r="AK82" i="18" s="1"/>
  <c r="AH82" i="18"/>
  <c r="AK81" i="18"/>
  <c r="AJ81" i="18"/>
  <c r="AH81" i="18"/>
  <c r="AJ80" i="18"/>
  <c r="AK80" i="18" s="1"/>
  <c r="AH80" i="18"/>
  <c r="AK79" i="18"/>
  <c r="AJ79" i="18"/>
  <c r="AH79" i="18"/>
  <c r="AJ78" i="18"/>
  <c r="AK78" i="18" s="1"/>
  <c r="AH78" i="18"/>
  <c r="AK77" i="18"/>
  <c r="AJ77" i="18"/>
  <c r="AH77" i="18"/>
  <c r="AJ76" i="18"/>
  <c r="AK76" i="18" s="1"/>
  <c r="AH76" i="18"/>
  <c r="AK75" i="18"/>
  <c r="AJ75" i="18"/>
  <c r="AH75" i="18"/>
  <c r="AJ74" i="18"/>
  <c r="AK74" i="18" s="1"/>
  <c r="AH74" i="18"/>
  <c r="AK73" i="18"/>
  <c r="AJ73" i="18"/>
  <c r="AH73" i="18"/>
  <c r="AJ72" i="18"/>
  <c r="AK72" i="18" s="1"/>
  <c r="AH72" i="18"/>
  <c r="AJ71" i="18"/>
  <c r="AK71" i="18" s="1"/>
  <c r="AH71" i="18"/>
  <c r="AJ70" i="18"/>
  <c r="AK70" i="18" s="1"/>
  <c r="AH70" i="18"/>
  <c r="AJ69" i="18"/>
  <c r="AK69" i="18" s="1"/>
  <c r="AH69" i="18"/>
  <c r="AJ68" i="18"/>
  <c r="AK68" i="18" s="1"/>
  <c r="AH68" i="18"/>
  <c r="AJ67" i="18"/>
  <c r="AK67" i="18" s="1"/>
  <c r="AH67" i="18"/>
  <c r="AJ66" i="18"/>
  <c r="AK66" i="18" s="1"/>
  <c r="AH66" i="18"/>
  <c r="AJ65" i="18"/>
  <c r="AK65" i="18" s="1"/>
  <c r="AH65" i="18"/>
  <c r="AJ64" i="18"/>
  <c r="AK64" i="18" s="1"/>
  <c r="AH64" i="18"/>
  <c r="AJ63" i="18"/>
  <c r="AK63" i="18" s="1"/>
  <c r="AH63" i="18"/>
  <c r="AJ62" i="18"/>
  <c r="AK62" i="18" s="1"/>
  <c r="AH62" i="18"/>
  <c r="AJ61" i="18"/>
  <c r="AK61" i="18" s="1"/>
  <c r="AH61" i="18"/>
  <c r="AJ60" i="18"/>
  <c r="AK60" i="18" s="1"/>
  <c r="AH60" i="18"/>
  <c r="AJ59" i="18"/>
  <c r="AK59" i="18" s="1"/>
  <c r="AH59" i="18"/>
  <c r="AJ58" i="18"/>
  <c r="AK58" i="18" s="1"/>
  <c r="AH58" i="18"/>
  <c r="AJ57" i="18"/>
  <c r="AK57" i="18" s="1"/>
  <c r="AH57" i="18"/>
  <c r="AJ56" i="18"/>
  <c r="AK56" i="18" s="1"/>
  <c r="AH56" i="18"/>
  <c r="AJ55" i="18"/>
  <c r="AK55" i="18" s="1"/>
  <c r="AH55" i="18"/>
  <c r="AJ54" i="18"/>
  <c r="AK54" i="18" s="1"/>
  <c r="AH54" i="18"/>
  <c r="AJ53" i="18"/>
  <c r="AK53" i="18" s="1"/>
  <c r="AH53" i="18"/>
  <c r="AJ52" i="18"/>
  <c r="AK52" i="18" s="1"/>
  <c r="AH52" i="18"/>
  <c r="AJ51" i="18"/>
  <c r="AK51" i="18" s="1"/>
  <c r="AH51" i="18"/>
  <c r="AJ50" i="18"/>
  <c r="AK50" i="18" s="1"/>
  <c r="AH50" i="18"/>
  <c r="AJ49" i="18"/>
  <c r="AK49" i="18" s="1"/>
  <c r="AH49" i="18"/>
  <c r="AJ48" i="18"/>
  <c r="AK48" i="18" s="1"/>
  <c r="AH48" i="18"/>
  <c r="AJ47" i="18"/>
  <c r="AK47" i="18" s="1"/>
  <c r="AH47" i="18"/>
  <c r="AJ46" i="18"/>
  <c r="AK46" i="18" s="1"/>
  <c r="AH46" i="18"/>
  <c r="AJ45" i="18"/>
  <c r="AK45" i="18" s="1"/>
  <c r="AH45" i="18"/>
  <c r="AJ44" i="18"/>
  <c r="AK44" i="18" s="1"/>
  <c r="AH44" i="18"/>
  <c r="AJ43" i="18"/>
  <c r="AK43" i="18" s="1"/>
  <c r="AH43" i="18"/>
  <c r="AJ42" i="18"/>
  <c r="AK42" i="18" s="1"/>
  <c r="AH42" i="18"/>
  <c r="AK41" i="18"/>
  <c r="AJ41" i="18"/>
  <c r="AH41" i="18"/>
  <c r="AJ40" i="18"/>
  <c r="AK40" i="18" s="1"/>
  <c r="AH40" i="18"/>
  <c r="AJ39" i="18"/>
  <c r="AK39" i="18" s="1"/>
  <c r="AH39" i="18"/>
  <c r="AJ38" i="18"/>
  <c r="AK38" i="18" s="1"/>
  <c r="AH38" i="18"/>
  <c r="AJ37" i="18"/>
  <c r="AK37" i="18" s="1"/>
  <c r="AH37" i="18"/>
  <c r="AJ36" i="18"/>
  <c r="AK36" i="18" s="1"/>
  <c r="AH36" i="18"/>
  <c r="AJ35" i="18"/>
  <c r="AK35" i="18" s="1"/>
  <c r="AH35" i="18"/>
  <c r="AJ34" i="18"/>
  <c r="AK34" i="18" s="1"/>
  <c r="AH34" i="18"/>
  <c r="AJ33" i="18"/>
  <c r="AK33" i="18" s="1"/>
  <c r="AH33" i="18"/>
  <c r="AJ32" i="18"/>
  <c r="AK32" i="18" s="1"/>
  <c r="AH32" i="18"/>
  <c r="AJ31" i="18"/>
  <c r="AK31" i="18" s="1"/>
  <c r="AH31" i="18"/>
  <c r="AJ30" i="18"/>
  <c r="AK30" i="18" s="1"/>
  <c r="AH30" i="18"/>
  <c r="AJ29" i="18"/>
  <c r="AK29" i="18" s="1"/>
  <c r="AH29" i="18"/>
  <c r="AJ28" i="18"/>
  <c r="AK28" i="18" s="1"/>
  <c r="AH28" i="18"/>
  <c r="AJ27" i="18"/>
  <c r="AK27" i="18" s="1"/>
  <c r="AH27" i="18"/>
  <c r="AJ26" i="18"/>
  <c r="AK26" i="18" s="1"/>
  <c r="AH26" i="18"/>
  <c r="AJ25" i="18"/>
  <c r="AK25" i="18" s="1"/>
  <c r="AH25" i="18"/>
  <c r="AJ24" i="18"/>
  <c r="AK24" i="18" s="1"/>
  <c r="AH24" i="18"/>
  <c r="AJ23" i="18"/>
  <c r="AK23" i="18" s="1"/>
  <c r="AH23" i="18"/>
  <c r="AJ22" i="18"/>
  <c r="AK22" i="18" s="1"/>
  <c r="AH22" i="18"/>
  <c r="AJ21" i="18"/>
  <c r="AK21" i="18" s="1"/>
  <c r="AH21" i="18"/>
  <c r="AJ20" i="18"/>
  <c r="AK20" i="18" s="1"/>
  <c r="AH20" i="18"/>
  <c r="AJ19" i="18"/>
  <c r="AK19" i="18" s="1"/>
  <c r="AH19" i="18"/>
  <c r="AJ18" i="18"/>
  <c r="AK18" i="18" s="1"/>
  <c r="AH18" i="18"/>
  <c r="AJ17" i="18"/>
  <c r="AK17" i="18" s="1"/>
  <c r="AH17" i="18"/>
  <c r="AJ16" i="18"/>
  <c r="AK16" i="18" s="1"/>
  <c r="AH16" i="18"/>
  <c r="AJ15" i="18"/>
  <c r="AK15" i="18" s="1"/>
  <c r="AH15" i="18"/>
  <c r="AJ14" i="18"/>
  <c r="AK14" i="18" s="1"/>
  <c r="AH14" i="18"/>
  <c r="AJ13" i="18"/>
  <c r="AK13" i="18" s="1"/>
  <c r="AH13" i="18"/>
  <c r="AJ12" i="18"/>
  <c r="AK12" i="18" s="1"/>
  <c r="AH12" i="18"/>
  <c r="AJ11" i="18"/>
  <c r="AK11" i="18" s="1"/>
  <c r="AH11" i="18"/>
  <c r="AJ10" i="18"/>
  <c r="AK10" i="18" s="1"/>
  <c r="AH10" i="18"/>
  <c r="AJ9" i="18"/>
  <c r="AK9" i="18" s="1"/>
  <c r="AH9" i="18"/>
  <c r="AJ8" i="18"/>
  <c r="AK8" i="18" s="1"/>
  <c r="AH8" i="18"/>
  <c r="AJ7" i="18"/>
  <c r="AK7" i="18" s="1"/>
  <c r="AH7" i="18"/>
  <c r="AJ6" i="18"/>
  <c r="AK6" i="18" s="1"/>
  <c r="AH6" i="18"/>
  <c r="AK5" i="18"/>
  <c r="AJ5" i="18"/>
  <c r="AH5" i="18"/>
  <c r="AJ4" i="18"/>
  <c r="AK4" i="18" s="1"/>
  <c r="AH4" i="18"/>
  <c r="AJ3" i="18"/>
  <c r="AK3" i="18" s="1"/>
  <c r="AH3" i="18"/>
  <c r="AJ2" i="18"/>
  <c r="AK2" i="18" s="1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<sst xmlns="http://schemas.openxmlformats.org/spreadsheetml/2006/main" count="614" uniqueCount="244">
  <si>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</si>
  <si>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</si>
  <si>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</si>
  <si>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</si>
  <si>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</si>
  <si>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</si>
  <si>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</si>
  <si>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</si>
  <si>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</si>
  <si>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</si>
  <si>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</si>
  <si>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</si>
  <si>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</si>
  <si>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</si>
  <si>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</si>
  <si>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</si>
  <si>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</si>
  <si>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</si>
  <si>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</si>
  <si>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</si>
  <si>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</si>
  <si>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</si>
  <si>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</si>
  <si>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</si>
  <si>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</si>
  <si>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</si>
  <si>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</si>
  <si>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</si>
  <si>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</si>
  <si>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</si>
  <si>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</si>
  <si>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</si>
  <si>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</si>
  <si>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</si>
  <si>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</si>
  <si>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</si>
  <si>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</si>
  <si>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</si>
  <si>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</si>
  <si>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</si>
  <si>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</si>
  <si>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</si>
  <si>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</si>
  <si>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</si>
  <si>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</si>
  <si>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</si>
  <si>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</si>
  <si>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</si>
  <si>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</si>
  <si>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</si>
  <si>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</si>
  <si>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</si>
  <si>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</si>
  <si>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</si>
  <si>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</si>
  <si>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</si>
  <si>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</si>
  <si>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</si>
  <si>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</si>
  <si>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</si>
  <si>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</si>
  <si>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</si>
  <si>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</si>
  <si>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</si>
  <si>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</si>
  <si>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</si>
  <si>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</si>
  <si>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</si>
  <si>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</si>
  <si>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</si>
  <si>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</si>
  <si>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</si>
  <si>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</si>
  <si>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</si>
  <si>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</si>
  <si>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</si>
  <si>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</si>
  <si>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</si>
  <si>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</si>
  <si>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</si>
  <si>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</si>
  <si>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</si>
  <si>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</si>
  <si>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</si>
  <si>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</si>
  <si>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</si>
  <si>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</si>
  <si>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</si>
  <si>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</si>
  <si>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</si>
  <si>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</si>
  <si>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</si>
  <si>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</si>
  <si>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</si>
  <si>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</si>
  <si>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</si>
  <si>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</si>
  <si>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</si>
  <si>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</si>
  <si>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</si>
  <si>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</si>
  <si>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</si>
  <si>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</si>
  <si>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</si>
  <si>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</si>
  <si>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</si>
  <si>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</si>
  <si>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</si>
  <si>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</si>
  <si>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</si>
  <si>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</si>
  <si>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</si>
  <si>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</si>
  <si>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</si>
  <si>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</si>
  <si>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</si>
  <si>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</si>
  <si>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</si>
  <si>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</si>
  <si>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</si>
  <si>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</si>
  <si>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</si>
  <si>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</si>
  <si>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</si>
  <si>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</si>
  <si>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</si>
  <si>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</si>
  <si>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</si>
  <si>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</si>
  <si>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</si>
  <si>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</si>
  <si>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</si>
  <si>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</si>
  <si>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</si>
  <si>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</si>
  <si>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</si>
  <si>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</si>
  <si>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</si>
  <si>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</si>
  <si>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</si>
  <si>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</si>
  <si>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</si>
  <si>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</si>
  <si>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</si>
  <si>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</si>
  <si>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</si>
  <si>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</si>
  <si>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</si>
  <si>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</si>
  <si>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</si>
  <si>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</si>
  <si>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</si>
  <si>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</si>
  <si>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</si>
  <si>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</si>
  <si>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</si>
  <si>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</si>
  <si>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</si>
  <si>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</si>
  <si>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</si>
  <si>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</si>
  <si>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</si>
  <si>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</si>
  <si>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</si>
  <si>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</si>
  <si>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</si>
  <si>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</si>
  <si>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</si>
  <si>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</si>
  <si>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</si>
  <si>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</si>
  <si>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</si>
  <si>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</si>
  <si>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</si>
  <si>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</si>
  <si>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</si>
  <si>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</si>
  <si>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</si>
  <si>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</si>
  <si>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</si>
  <si>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</si>
  <si>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</si>
  <si>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</si>
  <si>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</si>
  <si>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</si>
  <si>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</si>
  <si>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</si>
  <si>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</si>
  <si>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</si>
  <si>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</si>
  <si>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</si>
  <si>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</si>
  <si>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</si>
  <si>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</si>
  <si>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</si>
  <si>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</si>
  <si>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</si>
  <si>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</si>
  <si>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</si>
  <si>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</si>
  <si>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</si>
  <si>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</si>
  <si>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</si>
  <si>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</si>
  <si>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</si>
  <si>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</si>
  <si>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</si>
  <si>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</si>
  <si>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</si>
  <si>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</si>
  <si>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</si>
  <si>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</si>
  <si>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</si>
  <si>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</si>
  <si>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</si>
  <si>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</si>
  <si>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</si>
  <si>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</si>
  <si>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</si>
  <si>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</si>
  <si>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</si>
  <si>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</si>
  <si>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</si>
  <si>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</si>
  <si>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</si>
  <si>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</si>
  <si>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</si>
  <si>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</si>
  <si>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</si>
  <si>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No policy shock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</si>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</sst>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6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6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34" borderId="0" xfId="0" applyFill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'[1]Chart 2 - Real rate gaps'!$A$3:$A$312</c:f>
              <c:numCache>
                <c:formatCode>General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General</c:formatCode>
                <c:ptCount val="310"/>
                <c:pt idx="52">
                  <c:v>0.98414473335785013</c:v>
                </c:pt>
                <c:pt idx="53">
                  <c:v>-2.1797772542855105</c:v>
                </c:pt>
                <c:pt idx="54">
                  <c:v>1.468384795688729</c:v>
                </c:pt>
                <c:pt idx="55">
                  <c:v>1.193238087921868</c:v>
                </c:pt>
                <c:pt idx="56">
                  <c:v>2.1195851297584398</c:v>
                </c:pt>
                <c:pt idx="57">
                  <c:v>2.3952092964565388</c:v>
                </c:pt>
                <c:pt idx="58">
                  <c:v>1.710292573759562</c:v>
                </c:pt>
                <c:pt idx="59">
                  <c:v>-0.93240227340706294</c:v>
                </c:pt>
                <c:pt idx="60">
                  <c:v>-0.11940061218412001</c:v>
                </c:pt>
                <c:pt idx="61">
                  <c:v>-0.89514751608234611</c:v>
                </c:pt>
                <c:pt idx="62">
                  <c:v>0.482199797799017</c:v>
                </c:pt>
                <c:pt idx="63">
                  <c:v>0.22471560753106012</c:v>
                </c:pt>
                <c:pt idx="64">
                  <c:v>0.36163635484777712</c:v>
                </c:pt>
                <c:pt idx="65">
                  <c:v>-0.15799689942895001</c:v>
                </c:pt>
                <c:pt idx="66">
                  <c:v>-0.42785808261622016</c:v>
                </c:pt>
                <c:pt idx="67">
                  <c:v>-0.14715322276986997</c:v>
                </c:pt>
                <c:pt idx="68">
                  <c:v>-1.7778847719468203</c:v>
                </c:pt>
                <c:pt idx="69">
                  <c:v>-3.6465354068123603</c:v>
                </c:pt>
                <c:pt idx="70">
                  <c:v>0.47667956425771996</c:v>
                </c:pt>
                <c:pt idx="71">
                  <c:v>0.77878228428613006</c:v>
                </c:pt>
                <c:pt idx="72">
                  <c:v>-0.86563229914751005</c:v>
                </c:pt>
                <c:pt idx="73">
                  <c:v>-0.72063711678294018</c:v>
                </c:pt>
                <c:pt idx="74">
                  <c:v>0.3722227399095801</c:v>
                </c:pt>
                <c:pt idx="75">
                  <c:v>8.9912897125139946E-2</c:v>
                </c:pt>
                <c:pt idx="76">
                  <c:v>0.44033004928990005</c:v>
                </c:pt>
                <c:pt idx="77">
                  <c:v>-0.32810694127411999</c:v>
                </c:pt>
                <c:pt idx="78">
                  <c:v>-1.6233743187093599</c:v>
                </c:pt>
                <c:pt idx="79">
                  <c:v>-2.2901335934570599</c:v>
                </c:pt>
                <c:pt idx="80">
                  <c:v>1.889472523492145</c:v>
                </c:pt>
                <c:pt idx="81">
                  <c:v>1.5630713730897809</c:v>
                </c:pt>
                <c:pt idx="82">
                  <c:v>-0.56687469445414596</c:v>
                </c:pt>
                <c:pt idx="83">
                  <c:v>-0.31556641266184299</c:v>
                </c:pt>
                <c:pt idx="84">
                  <c:v>0.60662682307437699</c:v>
                </c:pt>
                <c:pt idx="85">
                  <c:v>-2.4787626831008405</c:v>
                </c:pt>
                <c:pt idx="86">
                  <c:v>-1.2172338415373898</c:v>
                </c:pt>
                <c:pt idx="87">
                  <c:v>0.84860673985759094</c:v>
                </c:pt>
                <c:pt idx="88">
                  <c:v>-2.0264245911517196</c:v>
                </c:pt>
                <c:pt idx="89">
                  <c:v>-3.7046930276223797</c:v>
                </c:pt>
                <c:pt idx="90">
                  <c:v>-3.1066103205504998</c:v>
                </c:pt>
                <c:pt idx="91">
                  <c:v>-5.1834509248519698</c:v>
                </c:pt>
                <c:pt idx="92">
                  <c:v>-2.7508326695602703</c:v>
                </c:pt>
                <c:pt idx="93">
                  <c:v>1.0372342659121401</c:v>
                </c:pt>
                <c:pt idx="94">
                  <c:v>1.4525302940525118</c:v>
                </c:pt>
                <c:pt idx="95">
                  <c:v>1.910138110324695</c:v>
                </c:pt>
                <c:pt idx="96">
                  <c:v>4.1065231671390512</c:v>
                </c:pt>
                <c:pt idx="97">
                  <c:v>2.4652834134829229</c:v>
                </c:pt>
                <c:pt idx="98">
                  <c:v>1.4074272950954261</c:v>
                </c:pt>
                <c:pt idx="99">
                  <c:v>9.148722908007989E-2</c:v>
                </c:pt>
                <c:pt idx="100">
                  <c:v>0.43895531668617704</c:v>
                </c:pt>
                <c:pt idx="101">
                  <c:v>-0.21473409051547998</c:v>
                </c:pt>
                <c:pt idx="102">
                  <c:v>1.2480661422299872</c:v>
                </c:pt>
                <c:pt idx="103">
                  <c:v>1.2240530421200231</c:v>
                </c:pt>
                <c:pt idx="104">
                  <c:v>0.17938966216220997</c:v>
                </c:pt>
                <c:pt idx="105">
                  <c:v>-1.7279990506786698</c:v>
                </c:pt>
                <c:pt idx="106">
                  <c:v>-3.5849941803687306</c:v>
                </c:pt>
                <c:pt idx="107">
                  <c:v>-3.5749425523261502</c:v>
                </c:pt>
                <c:pt idx="108">
                  <c:v>-2.7170000062240103</c:v>
                </c:pt>
                <c:pt idx="109">
                  <c:v>-3.8093930088335997</c:v>
                </c:pt>
                <c:pt idx="110">
                  <c:v>-4.6354319743313104</c:v>
                </c:pt>
                <c:pt idx="111">
                  <c:v>2.3608444143551637</c:v>
                </c:pt>
                <c:pt idx="112">
                  <c:v>6.0173865661025099</c:v>
                </c:pt>
                <c:pt idx="113">
                  <c:v>5.0363778247585493</c:v>
                </c:pt>
                <c:pt idx="114">
                  <c:v>2.2825796852181268</c:v>
                </c:pt>
                <c:pt idx="115">
                  <c:v>3.2119860111006844</c:v>
                </c:pt>
                <c:pt idx="116">
                  <c:v>1.2153955706889221</c:v>
                </c:pt>
                <c:pt idx="117">
                  <c:v>2.4552468162739243</c:v>
                </c:pt>
                <c:pt idx="118">
                  <c:v>1.284273510030165</c:v>
                </c:pt>
                <c:pt idx="119">
                  <c:v>4.4287462596343996</c:v>
                </c:pt>
                <c:pt idx="120">
                  <c:v>3.8339751227663803</c:v>
                </c:pt>
                <c:pt idx="121">
                  <c:v>1.1537742104370237</c:v>
                </c:pt>
                <c:pt idx="122">
                  <c:v>1.873421250408192</c:v>
                </c:pt>
                <c:pt idx="123">
                  <c:v>-0.51743151446334457</c:v>
                </c:pt>
                <c:pt idx="124">
                  <c:v>1.8086997829108831</c:v>
                </c:pt>
                <c:pt idx="125">
                  <c:v>-0.28173859180738203</c:v>
                </c:pt>
                <c:pt idx="126">
                  <c:v>1.5616890337792713</c:v>
                </c:pt>
                <c:pt idx="127">
                  <c:v>-0.37363224037524034</c:v>
                </c:pt>
                <c:pt idx="128">
                  <c:v>-1.2631999661233597</c:v>
                </c:pt>
                <c:pt idx="129">
                  <c:v>0.55965829862079008</c:v>
                </c:pt>
                <c:pt idx="130">
                  <c:v>-2.3561686908513799</c:v>
                </c:pt>
                <c:pt idx="131">
                  <c:v>-4.3278299293838298</c:v>
                </c:pt>
                <c:pt idx="132">
                  <c:v>-2.6124878109862406</c:v>
                </c:pt>
                <c:pt idx="133">
                  <c:v>2.5307476928747801</c:v>
                </c:pt>
                <c:pt idx="134">
                  <c:v>3.0437681712478044</c:v>
                </c:pt>
                <c:pt idx="135">
                  <c:v>-4.7573405917734792</c:v>
                </c:pt>
                <c:pt idx="136">
                  <c:v>-2.6975646714617305</c:v>
                </c:pt>
                <c:pt idx="137">
                  <c:v>-3.3839179176497289</c:v>
                </c:pt>
                <c:pt idx="138">
                  <c:v>1.4989722376464805</c:v>
                </c:pt>
                <c:pt idx="139">
                  <c:v>4.8158602300541</c:v>
                </c:pt>
                <c:pt idx="140">
                  <c:v>2.2838374948992808</c:v>
                </c:pt>
                <c:pt idx="141">
                  <c:v>0.68107691173243978</c:v>
                </c:pt>
                <c:pt idx="142">
                  <c:v>1.9708770791925398</c:v>
                </c:pt>
                <c:pt idx="143">
                  <c:v>4.6888329198896033</c:v>
                </c:pt>
                <c:pt idx="144">
                  <c:v>5.3785944824408602</c:v>
                </c:pt>
                <c:pt idx="145">
                  <c:v>2.2281196458505197</c:v>
                </c:pt>
                <c:pt idx="146">
                  <c:v>0.53943043464956997</c:v>
                </c:pt>
                <c:pt idx="147">
                  <c:v>1.50696213120982</c:v>
                </c:pt>
                <c:pt idx="148">
                  <c:v>1.1144199677714197</c:v>
                </c:pt>
                <c:pt idx="149">
                  <c:v>0.53093984760159962</c:v>
                </c:pt>
                <c:pt idx="150">
                  <c:v>1.2632909453736199</c:v>
                </c:pt>
                <c:pt idx="151">
                  <c:v>2.9389691533642299</c:v>
                </c:pt>
                <c:pt idx="152">
                  <c:v>1.9368601602989099</c:v>
                </c:pt>
                <c:pt idx="153">
                  <c:v>3.1595931895403799</c:v>
                </c:pt>
                <c:pt idx="154">
                  <c:v>2.2468193373919099</c:v>
                </c:pt>
                <c:pt idx="155">
                  <c:v>1.7655195715049401</c:v>
                </c:pt>
                <c:pt idx="156">
                  <c:v>-0.73161596291687037</c:v>
                </c:pt>
                <c:pt idx="157">
                  <c:v>1.87264153437304</c:v>
                </c:pt>
                <c:pt idx="158">
                  <c:v>-0.8321059219258804</c:v>
                </c:pt>
                <c:pt idx="159">
                  <c:v>0.15163317983508007</c:v>
                </c:pt>
                <c:pt idx="160">
                  <c:v>-2.5324868072413498</c:v>
                </c:pt>
                <c:pt idx="161">
                  <c:v>-1.7914534100077697</c:v>
                </c:pt>
                <c:pt idx="162">
                  <c:v>-0.79635085429526997</c:v>
                </c:pt>
                <c:pt idx="163">
                  <c:v>-0.49025829266692034</c:v>
                </c:pt>
                <c:pt idx="164">
                  <c:v>-1.2668424582096796</c:v>
                </c:pt>
                <c:pt idx="165">
                  <c:v>-0.55162007684933023</c:v>
                </c:pt>
                <c:pt idx="166">
                  <c:v>-1.5124304565019102</c:v>
                </c:pt>
                <c:pt idx="167">
                  <c:v>-2.6349536911947409</c:v>
                </c:pt>
                <c:pt idx="168">
                  <c:v>-3.1771056687062105</c:v>
                </c:pt>
                <c:pt idx="169">
                  <c:v>-2.5841103635094704</c:v>
                </c:pt>
                <c:pt idx="170">
                  <c:v>-1.3313523389840096</c:v>
                </c:pt>
                <c:pt idx="171">
                  <c:v>-1.5734430046801302</c:v>
                </c:pt>
                <c:pt idx="172">
                  <c:v>-4.1850455817543093</c:v>
                </c:pt>
                <c:pt idx="173">
                  <c:v>-1.6606195335911504</c:v>
                </c:pt>
                <c:pt idx="174">
                  <c:v>-1.0534807121421803</c:v>
                </c:pt>
                <c:pt idx="175">
                  <c:v>-1.0645194547201502</c:v>
                </c:pt>
                <c:pt idx="176">
                  <c:v>1.6410705528313303</c:v>
                </c:pt>
                <c:pt idx="177">
                  <c:v>0.55796510423661005</c:v>
                </c:pt>
                <c:pt idx="178">
                  <c:v>0.75712200802049989</c:v>
                </c:pt>
                <c:pt idx="179">
                  <c:v>1.205145540402992</c:v>
                </c:pt>
                <c:pt idx="180">
                  <c:v>0.45754435459378606</c:v>
                </c:pt>
                <c:pt idx="181">
                  <c:v>0.41285589827651503</c:v>
                </c:pt>
                <c:pt idx="182">
                  <c:v>0.80030737531223006</c:v>
                </c:pt>
                <c:pt idx="183">
                  <c:v>1.9658766180797069</c:v>
                </c:pt>
                <c:pt idx="184">
                  <c:v>0.61677935105116799</c:v>
                </c:pt>
                <c:pt idx="185">
                  <c:v>-1.1414202191482368</c:v>
                </c:pt>
                <c:pt idx="186">
                  <c:v>-1.9860236993252258</c:v>
                </c:pt>
                <c:pt idx="187">
                  <c:v>0.90633657608353102</c:v>
                </c:pt>
                <c:pt idx="188">
                  <c:v>-0.36537380753235105</c:v>
                </c:pt>
                <c:pt idx="189">
                  <c:v>-0.65416195496191021</c:v>
                </c:pt>
                <c:pt idx="190">
                  <c:v>-1.0771828187864303</c:v>
                </c:pt>
                <c:pt idx="191">
                  <c:v>-1.9740508295493804</c:v>
                </c:pt>
                <c:pt idx="192">
                  <c:v>-0.15587140520366027</c:v>
                </c:pt>
                <c:pt idx="193">
                  <c:v>0.78449268276053008</c:v>
                </c:pt>
                <c:pt idx="194">
                  <c:v>-3.1896987126419862E-2</c:v>
                </c:pt>
                <c:pt idx="195">
                  <c:v>0.8200813423877702</c:v>
                </c:pt>
                <c:pt idx="196">
                  <c:v>1.7757383128322002</c:v>
                </c:pt>
                <c:pt idx="197">
                  <c:v>-0.75193183080612958</c:v>
                </c:pt>
                <c:pt idx="198">
                  <c:v>-1.3020599847104997</c:v>
                </c:pt>
                <c:pt idx="199">
                  <c:v>-1.0466401205129698</c:v>
                </c:pt>
                <c:pt idx="200">
                  <c:v>-0.63683637273752991</c:v>
                </c:pt>
                <c:pt idx="201">
                  <c:v>-1.2036156607599198</c:v>
                </c:pt>
                <c:pt idx="202">
                  <c:v>-1.6193994440178696</c:v>
                </c:pt>
                <c:pt idx="203">
                  <c:v>-1.3864476021272703</c:v>
                </c:pt>
                <c:pt idx="204">
                  <c:v>0.70672008836912026</c:v>
                </c:pt>
                <c:pt idx="205">
                  <c:v>0.33521614941841005</c:v>
                </c:pt>
                <c:pt idx="206">
                  <c:v>4.320940604861967E-2</c:v>
                </c:pt>
                <c:pt idx="207">
                  <c:v>-1.1725912033679498</c:v>
                </c:pt>
                <c:pt idx="208">
                  <c:v>0.37542250438345004</c:v>
                </c:pt>
                <c:pt idx="209">
                  <c:v>-0.47930932050533004</c:v>
                </c:pt>
                <c:pt idx="210">
                  <c:v>-9.8176827850680048E-2</c:v>
                </c:pt>
                <c:pt idx="211">
                  <c:v>-1.5430771434914403</c:v>
                </c:pt>
                <c:pt idx="212">
                  <c:v>-5.8558416052500988</c:v>
                </c:pt>
                <c:pt idx="213">
                  <c:v>-2.6030344989399898</c:v>
                </c:pt>
                <c:pt idx="214">
                  <c:v>-2.87928918966597</c:v>
                </c:pt>
                <c:pt idx="215">
                  <c:v>-3.01383346730226</c:v>
                </c:pt>
                <c:pt idx="216">
                  <c:v>-3.6975750053317302</c:v>
                </c:pt>
                <c:pt idx="217">
                  <c:v>-2.857982332910014E-2</c:v>
                </c:pt>
                <c:pt idx="218">
                  <c:v>0.44191393484732</c:v>
                </c:pt>
                <c:pt idx="219">
                  <c:v>0.22040445059704733</c:v>
                </c:pt>
                <c:pt idx="220">
                  <c:v>2.1705432396683801</c:v>
                </c:pt>
                <c:pt idx="221">
                  <c:v>-0.9437766494192481</c:v>
                </c:pt>
                <c:pt idx="222">
                  <c:v>-1.657221449170825</c:v>
                </c:pt>
                <c:pt idx="223">
                  <c:v>0.99500672929977596</c:v>
                </c:pt>
                <c:pt idx="224">
                  <c:v>7.6826619188630985E-2</c:v>
                </c:pt>
                <c:pt idx="225">
                  <c:v>1.5804335039680359</c:v>
                </c:pt>
                <c:pt idx="226">
                  <c:v>2.3954619454736759</c:v>
                </c:pt>
                <c:pt idx="227">
                  <c:v>0.77157316712452495</c:v>
                </c:pt>
                <c:pt idx="228">
                  <c:v>0.29201098584318985</c:v>
                </c:pt>
                <c:pt idx="229">
                  <c:v>1.7471569250027101</c:v>
                </c:pt>
                <c:pt idx="230">
                  <c:v>6.3881530917140994E-2</c:v>
                </c:pt>
                <c:pt idx="231">
                  <c:v>-1.1897509628191592</c:v>
                </c:pt>
                <c:pt idx="232">
                  <c:v>0.9964976972918449</c:v>
                </c:pt>
                <c:pt idx="233">
                  <c:v>-1.8793298522223238</c:v>
                </c:pt>
                <c:pt idx="234">
                  <c:v>-1.9836767961692401</c:v>
                </c:pt>
                <c:pt idx="235">
                  <c:v>-1.77474449926543</c:v>
                </c:pt>
                <c:pt idx="236">
                  <c:v>-2.5167109333638504</c:v>
                </c:pt>
                <c:pt idx="237">
                  <c:v>-3.2301800117091197</c:v>
                </c:pt>
                <c:pt idx="238">
                  <c:v>-3.4950032396955195</c:v>
                </c:pt>
                <c:pt idx="239">
                  <c:v>-4.7767993772227708</c:v>
                </c:pt>
                <c:pt idx="240">
                  <c:v>-3.8555229213202695</c:v>
                </c:pt>
                <c:pt idx="241">
                  <c:v>-1.5095726219719099</c:v>
                </c:pt>
                <c:pt idx="242">
                  <c:v>-2.67625099914732</c:v>
                </c:pt>
                <c:pt idx="243">
                  <c:v>-3.1966486425088201</c:v>
                </c:pt>
                <c:pt idx="244">
                  <c:v>-1.0901987979191101</c:v>
                </c:pt>
                <c:pt idx="245">
                  <c:v>-0.416267492337349</c:v>
                </c:pt>
                <c:pt idx="246">
                  <c:v>1.4298248373521103</c:v>
                </c:pt>
                <c:pt idx="247">
                  <c:v>2.0514698033665688</c:v>
                </c:pt>
                <c:pt idx="248">
                  <c:v>3.3327446245504415</c:v>
                </c:pt>
                <c:pt idx="249">
                  <c:v>4.6152088357756398</c:v>
                </c:pt>
                <c:pt idx="250">
                  <c:v>3.3391349989541093</c:v>
                </c:pt>
                <c:pt idx="251">
                  <c:v>4.7749651174248804</c:v>
                </c:pt>
                <c:pt idx="252">
                  <c:v>2.4250702881077997</c:v>
                </c:pt>
                <c:pt idx="253">
                  <c:v>0.95322764715276009</c:v>
                </c:pt>
                <c:pt idx="254">
                  <c:v>0.843519979203739</c:v>
                </c:pt>
                <c:pt idx="255">
                  <c:v>2.3569151485534499</c:v>
                </c:pt>
                <c:pt idx="256">
                  <c:v>0.33473927994752994</c:v>
                </c:pt>
                <c:pt idx="257">
                  <c:v>1.1731850338928498</c:v>
                </c:pt>
                <c:pt idx="258">
                  <c:v>1.4459812448716902</c:v>
                </c:pt>
                <c:pt idx="259">
                  <c:v>0.32890183871032996</c:v>
                </c:pt>
                <c:pt idx="260">
                  <c:v>-0.19382837919766005</c:v>
                </c:pt>
                <c:pt idx="261">
                  <c:v>0.49948557001905991</c:v>
                </c:pt>
                <c:pt idx="262">
                  <c:v>-0.31059165183304005</c:v>
                </c:pt>
                <c:pt idx="263">
                  <c:v>-0.51110937776614207</c:v>
                </c:pt>
                <c:pt idx="264">
                  <c:v>1.3710909220702199</c:v>
                </c:pt>
                <c:pt idx="265">
                  <c:v>1.3401017404600999</c:v>
                </c:pt>
                <c:pt idx="266">
                  <c:v>2.2596980172286001</c:v>
                </c:pt>
                <c:pt idx="267">
                  <c:v>3.0688812699527301</c:v>
                </c:pt>
                <c:pt idx="268">
                  <c:v>1.7657316207118201</c:v>
                </c:pt>
                <c:pt idx="269">
                  <c:v>0.73067141326162988</c:v>
                </c:pt>
                <c:pt idx="270">
                  <c:v>1.3631865118303099</c:v>
                </c:pt>
                <c:pt idx="271">
                  <c:v>-0.58752738599887389</c:v>
                </c:pt>
                <c:pt idx="272">
                  <c:v>0.93936508303762001</c:v>
                </c:pt>
                <c:pt idx="273">
                  <c:v>0.77365892570047978</c:v>
                </c:pt>
                <c:pt idx="274">
                  <c:v>0.28829115357928004</c:v>
                </c:pt>
                <c:pt idx="275">
                  <c:v>8.9917591777251005E-2</c:v>
                </c:pt>
                <c:pt idx="276">
                  <c:v>-0.33147194671201902</c:v>
                </c:pt>
                <c:pt idx="277">
                  <c:v>1.436813812855009E-2</c:v>
                </c:pt>
                <c:pt idx="278">
                  <c:v>0.29277298036206001</c:v>
                </c:pt>
                <c:pt idx="279">
                  <c:v>0.98753333189160997</c:v>
                </c:pt>
                <c:pt idx="280">
                  <c:v>0.10070031714610506</c:v>
                </c:pt>
                <c:pt idx="281">
                  <c:v>-0.42768824316353921</c:v>
                </c:pt>
                <c:pt idx="282">
                  <c:v>0.52202035597698493</c:v>
                </c:pt>
                <c:pt idx="283">
                  <c:v>0.60311824641968292</c:v>
                </c:pt>
                <c:pt idx="284">
                  <c:v>-1.04102407261045</c:v>
                </c:pt>
                <c:pt idx="285">
                  <c:v>-0.86116043604943704</c:v>
                </c:pt>
                <c:pt idx="286">
                  <c:v>-0.401559846101257</c:v>
                </c:pt>
                <c:pt idx="287">
                  <c:v>-1.5334577343366802</c:v>
                </c:pt>
                <c:pt idx="288">
                  <c:v>0.11776897157697408</c:v>
                </c:pt>
                <c:pt idx="289">
                  <c:v>1.0712778653846569</c:v>
                </c:pt>
                <c:pt idx="290">
                  <c:v>-0.58220934313516393</c:v>
                </c:pt>
                <c:pt idx="291">
                  <c:v>-2.1130933988200482</c:v>
                </c:pt>
                <c:pt idx="292">
                  <c:v>2.413176286692952</c:v>
                </c:pt>
                <c:pt idx="293">
                  <c:v>3.5738346323497847</c:v>
                </c:pt>
                <c:pt idx="294">
                  <c:v>4.3456476462262899</c:v>
                </c:pt>
                <c:pt idx="295">
                  <c:v>4.2414859382235903</c:v>
                </c:pt>
                <c:pt idx="296">
                  <c:v>3.0466498467858001</c:v>
                </c:pt>
                <c:pt idx="297">
                  <c:v>0.47223394659673978</c:v>
                </c:pt>
                <c:pt idx="298">
                  <c:v>0.32617072805877978</c:v>
                </c:pt>
                <c:pt idx="299">
                  <c:v>-2.0148795728032902</c:v>
                </c:pt>
                <c:pt idx="300">
                  <c:v>-2.9433579919864798</c:v>
                </c:pt>
                <c:pt idx="301">
                  <c:v>-2.9074294221101429</c:v>
                </c:pt>
                <c:pt idx="302">
                  <c:v>-2.0546854180596319</c:v>
                </c:pt>
                <c:pt idx="303">
                  <c:v>-1.497809317078338</c:v>
                </c:pt>
                <c:pt idx="304">
                  <c:v>-4.6519307768690297</c:v>
                </c:pt>
                <c:pt idx="305">
                  <c:v>3.5636963805099064E-3</c:v>
                </c:pt>
                <c:pt idx="306">
                  <c:v>-0.40797127054457993</c:v>
                </c:pt>
                <c:pt idx="307">
                  <c:v>0.64987252235138993</c:v>
                </c:pt>
                <c:pt idx="308">
                  <c:v>2.07558326790492</c:v>
                </c:pt>
                <c:pt idx="309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catAx>
        <c:axId val="1774547792"/>
        <c:scaling>
          <c:orientation val="minMax"/>
          <c:max val="925"/>
          <c:min val="63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Algn val="ctr"/>
        <c:lblOffset val="100"/>
        <c:tickLblSkip val="12"/>
        <c:noMultiLvlLbl val="0"/>
      </c:cat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83-4BB6-8BFD-DAA4EE7DDC08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83-4BB6-8BFD-DAA4EE7DDC08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83-4BB6-8BFD-DAA4EE7DDC08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83-4BB6-8BFD-DAA4EE7DDC08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83-4BB6-8BFD-DAA4EE7DDC08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83-4BB6-8BFD-DAA4EE7DDC08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83-4BB6-8BFD-DAA4EE7DDC08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83-4BB6-8BFD-DAA4EE7DDC08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83-4BB6-8BFD-DAA4EE7DDC08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83-4BB6-8BFD-DAA4EE7DDC08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83-4BB6-8BFD-DAA4EE7DDC08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83-4BB6-8BFD-DAA4EE7DDC08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83-4BB6-8BFD-DAA4EE7DDC08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83-4BB6-8BFD-DAA4EE7DDC08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83-4BB6-8BFD-DAA4EE7DDC08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83-4BB6-8BFD-DAA4EE7DDC08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83-4BB6-8BFD-DAA4EE7DDC08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83-4BB6-8BFD-DAA4EE7DDC08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83-4BB6-8BFD-DAA4EE7DDC08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83-4BB6-8BFD-DAA4EE7DDC08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83-4BB6-8BFD-DAA4EE7DDC08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83-4BB6-8BFD-DAA4EE7DDC08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83-4BB6-8BFD-DAA4EE7DDC08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83-4BB6-8BFD-DAA4EE7DDC08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83-4BB6-8BFD-DAA4EE7DDC08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83-4BB6-8BFD-DAA4EE7DDC08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83-4BB6-8BFD-DAA4EE7DDC08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83-4BB6-8BFD-DAA4EE7DD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B-443F-9158-5AA742E34EE0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B-443F-9158-5AA742E34EE0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B-443F-9158-5AA742E34EE0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4B-443F-9158-5AA742E34EE0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4B-443F-9158-5AA742E34EE0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4B-443F-9158-5AA742E34EE0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4B-443F-9158-5AA742E34EE0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4B-443F-9158-5AA742E34EE0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4B-443F-9158-5AA742E34EE0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44B-443F-9158-5AA742E34EE0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44B-443F-9158-5AA742E34EE0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4B-443F-9158-5AA742E34EE0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A44B-443F-9158-5AA742E34EE0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A44B-443F-9158-5AA742E34EE0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4B-443F-9158-5AA742E34EE0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4B-443F-9158-5AA742E34EE0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A44B-443F-9158-5AA742E34EE0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44B-443F-9158-5AA742E34EE0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A44B-443F-9158-5AA742E34EE0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A44B-443F-9158-5AA742E34EE0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A44B-443F-9158-5AA742E34EE0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44B-443F-9158-5AA742E34EE0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A44B-443F-9158-5AA742E34EE0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A44B-443F-9158-5AA742E34EE0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A44B-443F-9158-5AA742E34EE0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4B-443F-9158-5AA742E34EE0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A44B-443F-9158-5AA742E34EE0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A44B-443F-9158-5AA742E34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06-4D51-9999-282BDB504485}"/>
            </c:ext>
          </c:extLst>
        </c:ser>
        <c:ser>
          <c:idx val="1"/>
          <c:order val="1"/>
          <c:tx>
            <c:strRef>
              <c:f>EA_output!$AK$1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EA_output!$AK$2:$AK$75</c:f>
              <c:numCache>
                <c:formatCode>General</c:formatCode>
                <c:ptCount val="74"/>
                <c:pt idx="0">
                  <c:v>0.69492280716832822</c:v>
                </c:pt>
                <c:pt idx="1">
                  <c:v>0.83980881927683093</c:v>
                </c:pt>
                <c:pt idx="2">
                  <c:v>1.306689834983235</c:v>
                </c:pt>
                <c:pt idx="3">
                  <c:v>1.2736905881178711</c:v>
                </c:pt>
                <c:pt idx="4">
                  <c:v>0.76398896624881729</c:v>
                </c:pt>
                <c:pt idx="5">
                  <c:v>1.2011555936592839</c:v>
                </c:pt>
                <c:pt idx="6">
                  <c:v>1.4854799272297101</c:v>
                </c:pt>
                <c:pt idx="7">
                  <c:v>1.0930780863196383</c:v>
                </c:pt>
                <c:pt idx="8">
                  <c:v>0.20578233554254699</c:v>
                </c:pt>
                <c:pt idx="9">
                  <c:v>-0.4895451165997845</c:v>
                </c:pt>
                <c:pt idx="10">
                  <c:v>-1.0838622555491699</c:v>
                </c:pt>
                <c:pt idx="11">
                  <c:v>-1.0725801886206017</c:v>
                </c:pt>
                <c:pt idx="12">
                  <c:v>-1.8169639311059926</c:v>
                </c:pt>
                <c:pt idx="13">
                  <c:v>-2.4826144092816711</c:v>
                </c:pt>
                <c:pt idx="14">
                  <c:v>-2.206371826610765</c:v>
                </c:pt>
                <c:pt idx="15">
                  <c:v>-1.581712935871868</c:v>
                </c:pt>
                <c:pt idx="16">
                  <c:v>-0.33294863611052194</c:v>
                </c:pt>
                <c:pt idx="17">
                  <c:v>1.4286726418448343</c:v>
                </c:pt>
                <c:pt idx="18">
                  <c:v>0.49567433273763672</c:v>
                </c:pt>
                <c:pt idx="19">
                  <c:v>-1.1448858791890106</c:v>
                </c:pt>
                <c:pt idx="20">
                  <c:v>-2.5659328010443097</c:v>
                </c:pt>
                <c:pt idx="21">
                  <c:v>-2.8446048628103351</c:v>
                </c:pt>
                <c:pt idx="22">
                  <c:v>-3.3575557589926284</c:v>
                </c:pt>
                <c:pt idx="23">
                  <c:v>-3.3003323403828828</c:v>
                </c:pt>
                <c:pt idx="24">
                  <c:v>-2.4099273211034551</c:v>
                </c:pt>
                <c:pt idx="25">
                  <c:v>-2.2735402275652978</c:v>
                </c:pt>
                <c:pt idx="26">
                  <c:v>-2.2181757338890291</c:v>
                </c:pt>
                <c:pt idx="27">
                  <c:v>-2.0757051871947718</c:v>
                </c:pt>
                <c:pt idx="28">
                  <c:v>-1.2772520387057587</c:v>
                </c:pt>
                <c:pt idx="29">
                  <c:v>-1.2097803346042564</c:v>
                </c:pt>
                <c:pt idx="30">
                  <c:v>-1.6992841924772191</c:v>
                </c:pt>
                <c:pt idx="31">
                  <c:v>-1.8658779137201105</c:v>
                </c:pt>
                <c:pt idx="32">
                  <c:v>-1.5756526346794946</c:v>
                </c:pt>
                <c:pt idx="33">
                  <c:v>-1.9471911437162672</c:v>
                </c:pt>
                <c:pt idx="34">
                  <c:v>-2.1349771303452512</c:v>
                </c:pt>
                <c:pt idx="35">
                  <c:v>-2.4836260520720566</c:v>
                </c:pt>
                <c:pt idx="36">
                  <c:v>-2.9903622309344149</c:v>
                </c:pt>
                <c:pt idx="37">
                  <c:v>-3.3530873115570157</c:v>
                </c:pt>
                <c:pt idx="38">
                  <c:v>-3.4155328536710607</c:v>
                </c:pt>
                <c:pt idx="39">
                  <c:v>-3.767199347599715</c:v>
                </c:pt>
                <c:pt idx="40">
                  <c:v>-3.9481578178547898</c:v>
                </c:pt>
                <c:pt idx="41">
                  <c:v>-3.8688128182145958</c:v>
                </c:pt>
                <c:pt idx="42">
                  <c:v>-3.9986544870920167</c:v>
                </c:pt>
                <c:pt idx="43">
                  <c:v>-4.2825278115727894</c:v>
                </c:pt>
                <c:pt idx="44">
                  <c:v>-4.5861217918265575</c:v>
                </c:pt>
                <c:pt idx="45">
                  <c:v>-4.9560099730333489</c:v>
                </c:pt>
                <c:pt idx="46">
                  <c:v>-4.9473041525765256</c:v>
                </c:pt>
                <c:pt idx="47">
                  <c:v>-5.0389535645140073</c:v>
                </c:pt>
                <c:pt idx="48">
                  <c:v>-4.9495962298449792</c:v>
                </c:pt>
                <c:pt idx="49">
                  <c:v>-5.2150269818953179</c:v>
                </c:pt>
                <c:pt idx="50">
                  <c:v>-5.8523286830424466</c:v>
                </c:pt>
                <c:pt idx="51">
                  <c:v>-5.3214934212481202</c:v>
                </c:pt>
                <c:pt idx="52">
                  <c:v>-3.8244753327507102</c:v>
                </c:pt>
                <c:pt idx="53">
                  <c:v>-1.9526500110261846</c:v>
                </c:pt>
                <c:pt idx="54">
                  <c:v>-1.4023109524771282</c:v>
                </c:pt>
                <c:pt idx="55">
                  <c:v>0.91440310470966035</c:v>
                </c:pt>
                <c:pt idx="56">
                  <c:v>1.9378411422975674</c:v>
                </c:pt>
                <c:pt idx="57">
                  <c:v>-0.51923184497947394</c:v>
                </c:pt>
                <c:pt idx="58">
                  <c:v>-2.8556218925094119</c:v>
                </c:pt>
                <c:pt idx="59">
                  <c:v>-3.0308299084554653</c:v>
                </c:pt>
                <c:pt idx="60">
                  <c:v>-3.5396111021932661</c:v>
                </c:pt>
                <c:pt idx="61">
                  <c:v>-3.6739915909746768</c:v>
                </c:pt>
                <c:pt idx="62">
                  <c:v>-3.4163807842410838</c:v>
                </c:pt>
                <c:pt idx="63">
                  <c:v>-1.2915043544567544</c:v>
                </c:pt>
                <c:pt idx="64">
                  <c:v>0.42276880751680412</c:v>
                </c:pt>
                <c:pt idx="65">
                  <c:v>1.3867053807581029</c:v>
                </c:pt>
                <c:pt idx="66">
                  <c:v>2.0352891467458019</c:v>
                </c:pt>
                <c:pt idx="67">
                  <c:v>2.9431323439170294</c:v>
                </c:pt>
                <c:pt idx="68">
                  <c:v>2.5530976219444357</c:v>
                </c:pt>
                <c:pt idx="69">
                  <c:v>2.7312848648580434</c:v>
                </c:pt>
                <c:pt idx="70">
                  <c:v>2.4831245668343618</c:v>
                </c:pt>
                <c:pt idx="71">
                  <c:v>3.5338383518379506</c:v>
                </c:pt>
                <c:pt idx="72">
                  <c:v>3.1921437664864349</c:v>
                </c:pt>
                <c:pt idx="73">
                  <c:v>3.1976714803885016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06-4D51-9999-282BDB504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51-4D47-AC3E-994E3D18793E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51-4D47-AC3E-994E3D18793E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51-4D47-AC3E-994E3D187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4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0</xdr:colOff>
      <xdr:row>66</xdr:row>
      <xdr:rowOff>0</xdr:rowOff>
    </xdr:from>
    <xdr:to>
      <xdr:col>63</xdr:col>
      <xdr:colOff>524540</xdr:colOff>
      <xdr:row>86</xdr:row>
      <xdr:rowOff>127591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5BBA8E-2A1E-4E82-AB09-EA19AC2F4B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68</xdr:col>
      <xdr:colOff>0</xdr:colOff>
      <xdr:row>37</xdr:row>
      <xdr:rowOff>0</xdr:rowOff>
    </xdr:from>
    <xdr:to>
      <xdr:col>74</xdr:col>
      <xdr:colOff>484844</xdr:colOff>
      <xdr:row>56</xdr:row>
      <xdr:rowOff>52631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2F0810-06C6-4E08-BED2-EE3C33B8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9D05D-951F-4B70-A582-0260E0962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232</xdr:row>
      <xdr:rowOff>0</xdr:rowOff>
    </xdr:from>
    <xdr:to>
      <xdr:col>27</xdr:col>
      <xdr:colOff>548640</xdr:colOff>
      <xdr:row>252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6D5CB2-F50B-482A-A182-6946848922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>
        <row r="2">
          <cell r="L2" t="str">
            <v>Policy rate(%,apr)</v>
          </cell>
        </row>
      </sheetData>
      <sheetData sheetId="1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tabSelected="1" topLeftCell="A127" workbookViewId="0">
      <selection activeCell="D140" sqref="D140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dimension ref="A1:BV132"/>
  <sheetViews>
    <sheetView topLeftCell="AI5" zoomScale="106" zoomScaleNormal="115" workbookViewId="0">
      <selection activeCell="AZ21" sqref="AZ21"/>
    </sheetView>
  </sheetViews>
  <sheetFormatPr defaultRowHeight="15" x14ac:dyDescent="0.25"/>
  <cols>
    <col min="1" max="1" width="12.5703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243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" si="1">+SUM(Z2:AH2)</f>
        <v>0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Y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Y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Y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Y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 x14ac:dyDescent="0.2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dimension ref="A1:BO266"/>
  <sheetViews>
    <sheetView topLeftCell="AV34" zoomScale="43" zoomScaleNormal="100" workbookViewId="0">
      <selection activeCell="CX77" sqref="CX77"/>
    </sheetView>
  </sheetViews>
  <sheetFormatPr defaultRowHeight="15" x14ac:dyDescent="0.2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 x14ac:dyDescent="0.25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D2" t="s">
        <v>3</v>
      </c>
      <c r="K2" t="s">
        <v>13</v>
      </c>
      <c r="L2" t="s">
        <v>230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231</v>
      </c>
      <c r="AU2" t="s">
        <v>232</v>
      </c>
      <c r="AV2" t="s">
        <v>233</v>
      </c>
      <c r="AW2" t="s">
        <v>234</v>
      </c>
      <c r="AX2" t="s">
        <v>235</v>
      </c>
      <c r="AY2" t="s">
        <v>236</v>
      </c>
      <c r="BJ2" t="s">
        <v>237</v>
      </c>
      <c r="BK2" t="s">
        <v>238</v>
      </c>
      <c r="BL2" t="s">
        <v>239</v>
      </c>
      <c r="BM2" t="s">
        <v>240</v>
      </c>
      <c r="BN2" t="s">
        <v>241</v>
      </c>
      <c r="BO2" t="s">
        <v>242</v>
      </c>
    </row>
    <row r="3" spans="1:67" x14ac:dyDescent="0.25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 x14ac:dyDescent="0.25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 x14ac:dyDescent="0.25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 x14ac:dyDescent="0.25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 x14ac:dyDescent="0.25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 x14ac:dyDescent="0.25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 x14ac:dyDescent="0.25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 x14ac:dyDescent="0.25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 x14ac:dyDescent="0.25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 x14ac:dyDescent="0.25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 x14ac:dyDescent="0.25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 x14ac:dyDescent="0.25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 x14ac:dyDescent="0.25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 x14ac:dyDescent="0.25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 x14ac:dyDescent="0.25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 x14ac:dyDescent="0.25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 x14ac:dyDescent="0.25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 x14ac:dyDescent="0.25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 x14ac:dyDescent="0.25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 x14ac:dyDescent="0.25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 x14ac:dyDescent="0.25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 x14ac:dyDescent="0.25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 x14ac:dyDescent="0.25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 x14ac:dyDescent="0.25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 x14ac:dyDescent="0.25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 x14ac:dyDescent="0.25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 x14ac:dyDescent="0.25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 x14ac:dyDescent="0.25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 x14ac:dyDescent="0.25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 x14ac:dyDescent="0.25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 x14ac:dyDescent="0.25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 x14ac:dyDescent="0.25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 x14ac:dyDescent="0.25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 x14ac:dyDescent="0.25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 x14ac:dyDescent="0.25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 x14ac:dyDescent="0.25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 x14ac:dyDescent="0.25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 x14ac:dyDescent="0.25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 x14ac:dyDescent="0.25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 x14ac:dyDescent="0.25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 x14ac:dyDescent="0.25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 x14ac:dyDescent="0.25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 x14ac:dyDescent="0.25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 x14ac:dyDescent="0.25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 x14ac:dyDescent="0.25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 x14ac:dyDescent="0.25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 x14ac:dyDescent="0.25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 x14ac:dyDescent="0.25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 x14ac:dyDescent="0.25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 x14ac:dyDescent="0.25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 x14ac:dyDescent="0.25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 x14ac:dyDescent="0.25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 x14ac:dyDescent="0.25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 x14ac:dyDescent="0.25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 x14ac:dyDescent="0.25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 x14ac:dyDescent="0.25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 x14ac:dyDescent="0.25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 x14ac:dyDescent="0.25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 x14ac:dyDescent="0.25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 x14ac:dyDescent="0.25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 x14ac:dyDescent="0.25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 x14ac:dyDescent="0.25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 x14ac:dyDescent="0.25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 x14ac:dyDescent="0.25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 x14ac:dyDescent="0.25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 x14ac:dyDescent="0.25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 x14ac:dyDescent="0.25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 x14ac:dyDescent="0.25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 x14ac:dyDescent="0.25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 x14ac:dyDescent="0.25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 x14ac:dyDescent="0.25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 x14ac:dyDescent="0.25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 x14ac:dyDescent="0.25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 x14ac:dyDescent="0.25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 x14ac:dyDescent="0.25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 x14ac:dyDescent="0.25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 x14ac:dyDescent="0.25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 x14ac:dyDescent="0.25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 x14ac:dyDescent="0.25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 x14ac:dyDescent="0.25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 x14ac:dyDescent="0.25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 x14ac:dyDescent="0.25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 x14ac:dyDescent="0.25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 x14ac:dyDescent="0.25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 x14ac:dyDescent="0.25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 x14ac:dyDescent="0.25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 x14ac:dyDescent="0.25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 x14ac:dyDescent="0.25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 x14ac:dyDescent="0.25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 x14ac:dyDescent="0.25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 x14ac:dyDescent="0.25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 x14ac:dyDescent="0.25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 x14ac:dyDescent="0.25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 x14ac:dyDescent="0.25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 x14ac:dyDescent="0.25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 x14ac:dyDescent="0.25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 x14ac:dyDescent="0.25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 x14ac:dyDescent="0.25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 x14ac:dyDescent="0.25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 x14ac:dyDescent="0.25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 x14ac:dyDescent="0.25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 x14ac:dyDescent="0.25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 x14ac:dyDescent="0.25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 x14ac:dyDescent="0.25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 x14ac:dyDescent="0.25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 x14ac:dyDescent="0.25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 x14ac:dyDescent="0.25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 x14ac:dyDescent="0.25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 x14ac:dyDescent="0.25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 x14ac:dyDescent="0.25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 x14ac:dyDescent="0.25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 x14ac:dyDescent="0.25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 x14ac:dyDescent="0.25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 x14ac:dyDescent="0.25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 x14ac:dyDescent="0.25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 x14ac:dyDescent="0.25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 x14ac:dyDescent="0.25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 x14ac:dyDescent="0.25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 x14ac:dyDescent="0.25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 x14ac:dyDescent="0.25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 x14ac:dyDescent="0.25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 x14ac:dyDescent="0.25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 x14ac:dyDescent="0.25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 x14ac:dyDescent="0.25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 x14ac:dyDescent="0.25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 x14ac:dyDescent="0.25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 x14ac:dyDescent="0.25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 x14ac:dyDescent="0.25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 x14ac:dyDescent="0.25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 x14ac:dyDescent="0.25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 x14ac:dyDescent="0.25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 x14ac:dyDescent="0.25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 x14ac:dyDescent="0.25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 x14ac:dyDescent="0.25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 x14ac:dyDescent="0.25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 x14ac:dyDescent="0.25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 x14ac:dyDescent="0.25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 x14ac:dyDescent="0.25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 x14ac:dyDescent="0.25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 x14ac:dyDescent="0.25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 x14ac:dyDescent="0.25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 x14ac:dyDescent="0.25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 x14ac:dyDescent="0.25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 x14ac:dyDescent="0.25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 x14ac:dyDescent="0.25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 x14ac:dyDescent="0.25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 x14ac:dyDescent="0.25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 x14ac:dyDescent="0.25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 x14ac:dyDescent="0.25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 x14ac:dyDescent="0.25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 x14ac:dyDescent="0.25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 x14ac:dyDescent="0.25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 x14ac:dyDescent="0.25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 x14ac:dyDescent="0.25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 x14ac:dyDescent="0.25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 x14ac:dyDescent="0.25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18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 x14ac:dyDescent="0.25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18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 x14ac:dyDescent="0.25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18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 x14ac:dyDescent="0.25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18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 x14ac:dyDescent="0.25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18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 x14ac:dyDescent="0.25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18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 x14ac:dyDescent="0.25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18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 x14ac:dyDescent="0.25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18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 x14ac:dyDescent="0.25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18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 x14ac:dyDescent="0.25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18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 x14ac:dyDescent="0.25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18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 x14ac:dyDescent="0.25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18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 x14ac:dyDescent="0.25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18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 x14ac:dyDescent="0.25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18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 x14ac:dyDescent="0.25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18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 x14ac:dyDescent="0.25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18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 x14ac:dyDescent="0.25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18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 x14ac:dyDescent="0.25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18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 x14ac:dyDescent="0.25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18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 x14ac:dyDescent="0.25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18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 x14ac:dyDescent="0.25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18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 x14ac:dyDescent="0.25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18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18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 x14ac:dyDescent="0.25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18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 x14ac:dyDescent="0.25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18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 x14ac:dyDescent="0.25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18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 x14ac:dyDescent="0.25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18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 x14ac:dyDescent="0.25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18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 x14ac:dyDescent="0.25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18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 x14ac:dyDescent="0.25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18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 x14ac:dyDescent="0.25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18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 x14ac:dyDescent="0.25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18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 x14ac:dyDescent="0.25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18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 x14ac:dyDescent="0.25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18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 x14ac:dyDescent="0.25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18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 x14ac:dyDescent="0.25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18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 x14ac:dyDescent="0.25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18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 x14ac:dyDescent="0.25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18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 x14ac:dyDescent="0.25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18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 x14ac:dyDescent="0.25">
      <c r="A196" s="1">
        <v>43373</v>
      </c>
      <c r="D196">
        <v>-9.2499999999999999E-2</v>
      </c>
      <c r="K196" s="1">
        <f t="shared" ref="K196:K220" si="13">+A196</f>
        <v>43373</v>
      </c>
      <c r="L196">
        <f t="shared" ref="L196:L220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18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 x14ac:dyDescent="0.25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18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 x14ac:dyDescent="0.25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18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 x14ac:dyDescent="0.25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18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 x14ac:dyDescent="0.25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18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 x14ac:dyDescent="0.25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18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 x14ac:dyDescent="0.25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18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 x14ac:dyDescent="0.25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>
        <v>-0.47666666699999999</v>
      </c>
      <c r="O203" s="18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 x14ac:dyDescent="0.25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>
        <v>-0.49</v>
      </c>
      <c r="O204">
        <v>-0.46666666699999998</v>
      </c>
      <c r="P204" s="18">
        <f>L204</f>
        <v>-0.52</v>
      </c>
      <c r="U204" s="15">
        <v>-0.329337928</v>
      </c>
      <c r="V204" s="15">
        <v>-0.39944711500000002</v>
      </c>
      <c r="W204" s="15">
        <v>-0.556666667</v>
      </c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 x14ac:dyDescent="0.25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>
        <v>-0.50224831599999997</v>
      </c>
      <c r="O205">
        <v>-0.47666666699999999</v>
      </c>
      <c r="P205">
        <v>-0.46666666699999998</v>
      </c>
      <c r="Q205" s="18">
        <f>L205</f>
        <v>-0.55000000000000004</v>
      </c>
      <c r="V205" s="15">
        <v>-0.40061965799999999</v>
      </c>
      <c r="W205" s="15">
        <v>-0.57394376499999999</v>
      </c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 x14ac:dyDescent="0.25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>
        <v>-0.51</v>
      </c>
      <c r="O206">
        <v>-0.48728701400000002</v>
      </c>
      <c r="P206">
        <v>-0.48</v>
      </c>
      <c r="Q206">
        <v>-0.48</v>
      </c>
      <c r="R206" s="18">
        <f>L206</f>
        <v>-0.55000000000000004</v>
      </c>
      <c r="V206">
        <v>-0.48</v>
      </c>
      <c r="W206" s="15">
        <v>-0.58896853100000002</v>
      </c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 x14ac:dyDescent="0.25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>
        <v>-0.51127232099999997</v>
      </c>
      <c r="O207">
        <v>-0.49666666700000001</v>
      </c>
      <c r="P207">
        <v>-0.49094085999999998</v>
      </c>
      <c r="Q207">
        <v>-0.49</v>
      </c>
      <c r="R207">
        <v>-0.48</v>
      </c>
      <c r="S207" s="18">
        <f>L207</f>
        <v>-0.56000000000000005</v>
      </c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 x14ac:dyDescent="0.25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>
        <v>-0.51196428599999999</v>
      </c>
      <c r="O208">
        <v>-0.50396880200000005</v>
      </c>
      <c r="P208">
        <v>-0.5</v>
      </c>
      <c r="Q208">
        <v>-0.50229236300000002</v>
      </c>
      <c r="R208">
        <v>-0.486666667</v>
      </c>
      <c r="S208">
        <v>-0.48</v>
      </c>
      <c r="T208" s="18">
        <f>L208</f>
        <v>-0.56000000000000005</v>
      </c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 x14ac:dyDescent="0.25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>
        <v>-0.51056486099999998</v>
      </c>
      <c r="P209">
        <v>-0.50730213499999999</v>
      </c>
      <c r="Q209">
        <v>-0.51333333299999995</v>
      </c>
      <c r="R209">
        <v>-0.489871795</v>
      </c>
      <c r="S209">
        <v>-0.48</v>
      </c>
      <c r="T209">
        <v>-0.48</v>
      </c>
      <c r="U209" s="18">
        <f>L209</f>
        <v>-0.57999999999999996</v>
      </c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 x14ac:dyDescent="0.25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>
        <v>-0.51389819400000003</v>
      </c>
      <c r="Q210">
        <v>-0.52115785299999995</v>
      </c>
      <c r="R210">
        <v>-0.49333333299999999</v>
      </c>
      <c r="S210">
        <v>-0.48499999999999999</v>
      </c>
      <c r="T210">
        <v>-0.48</v>
      </c>
      <c r="U210">
        <v>-0.48</v>
      </c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 x14ac:dyDescent="0.25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>
        <v>-0.52806623900000005</v>
      </c>
      <c r="R211">
        <v>-0.49637820500000002</v>
      </c>
      <c r="S211">
        <v>-0.49</v>
      </c>
      <c r="T211">
        <v>-0.48499999999999999</v>
      </c>
      <c r="U211">
        <v>-0.48</v>
      </c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 x14ac:dyDescent="0.25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R212">
        <v>-0.49974359000000002</v>
      </c>
      <c r="S212">
        <v>-0.48992187500000001</v>
      </c>
      <c r="T212">
        <v>-0.49</v>
      </c>
      <c r="U212">
        <v>-0.48</v>
      </c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 x14ac:dyDescent="0.25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S213">
        <v>-0.489375</v>
      </c>
      <c r="T213">
        <v>-0.48992187500000001</v>
      </c>
      <c r="U213">
        <v>-0.48</v>
      </c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 x14ac:dyDescent="0.25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T214">
        <v>-0.489375</v>
      </c>
      <c r="BO214">
        <f t="shared" si="12"/>
        <v>-0.489375</v>
      </c>
    </row>
    <row r="215" spans="1:67" x14ac:dyDescent="0.25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</row>
    <row r="216" spans="1:67" x14ac:dyDescent="0.25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</row>
    <row r="217" spans="1:67" x14ac:dyDescent="0.25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AD217" s="18"/>
    </row>
    <row r="218" spans="1:67" x14ac:dyDescent="0.25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AE218" s="18"/>
    </row>
    <row r="219" spans="1:67" x14ac:dyDescent="0.25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AF219" s="18"/>
    </row>
    <row r="220" spans="1:67" x14ac:dyDescent="0.25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AG220" s="18"/>
    </row>
    <row r="221" spans="1:67" x14ac:dyDescent="0.25">
      <c r="A221" s="1"/>
      <c r="K221" s="1"/>
      <c r="AH221" s="18"/>
    </row>
    <row r="222" spans="1:67" x14ac:dyDescent="0.25">
      <c r="A222" s="1"/>
      <c r="K222" s="1"/>
      <c r="AI222" s="18"/>
    </row>
    <row r="223" spans="1:67" x14ac:dyDescent="0.25">
      <c r="A223" s="1"/>
      <c r="K223" s="1"/>
      <c r="AJ223" s="18"/>
    </row>
    <row r="224" spans="1:67" x14ac:dyDescent="0.25">
      <c r="A224" s="1"/>
      <c r="K224" s="1"/>
      <c r="AK224" s="18"/>
    </row>
    <row r="225" spans="1:38" x14ac:dyDescent="0.25">
      <c r="A225" s="1"/>
      <c r="K225" s="1"/>
      <c r="AL225" s="18"/>
    </row>
    <row r="226" spans="1:38" x14ac:dyDescent="0.25">
      <c r="A226" s="1"/>
      <c r="K226" s="1"/>
    </row>
    <row r="227" spans="1:38" x14ac:dyDescent="0.25">
      <c r="A227" s="1"/>
      <c r="K227" s="1"/>
    </row>
    <row r="228" spans="1:38" x14ac:dyDescent="0.25">
      <c r="A228" s="1"/>
      <c r="K228" s="1"/>
    </row>
    <row r="229" spans="1:38" x14ac:dyDescent="0.25">
      <c r="A229" s="1"/>
      <c r="K229" s="1"/>
    </row>
    <row r="230" spans="1:38" x14ac:dyDescent="0.25">
      <c r="A230" s="1"/>
      <c r="K230" s="1"/>
    </row>
    <row r="231" spans="1:38" x14ac:dyDescent="0.25">
      <c r="A231" s="1"/>
      <c r="K231" s="1"/>
    </row>
    <row r="232" spans="1:38" x14ac:dyDescent="0.25">
      <c r="A232" s="1"/>
      <c r="K232" s="1"/>
    </row>
    <row r="233" spans="1:38" x14ac:dyDescent="0.25">
      <c r="A233" s="1"/>
      <c r="K233" s="1"/>
    </row>
    <row r="234" spans="1:38" x14ac:dyDescent="0.25">
      <c r="A234" s="1"/>
      <c r="K234" s="1"/>
    </row>
    <row r="235" spans="1:38" x14ac:dyDescent="0.25">
      <c r="A235" s="1"/>
      <c r="K235" s="1"/>
    </row>
    <row r="236" spans="1:38" x14ac:dyDescent="0.25">
      <c r="A236" s="1"/>
      <c r="K236" s="1"/>
    </row>
    <row r="237" spans="1:38" x14ac:dyDescent="0.25">
      <c r="A237" s="1"/>
      <c r="K237" s="1"/>
    </row>
    <row r="238" spans="1:38" x14ac:dyDescent="0.25">
      <c r="A238" s="1"/>
      <c r="K238" s="1"/>
    </row>
    <row r="239" spans="1:38" x14ac:dyDescent="0.25">
      <c r="A239" s="1"/>
      <c r="K239" s="1"/>
    </row>
    <row r="240" spans="1:38" x14ac:dyDescent="0.25">
      <c r="A240" s="1"/>
      <c r="K240" s="1"/>
    </row>
    <row r="241" spans="1:24" x14ac:dyDescent="0.25">
      <c r="A241" s="1"/>
      <c r="K241" s="1"/>
    </row>
    <row r="242" spans="1:24" x14ac:dyDescent="0.25">
      <c r="A242" s="1"/>
      <c r="K242" s="1"/>
    </row>
    <row r="243" spans="1:24" x14ac:dyDescent="0.25">
      <c r="A243" s="1"/>
      <c r="K243" s="1"/>
    </row>
    <row r="244" spans="1:24" x14ac:dyDescent="0.25">
      <c r="A244" s="1"/>
      <c r="K244" s="1"/>
    </row>
    <row r="245" spans="1:24" x14ac:dyDescent="0.25">
      <c r="A245" s="1"/>
      <c r="K245" s="1"/>
      <c r="M245" s="18"/>
    </row>
    <row r="246" spans="1:24" x14ac:dyDescent="0.25">
      <c r="A246" s="1"/>
      <c r="K246" s="1"/>
      <c r="N246" s="18"/>
    </row>
    <row r="247" spans="1:24" x14ac:dyDescent="0.25">
      <c r="A247" s="1"/>
      <c r="K247" s="1"/>
      <c r="O247" s="18"/>
    </row>
    <row r="248" spans="1:24" x14ac:dyDescent="0.25">
      <c r="A248" s="1"/>
      <c r="K248" s="1"/>
      <c r="P248" s="18"/>
    </row>
    <row r="249" spans="1:24" x14ac:dyDescent="0.25">
      <c r="A249" s="1"/>
      <c r="K249" s="1"/>
      <c r="Q249" s="18"/>
    </row>
    <row r="250" spans="1:24" x14ac:dyDescent="0.25">
      <c r="A250" s="1"/>
      <c r="K250" s="1"/>
      <c r="R250" s="18"/>
    </row>
    <row r="251" spans="1:24" x14ac:dyDescent="0.25">
      <c r="A251" s="1"/>
      <c r="K251" s="1"/>
      <c r="S251" s="18"/>
    </row>
    <row r="252" spans="1:24" x14ac:dyDescent="0.25">
      <c r="A252" s="1"/>
      <c r="K252" s="1"/>
      <c r="T252" s="18"/>
    </row>
    <row r="253" spans="1:24" x14ac:dyDescent="0.25">
      <c r="A253" s="1"/>
      <c r="K253" s="1"/>
      <c r="U253" s="18"/>
    </row>
    <row r="254" spans="1:24" x14ac:dyDescent="0.25">
      <c r="A254" s="1"/>
      <c r="K254" s="1"/>
      <c r="V254" s="18"/>
    </row>
    <row r="255" spans="1:24" x14ac:dyDescent="0.25">
      <c r="A255" s="1"/>
      <c r="K255" s="1"/>
      <c r="W255" s="18"/>
    </row>
    <row r="256" spans="1:24" x14ac:dyDescent="0.25">
      <c r="A256" s="1"/>
      <c r="K256" s="1"/>
      <c r="X256" s="18"/>
    </row>
    <row r="257" spans="1:31" x14ac:dyDescent="0.25">
      <c r="A257" s="1"/>
      <c r="K257" s="1"/>
      <c r="Y257" s="18"/>
    </row>
    <row r="258" spans="1:31" x14ac:dyDescent="0.25">
      <c r="A258" s="1"/>
      <c r="K258" s="1"/>
      <c r="Z258" s="18"/>
    </row>
    <row r="259" spans="1:31" x14ac:dyDescent="0.25">
      <c r="A259" s="1"/>
      <c r="K259" s="1"/>
      <c r="AA259" s="18"/>
    </row>
    <row r="260" spans="1:31" x14ac:dyDescent="0.25">
      <c r="A260" s="1"/>
      <c r="K260" s="1"/>
      <c r="AB260" s="18"/>
    </row>
    <row r="261" spans="1:31" x14ac:dyDescent="0.25">
      <c r="A261" s="1"/>
      <c r="K261" s="1"/>
      <c r="AC261" s="18"/>
    </row>
    <row r="262" spans="1:31" x14ac:dyDescent="0.25">
      <c r="A262" s="1"/>
      <c r="K262" s="1"/>
      <c r="AD262" s="18"/>
    </row>
    <row r="263" spans="1:31" x14ac:dyDescent="0.25">
      <c r="A263" s="1"/>
      <c r="K263" s="1"/>
      <c r="AE263" s="18"/>
    </row>
    <row r="264" spans="1:31" x14ac:dyDescent="0.25">
      <c r="A264" s="1"/>
      <c r="K264" s="1"/>
    </row>
    <row r="265" spans="1:31" x14ac:dyDescent="0.25">
      <c r="A265" s="1"/>
      <c r="K265" s="1"/>
    </row>
    <row r="266" spans="1:31" x14ac:dyDescent="0.25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RowHeight="15" x14ac:dyDescent="0.2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 x14ac:dyDescent="0.25">
      <c r="K1" t="s">
        <v>14</v>
      </c>
      <c r="L1" t="s">
        <v>15</v>
      </c>
      <c r="N1" s="19" t="s">
        <v>11</v>
      </c>
      <c r="O1" s="19"/>
      <c r="P1" s="19" t="s">
        <v>12</v>
      </c>
      <c r="Q1" s="19"/>
    </row>
    <row r="2" spans="1:17" x14ac:dyDescent="0.25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 x14ac:dyDescent="0.25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 x14ac:dyDescent="0.25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 x14ac:dyDescent="0.25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 x14ac:dyDescent="0.25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 x14ac:dyDescent="0.25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 x14ac:dyDescent="0.25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 x14ac:dyDescent="0.25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 x14ac:dyDescent="0.25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 x14ac:dyDescent="0.25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 x14ac:dyDescent="0.25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 x14ac:dyDescent="0.25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 x14ac:dyDescent="0.25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 x14ac:dyDescent="0.25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 x14ac:dyDescent="0.25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 x14ac:dyDescent="0.25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 x14ac:dyDescent="0.25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 x14ac:dyDescent="0.25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 x14ac:dyDescent="0.25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 x14ac:dyDescent="0.25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 x14ac:dyDescent="0.25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 x14ac:dyDescent="0.25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 x14ac:dyDescent="0.25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 x14ac:dyDescent="0.25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 x14ac:dyDescent="0.25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 x14ac:dyDescent="0.25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 x14ac:dyDescent="0.25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 x14ac:dyDescent="0.25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 x14ac:dyDescent="0.25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 x14ac:dyDescent="0.25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 x14ac:dyDescent="0.25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 x14ac:dyDescent="0.25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 x14ac:dyDescent="0.25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 x14ac:dyDescent="0.25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 x14ac:dyDescent="0.25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 x14ac:dyDescent="0.25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 x14ac:dyDescent="0.25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 x14ac:dyDescent="0.25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 x14ac:dyDescent="0.25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 x14ac:dyDescent="0.25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 x14ac:dyDescent="0.25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 x14ac:dyDescent="0.25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 x14ac:dyDescent="0.25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 x14ac:dyDescent="0.25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 x14ac:dyDescent="0.25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 x14ac:dyDescent="0.25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 x14ac:dyDescent="0.25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 x14ac:dyDescent="0.25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 x14ac:dyDescent="0.25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 x14ac:dyDescent="0.25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 x14ac:dyDescent="0.25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 x14ac:dyDescent="0.25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 x14ac:dyDescent="0.25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 x14ac:dyDescent="0.25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 x14ac:dyDescent="0.25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 x14ac:dyDescent="0.25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 x14ac:dyDescent="0.25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 x14ac:dyDescent="0.25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 x14ac:dyDescent="0.25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 x14ac:dyDescent="0.25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 x14ac:dyDescent="0.25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 x14ac:dyDescent="0.25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 x14ac:dyDescent="0.25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 x14ac:dyDescent="0.25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 x14ac:dyDescent="0.25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 x14ac:dyDescent="0.25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 x14ac:dyDescent="0.25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 x14ac:dyDescent="0.25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 x14ac:dyDescent="0.25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 x14ac:dyDescent="0.25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 x14ac:dyDescent="0.25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 x14ac:dyDescent="0.25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 x14ac:dyDescent="0.25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 x14ac:dyDescent="0.25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 x14ac:dyDescent="0.25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 x14ac:dyDescent="0.25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 x14ac:dyDescent="0.25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 x14ac:dyDescent="0.25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 x14ac:dyDescent="0.25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 x14ac:dyDescent="0.25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 x14ac:dyDescent="0.25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 x14ac:dyDescent="0.25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 x14ac:dyDescent="0.25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 x14ac:dyDescent="0.25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 x14ac:dyDescent="0.25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 x14ac:dyDescent="0.25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 x14ac:dyDescent="0.25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 x14ac:dyDescent="0.25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 x14ac:dyDescent="0.25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 x14ac:dyDescent="0.25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 x14ac:dyDescent="0.25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 x14ac:dyDescent="0.25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 x14ac:dyDescent="0.25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 x14ac:dyDescent="0.25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 x14ac:dyDescent="0.25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 x14ac:dyDescent="0.25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 x14ac:dyDescent="0.25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 x14ac:dyDescent="0.25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 x14ac:dyDescent="0.25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 x14ac:dyDescent="0.25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 x14ac:dyDescent="0.25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 x14ac:dyDescent="0.25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 x14ac:dyDescent="0.25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 x14ac:dyDescent="0.25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 x14ac:dyDescent="0.25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 x14ac:dyDescent="0.25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 x14ac:dyDescent="0.25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 x14ac:dyDescent="0.25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 x14ac:dyDescent="0.25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 x14ac:dyDescent="0.25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 x14ac:dyDescent="0.25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 x14ac:dyDescent="0.25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 x14ac:dyDescent="0.25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 x14ac:dyDescent="0.25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 x14ac:dyDescent="0.25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 x14ac:dyDescent="0.25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 x14ac:dyDescent="0.25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 x14ac:dyDescent="0.25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 x14ac:dyDescent="0.25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 x14ac:dyDescent="0.25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 x14ac:dyDescent="0.25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 x14ac:dyDescent="0.25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 x14ac:dyDescent="0.25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 x14ac:dyDescent="0.25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 x14ac:dyDescent="0.25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 x14ac:dyDescent="0.25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 x14ac:dyDescent="0.25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 x14ac:dyDescent="0.25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 x14ac:dyDescent="0.25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 x14ac:dyDescent="0.25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 x14ac:dyDescent="0.25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 x14ac:dyDescent="0.25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 x14ac:dyDescent="0.25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 x14ac:dyDescent="0.25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 x14ac:dyDescent="0.25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 x14ac:dyDescent="0.25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 x14ac:dyDescent="0.25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 x14ac:dyDescent="0.25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 x14ac:dyDescent="0.25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 x14ac:dyDescent="0.25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 x14ac:dyDescent="0.25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 x14ac:dyDescent="0.25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 x14ac:dyDescent="0.25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 x14ac:dyDescent="0.25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 x14ac:dyDescent="0.25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 x14ac:dyDescent="0.25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 x14ac:dyDescent="0.25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 x14ac:dyDescent="0.25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 x14ac:dyDescent="0.25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 x14ac:dyDescent="0.25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 x14ac:dyDescent="0.25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 x14ac:dyDescent="0.25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 x14ac:dyDescent="0.25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 x14ac:dyDescent="0.25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 x14ac:dyDescent="0.25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 x14ac:dyDescent="0.25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 x14ac:dyDescent="0.25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 x14ac:dyDescent="0.25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 x14ac:dyDescent="0.25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 x14ac:dyDescent="0.25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 x14ac:dyDescent="0.25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 x14ac:dyDescent="0.25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 x14ac:dyDescent="0.25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 x14ac:dyDescent="0.25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 x14ac:dyDescent="0.25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 x14ac:dyDescent="0.25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 x14ac:dyDescent="0.25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 x14ac:dyDescent="0.25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 x14ac:dyDescent="0.25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 x14ac:dyDescent="0.25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 x14ac:dyDescent="0.25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 x14ac:dyDescent="0.25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 x14ac:dyDescent="0.25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 x14ac:dyDescent="0.25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 x14ac:dyDescent="0.25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 x14ac:dyDescent="0.25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 x14ac:dyDescent="0.25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 x14ac:dyDescent="0.25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 x14ac:dyDescent="0.25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 x14ac:dyDescent="0.25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 x14ac:dyDescent="0.25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 x14ac:dyDescent="0.25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 x14ac:dyDescent="0.25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 x14ac:dyDescent="0.25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 x14ac:dyDescent="0.25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 x14ac:dyDescent="0.25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 x14ac:dyDescent="0.25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 x14ac:dyDescent="0.25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 x14ac:dyDescent="0.25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 x14ac:dyDescent="0.25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 x14ac:dyDescent="0.25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 x14ac:dyDescent="0.25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 x14ac:dyDescent="0.25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 x14ac:dyDescent="0.25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 x14ac:dyDescent="0.25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 x14ac:dyDescent="0.25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 x14ac:dyDescent="0.25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 x14ac:dyDescent="0.25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 x14ac:dyDescent="0.25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 x14ac:dyDescent="0.25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 x14ac:dyDescent="0.25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 x14ac:dyDescent="0.25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 x14ac:dyDescent="0.25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 x14ac:dyDescent="0.25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 x14ac:dyDescent="0.25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 x14ac:dyDescent="0.25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 x14ac:dyDescent="0.25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 x14ac:dyDescent="0.25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 x14ac:dyDescent="0.25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 x14ac:dyDescent="0.25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 x14ac:dyDescent="0.25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 x14ac:dyDescent="0.25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 x14ac:dyDescent="0.25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 x14ac:dyDescent="0.25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 x14ac:dyDescent="0.25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 x14ac:dyDescent="0.25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 x14ac:dyDescent="0.25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 x14ac:dyDescent="0.25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 x14ac:dyDescent="0.25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 x14ac:dyDescent="0.25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 x14ac:dyDescent="0.25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 x14ac:dyDescent="0.25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 x14ac:dyDescent="0.25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 x14ac:dyDescent="0.25">
      <c r="A225" s="1"/>
      <c r="B225" s="1"/>
      <c r="C225" s="1"/>
      <c r="D225" s="1"/>
      <c r="E225" s="1"/>
      <c r="F225" s="1"/>
      <c r="G225" s="1"/>
      <c r="N225" s="2"/>
      <c r="P225" s="2"/>
    </row>
    <row r="226" spans="1:16" x14ac:dyDescent="0.25">
      <c r="A226" s="1"/>
      <c r="B226" s="1"/>
      <c r="C226" s="1"/>
      <c r="D226" s="1"/>
      <c r="E226" s="1"/>
      <c r="F226" s="1"/>
      <c r="G226" s="1"/>
      <c r="N226" s="2"/>
      <c r="P226" s="2"/>
    </row>
    <row r="227" spans="1:16" x14ac:dyDescent="0.25">
      <c r="A227" s="1"/>
      <c r="B227" s="1"/>
      <c r="C227" s="1"/>
      <c r="D227" s="1"/>
      <c r="E227" s="1"/>
      <c r="F227" s="1"/>
      <c r="G227" s="1"/>
      <c r="N227" s="2"/>
      <c r="P227" s="2"/>
    </row>
    <row r="228" spans="1:16" x14ac:dyDescent="0.25">
      <c r="A228" s="1"/>
      <c r="B228" s="1"/>
      <c r="C228" s="1"/>
      <c r="D228" s="1"/>
      <c r="E228" s="1"/>
      <c r="F228" s="1"/>
      <c r="G228" s="1"/>
      <c r="N228" s="2"/>
      <c r="P228" s="2"/>
    </row>
    <row r="229" spans="1:16" x14ac:dyDescent="0.25">
      <c r="A229" s="1"/>
      <c r="B229" s="1"/>
      <c r="C229" s="1"/>
      <c r="D229" s="1"/>
      <c r="E229" s="1"/>
      <c r="F229" s="1"/>
      <c r="G229" s="1"/>
      <c r="N229" s="2"/>
      <c r="P229" s="2"/>
    </row>
    <row r="230" spans="1:16" x14ac:dyDescent="0.25">
      <c r="A230" s="1"/>
      <c r="B230" s="1"/>
      <c r="C230" s="1"/>
      <c r="D230" s="1"/>
      <c r="E230" s="1"/>
      <c r="F230" s="1"/>
      <c r="G230" s="1"/>
      <c r="N230" s="2"/>
      <c r="P230" s="2"/>
    </row>
    <row r="231" spans="1:16" x14ac:dyDescent="0.25">
      <c r="A231" s="1"/>
      <c r="B231" s="1"/>
      <c r="C231" s="1"/>
      <c r="D231" s="1"/>
      <c r="E231" s="1"/>
      <c r="F231" s="1"/>
      <c r="G231" s="1"/>
      <c r="N231" s="2"/>
      <c r="P231" s="2"/>
    </row>
    <row r="232" spans="1:16" x14ac:dyDescent="0.25">
      <c r="A232" s="1"/>
      <c r="B232" s="1"/>
      <c r="C232" s="1"/>
      <c r="D232" s="1"/>
      <c r="E232" s="1"/>
      <c r="F232" s="1"/>
      <c r="G232" s="1"/>
      <c r="N232" s="2"/>
      <c r="P232" s="2"/>
    </row>
    <row r="233" spans="1:16" x14ac:dyDescent="0.25">
      <c r="A233" s="1"/>
      <c r="B233" s="1"/>
      <c r="C233" s="1"/>
      <c r="D233" s="1"/>
      <c r="E233" s="1"/>
      <c r="F233" s="1"/>
      <c r="G233" s="1"/>
      <c r="N233" s="2"/>
      <c r="P233" s="2"/>
    </row>
    <row r="234" spans="1:16" x14ac:dyDescent="0.25">
      <c r="A234" s="1"/>
      <c r="B234" s="1"/>
      <c r="C234" s="1"/>
      <c r="D234" s="1"/>
      <c r="E234" s="1"/>
      <c r="F234" s="1"/>
      <c r="G234" s="1"/>
      <c r="N234" s="2"/>
      <c r="P234" s="2"/>
    </row>
    <row r="235" spans="1:16" x14ac:dyDescent="0.25">
      <c r="A235" s="1"/>
      <c r="B235" s="1"/>
      <c r="C235" s="1"/>
      <c r="D235" s="1"/>
      <c r="E235" s="1"/>
      <c r="F235" s="1"/>
      <c r="G235" s="1"/>
      <c r="N235" s="2"/>
      <c r="P235" s="2"/>
    </row>
    <row r="236" spans="1:16" x14ac:dyDescent="0.25">
      <c r="A236" s="1"/>
      <c r="B236" s="1"/>
      <c r="C236" s="1"/>
      <c r="D236" s="1"/>
      <c r="E236" s="1"/>
      <c r="F236" s="1"/>
      <c r="G236" s="1"/>
      <c r="N236" s="2"/>
      <c r="P236" s="2"/>
    </row>
    <row r="237" spans="1:16" x14ac:dyDescent="0.25">
      <c r="A237" s="1"/>
      <c r="B237" s="1"/>
      <c r="C237" s="1"/>
      <c r="D237" s="1"/>
      <c r="E237" s="1"/>
      <c r="F237" s="1"/>
      <c r="G237" s="1"/>
      <c r="N237" s="2"/>
      <c r="P237" s="2"/>
    </row>
    <row r="238" spans="1:16" x14ac:dyDescent="0.25">
      <c r="A238" s="1"/>
      <c r="B238" s="1"/>
      <c r="C238" s="1"/>
      <c r="D238" s="1"/>
      <c r="E238" s="1"/>
      <c r="F238" s="1"/>
      <c r="G238" s="1"/>
      <c r="N238" s="2"/>
      <c r="P238" s="2"/>
    </row>
    <row r="239" spans="1:16" x14ac:dyDescent="0.25">
      <c r="A239" s="1"/>
      <c r="B239" s="1"/>
      <c r="C239" s="1"/>
      <c r="D239" s="1"/>
      <c r="E239" s="1"/>
      <c r="F239" s="1"/>
      <c r="G239" s="1"/>
      <c r="N239" s="2"/>
      <c r="P239" s="2"/>
    </row>
    <row r="240" spans="1:16" x14ac:dyDescent="0.25">
      <c r="A240" s="1"/>
      <c r="B240" s="1"/>
      <c r="C240" s="1"/>
      <c r="D240" s="1"/>
      <c r="E240" s="1"/>
      <c r="F240" s="1"/>
      <c r="G240" s="1"/>
      <c r="N240" s="2"/>
      <c r="P240" s="2"/>
    </row>
    <row r="241" spans="1:16" x14ac:dyDescent="0.25">
      <c r="A241" s="1"/>
      <c r="B241" s="1"/>
      <c r="C241" s="1"/>
      <c r="D241" s="1"/>
      <c r="E241" s="1"/>
      <c r="F241" s="1"/>
      <c r="G241" s="1"/>
      <c r="N241" s="2"/>
      <c r="P241" s="2"/>
    </row>
    <row r="242" spans="1:16" x14ac:dyDescent="0.25">
      <c r="A242" s="1"/>
      <c r="B242" s="1"/>
      <c r="C242" s="1"/>
      <c r="D242" s="1"/>
      <c r="E242" s="1"/>
      <c r="F242" s="1"/>
      <c r="G242" s="1"/>
      <c r="N242" s="2"/>
      <c r="P242" s="2"/>
    </row>
    <row r="243" spans="1:16" x14ac:dyDescent="0.25">
      <c r="A243" s="1"/>
      <c r="B243" s="1"/>
      <c r="C243" s="1"/>
      <c r="D243" s="1"/>
      <c r="E243" s="1"/>
      <c r="F243" s="1"/>
      <c r="G243" s="1"/>
      <c r="N243" s="2"/>
      <c r="P243" s="2"/>
    </row>
    <row r="244" spans="1:16" x14ac:dyDescent="0.25">
      <c r="A244" s="1"/>
      <c r="B244" s="1"/>
      <c r="C244" s="1"/>
      <c r="D244" s="1"/>
      <c r="E244" s="1"/>
      <c r="F244" s="1"/>
      <c r="G244" s="1"/>
      <c r="N244" s="2"/>
      <c r="P244" s="2"/>
    </row>
    <row r="245" spans="1:16" x14ac:dyDescent="0.25">
      <c r="A245" s="1"/>
      <c r="B245" s="1"/>
      <c r="C245" s="1"/>
      <c r="D245" s="1"/>
      <c r="E245" s="1"/>
      <c r="F245" s="1"/>
      <c r="G245" s="1"/>
      <c r="N245" s="2"/>
      <c r="P245" s="2"/>
    </row>
    <row r="246" spans="1:16" x14ac:dyDescent="0.25">
      <c r="A246" s="1"/>
      <c r="B246" s="1"/>
      <c r="C246" s="1"/>
      <c r="D246" s="1"/>
      <c r="E246" s="1"/>
      <c r="F246" s="1"/>
      <c r="G246" s="1"/>
      <c r="N246" s="2"/>
      <c r="P246" s="2"/>
    </row>
    <row r="247" spans="1:16" x14ac:dyDescent="0.25">
      <c r="A247" s="1"/>
      <c r="B247" s="1"/>
      <c r="C247" s="1"/>
      <c r="D247" s="1"/>
      <c r="E247" s="1"/>
      <c r="F247" s="1"/>
      <c r="G247" s="1"/>
      <c r="N247" s="2"/>
      <c r="P247" s="2"/>
    </row>
    <row r="248" spans="1:16" x14ac:dyDescent="0.25">
      <c r="A248" s="1"/>
      <c r="B248" s="1"/>
      <c r="C248" s="1"/>
      <c r="D248" s="1"/>
      <c r="E248" s="1"/>
      <c r="F248" s="1"/>
      <c r="G248" s="1"/>
      <c r="N248" s="2"/>
      <c r="P248" s="2"/>
    </row>
    <row r="249" spans="1:16" x14ac:dyDescent="0.25">
      <c r="A249" s="1"/>
      <c r="B249" s="1"/>
      <c r="C249" s="1"/>
      <c r="D249" s="1"/>
      <c r="E249" s="1"/>
      <c r="F249" s="1"/>
      <c r="G249" s="1"/>
      <c r="N249" s="2"/>
      <c r="P249" s="2"/>
    </row>
    <row r="250" spans="1:16" x14ac:dyDescent="0.25">
      <c r="A250" s="1"/>
      <c r="B250" s="1"/>
      <c r="C250" s="1"/>
      <c r="D250" s="1"/>
      <c r="E250" s="1"/>
      <c r="F250" s="1"/>
      <c r="G250" s="1"/>
      <c r="N250" s="2"/>
      <c r="P250" s="2"/>
    </row>
    <row r="251" spans="1:16" x14ac:dyDescent="0.25">
      <c r="A251" s="1"/>
      <c r="B251" s="1"/>
      <c r="C251" s="1"/>
      <c r="D251" s="1"/>
      <c r="E251" s="1"/>
      <c r="F251" s="1"/>
      <c r="G251" s="1"/>
      <c r="N251" s="2"/>
      <c r="P251" s="2"/>
    </row>
    <row r="252" spans="1:16" x14ac:dyDescent="0.25">
      <c r="A252" s="1"/>
      <c r="B252" s="1"/>
      <c r="C252" s="1"/>
      <c r="D252" s="1"/>
      <c r="E252" s="1"/>
      <c r="F252" s="1"/>
      <c r="G252" s="1"/>
      <c r="N252" s="2"/>
      <c r="P252" s="2"/>
    </row>
    <row r="253" spans="1:16" x14ac:dyDescent="0.25">
      <c r="A253" s="1"/>
      <c r="B253" s="1"/>
      <c r="C253" s="1"/>
      <c r="D253" s="1"/>
      <c r="E253" s="1"/>
      <c r="F253" s="1"/>
      <c r="G253" s="1"/>
      <c r="N253" s="2"/>
      <c r="P253" s="2"/>
    </row>
    <row r="254" spans="1:16" x14ac:dyDescent="0.25">
      <c r="A254" s="1"/>
      <c r="B254" s="1"/>
      <c r="C254" s="1"/>
      <c r="D254" s="1"/>
      <c r="E254" s="1"/>
      <c r="F254" s="1"/>
      <c r="G254" s="1"/>
      <c r="N254" s="2"/>
      <c r="P254" s="2"/>
    </row>
    <row r="255" spans="1:16" x14ac:dyDescent="0.25">
      <c r="A255" s="1"/>
      <c r="B255" s="1"/>
      <c r="C255" s="1"/>
      <c r="D255" s="1"/>
      <c r="E255" s="1"/>
      <c r="F255" s="1"/>
      <c r="G255" s="1"/>
      <c r="N255" s="2"/>
      <c r="P255" s="2"/>
    </row>
    <row r="256" spans="1:16" x14ac:dyDescent="0.25">
      <c r="A256" s="1"/>
      <c r="B256" s="1"/>
      <c r="C256" s="1"/>
      <c r="D256" s="1"/>
      <c r="E256" s="1"/>
      <c r="F256" s="1"/>
      <c r="G256" s="1"/>
      <c r="N256" s="2"/>
      <c r="P256" s="2"/>
    </row>
    <row r="257" spans="1:16" x14ac:dyDescent="0.25">
      <c r="A257" s="1"/>
      <c r="B257" s="1"/>
      <c r="C257" s="1"/>
      <c r="D257" s="1"/>
      <c r="E257" s="1"/>
      <c r="F257" s="1"/>
      <c r="G257" s="1"/>
      <c r="N257" s="2"/>
      <c r="P257" s="2"/>
    </row>
    <row r="258" spans="1:16" x14ac:dyDescent="0.25">
      <c r="A258" s="1"/>
      <c r="B258" s="1"/>
      <c r="C258" s="1"/>
      <c r="D258" s="1"/>
      <c r="E258" s="1"/>
      <c r="F258" s="1"/>
      <c r="G258" s="1"/>
      <c r="N258" s="2"/>
      <c r="P258" s="2"/>
    </row>
    <row r="259" spans="1:16" x14ac:dyDescent="0.25">
      <c r="A259" s="1"/>
      <c r="B259" s="1"/>
      <c r="C259" s="1"/>
      <c r="D259" s="1"/>
      <c r="E259" s="1"/>
      <c r="F259" s="1"/>
      <c r="G259" s="1"/>
      <c r="N259" s="2"/>
      <c r="P259" s="2"/>
    </row>
    <row r="260" spans="1:16" x14ac:dyDescent="0.25">
      <c r="A260" s="1"/>
      <c r="B260" s="1"/>
      <c r="C260" s="1"/>
      <c r="D260" s="1"/>
      <c r="E260" s="1"/>
      <c r="F260" s="1"/>
      <c r="G260" s="1"/>
      <c r="N260" s="2"/>
      <c r="P260" s="2"/>
    </row>
    <row r="261" spans="1:16" x14ac:dyDescent="0.25">
      <c r="A261" s="1"/>
      <c r="B261" s="1"/>
      <c r="C261" s="1"/>
      <c r="D261" s="1"/>
      <c r="E261" s="1"/>
      <c r="F261" s="1"/>
      <c r="G261" s="1"/>
      <c r="N261" s="2"/>
      <c r="P261" s="2"/>
    </row>
    <row r="262" spans="1:16" x14ac:dyDescent="0.25">
      <c r="A262" s="1"/>
      <c r="B262" s="1"/>
      <c r="C262" s="1"/>
      <c r="D262" s="1"/>
      <c r="E262" s="1"/>
      <c r="F262" s="1"/>
      <c r="G262" s="1"/>
      <c r="N262" s="2"/>
      <c r="P262" s="2"/>
    </row>
    <row r="263" spans="1:16" x14ac:dyDescent="0.25">
      <c r="A263" s="1"/>
      <c r="B263" s="1"/>
      <c r="C263" s="1"/>
      <c r="D263" s="1"/>
      <c r="E263" s="1"/>
      <c r="F263" s="1"/>
      <c r="G263" s="1"/>
      <c r="N263" s="2"/>
      <c r="P263" s="2"/>
    </row>
    <row r="264" spans="1:16" x14ac:dyDescent="0.25">
      <c r="A264" s="1"/>
      <c r="B264" s="1"/>
      <c r="C264" s="1"/>
      <c r="D264" s="1"/>
      <c r="E264" s="1"/>
      <c r="F264" s="1"/>
      <c r="G264" s="1"/>
      <c r="N264" s="2"/>
      <c r="P264" s="2"/>
    </row>
    <row r="265" spans="1:16" x14ac:dyDescent="0.25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dimension ref="A1:G259"/>
  <sheetViews>
    <sheetView zoomScale="45" zoomScaleNormal="145" workbookViewId="0">
      <selection activeCell="Z30" sqref="Z30"/>
    </sheetView>
  </sheetViews>
  <sheetFormatPr defaultRowHeight="15" x14ac:dyDescent="0.25"/>
  <sheetData>
    <row r="1" spans="1:7" x14ac:dyDescent="0.25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 x14ac:dyDescent="0.25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 x14ac:dyDescent="0.25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 x14ac:dyDescent="0.25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 x14ac:dyDescent="0.25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 x14ac:dyDescent="0.25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 x14ac:dyDescent="0.25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 x14ac:dyDescent="0.25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 x14ac:dyDescent="0.25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 x14ac:dyDescent="0.25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 x14ac:dyDescent="0.25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 x14ac:dyDescent="0.25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 x14ac:dyDescent="0.25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 x14ac:dyDescent="0.25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 x14ac:dyDescent="0.25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 x14ac:dyDescent="0.25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 x14ac:dyDescent="0.25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 x14ac:dyDescent="0.25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 x14ac:dyDescent="0.25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 x14ac:dyDescent="0.25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 x14ac:dyDescent="0.25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 x14ac:dyDescent="0.25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 x14ac:dyDescent="0.25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 x14ac:dyDescent="0.25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 x14ac:dyDescent="0.25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 x14ac:dyDescent="0.25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 x14ac:dyDescent="0.25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 x14ac:dyDescent="0.25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 x14ac:dyDescent="0.25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 x14ac:dyDescent="0.25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 x14ac:dyDescent="0.25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 x14ac:dyDescent="0.25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 x14ac:dyDescent="0.25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 x14ac:dyDescent="0.25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 x14ac:dyDescent="0.25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 x14ac:dyDescent="0.25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 x14ac:dyDescent="0.25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 x14ac:dyDescent="0.25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 x14ac:dyDescent="0.25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 x14ac:dyDescent="0.25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 x14ac:dyDescent="0.25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 x14ac:dyDescent="0.25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 x14ac:dyDescent="0.25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 x14ac:dyDescent="0.25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 x14ac:dyDescent="0.25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 x14ac:dyDescent="0.25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 x14ac:dyDescent="0.25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 x14ac:dyDescent="0.25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 x14ac:dyDescent="0.25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 x14ac:dyDescent="0.25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 x14ac:dyDescent="0.25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 x14ac:dyDescent="0.25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 x14ac:dyDescent="0.25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 x14ac:dyDescent="0.25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 x14ac:dyDescent="0.25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 x14ac:dyDescent="0.25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 x14ac:dyDescent="0.25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 x14ac:dyDescent="0.25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 x14ac:dyDescent="0.25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 x14ac:dyDescent="0.25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 x14ac:dyDescent="0.25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 x14ac:dyDescent="0.25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 x14ac:dyDescent="0.25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 x14ac:dyDescent="0.25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 x14ac:dyDescent="0.25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 x14ac:dyDescent="0.25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 x14ac:dyDescent="0.25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 x14ac:dyDescent="0.25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 x14ac:dyDescent="0.25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 x14ac:dyDescent="0.25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 x14ac:dyDescent="0.25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 x14ac:dyDescent="0.25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 x14ac:dyDescent="0.25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 x14ac:dyDescent="0.25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 x14ac:dyDescent="0.25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 x14ac:dyDescent="0.25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 x14ac:dyDescent="0.25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 x14ac:dyDescent="0.25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 x14ac:dyDescent="0.25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 x14ac:dyDescent="0.25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 x14ac:dyDescent="0.25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 x14ac:dyDescent="0.25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 x14ac:dyDescent="0.25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 x14ac:dyDescent="0.25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 x14ac:dyDescent="0.25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 x14ac:dyDescent="0.25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 x14ac:dyDescent="0.25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 x14ac:dyDescent="0.25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 x14ac:dyDescent="0.25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 x14ac:dyDescent="0.25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 x14ac:dyDescent="0.25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 x14ac:dyDescent="0.25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 x14ac:dyDescent="0.25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 x14ac:dyDescent="0.25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 x14ac:dyDescent="0.25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 x14ac:dyDescent="0.25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 x14ac:dyDescent="0.25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 x14ac:dyDescent="0.25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 x14ac:dyDescent="0.25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 x14ac:dyDescent="0.25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 x14ac:dyDescent="0.25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 x14ac:dyDescent="0.25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 x14ac:dyDescent="0.25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 x14ac:dyDescent="0.25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 x14ac:dyDescent="0.25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 x14ac:dyDescent="0.25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 x14ac:dyDescent="0.25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 x14ac:dyDescent="0.25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 x14ac:dyDescent="0.25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 x14ac:dyDescent="0.25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 x14ac:dyDescent="0.25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 x14ac:dyDescent="0.25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 x14ac:dyDescent="0.25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 x14ac:dyDescent="0.25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 x14ac:dyDescent="0.25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 x14ac:dyDescent="0.25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 x14ac:dyDescent="0.25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 x14ac:dyDescent="0.25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 x14ac:dyDescent="0.25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 x14ac:dyDescent="0.25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 x14ac:dyDescent="0.25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 x14ac:dyDescent="0.25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 x14ac:dyDescent="0.25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 x14ac:dyDescent="0.25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 x14ac:dyDescent="0.25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 x14ac:dyDescent="0.25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 x14ac:dyDescent="0.25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 x14ac:dyDescent="0.25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 x14ac:dyDescent="0.25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 x14ac:dyDescent="0.25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 x14ac:dyDescent="0.25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 x14ac:dyDescent="0.25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 x14ac:dyDescent="0.25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 x14ac:dyDescent="0.25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 x14ac:dyDescent="0.25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 x14ac:dyDescent="0.25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 x14ac:dyDescent="0.25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 x14ac:dyDescent="0.25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 x14ac:dyDescent="0.25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 x14ac:dyDescent="0.25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 x14ac:dyDescent="0.25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 x14ac:dyDescent="0.25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 x14ac:dyDescent="0.25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 x14ac:dyDescent="0.25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 x14ac:dyDescent="0.25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 x14ac:dyDescent="0.25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 x14ac:dyDescent="0.25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 x14ac:dyDescent="0.25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 x14ac:dyDescent="0.25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 x14ac:dyDescent="0.25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 x14ac:dyDescent="0.25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 x14ac:dyDescent="0.25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 x14ac:dyDescent="0.25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 x14ac:dyDescent="0.25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 x14ac:dyDescent="0.25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 x14ac:dyDescent="0.25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 x14ac:dyDescent="0.25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 x14ac:dyDescent="0.25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 x14ac:dyDescent="0.25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 x14ac:dyDescent="0.25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 x14ac:dyDescent="0.25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 x14ac:dyDescent="0.25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 x14ac:dyDescent="0.25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 x14ac:dyDescent="0.25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 x14ac:dyDescent="0.25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 x14ac:dyDescent="0.25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 x14ac:dyDescent="0.25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 x14ac:dyDescent="0.25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 x14ac:dyDescent="0.25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 x14ac:dyDescent="0.25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 x14ac:dyDescent="0.25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 x14ac:dyDescent="0.25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 x14ac:dyDescent="0.25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 x14ac:dyDescent="0.25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 x14ac:dyDescent="0.25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 x14ac:dyDescent="0.25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 x14ac:dyDescent="0.25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 x14ac:dyDescent="0.25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 x14ac:dyDescent="0.25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 x14ac:dyDescent="0.25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 x14ac:dyDescent="0.25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 x14ac:dyDescent="0.25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 x14ac:dyDescent="0.25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 x14ac:dyDescent="0.25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 x14ac:dyDescent="0.25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 x14ac:dyDescent="0.25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 x14ac:dyDescent="0.25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 x14ac:dyDescent="0.25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 x14ac:dyDescent="0.25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 x14ac:dyDescent="0.25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 x14ac:dyDescent="0.25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 x14ac:dyDescent="0.25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 x14ac:dyDescent="0.25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 x14ac:dyDescent="0.25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 x14ac:dyDescent="0.25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 x14ac:dyDescent="0.25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 x14ac:dyDescent="0.25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 x14ac:dyDescent="0.25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 x14ac:dyDescent="0.25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 x14ac:dyDescent="0.25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 x14ac:dyDescent="0.25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 x14ac:dyDescent="0.25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 x14ac:dyDescent="0.25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 x14ac:dyDescent="0.25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 x14ac:dyDescent="0.25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 x14ac:dyDescent="0.25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 x14ac:dyDescent="0.25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 x14ac:dyDescent="0.25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 x14ac:dyDescent="0.25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 x14ac:dyDescent="0.25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 x14ac:dyDescent="0.25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 x14ac:dyDescent="0.25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 x14ac:dyDescent="0.25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 x14ac:dyDescent="0.25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 x14ac:dyDescent="0.25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 x14ac:dyDescent="0.25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 x14ac:dyDescent="0.25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 x14ac:dyDescent="0.25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 x14ac:dyDescent="0.25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 x14ac:dyDescent="0.25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 x14ac:dyDescent="0.25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 x14ac:dyDescent="0.25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 x14ac:dyDescent="0.25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 x14ac:dyDescent="0.25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 x14ac:dyDescent="0.25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 x14ac:dyDescent="0.25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 x14ac:dyDescent="0.25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 x14ac:dyDescent="0.25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 x14ac:dyDescent="0.25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 x14ac:dyDescent="0.25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 x14ac:dyDescent="0.25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 x14ac:dyDescent="0.25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 x14ac:dyDescent="0.25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 x14ac:dyDescent="0.25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 x14ac:dyDescent="0.25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 x14ac:dyDescent="0.25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 x14ac:dyDescent="0.25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 x14ac:dyDescent="0.25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 x14ac:dyDescent="0.25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 x14ac:dyDescent="0.25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 x14ac:dyDescent="0.25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 x14ac:dyDescent="0.25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 x14ac:dyDescent="0.25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 x14ac:dyDescent="0.25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 x14ac:dyDescent="0.25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 x14ac:dyDescent="0.25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 x14ac:dyDescent="0.25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 x14ac:dyDescent="0.25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 x14ac:dyDescent="0.25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 x14ac:dyDescent="0.25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 x14ac:dyDescent="0.25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 x14ac:dyDescent="0.25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 x14ac:dyDescent="0.25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 x14ac:dyDescent="0.25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 x14ac:dyDescent="0.25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 x14ac:dyDescent="0.25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 x14ac:dyDescent="0.25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 x14ac:dyDescent="0.25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 x14ac:dyDescent="0.25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dimension ref="A1:BV132"/>
  <sheetViews>
    <sheetView topLeftCell="Z1" zoomScale="115" zoomScaleNormal="115" workbookViewId="0">
      <selection activeCell="Z2" sqref="Z2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 x14ac:dyDescent="0.2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02630-2BDF-4AB2-9824-440FD22C3ACD}">
  <dimension ref="A1:AK132"/>
  <sheetViews>
    <sheetView topLeftCell="D1" workbookViewId="0">
      <selection activeCell="AE2" sqref="AE2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229</v>
      </c>
    </row>
    <row r="2" spans="1:37" x14ac:dyDescent="0.25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v>0</v>
      </c>
      <c r="AH2">
        <f>AF2+AG2</f>
        <v>28.944766476749599</v>
      </c>
      <c r="AI2">
        <v>0.92500000000000004</v>
      </c>
      <c r="AJ2">
        <f>+AI2*4</f>
        <v>3.7</v>
      </c>
      <c r="AK2">
        <f>AJ2-SUM(Y2:AD2,K2,O2)</f>
        <v>0.69492280716832822</v>
      </c>
    </row>
    <row r="3" spans="1:37" x14ac:dyDescent="0.25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v>0</v>
      </c>
      <c r="AH3">
        <f t="shared" ref="AH3:AH66" si="0">AF3+AG3</f>
        <v>29.2392752450607</v>
      </c>
      <c r="AI3">
        <v>0.99</v>
      </c>
      <c r="AJ3">
        <f t="shared" ref="AJ3:AJ66" si="1">+AI3*4</f>
        <v>3.96</v>
      </c>
      <c r="AK3">
        <f t="shared" ref="AK3:AK66" si="2">AJ3-SUM(Y3:AD3,K3,O3)</f>
        <v>0.83980881927683093</v>
      </c>
    </row>
    <row r="4" spans="1:37" x14ac:dyDescent="0.25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v>0</v>
      </c>
      <c r="AH4">
        <f t="shared" si="0"/>
        <v>29.505000400814001</v>
      </c>
      <c r="AI4">
        <v>1.07</v>
      </c>
      <c r="AJ4">
        <f t="shared" si="1"/>
        <v>4.28</v>
      </c>
      <c r="AK4">
        <f t="shared" si="2"/>
        <v>1.306689834983235</v>
      </c>
    </row>
    <row r="5" spans="1:37" x14ac:dyDescent="0.25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v>0</v>
      </c>
      <c r="AH5">
        <f t="shared" si="0"/>
        <v>29.691801815733999</v>
      </c>
      <c r="AI5">
        <v>1.0974999999999999</v>
      </c>
      <c r="AJ5">
        <f t="shared" si="1"/>
        <v>4.3899999999999997</v>
      </c>
      <c r="AK5">
        <f t="shared" si="2"/>
        <v>1.2736905881178711</v>
      </c>
    </row>
    <row r="6" spans="1:37" x14ac:dyDescent="0.25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v>0</v>
      </c>
      <c r="AH6">
        <f t="shared" si="0"/>
        <v>29.960849957436601</v>
      </c>
      <c r="AI6">
        <v>1.0575000000000001</v>
      </c>
      <c r="AJ6">
        <f t="shared" si="1"/>
        <v>4.2300000000000004</v>
      </c>
      <c r="AK6">
        <f t="shared" si="2"/>
        <v>0.76398896624881729</v>
      </c>
    </row>
    <row r="7" spans="1:37" x14ac:dyDescent="0.25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v>0</v>
      </c>
      <c r="AH7">
        <f t="shared" si="0"/>
        <v>29.681851017356099</v>
      </c>
      <c r="AI7">
        <v>1.1025</v>
      </c>
      <c r="AJ7">
        <f t="shared" si="1"/>
        <v>4.41</v>
      </c>
      <c r="AK7">
        <f t="shared" si="2"/>
        <v>1.2011555936592839</v>
      </c>
    </row>
    <row r="8" spans="1:37" x14ac:dyDescent="0.25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v>0</v>
      </c>
      <c r="AH8">
        <f t="shared" si="0"/>
        <v>29.306172702996999</v>
      </c>
      <c r="AI8">
        <v>1.135</v>
      </c>
      <c r="AJ8">
        <f t="shared" si="1"/>
        <v>4.54</v>
      </c>
      <c r="AK8">
        <f t="shared" si="2"/>
        <v>1.4854799272297101</v>
      </c>
    </row>
    <row r="9" spans="1:37" x14ac:dyDescent="0.25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v>0</v>
      </c>
      <c r="AH9">
        <f t="shared" si="0"/>
        <v>28.915920303183601</v>
      </c>
      <c r="AI9">
        <v>0.97250000000000003</v>
      </c>
      <c r="AJ9">
        <f t="shared" si="1"/>
        <v>3.89</v>
      </c>
      <c r="AK9">
        <f t="shared" si="2"/>
        <v>1.0930780863196383</v>
      </c>
    </row>
    <row r="10" spans="1:37" x14ac:dyDescent="0.25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v>0</v>
      </c>
      <c r="AH10">
        <f t="shared" si="0"/>
        <v>27.414581609041502</v>
      </c>
      <c r="AI10">
        <v>0.42</v>
      </c>
      <c r="AJ10">
        <f t="shared" si="1"/>
        <v>1.68</v>
      </c>
      <c r="AK10">
        <f t="shared" si="2"/>
        <v>0.20578233554254699</v>
      </c>
    </row>
    <row r="11" spans="1:37" x14ac:dyDescent="0.25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v>0</v>
      </c>
      <c r="AH11">
        <f t="shared" si="0"/>
        <v>26.800606171334099</v>
      </c>
      <c r="AI11">
        <v>0.23250000000000001</v>
      </c>
      <c r="AJ11">
        <f t="shared" si="1"/>
        <v>0.93</v>
      </c>
      <c r="AK11">
        <f t="shared" si="2"/>
        <v>-0.4895451165997845</v>
      </c>
    </row>
    <row r="12" spans="1:37" x14ac:dyDescent="0.25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v>0</v>
      </c>
      <c r="AH12">
        <f t="shared" si="0"/>
        <v>26.6989154051731</v>
      </c>
      <c r="AI12">
        <v>0.13250000000000001</v>
      </c>
      <c r="AJ12">
        <f t="shared" si="1"/>
        <v>0.53</v>
      </c>
      <c r="AK12">
        <f t="shared" si="2"/>
        <v>-1.0838622555491699</v>
      </c>
    </row>
    <row r="13" spans="1:37" x14ac:dyDescent="0.25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v>0</v>
      </c>
      <c r="AH13">
        <f t="shared" si="0"/>
        <v>26.5555433765951</v>
      </c>
      <c r="AI13">
        <v>0.1125</v>
      </c>
      <c r="AJ13">
        <f t="shared" si="1"/>
        <v>0.45</v>
      </c>
      <c r="AK13">
        <f t="shared" si="2"/>
        <v>-1.0725801886206017</v>
      </c>
    </row>
    <row r="14" spans="1:37" x14ac:dyDescent="0.25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v>0</v>
      </c>
      <c r="AH14">
        <f t="shared" si="0"/>
        <v>26.960410045289301</v>
      </c>
      <c r="AI14">
        <v>0.105</v>
      </c>
      <c r="AJ14">
        <f t="shared" si="1"/>
        <v>0.42</v>
      </c>
      <c r="AK14">
        <f t="shared" si="2"/>
        <v>-1.8169639311059926</v>
      </c>
    </row>
    <row r="15" spans="1:37" x14ac:dyDescent="0.25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v>0</v>
      </c>
      <c r="AH15">
        <f t="shared" si="0"/>
        <v>27.151006743073602</v>
      </c>
      <c r="AI15">
        <v>0.105</v>
      </c>
      <c r="AJ15">
        <f t="shared" si="1"/>
        <v>0.42</v>
      </c>
      <c r="AK15">
        <f t="shared" si="2"/>
        <v>-2.4826144092816711</v>
      </c>
    </row>
    <row r="16" spans="1:37" x14ac:dyDescent="0.25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v>0</v>
      </c>
      <c r="AH16">
        <f t="shared" si="0"/>
        <v>27.1203847216497</v>
      </c>
      <c r="AI16">
        <v>0.1525</v>
      </c>
      <c r="AJ16">
        <f t="shared" si="1"/>
        <v>0.61</v>
      </c>
      <c r="AK16">
        <f t="shared" si="2"/>
        <v>-2.206371826610765</v>
      </c>
    </row>
    <row r="17" spans="1:37" x14ac:dyDescent="0.25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v>0</v>
      </c>
      <c r="AH17">
        <f t="shared" si="0"/>
        <v>27.152483808492399</v>
      </c>
      <c r="AI17">
        <v>0.20250000000000001</v>
      </c>
      <c r="AJ17">
        <f t="shared" si="1"/>
        <v>0.81</v>
      </c>
      <c r="AK17">
        <f t="shared" si="2"/>
        <v>-1.581712935871868</v>
      </c>
    </row>
    <row r="18" spans="1:37" x14ac:dyDescent="0.25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v>0</v>
      </c>
      <c r="AH18">
        <f t="shared" si="0"/>
        <v>27.786203885795899</v>
      </c>
      <c r="AI18">
        <v>0.215</v>
      </c>
      <c r="AJ18">
        <f t="shared" si="1"/>
        <v>0.86</v>
      </c>
      <c r="AK18">
        <f t="shared" si="2"/>
        <v>-0.33294863611052194</v>
      </c>
    </row>
    <row r="19" spans="1:37" x14ac:dyDescent="0.25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v>0</v>
      </c>
      <c r="AH19">
        <f t="shared" si="0"/>
        <v>27.480477150072101</v>
      </c>
      <c r="AI19">
        <v>0.30499999999999999</v>
      </c>
      <c r="AJ19">
        <f t="shared" si="1"/>
        <v>1.22</v>
      </c>
      <c r="AK19">
        <f t="shared" si="2"/>
        <v>1.4286726418448343</v>
      </c>
    </row>
    <row r="20" spans="1:37" x14ac:dyDescent="0.25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v>0</v>
      </c>
      <c r="AH20">
        <f t="shared" si="0"/>
        <v>27.328812324935299</v>
      </c>
      <c r="AI20">
        <v>0.34499999999999997</v>
      </c>
      <c r="AJ20">
        <f t="shared" si="1"/>
        <v>1.38</v>
      </c>
      <c r="AK20">
        <f t="shared" si="2"/>
        <v>0.49567433273763672</v>
      </c>
    </row>
    <row r="21" spans="1:37" x14ac:dyDescent="0.25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v>0</v>
      </c>
      <c r="AH21">
        <f t="shared" si="0"/>
        <v>27.0125832718266</v>
      </c>
      <c r="AI21">
        <v>0.31</v>
      </c>
      <c r="AJ21">
        <f t="shared" si="1"/>
        <v>1.24</v>
      </c>
      <c r="AK21">
        <f t="shared" si="2"/>
        <v>-1.1448858791890106</v>
      </c>
    </row>
    <row r="22" spans="1:37" x14ac:dyDescent="0.25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v>0</v>
      </c>
      <c r="AH22">
        <f t="shared" si="0"/>
        <v>26.706731333767799</v>
      </c>
      <c r="AI22">
        <v>0.16250000000000001</v>
      </c>
      <c r="AJ22">
        <f t="shared" si="1"/>
        <v>0.65</v>
      </c>
      <c r="AK22">
        <f t="shared" si="2"/>
        <v>-2.5659328010443097</v>
      </c>
    </row>
    <row r="23" spans="1:37" x14ac:dyDescent="0.25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v>0</v>
      </c>
      <c r="AH23">
        <f t="shared" si="0"/>
        <v>26.117370404772299</v>
      </c>
      <c r="AI23">
        <v>9.7500000000000003E-2</v>
      </c>
      <c r="AJ23">
        <f t="shared" si="1"/>
        <v>0.39</v>
      </c>
      <c r="AK23">
        <f t="shared" si="2"/>
        <v>-2.8446048628103351</v>
      </c>
    </row>
    <row r="24" spans="1:37" x14ac:dyDescent="0.25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v>0</v>
      </c>
      <c r="AH24">
        <f t="shared" si="0"/>
        <v>25.740839218242701</v>
      </c>
      <c r="AI24">
        <v>0.04</v>
      </c>
      <c r="AJ24">
        <f t="shared" si="1"/>
        <v>0.16</v>
      </c>
      <c r="AK24">
        <f t="shared" si="2"/>
        <v>-3.3575557589926284</v>
      </c>
    </row>
    <row r="25" spans="1:37" x14ac:dyDescent="0.25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v>0</v>
      </c>
      <c r="AH25">
        <f t="shared" si="0"/>
        <v>25.104723756639501</v>
      </c>
      <c r="AI25">
        <v>2.75E-2</v>
      </c>
      <c r="AJ25">
        <f t="shared" si="1"/>
        <v>0.11</v>
      </c>
      <c r="AK25">
        <f t="shared" si="2"/>
        <v>-3.3003323403828828</v>
      </c>
    </row>
    <row r="26" spans="1:37" x14ac:dyDescent="0.25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v>0</v>
      </c>
      <c r="AH26">
        <f t="shared" si="0"/>
        <v>24.494787978478801</v>
      </c>
      <c r="AI26">
        <v>0.03</v>
      </c>
      <c r="AJ26">
        <f t="shared" si="1"/>
        <v>0.12</v>
      </c>
      <c r="AK26">
        <f t="shared" si="2"/>
        <v>-2.4099273211034551</v>
      </c>
    </row>
    <row r="27" spans="1:37" x14ac:dyDescent="0.25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v>0</v>
      </c>
      <c r="AH27">
        <f t="shared" si="0"/>
        <v>24.563825698460398</v>
      </c>
      <c r="AI27">
        <v>0.03</v>
      </c>
      <c r="AJ27">
        <f t="shared" si="1"/>
        <v>0.12</v>
      </c>
      <c r="AK27">
        <f t="shared" si="2"/>
        <v>-2.2735402275652978</v>
      </c>
    </row>
    <row r="28" spans="1:37" x14ac:dyDescent="0.25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v>0</v>
      </c>
      <c r="AH28">
        <f t="shared" si="0"/>
        <v>24.560318754054101</v>
      </c>
      <c r="AI28">
        <v>3.2500000000000001E-2</v>
      </c>
      <c r="AJ28">
        <f t="shared" si="1"/>
        <v>0.13</v>
      </c>
      <c r="AK28">
        <f t="shared" si="2"/>
        <v>-2.2181757338890291</v>
      </c>
    </row>
    <row r="29" spans="1:37" x14ac:dyDescent="0.25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v>0</v>
      </c>
      <c r="AH29">
        <f t="shared" si="0"/>
        <v>24.7729431603302</v>
      </c>
      <c r="AI29">
        <v>0.04</v>
      </c>
      <c r="AJ29">
        <f t="shared" si="1"/>
        <v>0.16</v>
      </c>
      <c r="AK29">
        <f t="shared" si="2"/>
        <v>-2.0757051871947718</v>
      </c>
    </row>
    <row r="30" spans="1:37" x14ac:dyDescent="0.25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v>0</v>
      </c>
      <c r="AH30">
        <f t="shared" si="0"/>
        <v>24.293225869660599</v>
      </c>
      <c r="AI30">
        <v>5.5E-2</v>
      </c>
      <c r="AJ30">
        <f t="shared" si="1"/>
        <v>0.22</v>
      </c>
      <c r="AK30">
        <f t="shared" si="2"/>
        <v>-1.2772520387057587</v>
      </c>
    </row>
    <row r="31" spans="1:37" x14ac:dyDescent="0.25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v>0</v>
      </c>
      <c r="AH31">
        <f t="shared" si="0"/>
        <v>24.132790640452701</v>
      </c>
      <c r="AI31">
        <v>5.5E-2</v>
      </c>
      <c r="AJ31">
        <f t="shared" si="1"/>
        <v>0.22</v>
      </c>
      <c r="AK31">
        <f t="shared" si="2"/>
        <v>-1.2097803346042564</v>
      </c>
    </row>
    <row r="32" spans="1:37" x14ac:dyDescent="0.25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v>0</v>
      </c>
      <c r="AH32">
        <f t="shared" si="0"/>
        <v>24.187117954449899</v>
      </c>
      <c r="AI32">
        <v>1.7500000000000002E-2</v>
      </c>
      <c r="AJ32">
        <f t="shared" si="1"/>
        <v>7.0000000000000007E-2</v>
      </c>
      <c r="AK32">
        <f t="shared" si="2"/>
        <v>-1.6992841924772191</v>
      </c>
    </row>
    <row r="33" spans="1:37" x14ac:dyDescent="0.25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v>0</v>
      </c>
      <c r="AH33">
        <f t="shared" si="0"/>
        <v>24.352199094933901</v>
      </c>
      <c r="AI33">
        <v>2.5000000000000001E-3</v>
      </c>
      <c r="AJ33">
        <f t="shared" si="1"/>
        <v>0.01</v>
      </c>
      <c r="AK33">
        <f t="shared" si="2"/>
        <v>-1.8658779137201105</v>
      </c>
    </row>
    <row r="34" spans="1:37" x14ac:dyDescent="0.25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v>0</v>
      </c>
      <c r="AH34">
        <f t="shared" si="0"/>
        <v>23.828970749746102</v>
      </c>
      <c r="AI34">
        <v>0</v>
      </c>
      <c r="AJ34">
        <f t="shared" si="1"/>
        <v>0</v>
      </c>
      <c r="AK34">
        <f t="shared" si="2"/>
        <v>-1.5756526346794946</v>
      </c>
    </row>
    <row r="35" spans="1:37" x14ac:dyDescent="0.25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v>0</v>
      </c>
      <c r="AH35">
        <f t="shared" si="0"/>
        <v>24.160678346323699</v>
      </c>
      <c r="AI35">
        <v>-1.2500000000000001E-2</v>
      </c>
      <c r="AJ35">
        <f t="shared" si="1"/>
        <v>-0.05</v>
      </c>
      <c r="AK35">
        <f t="shared" si="2"/>
        <v>-1.9471911437162672</v>
      </c>
    </row>
    <row r="36" spans="1:37" x14ac:dyDescent="0.25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v>0</v>
      </c>
      <c r="AH36">
        <f t="shared" si="0"/>
        <v>24.3808963745056</v>
      </c>
      <c r="AI36">
        <v>-2.2499999999999999E-2</v>
      </c>
      <c r="AJ36">
        <f t="shared" si="1"/>
        <v>-0.09</v>
      </c>
      <c r="AK36">
        <f t="shared" si="2"/>
        <v>-2.1349771303452512</v>
      </c>
    </row>
    <row r="37" spans="1:37" x14ac:dyDescent="0.25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v>0</v>
      </c>
      <c r="AH37">
        <f t="shared" si="0"/>
        <v>24.408284990831898</v>
      </c>
      <c r="AI37">
        <v>-3.7499999999999999E-2</v>
      </c>
      <c r="AJ37">
        <f t="shared" si="1"/>
        <v>-0.15</v>
      </c>
      <c r="AK37">
        <f t="shared" si="2"/>
        <v>-2.4836260520720566</v>
      </c>
    </row>
    <row r="38" spans="1:37" x14ac:dyDescent="0.25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v>0</v>
      </c>
      <c r="AH38">
        <f t="shared" si="0"/>
        <v>25.0284236438834</v>
      </c>
      <c r="AI38">
        <v>-6.5000000000000002E-2</v>
      </c>
      <c r="AJ38">
        <f t="shared" si="1"/>
        <v>-0.26</v>
      </c>
      <c r="AK38">
        <f t="shared" si="2"/>
        <v>-2.9903622309344149</v>
      </c>
    </row>
    <row r="39" spans="1:37" x14ac:dyDescent="0.25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v>0</v>
      </c>
      <c r="AH39">
        <f t="shared" si="0"/>
        <v>25.114143492639801</v>
      </c>
      <c r="AI39">
        <v>-8.7499999999999994E-2</v>
      </c>
      <c r="AJ39">
        <f t="shared" si="1"/>
        <v>-0.35</v>
      </c>
      <c r="AK39">
        <f t="shared" si="2"/>
        <v>-3.3530873115570157</v>
      </c>
    </row>
    <row r="40" spans="1:37" x14ac:dyDescent="0.25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v>0</v>
      </c>
      <c r="AH40">
        <f t="shared" si="0"/>
        <v>25.027297901426799</v>
      </c>
      <c r="AI40">
        <v>-9.2499999999999999E-2</v>
      </c>
      <c r="AJ40">
        <f t="shared" si="1"/>
        <v>-0.37</v>
      </c>
      <c r="AK40">
        <f t="shared" si="2"/>
        <v>-3.4155328536710607</v>
      </c>
    </row>
    <row r="41" spans="1:37" x14ac:dyDescent="0.25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v>0</v>
      </c>
      <c r="AH41">
        <f t="shared" si="0"/>
        <v>25.107322348956</v>
      </c>
      <c r="AI41">
        <v>-9.2499999999999999E-2</v>
      </c>
      <c r="AJ41">
        <f t="shared" si="1"/>
        <v>-0.37</v>
      </c>
      <c r="AK41">
        <f t="shared" si="2"/>
        <v>-3.767199347599715</v>
      </c>
    </row>
    <row r="42" spans="1:37" x14ac:dyDescent="0.25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v>0</v>
      </c>
      <c r="AH42">
        <f t="shared" si="0"/>
        <v>25.505081955751098</v>
      </c>
      <c r="AI42">
        <v>-9.2499999999999999E-2</v>
      </c>
      <c r="AJ42">
        <f t="shared" si="1"/>
        <v>-0.37</v>
      </c>
      <c r="AK42">
        <f t="shared" si="2"/>
        <v>-3.9481578178547898</v>
      </c>
    </row>
    <row r="43" spans="1:37" x14ac:dyDescent="0.25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v>0</v>
      </c>
      <c r="AH43">
        <f t="shared" si="0"/>
        <v>25.771235922279299</v>
      </c>
      <c r="AI43">
        <v>-9.2499999999999999E-2</v>
      </c>
      <c r="AJ43">
        <f t="shared" si="1"/>
        <v>-0.37</v>
      </c>
      <c r="AK43">
        <f t="shared" si="2"/>
        <v>-3.8688128182145958</v>
      </c>
    </row>
    <row r="44" spans="1:37" x14ac:dyDescent="0.25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v>0</v>
      </c>
      <c r="AH44">
        <f t="shared" si="0"/>
        <v>25.894767872751999</v>
      </c>
      <c r="AI44">
        <v>-9.2499999999999999E-2</v>
      </c>
      <c r="AJ44">
        <f t="shared" si="1"/>
        <v>-0.37</v>
      </c>
      <c r="AK44">
        <f t="shared" si="2"/>
        <v>-3.9986544870920167</v>
      </c>
    </row>
    <row r="45" spans="1:37" x14ac:dyDescent="0.25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v>0</v>
      </c>
      <c r="AH45">
        <f t="shared" si="0"/>
        <v>26.307091363776699</v>
      </c>
      <c r="AI45">
        <v>-9.2499999999999999E-2</v>
      </c>
      <c r="AJ45">
        <f t="shared" si="1"/>
        <v>-0.37</v>
      </c>
      <c r="AK45">
        <f t="shared" si="2"/>
        <v>-4.2825278115727894</v>
      </c>
    </row>
    <row r="46" spans="1:37" x14ac:dyDescent="0.25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v>0</v>
      </c>
      <c r="AH46">
        <f t="shared" si="0"/>
        <v>26.267357994119202</v>
      </c>
      <c r="AI46">
        <v>-9.2499999999999999E-2</v>
      </c>
      <c r="AJ46">
        <f t="shared" si="1"/>
        <v>-0.37</v>
      </c>
      <c r="AK46">
        <f t="shared" si="2"/>
        <v>-4.5861217918265575</v>
      </c>
    </row>
    <row r="47" spans="1:37" x14ac:dyDescent="0.25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v>0</v>
      </c>
      <c r="AH47">
        <f t="shared" si="0"/>
        <v>27.014666768258198</v>
      </c>
      <c r="AI47">
        <v>-9.2499999999999999E-2</v>
      </c>
      <c r="AJ47">
        <f t="shared" si="1"/>
        <v>-0.37</v>
      </c>
      <c r="AK47">
        <f t="shared" si="2"/>
        <v>-4.9560099730333489</v>
      </c>
    </row>
    <row r="48" spans="1:37" x14ac:dyDescent="0.25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v>0</v>
      </c>
      <c r="AH48">
        <f t="shared" si="0"/>
        <v>27.071849391836</v>
      </c>
      <c r="AI48">
        <v>-9.2499999999999999E-2</v>
      </c>
      <c r="AJ48">
        <f t="shared" si="1"/>
        <v>-0.37</v>
      </c>
      <c r="AK48">
        <f t="shared" si="2"/>
        <v>-4.9473041525765256</v>
      </c>
    </row>
    <row r="49" spans="1:37" x14ac:dyDescent="0.25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v>0</v>
      </c>
      <c r="AH49">
        <f t="shared" si="0"/>
        <v>27.2366222334004</v>
      </c>
      <c r="AI49">
        <v>-9.2499999999999999E-2</v>
      </c>
      <c r="AJ49">
        <f t="shared" si="1"/>
        <v>-0.37</v>
      </c>
      <c r="AK49">
        <f t="shared" si="2"/>
        <v>-5.0389535645140073</v>
      </c>
    </row>
    <row r="50" spans="1:37" x14ac:dyDescent="0.25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v>0</v>
      </c>
      <c r="AH50">
        <f t="shared" si="0"/>
        <v>27.776761762451301</v>
      </c>
      <c r="AI50">
        <v>-9.2499999999999999E-2</v>
      </c>
      <c r="AJ50">
        <f t="shared" si="1"/>
        <v>-0.37</v>
      </c>
      <c r="AK50">
        <f t="shared" si="2"/>
        <v>-4.9495962298449792</v>
      </c>
    </row>
    <row r="51" spans="1:37" x14ac:dyDescent="0.25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v>0</v>
      </c>
      <c r="AH51">
        <f t="shared" si="0"/>
        <v>27.3480697227332</v>
      </c>
      <c r="AI51">
        <v>-9.2499999999999999E-2</v>
      </c>
      <c r="AJ51">
        <f t="shared" si="1"/>
        <v>-0.37</v>
      </c>
      <c r="AK51">
        <f t="shared" si="2"/>
        <v>-5.2150269818953179</v>
      </c>
    </row>
    <row r="52" spans="1:37" x14ac:dyDescent="0.25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v>0</v>
      </c>
      <c r="AH52">
        <f t="shared" si="0"/>
        <v>27.515602352677</v>
      </c>
      <c r="AI52">
        <v>-0.105</v>
      </c>
      <c r="AJ52">
        <f t="shared" si="1"/>
        <v>-0.42</v>
      </c>
      <c r="AK52">
        <f t="shared" si="2"/>
        <v>-5.8523286830424466</v>
      </c>
    </row>
    <row r="53" spans="1:37" x14ac:dyDescent="0.25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v>0</v>
      </c>
      <c r="AH53">
        <f t="shared" si="0"/>
        <v>27.164832706933499</v>
      </c>
      <c r="AI53">
        <v>-0.1125</v>
      </c>
      <c r="AJ53">
        <f t="shared" si="1"/>
        <v>-0.45</v>
      </c>
      <c r="AK53">
        <f t="shared" si="2"/>
        <v>-5.3214934212481202</v>
      </c>
    </row>
    <row r="54" spans="1:37" x14ac:dyDescent="0.25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v>0</v>
      </c>
      <c r="AH54">
        <f t="shared" si="0"/>
        <v>25.229025695294599</v>
      </c>
      <c r="AI54">
        <v>-0.11749999999999999</v>
      </c>
      <c r="AJ54">
        <f t="shared" si="1"/>
        <v>-0.47</v>
      </c>
      <c r="AK54">
        <f t="shared" si="2"/>
        <v>-3.8244753327507102</v>
      </c>
    </row>
    <row r="55" spans="1:37" x14ac:dyDescent="0.25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v>0</v>
      </c>
      <c r="AH55">
        <f t="shared" si="0"/>
        <v>22.901934194912599</v>
      </c>
      <c r="AI55">
        <v>-0.115</v>
      </c>
      <c r="AJ55">
        <f t="shared" si="1"/>
        <v>-0.46</v>
      </c>
      <c r="AK55">
        <f t="shared" si="2"/>
        <v>-1.9526500110261846</v>
      </c>
    </row>
    <row r="56" spans="1:37" x14ac:dyDescent="0.25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v>0</v>
      </c>
      <c r="AH56">
        <f t="shared" si="0"/>
        <v>22.170858779703501</v>
      </c>
      <c r="AI56">
        <v>-0.13</v>
      </c>
      <c r="AJ56">
        <f t="shared" si="1"/>
        <v>-0.52</v>
      </c>
      <c r="AK56">
        <f t="shared" si="2"/>
        <v>-1.4023109524771282</v>
      </c>
    </row>
    <row r="57" spans="1:37" x14ac:dyDescent="0.25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v>0</v>
      </c>
      <c r="AH57">
        <f t="shared" si="0"/>
        <v>20.915508938482201</v>
      </c>
      <c r="AI57">
        <v>-0.13750000000000001</v>
      </c>
      <c r="AJ57">
        <f t="shared" si="1"/>
        <v>-0.55000000000000004</v>
      </c>
      <c r="AK57">
        <f t="shared" si="2"/>
        <v>0.91440310470966035</v>
      </c>
    </row>
    <row r="58" spans="1:37" x14ac:dyDescent="0.25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v>0</v>
      </c>
      <c r="AH58">
        <f t="shared" si="0"/>
        <v>21.042861540181502</v>
      </c>
      <c r="AI58">
        <v>-0.13750000000000001</v>
      </c>
      <c r="AJ58">
        <f t="shared" si="1"/>
        <v>-0.55000000000000004</v>
      </c>
      <c r="AK58">
        <f t="shared" si="2"/>
        <v>1.9378411422975674</v>
      </c>
    </row>
    <row r="59" spans="1:37" x14ac:dyDescent="0.25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v>0</v>
      </c>
      <c r="AH59">
        <f t="shared" si="0"/>
        <v>23.9994411695886</v>
      </c>
      <c r="AI59">
        <v>-0.14000000000000001</v>
      </c>
      <c r="AJ59">
        <f t="shared" si="1"/>
        <v>-0.56000000000000005</v>
      </c>
      <c r="AK59">
        <f t="shared" si="2"/>
        <v>-0.51923184497947394</v>
      </c>
    </row>
    <row r="60" spans="1:37" x14ac:dyDescent="0.25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v>0</v>
      </c>
      <c r="AH60">
        <f t="shared" si="0"/>
        <v>25.2649779976833</v>
      </c>
      <c r="AI60">
        <v>-0.14000000000000001</v>
      </c>
      <c r="AJ60">
        <f t="shared" si="1"/>
        <v>-0.56000000000000005</v>
      </c>
      <c r="AK60">
        <f t="shared" si="2"/>
        <v>-2.8556218925094119</v>
      </c>
    </row>
    <row r="61" spans="1:37" x14ac:dyDescent="0.25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v>0</v>
      </c>
      <c r="AH61">
        <f t="shared" si="0"/>
        <v>25.818946442200001</v>
      </c>
      <c r="AI61">
        <v>-0.14499999999999999</v>
      </c>
      <c r="AJ61">
        <f t="shared" si="1"/>
        <v>-0.57999999999999996</v>
      </c>
      <c r="AK61">
        <f t="shared" si="2"/>
        <v>-3.0308299084554653</v>
      </c>
    </row>
    <row r="62" spans="1:37" x14ac:dyDescent="0.25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v>0</v>
      </c>
      <c r="AH62">
        <f t="shared" si="0"/>
        <v>26.594890670939801</v>
      </c>
      <c r="AI62">
        <v>-0.13750000000000001</v>
      </c>
      <c r="AJ62">
        <f t="shared" si="1"/>
        <v>-0.55000000000000004</v>
      </c>
      <c r="AK62">
        <f t="shared" si="2"/>
        <v>-3.5396111021932661</v>
      </c>
    </row>
    <row r="63" spans="1:37" x14ac:dyDescent="0.25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v>0</v>
      </c>
      <c r="AH63">
        <f t="shared" si="0"/>
        <v>26.778154532879402</v>
      </c>
      <c r="AI63">
        <v>-0.13500000000000001</v>
      </c>
      <c r="AJ63">
        <f t="shared" si="1"/>
        <v>-0.54</v>
      </c>
      <c r="AK63">
        <f t="shared" si="2"/>
        <v>-3.6739915909746768</v>
      </c>
    </row>
    <row r="64" spans="1:37" x14ac:dyDescent="0.25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v>0</v>
      </c>
      <c r="AH64">
        <f t="shared" si="0"/>
        <v>26.904023298511799</v>
      </c>
      <c r="AI64">
        <v>2.2499999999999999E-2</v>
      </c>
      <c r="AJ64">
        <f t="shared" si="1"/>
        <v>0.09</v>
      </c>
      <c r="AK64">
        <f t="shared" si="2"/>
        <v>-3.4163807842410838</v>
      </c>
    </row>
    <row r="65" spans="1:37" x14ac:dyDescent="0.25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v>0</v>
      </c>
      <c r="AH65">
        <f t="shared" si="0"/>
        <v>27.174624011656</v>
      </c>
      <c r="AI65">
        <v>0.33750000000000002</v>
      </c>
      <c r="AJ65">
        <f t="shared" si="1"/>
        <v>1.35</v>
      </c>
      <c r="AK65">
        <f t="shared" si="2"/>
        <v>-1.2915043544567544</v>
      </c>
    </row>
    <row r="66" spans="1:37" x14ac:dyDescent="0.25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v>0</v>
      </c>
      <c r="AH66">
        <f t="shared" si="0"/>
        <v>27.824628349270402</v>
      </c>
      <c r="AI66">
        <v>0.58750000000000002</v>
      </c>
      <c r="AJ66">
        <f t="shared" si="1"/>
        <v>2.35</v>
      </c>
      <c r="AK66">
        <f t="shared" si="2"/>
        <v>0.42276880751680412</v>
      </c>
    </row>
    <row r="67" spans="1:37" x14ac:dyDescent="0.25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v>0</v>
      </c>
      <c r="AH67">
        <f t="shared" ref="AH67:AH130" si="3">AF67+AG67</f>
        <v>27.790329386580702</v>
      </c>
      <c r="AI67">
        <v>0.78749999999999998</v>
      </c>
      <c r="AJ67">
        <f t="shared" ref="AJ67:AJ130" si="4">+AI67*4</f>
        <v>3.15</v>
      </c>
      <c r="AK67">
        <f t="shared" ref="AK67:AK130" si="5">AJ67-SUM(Y67:AD67,K67,O67)</f>
        <v>1.3867053807581029</v>
      </c>
    </row>
    <row r="68" spans="1:37" x14ac:dyDescent="0.25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v>0</v>
      </c>
      <c r="AH68">
        <f t="shared" si="3"/>
        <v>28.0392910930399</v>
      </c>
      <c r="AI68">
        <v>0.90500000000000003</v>
      </c>
      <c r="AJ68">
        <f t="shared" si="4"/>
        <v>3.62</v>
      </c>
      <c r="AK68">
        <f t="shared" si="5"/>
        <v>2.0352891467458019</v>
      </c>
    </row>
    <row r="69" spans="1:37" x14ac:dyDescent="0.25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v>0</v>
      </c>
      <c r="AH69">
        <f t="shared" si="3"/>
        <v>28.026736191485799</v>
      </c>
      <c r="AI69">
        <v>0.96250000000000002</v>
      </c>
      <c r="AJ69">
        <f t="shared" si="4"/>
        <v>3.85</v>
      </c>
      <c r="AK69">
        <f t="shared" si="5"/>
        <v>2.9431323439170294</v>
      </c>
    </row>
    <row r="70" spans="1:37" x14ac:dyDescent="0.25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v>0</v>
      </c>
      <c r="AH70">
        <f t="shared" si="3"/>
        <v>28.169871821563401</v>
      </c>
      <c r="AI70">
        <v>0.96499999999999997</v>
      </c>
      <c r="AJ70">
        <f t="shared" si="4"/>
        <v>3.86</v>
      </c>
      <c r="AK70">
        <f t="shared" si="5"/>
        <v>2.5530976219444357</v>
      </c>
    </row>
    <row r="71" spans="1:37" x14ac:dyDescent="0.25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v>0</v>
      </c>
      <c r="AH71">
        <f t="shared" si="3"/>
        <v>28.046378902033101</v>
      </c>
      <c r="AI71">
        <v>0.9425</v>
      </c>
      <c r="AJ71">
        <f t="shared" si="4"/>
        <v>3.77</v>
      </c>
      <c r="AK71">
        <f t="shared" si="5"/>
        <v>2.7312848648580434</v>
      </c>
    </row>
    <row r="72" spans="1:37" x14ac:dyDescent="0.25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v>0</v>
      </c>
      <c r="AH72">
        <f t="shared" si="3"/>
        <v>27.819650292195099</v>
      </c>
      <c r="AI72">
        <v>0.88749999999999996</v>
      </c>
      <c r="AJ72">
        <f t="shared" si="4"/>
        <v>3.55</v>
      </c>
      <c r="AK72">
        <f t="shared" si="5"/>
        <v>2.4831245668343618</v>
      </c>
    </row>
    <row r="73" spans="1:37" x14ac:dyDescent="0.25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v>0</v>
      </c>
      <c r="AH73">
        <f t="shared" si="3"/>
        <v>27.613052069756101</v>
      </c>
      <c r="AI73">
        <v>1.1625000000000001</v>
      </c>
      <c r="AJ73">
        <f t="shared" si="4"/>
        <v>4.6500000000000004</v>
      </c>
      <c r="AK73">
        <f t="shared" si="5"/>
        <v>3.5338383518379506</v>
      </c>
    </row>
    <row r="74" spans="1:37" x14ac:dyDescent="0.25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v>0</v>
      </c>
      <c r="AH74">
        <f t="shared" si="3"/>
        <v>27.385139960133099</v>
      </c>
      <c r="AI74">
        <v>1.0825</v>
      </c>
      <c r="AJ74">
        <f t="shared" si="4"/>
        <v>4.33</v>
      </c>
      <c r="AK74">
        <f t="shared" si="5"/>
        <v>3.1921437664864349</v>
      </c>
    </row>
    <row r="75" spans="1:37" x14ac:dyDescent="0.25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v>0</v>
      </c>
      <c r="AH75">
        <f t="shared" si="3"/>
        <v>27.139262502741801</v>
      </c>
      <c r="AI75">
        <v>1.0825</v>
      </c>
      <c r="AJ75">
        <f t="shared" si="4"/>
        <v>4.33</v>
      </c>
      <c r="AK75">
        <f t="shared" si="5"/>
        <v>3.1976714803885016</v>
      </c>
    </row>
    <row r="76" spans="1:37" x14ac:dyDescent="0.25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v>0</v>
      </c>
      <c r="AH76">
        <f t="shared" si="3"/>
        <v>26.886311996313498</v>
      </c>
      <c r="AJ76">
        <f t="shared" si="4"/>
        <v>0</v>
      </c>
      <c r="AK76">
        <f t="shared" si="5"/>
        <v>-1.1092504447288802</v>
      </c>
    </row>
    <row r="77" spans="1:37" x14ac:dyDescent="0.25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v>0</v>
      </c>
      <c r="AH77">
        <f t="shared" si="3"/>
        <v>26.635046202294799</v>
      </c>
      <c r="AJ77">
        <f t="shared" si="4"/>
        <v>0</v>
      </c>
      <c r="AK77">
        <f t="shared" si="5"/>
        <v>-1.0769500299265058</v>
      </c>
    </row>
    <row r="78" spans="1:37" x14ac:dyDescent="0.25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v>0</v>
      </c>
      <c r="AH78">
        <f t="shared" si="3"/>
        <v>26.3913497628246</v>
      </c>
      <c r="AJ78">
        <f t="shared" si="4"/>
        <v>0</v>
      </c>
      <c r="AK78">
        <f t="shared" si="5"/>
        <v>-1.0412776998828663</v>
      </c>
    </row>
    <row r="79" spans="1:37" x14ac:dyDescent="0.25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v>0</v>
      </c>
      <c r="AH79">
        <f t="shared" si="3"/>
        <v>26.158367895662199</v>
      </c>
      <c r="AJ79">
        <f t="shared" si="4"/>
        <v>0</v>
      </c>
      <c r="AK79">
        <f t="shared" si="5"/>
        <v>-1.0055646976359165</v>
      </c>
    </row>
    <row r="80" spans="1:37" x14ac:dyDescent="0.25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v>0</v>
      </c>
      <c r="AH80">
        <f t="shared" si="3"/>
        <v>25.936887719200602</v>
      </c>
      <c r="AJ80">
        <f t="shared" si="4"/>
        <v>0</v>
      </c>
      <c r="AK80">
        <f t="shared" si="5"/>
        <v>-0.97091859125047142</v>
      </c>
    </row>
    <row r="81" spans="1:37" x14ac:dyDescent="0.2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v>0</v>
      </c>
      <c r="AH81">
        <f t="shared" si="3"/>
        <v>25.726767185100201</v>
      </c>
      <c r="AJ81">
        <f t="shared" si="4"/>
        <v>0</v>
      </c>
      <c r="AK81">
        <f t="shared" si="5"/>
        <v>-0.93760539937826248</v>
      </c>
    </row>
    <row r="82" spans="1:37" x14ac:dyDescent="0.2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v>0</v>
      </c>
      <c r="AH82">
        <f t="shared" si="3"/>
        <v>25.5275407666721</v>
      </c>
      <c r="AJ82">
        <f t="shared" si="4"/>
        <v>0</v>
      </c>
      <c r="AK82">
        <f t="shared" si="5"/>
        <v>-0.9056268110770711</v>
      </c>
    </row>
    <row r="83" spans="1:37" x14ac:dyDescent="0.2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v>0</v>
      </c>
      <c r="AH83">
        <f t="shared" si="3"/>
        <v>25.338630006461301</v>
      </c>
      <c r="AJ83">
        <f t="shared" si="4"/>
        <v>0</v>
      </c>
      <c r="AK83">
        <f t="shared" si="5"/>
        <v>-0.87491158942371428</v>
      </c>
    </row>
    <row r="84" spans="1:37" x14ac:dyDescent="0.2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v>0</v>
      </c>
      <c r="AH84">
        <f t="shared" si="3"/>
        <v>25.159415993434202</v>
      </c>
      <c r="AJ84">
        <f t="shared" si="4"/>
        <v>0</v>
      </c>
      <c r="AK84">
        <f t="shared" si="5"/>
        <v>-0.84537405131155186</v>
      </c>
    </row>
    <row r="85" spans="1:37" x14ac:dyDescent="0.2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v>0</v>
      </c>
      <c r="AH85">
        <f t="shared" si="3"/>
        <v>24.989267201506799</v>
      </c>
      <c r="AJ85">
        <f t="shared" si="4"/>
        <v>0</v>
      </c>
      <c r="AK85">
        <f t="shared" si="5"/>
        <v>-0.81693100914512862</v>
      </c>
    </row>
    <row r="86" spans="1:37" x14ac:dyDescent="0.2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v>0</v>
      </c>
      <c r="AH86">
        <f t="shared" si="3"/>
        <v>24.827552787313099</v>
      </c>
      <c r="AJ86">
        <f t="shared" si="4"/>
        <v>0</v>
      </c>
      <c r="AK86">
        <f t="shared" si="5"/>
        <v>-0.78950622185678632</v>
      </c>
    </row>
    <row r="87" spans="1:37" x14ac:dyDescent="0.2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v>0</v>
      </c>
      <c r="AH87">
        <f t="shared" si="3"/>
        <v>24.673650714957599</v>
      </c>
      <c r="AJ87">
        <f t="shared" si="4"/>
        <v>0</v>
      </c>
      <c r="AK87">
        <f t="shared" si="5"/>
        <v>-0.7630311602227946</v>
      </c>
    </row>
    <row r="88" spans="1:37" x14ac:dyDescent="0.2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v>0</v>
      </c>
      <c r="AH88">
        <f t="shared" si="3"/>
        <v>24.5269536424303</v>
      </c>
      <c r="AJ88">
        <f t="shared" si="4"/>
        <v>0</v>
      </c>
      <c r="AK88">
        <f t="shared" si="5"/>
        <v>-0.73744470581376564</v>
      </c>
    </row>
    <row r="89" spans="1:37" x14ac:dyDescent="0.2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v>0</v>
      </c>
      <c r="AH89">
        <f t="shared" si="3"/>
        <v>24.386873532164401</v>
      </c>
      <c r="AJ89">
        <f t="shared" si="4"/>
        <v>0</v>
      </c>
      <c r="AK89">
        <f t="shared" si="5"/>
        <v>-0.71269255885747396</v>
      </c>
    </row>
    <row r="90" spans="1:37" x14ac:dyDescent="0.2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v>0</v>
      </c>
      <c r="AH90">
        <f t="shared" si="3"/>
        <v>24.2528453370162</v>
      </c>
      <c r="AJ90">
        <f t="shared" si="4"/>
        <v>0</v>
      </c>
      <c r="AK90">
        <f t="shared" si="5"/>
        <v>-0.68872658584713697</v>
      </c>
    </row>
    <row r="91" spans="1:37" x14ac:dyDescent="0.2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v>0</v>
      </c>
      <c r="AH91">
        <f t="shared" si="3"/>
        <v>24.124329917904902</v>
      </c>
      <c r="AJ91">
        <f t="shared" si="4"/>
        <v>0</v>
      </c>
      <c r="AK91">
        <f t="shared" si="5"/>
        <v>-0.6655041771171204</v>
      </c>
    </row>
    <row r="92" spans="1:37" x14ac:dyDescent="0.2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v>0</v>
      </c>
      <c r="AH92">
        <f t="shared" si="3"/>
        <v>24.0008162842411</v>
      </c>
      <c r="AJ92">
        <f t="shared" si="4"/>
        <v>0</v>
      </c>
      <c r="AK92">
        <f t="shared" si="5"/>
        <v>-0.64298763675452242</v>
      </c>
    </row>
    <row r="93" spans="1:37" x14ac:dyDescent="0.2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v>0</v>
      </c>
      <c r="AH93">
        <f t="shared" si="3"/>
        <v>23.8818232253183</v>
      </c>
      <c r="AJ93">
        <f t="shared" si="4"/>
        <v>0</v>
      </c>
      <c r="AK93">
        <f t="shared" si="5"/>
        <v>-0.62114361247576289</v>
      </c>
    </row>
    <row r="94" spans="1:37" x14ac:dyDescent="0.2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v>0</v>
      </c>
      <c r="AH94">
        <f t="shared" si="3"/>
        <v>23.766900392259899</v>
      </c>
      <c r="AJ94">
        <f t="shared" si="4"/>
        <v>0</v>
      </c>
      <c r="AK94">
        <f t="shared" si="5"/>
        <v>-0.59994256813634061</v>
      </c>
    </row>
    <row r="95" spans="1:37" x14ac:dyDescent="0.2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v>0</v>
      </c>
      <c r="AH95">
        <f t="shared" si="3"/>
        <v>23.655628886637899</v>
      </c>
      <c r="AJ95">
        <f t="shared" si="4"/>
        <v>0</v>
      </c>
      <c r="AK95">
        <f t="shared" si="5"/>
        <v>-0.57935829954875218</v>
      </c>
    </row>
    <row r="96" spans="1:37" x14ac:dyDescent="0.2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v>0</v>
      </c>
      <c r="AH96">
        <f t="shared" si="3"/>
        <v>23.547621410125</v>
      </c>
      <c r="AJ96">
        <f t="shared" si="4"/>
        <v>0</v>
      </c>
      <c r="AK96">
        <f t="shared" si="5"/>
        <v>-0.55936749324752444</v>
      </c>
    </row>
    <row r="97" spans="1:37" x14ac:dyDescent="0.2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v>0</v>
      </c>
      <c r="AH97">
        <f t="shared" si="3"/>
        <v>23.442522028212501</v>
      </c>
      <c r="AJ97">
        <f t="shared" si="4"/>
        <v>0</v>
      </c>
      <c r="AK97">
        <f t="shared" si="5"/>
        <v>-0.53994932717209532</v>
      </c>
    </row>
    <row r="98" spans="1:37" x14ac:dyDescent="0.2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v>0</v>
      </c>
      <c r="AH98">
        <f t="shared" si="3"/>
        <v>23.340005599546799</v>
      </c>
      <c r="AJ98">
        <f t="shared" si="4"/>
        <v>0</v>
      </c>
      <c r="AK98">
        <f t="shared" si="5"/>
        <v>-0.52108511175519012</v>
      </c>
    </row>
    <row r="99" spans="1:37" x14ac:dyDescent="0.2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v>0</v>
      </c>
      <c r="AH99">
        <f t="shared" si="3"/>
        <v>23.239776920606399</v>
      </c>
      <c r="AJ99">
        <f t="shared" si="4"/>
        <v>0</v>
      </c>
      <c r="AK99">
        <f t="shared" si="5"/>
        <v>-0.50275796954545138</v>
      </c>
    </row>
    <row r="100" spans="1:37" x14ac:dyDescent="0.2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v>0</v>
      </c>
      <c r="AH100">
        <f t="shared" si="3"/>
        <v>23.1415696331809</v>
      </c>
      <c r="AJ100">
        <f t="shared" si="4"/>
        <v>0</v>
      </c>
      <c r="AK100">
        <f t="shared" si="5"/>
        <v>-0.48495255123038367</v>
      </c>
    </row>
    <row r="101" spans="1:37" x14ac:dyDescent="0.2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v>0</v>
      </c>
      <c r="AH101">
        <f t="shared" si="3"/>
        <v>23.045144939452999</v>
      </c>
      <c r="AJ101">
        <f t="shared" si="4"/>
        <v>0</v>
      </c>
      <c r="AK101">
        <f t="shared" si="5"/>
        <v>-0.46765478574424069</v>
      </c>
    </row>
    <row r="102" spans="1:37" x14ac:dyDescent="0.2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v>0</v>
      </c>
      <c r="AH102">
        <f t="shared" si="3"/>
        <v>22.9502901664757</v>
      </c>
      <c r="AJ102">
        <f t="shared" si="4"/>
        <v>0</v>
      </c>
      <c r="AK102">
        <f t="shared" si="5"/>
        <v>-0.45085166203332205</v>
      </c>
    </row>
    <row r="103" spans="1:37" x14ac:dyDescent="0.2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v>0</v>
      </c>
      <c r="AH103">
        <f t="shared" si="3"/>
        <v>22.856817218559399</v>
      </c>
      <c r="AJ103">
        <f t="shared" si="4"/>
        <v>0</v>
      </c>
      <c r="AK103">
        <f t="shared" si="5"/>
        <v>-0.43453103999595166</v>
      </c>
    </row>
    <row r="104" spans="1:37" x14ac:dyDescent="0.2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v>0</v>
      </c>
      <c r="AH104">
        <f t="shared" si="3"/>
        <v>22.764560952627601</v>
      </c>
      <c r="AJ104">
        <f t="shared" si="4"/>
        <v>0</v>
      </c>
      <c r="AK104">
        <f t="shared" si="5"/>
        <v>-0.41868148810942063</v>
      </c>
    </row>
    <row r="105" spans="1:37" x14ac:dyDescent="0.2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v>0</v>
      </c>
      <c r="AH105">
        <f t="shared" si="3"/>
        <v>22.673377508035799</v>
      </c>
      <c r="AJ105">
        <f t="shared" si="4"/>
        <v>0</v>
      </c>
      <c r="AK105">
        <f t="shared" si="5"/>
        <v>-0.40329214528955626</v>
      </c>
    </row>
    <row r="106" spans="1:37" x14ac:dyDescent="0.2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v>0</v>
      </c>
      <c r="AH106">
        <f t="shared" si="3"/>
        <v>22.5831426187669</v>
      </c>
      <c r="AJ106">
        <f t="shared" si="4"/>
        <v>0</v>
      </c>
      <c r="AK106">
        <f t="shared" si="5"/>
        <v>-0.38835260459605808</v>
      </c>
    </row>
    <row r="107" spans="1:37" x14ac:dyDescent="0.2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v>0</v>
      </c>
      <c r="AH107">
        <f t="shared" si="3"/>
        <v>22.493749932372701</v>
      </c>
      <c r="AJ107">
        <f t="shared" si="4"/>
        <v>0</v>
      </c>
      <c r="AK107">
        <f t="shared" si="5"/>
        <v>-0.37385281648780461</v>
      </c>
    </row>
    <row r="108" spans="1:37" x14ac:dyDescent="0.2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v>0</v>
      </c>
      <c r="AH108">
        <f t="shared" si="3"/>
        <v>22.405109356594799</v>
      </c>
      <c r="AJ108">
        <f t="shared" si="4"/>
        <v>0</v>
      </c>
      <c r="AK108">
        <f t="shared" si="5"/>
        <v>-0.35978300944485386</v>
      </c>
    </row>
    <row r="109" spans="1:37" x14ac:dyDescent="0.2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v>0</v>
      </c>
      <c r="AH109">
        <f t="shared" si="3"/>
        <v>22.317145451299901</v>
      </c>
      <c r="AJ109">
        <f t="shared" si="4"/>
        <v>0</v>
      </c>
      <c r="AK109">
        <f t="shared" si="5"/>
        <v>-0.34613362589900387</v>
      </c>
    </row>
    <row r="110" spans="1:37" x14ac:dyDescent="0.2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v>0</v>
      </c>
      <c r="AH110">
        <f t="shared" si="3"/>
        <v>22.229795880264898</v>
      </c>
      <c r="AJ110">
        <f t="shared" si="4"/>
        <v>0</v>
      </c>
      <c r="AK110">
        <f t="shared" si="5"/>
        <v>-0.3328952715503985</v>
      </c>
    </row>
    <row r="111" spans="1:37" x14ac:dyDescent="0.2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v>0</v>
      </c>
      <c r="AH111">
        <f t="shared" si="3"/>
        <v>22.143009934446301</v>
      </c>
      <c r="AJ111">
        <f t="shared" si="4"/>
        <v>0</v>
      </c>
      <c r="AK111">
        <f t="shared" si="5"/>
        <v>-0.32005867628894785</v>
      </c>
    </row>
    <row r="112" spans="1:37" x14ac:dyDescent="0.2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v>0</v>
      </c>
      <c r="AH112">
        <f t="shared" si="3"/>
        <v>22.0567471357122</v>
      </c>
      <c r="AJ112">
        <f t="shared" si="4"/>
        <v>0</v>
      </c>
      <c r="AK112">
        <f t="shared" si="5"/>
        <v>-0.30761466508290436</v>
      </c>
    </row>
    <row r="113" spans="1:37" x14ac:dyDescent="0.2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v>0</v>
      </c>
      <c r="AH113">
        <f t="shared" si="3"/>
        <v>21.9709759275935</v>
      </c>
      <c r="AJ113">
        <f t="shared" si="4"/>
        <v>0</v>
      </c>
      <c r="AK113">
        <f t="shared" si="5"/>
        <v>-0.29555413734059655</v>
      </c>
    </row>
    <row r="114" spans="1:37" x14ac:dyDescent="0.2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v>0</v>
      </c>
      <c r="AH114">
        <f t="shared" si="3"/>
        <v>21.8856724574438</v>
      </c>
      <c r="AJ114">
        <f t="shared" si="4"/>
        <v>0</v>
      </c>
      <c r="AK114">
        <f t="shared" si="5"/>
        <v>-0.28386805339220905</v>
      </c>
    </row>
    <row r="115" spans="1:37" x14ac:dyDescent="0.2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v>0</v>
      </c>
      <c r="AH115">
        <f t="shared" si="3"/>
        <v>21.800819452476802</v>
      </c>
      <c r="AJ115">
        <f t="shared" si="4"/>
        <v>0</v>
      </c>
      <c r="AK115">
        <f t="shared" si="5"/>
        <v>-0.27254742687541678</v>
      </c>
    </row>
    <row r="116" spans="1:37" x14ac:dyDescent="0.2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v>0</v>
      </c>
      <c r="AH116">
        <f t="shared" si="3"/>
        <v>21.716405190471399</v>
      </c>
      <c r="AJ116">
        <f t="shared" si="4"/>
        <v>0</v>
      </c>
      <c r="AK116">
        <f t="shared" si="5"/>
        <v>-0.26158332193973804</v>
      </c>
    </row>
    <row r="117" spans="1:37" x14ac:dyDescent="0.2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v>0</v>
      </c>
      <c r="AH117">
        <f t="shared" si="3"/>
        <v>21.632422564495599</v>
      </c>
      <c r="AJ117">
        <f t="shared" si="4"/>
        <v>0</v>
      </c>
      <c r="AK117">
        <f t="shared" si="5"/>
        <v>-0.25096685430918469</v>
      </c>
    </row>
    <row r="118" spans="1:37" x14ac:dyDescent="0.2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v>0</v>
      </c>
      <c r="AH118">
        <f t="shared" si="3"/>
        <v>21.548868239775299</v>
      </c>
      <c r="AJ118">
        <f t="shared" si="4"/>
        <v>0</v>
      </c>
      <c r="AK118">
        <f t="shared" si="5"/>
        <v>-0.24068919535933717</v>
      </c>
    </row>
    <row r="119" spans="1:37" x14ac:dyDescent="0.2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v>0</v>
      </c>
      <c r="AH119">
        <f t="shared" si="3"/>
        <v>21.465741899830299</v>
      </c>
      <c r="AJ119">
        <f t="shared" si="4"/>
        <v>0</v>
      </c>
      <c r="AK119">
        <f t="shared" si="5"/>
        <v>-0.23074157847469973</v>
      </c>
    </row>
    <row r="120" spans="1:37" x14ac:dyDescent="0.2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v>0</v>
      </c>
      <c r="AH120">
        <f t="shared" si="3"/>
        <v>21.383045578176301</v>
      </c>
      <c r="AJ120">
        <f t="shared" si="4"/>
        <v>0</v>
      </c>
      <c r="AK120">
        <f t="shared" si="5"/>
        <v>-0.22111530705232127</v>
      </c>
    </row>
    <row r="121" spans="1:37" x14ac:dyDescent="0.2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v>0</v>
      </c>
      <c r="AH121">
        <f t="shared" si="3"/>
        <v>21.300783071257701</v>
      </c>
      <c r="AJ121">
        <f t="shared" si="4"/>
        <v>0</v>
      </c>
      <c r="AK121">
        <f t="shared" si="5"/>
        <v>-0.21180176361062519</v>
      </c>
    </row>
    <row r="122" spans="1:37" x14ac:dyDescent="0.2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v>0</v>
      </c>
      <c r="AH122">
        <f t="shared" si="3"/>
        <v>21.218959427793401</v>
      </c>
      <c r="AJ122">
        <f t="shared" si="4"/>
        <v>0</v>
      </c>
      <c r="AK122">
        <f t="shared" si="5"/>
        <v>-0.20279241954654276</v>
      </c>
    </row>
    <row r="123" spans="1:37" x14ac:dyDescent="0.2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v>0</v>
      </c>
      <c r="AH123">
        <f t="shared" si="3"/>
        <v>21.137580509384399</v>
      </c>
      <c r="AJ123">
        <f t="shared" si="4"/>
        <v>0</v>
      </c>
      <c r="AK123">
        <f t="shared" si="5"/>
        <v>-0.19407884515967877</v>
      </c>
    </row>
    <row r="124" spans="1:37" x14ac:dyDescent="0.2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v>0</v>
      </c>
      <c r="AH124">
        <f t="shared" si="3"/>
        <v>21.056652617022198</v>
      </c>
      <c r="AJ124">
        <f t="shared" si="4"/>
        <v>0</v>
      </c>
      <c r="AK124">
        <f t="shared" si="5"/>
        <v>-0.18565271963107877</v>
      </c>
    </row>
    <row r="125" spans="1:37" x14ac:dyDescent="0.2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v>0</v>
      </c>
      <c r="AH125">
        <f t="shared" si="3"/>
        <v>20.976182178040499</v>
      </c>
      <c r="AJ125">
        <f t="shared" si="4"/>
        <v>0</v>
      </c>
      <c r="AK125">
        <f t="shared" si="5"/>
        <v>-0.17750584070428013</v>
      </c>
    </row>
    <row r="126" spans="1:37" x14ac:dyDescent="0.2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v>0</v>
      </c>
      <c r="AH126">
        <f t="shared" si="3"/>
        <v>20.896175488046602</v>
      </c>
      <c r="AJ126">
        <f t="shared" si="4"/>
        <v>0</v>
      </c>
      <c r="AK126">
        <f t="shared" si="5"/>
        <v>-0.16963013387034262</v>
      </c>
    </row>
    <row r="127" spans="1:37" x14ac:dyDescent="0.2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v>0</v>
      </c>
      <c r="AH127">
        <f t="shared" si="3"/>
        <v>20.8166385024523</v>
      </c>
      <c r="AJ127">
        <f t="shared" si="4"/>
        <v>0</v>
      </c>
      <c r="AK127">
        <f t="shared" si="5"/>
        <v>-0.16201766090526626</v>
      </c>
    </row>
    <row r="128" spans="1:37" x14ac:dyDescent="0.2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v>0</v>
      </c>
      <c r="AH128">
        <f t="shared" si="3"/>
        <v>20.7375766723613</v>
      </c>
      <c r="AJ128">
        <f t="shared" si="4"/>
        <v>0</v>
      </c>
      <c r="AK128">
        <f t="shared" si="5"/>
        <v>-0.15466062764875654</v>
      </c>
    </row>
    <row r="129" spans="1:37" x14ac:dyDescent="0.25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v>0</v>
      </c>
      <c r="AH129">
        <f t="shared" si="3"/>
        <v>20.658994819775099</v>
      </c>
      <c r="AJ129">
        <f t="shared" si="4"/>
        <v>0</v>
      </c>
      <c r="AK129">
        <f t="shared" si="5"/>
        <v>-0.14755139094881328</v>
      </c>
    </row>
    <row r="130" spans="1:37" x14ac:dyDescent="0.25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v>0</v>
      </c>
      <c r="AH130">
        <f t="shared" si="3"/>
        <v>20.5808970473167</v>
      </c>
      <c r="AJ130">
        <f t="shared" si="4"/>
        <v>0</v>
      </c>
      <c r="AK130">
        <f t="shared" si="5"/>
        <v>-0.14068246472585408</v>
      </c>
    </row>
    <row r="131" spans="1:37" x14ac:dyDescent="0.25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v>0</v>
      </c>
      <c r="AH131">
        <f t="shared" ref="AH131:AH132" si="6">AF131+AG131</f>
        <v>20.5032866779489</v>
      </c>
      <c r="AJ131">
        <f t="shared" ref="AJ131:AJ132" si="7">+AI131*4</f>
        <v>0</v>
      </c>
      <c r="AK131">
        <f t="shared" ref="AK131:AK132" si="8">AJ131-SUM(Y131:AD131,K131,O131)</f>
        <v>-0.13404652513529314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dimension ref="A1:AK132"/>
  <sheetViews>
    <sheetView topLeftCell="I1" workbookViewId="0">
      <selection activeCell="BA30" sqref="BA30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dimension ref="A1:AF131"/>
  <sheetViews>
    <sheetView zoomScale="55" zoomScaleNormal="55" workbookViewId="0">
      <selection sqref="A1:AF131"/>
    </sheetView>
  </sheetViews>
  <sheetFormatPr defaultRowHeight="15" x14ac:dyDescent="0.25"/>
  <sheetData>
    <row r="1" spans="1:32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dimension ref="A1:BV132"/>
  <sheetViews>
    <sheetView topLeftCell="AI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 x14ac:dyDescent="0.25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 x14ac:dyDescent="0.25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 x14ac:dyDescent="0.25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 x14ac:dyDescent="0.25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 x14ac:dyDescent="0.25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 x14ac:dyDescent="0.25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 x14ac:dyDescent="0.25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 x14ac:dyDescent="0.25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 x14ac:dyDescent="0.25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 x14ac:dyDescent="0.25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 x14ac:dyDescent="0.25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 x14ac:dyDescent="0.25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 x14ac:dyDescent="0.25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 x14ac:dyDescent="0.2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 x14ac:dyDescent="0.2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 x14ac:dyDescent="0.2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 x14ac:dyDescent="0.2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 x14ac:dyDescent="0.2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 x14ac:dyDescent="0.2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 x14ac:dyDescent="0.2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 x14ac:dyDescent="0.2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 x14ac:dyDescent="0.2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 x14ac:dyDescent="0.2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 x14ac:dyDescent="0.2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 x14ac:dyDescent="0.2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 x14ac:dyDescent="0.2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 x14ac:dyDescent="0.2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 x14ac:dyDescent="0.2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 x14ac:dyDescent="0.2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 x14ac:dyDescent="0.2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 x14ac:dyDescent="0.2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 x14ac:dyDescent="0.2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 x14ac:dyDescent="0.2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 x14ac:dyDescent="0.2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 x14ac:dyDescent="0.2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 x14ac:dyDescent="0.2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 x14ac:dyDescent="0.2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 x14ac:dyDescent="0.2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 x14ac:dyDescent="0.2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 x14ac:dyDescent="0.2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 x14ac:dyDescent="0.2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 x14ac:dyDescent="0.2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 x14ac:dyDescent="0.2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 x14ac:dyDescent="0.2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 x14ac:dyDescent="0.2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 x14ac:dyDescent="0.2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 x14ac:dyDescent="0.2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 x14ac:dyDescent="0.2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 x14ac:dyDescent="0.2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 x14ac:dyDescent="0.2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 x14ac:dyDescent="0.2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 x14ac:dyDescent="0.2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 x14ac:dyDescent="0.2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 x14ac:dyDescent="0.2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 x14ac:dyDescent="0.2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 x14ac:dyDescent="0.2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 x14ac:dyDescent="0.2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 x14ac:dyDescent="0.2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 x14ac:dyDescent="0.2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 x14ac:dyDescent="0.2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 x14ac:dyDescent="0.2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 x14ac:dyDescent="0.2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 x14ac:dyDescent="0.2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 x14ac:dyDescent="0.2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 x14ac:dyDescent="0.2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 x14ac:dyDescent="0.2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 x14ac:dyDescent="0.2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 x14ac:dyDescent="0.2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 x14ac:dyDescent="0.2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 x14ac:dyDescent="0.2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 x14ac:dyDescent="0.2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 x14ac:dyDescent="0.2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 x14ac:dyDescent="0.2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 x14ac:dyDescent="0.2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 x14ac:dyDescent="0.2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 x14ac:dyDescent="0.2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 x14ac:dyDescent="0.2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 x14ac:dyDescent="0.2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 x14ac:dyDescent="0.2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 x14ac:dyDescent="0.2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 x14ac:dyDescent="0.2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topLeftCell="K218" zoomScaleNormal="100" workbookViewId="0">
      <selection activeCell="AF239" sqref="AF239"/>
    </sheetView>
  </sheetViews>
  <sheetFormatPr defaultRowHeight="15" x14ac:dyDescent="0.25"/>
  <cols>
    <col min="1" max="1" width="11.140625" bestFit="1" customWidth="1"/>
  </cols>
  <sheetData>
    <row r="1" spans="1:12" x14ac:dyDescent="0.25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 x14ac:dyDescent="0.25">
      <c r="A2" s="1">
        <v>25841</v>
      </c>
      <c r="E2">
        <f>+'Chart NA - DSGE Raw Data'!D47</f>
        <v>1.6775</v>
      </c>
    </row>
    <row r="3" spans="1:12" x14ac:dyDescent="0.25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 x14ac:dyDescent="0.25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 x14ac:dyDescent="0.25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 x14ac:dyDescent="0.25">
      <c r="A6" s="1">
        <v>26206</v>
      </c>
      <c r="E6">
        <f>+'Chart NA - DSGE Raw Data'!D51</f>
        <v>1.37</v>
      </c>
    </row>
    <row r="7" spans="1:12" x14ac:dyDescent="0.25">
      <c r="A7" s="1">
        <v>26298</v>
      </c>
      <c r="E7">
        <f>+'Chart NA - DSGE Raw Data'!D52</f>
        <v>1.1875</v>
      </c>
    </row>
    <row r="8" spans="1:12" x14ac:dyDescent="0.25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 x14ac:dyDescent="0.25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 x14ac:dyDescent="0.25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 x14ac:dyDescent="0.25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 x14ac:dyDescent="0.25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 x14ac:dyDescent="0.25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 x14ac:dyDescent="0.25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 x14ac:dyDescent="0.25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 x14ac:dyDescent="0.25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 x14ac:dyDescent="0.2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 x14ac:dyDescent="0.2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 x14ac:dyDescent="0.2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 x14ac:dyDescent="0.2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 x14ac:dyDescent="0.2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 x14ac:dyDescent="0.2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 x14ac:dyDescent="0.2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 x14ac:dyDescent="0.2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 x14ac:dyDescent="0.2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 x14ac:dyDescent="0.2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 x14ac:dyDescent="0.2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 x14ac:dyDescent="0.2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 x14ac:dyDescent="0.2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 x14ac:dyDescent="0.2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 x14ac:dyDescent="0.2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 x14ac:dyDescent="0.2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 x14ac:dyDescent="0.2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 x14ac:dyDescent="0.2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 x14ac:dyDescent="0.2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 x14ac:dyDescent="0.2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 x14ac:dyDescent="0.2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 x14ac:dyDescent="0.2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 x14ac:dyDescent="0.2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 x14ac:dyDescent="0.2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 x14ac:dyDescent="0.2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 x14ac:dyDescent="0.2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 x14ac:dyDescent="0.2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 x14ac:dyDescent="0.2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 x14ac:dyDescent="0.2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 x14ac:dyDescent="0.2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 x14ac:dyDescent="0.2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 x14ac:dyDescent="0.2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 x14ac:dyDescent="0.2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 x14ac:dyDescent="0.2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 x14ac:dyDescent="0.2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 x14ac:dyDescent="0.2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 x14ac:dyDescent="0.2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 x14ac:dyDescent="0.2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 x14ac:dyDescent="0.2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 x14ac:dyDescent="0.2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 x14ac:dyDescent="0.2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 x14ac:dyDescent="0.2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 x14ac:dyDescent="0.2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 x14ac:dyDescent="0.2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 x14ac:dyDescent="0.2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 x14ac:dyDescent="0.2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 x14ac:dyDescent="0.2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 x14ac:dyDescent="0.2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 x14ac:dyDescent="0.2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 x14ac:dyDescent="0.2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 x14ac:dyDescent="0.2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 x14ac:dyDescent="0.2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 x14ac:dyDescent="0.2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 x14ac:dyDescent="0.2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 x14ac:dyDescent="0.2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 x14ac:dyDescent="0.2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 x14ac:dyDescent="0.2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 x14ac:dyDescent="0.2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 x14ac:dyDescent="0.2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 x14ac:dyDescent="0.2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 x14ac:dyDescent="0.2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 x14ac:dyDescent="0.2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 x14ac:dyDescent="0.2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 x14ac:dyDescent="0.2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 x14ac:dyDescent="0.2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 x14ac:dyDescent="0.2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 x14ac:dyDescent="0.2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 x14ac:dyDescent="0.2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 x14ac:dyDescent="0.2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 x14ac:dyDescent="0.2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 x14ac:dyDescent="0.2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 x14ac:dyDescent="0.2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 x14ac:dyDescent="0.2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 x14ac:dyDescent="0.2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 x14ac:dyDescent="0.2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 x14ac:dyDescent="0.2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 x14ac:dyDescent="0.2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 x14ac:dyDescent="0.2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 x14ac:dyDescent="0.2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 x14ac:dyDescent="0.2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 x14ac:dyDescent="0.2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 x14ac:dyDescent="0.2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 x14ac:dyDescent="0.2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 x14ac:dyDescent="0.2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 x14ac:dyDescent="0.2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 x14ac:dyDescent="0.2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 x14ac:dyDescent="0.2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 x14ac:dyDescent="0.2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 x14ac:dyDescent="0.2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 x14ac:dyDescent="0.2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 x14ac:dyDescent="0.2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 x14ac:dyDescent="0.2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 x14ac:dyDescent="0.2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 x14ac:dyDescent="0.2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 x14ac:dyDescent="0.2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 x14ac:dyDescent="0.2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 x14ac:dyDescent="0.2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 x14ac:dyDescent="0.2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 x14ac:dyDescent="0.2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 x14ac:dyDescent="0.2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 x14ac:dyDescent="0.2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 x14ac:dyDescent="0.2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 x14ac:dyDescent="0.2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 x14ac:dyDescent="0.2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 x14ac:dyDescent="0.2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 x14ac:dyDescent="0.2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 x14ac:dyDescent="0.2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 x14ac:dyDescent="0.2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 x14ac:dyDescent="0.2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 x14ac:dyDescent="0.2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 x14ac:dyDescent="0.2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 x14ac:dyDescent="0.2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 x14ac:dyDescent="0.2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 x14ac:dyDescent="0.2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 x14ac:dyDescent="0.2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 x14ac:dyDescent="0.2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 x14ac:dyDescent="0.2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 x14ac:dyDescent="0.2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 x14ac:dyDescent="0.2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 x14ac:dyDescent="0.2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 x14ac:dyDescent="0.2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 x14ac:dyDescent="0.2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 x14ac:dyDescent="0.2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 x14ac:dyDescent="0.2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 x14ac:dyDescent="0.2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 x14ac:dyDescent="0.2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 x14ac:dyDescent="0.2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 x14ac:dyDescent="0.2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 x14ac:dyDescent="0.2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 x14ac:dyDescent="0.2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 x14ac:dyDescent="0.2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 x14ac:dyDescent="0.2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 x14ac:dyDescent="0.2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 x14ac:dyDescent="0.2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 x14ac:dyDescent="0.2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 x14ac:dyDescent="0.2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 x14ac:dyDescent="0.2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 x14ac:dyDescent="0.2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 x14ac:dyDescent="0.2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 x14ac:dyDescent="0.2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 x14ac:dyDescent="0.2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 x14ac:dyDescent="0.2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 x14ac:dyDescent="0.2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 x14ac:dyDescent="0.2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 x14ac:dyDescent="0.2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 x14ac:dyDescent="0.2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 x14ac:dyDescent="0.2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 x14ac:dyDescent="0.2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 x14ac:dyDescent="0.2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 x14ac:dyDescent="0.2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 x14ac:dyDescent="0.2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 x14ac:dyDescent="0.2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 x14ac:dyDescent="0.2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 x14ac:dyDescent="0.2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 x14ac:dyDescent="0.2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 x14ac:dyDescent="0.2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 x14ac:dyDescent="0.2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 x14ac:dyDescent="0.2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 x14ac:dyDescent="0.2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 x14ac:dyDescent="0.2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 x14ac:dyDescent="0.2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 x14ac:dyDescent="0.2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 x14ac:dyDescent="0.2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 x14ac:dyDescent="0.2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 x14ac:dyDescent="0.2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 x14ac:dyDescent="0.2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 x14ac:dyDescent="0.2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 x14ac:dyDescent="0.2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 x14ac:dyDescent="0.2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 x14ac:dyDescent="0.2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 x14ac:dyDescent="0.2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 x14ac:dyDescent="0.2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 x14ac:dyDescent="0.2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 x14ac:dyDescent="0.2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 x14ac:dyDescent="0.2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 x14ac:dyDescent="0.2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 x14ac:dyDescent="0.2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 x14ac:dyDescent="0.2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 x14ac:dyDescent="0.2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 x14ac:dyDescent="0.2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 x14ac:dyDescent="0.2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 x14ac:dyDescent="0.2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 x14ac:dyDescent="0.2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 x14ac:dyDescent="0.2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 x14ac:dyDescent="0.2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 x14ac:dyDescent="0.2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 x14ac:dyDescent="0.2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 x14ac:dyDescent="0.2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 x14ac:dyDescent="0.2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 x14ac:dyDescent="0.2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 x14ac:dyDescent="0.2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 x14ac:dyDescent="0.2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 x14ac:dyDescent="0.2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 x14ac:dyDescent="0.2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 x14ac:dyDescent="0.2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 x14ac:dyDescent="0.2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 x14ac:dyDescent="0.2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 x14ac:dyDescent="0.2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 x14ac:dyDescent="0.2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 x14ac:dyDescent="0.2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 x14ac:dyDescent="0.2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 x14ac:dyDescent="0.25">
      <c r="A218" s="1"/>
      <c r="D218">
        <f>+'2025Q2'!M261</f>
        <v>0.20355209684499201</v>
      </c>
      <c r="E218">
        <f>+'Chart NA - DSGE Raw Data'!D263</f>
        <v>1.3149999999999999</v>
      </c>
    </row>
    <row r="219" spans="1:5" x14ac:dyDescent="0.25">
      <c r="A219" s="1"/>
      <c r="D219">
        <f>+'2025Q2'!M262</f>
        <v>0.117082182323117</v>
      </c>
      <c r="E219">
        <f>+'Chart NA - DSGE Raw Data'!D264</f>
        <v>1.1625000000000001</v>
      </c>
    </row>
    <row r="220" spans="1:5" x14ac:dyDescent="0.25">
      <c r="A220" s="1"/>
      <c r="D220">
        <f>+'2025Q2'!M263</f>
        <v>0.191652056806562</v>
      </c>
      <c r="E220">
        <f>+'Chart NA - DSGE Raw Data'!D265</f>
        <v>1.0825</v>
      </c>
    </row>
    <row r="221" spans="1:5" x14ac:dyDescent="0.25">
      <c r="A221" s="1"/>
      <c r="D221">
        <f>+'2025Q2'!M264</f>
        <v>0.20918164208349599</v>
      </c>
      <c r="E221">
        <f>+'Chart NA - DSGE Raw Data'!D266</f>
        <v>1.0825</v>
      </c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dimension ref="A1:Q264"/>
  <sheetViews>
    <sheetView zoomScale="85" zoomScaleNormal="85" workbookViewId="0"/>
  </sheetViews>
  <sheetFormatPr defaultRowHeight="15" x14ac:dyDescent="0.25"/>
  <cols>
    <col min="1" max="1" width="10.5703125" style="7" customWidth="1"/>
  </cols>
  <sheetData>
    <row r="1" spans="1:17" x14ac:dyDescent="0.25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 x14ac:dyDescent="0.25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 x14ac:dyDescent="0.25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 x14ac:dyDescent="0.25">
      <c r="C5" s="20" t="s">
        <v>146</v>
      </c>
      <c r="D5" s="20"/>
      <c r="E5" s="20"/>
      <c r="G5" s="20" t="s">
        <v>147</v>
      </c>
      <c r="H5" s="20"/>
      <c r="I5" s="20"/>
      <c r="K5" s="20" t="s">
        <v>148</v>
      </c>
      <c r="L5" s="20"/>
      <c r="M5" s="20"/>
      <c r="O5" s="20" t="s">
        <v>149</v>
      </c>
      <c r="P5" s="20"/>
      <c r="Q5" s="20"/>
    </row>
    <row r="6" spans="1:17" x14ac:dyDescent="0.25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 x14ac:dyDescent="0.25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 x14ac:dyDescent="0.25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 x14ac:dyDescent="0.25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 x14ac:dyDescent="0.25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 x14ac:dyDescent="0.25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 x14ac:dyDescent="0.25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 x14ac:dyDescent="0.25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 x14ac:dyDescent="0.25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 x14ac:dyDescent="0.25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 x14ac:dyDescent="0.25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 x14ac:dyDescent="0.25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 x14ac:dyDescent="0.25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 x14ac:dyDescent="0.25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 x14ac:dyDescent="0.25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 x14ac:dyDescent="0.25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 x14ac:dyDescent="0.25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 x14ac:dyDescent="0.25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 x14ac:dyDescent="0.25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 x14ac:dyDescent="0.25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 x14ac:dyDescent="0.25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 x14ac:dyDescent="0.25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 x14ac:dyDescent="0.25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 x14ac:dyDescent="0.25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 x14ac:dyDescent="0.25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 x14ac:dyDescent="0.25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 x14ac:dyDescent="0.25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 x14ac:dyDescent="0.25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 x14ac:dyDescent="0.25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 x14ac:dyDescent="0.25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 x14ac:dyDescent="0.25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 x14ac:dyDescent="0.25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 x14ac:dyDescent="0.25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 x14ac:dyDescent="0.25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 x14ac:dyDescent="0.25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 x14ac:dyDescent="0.25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 x14ac:dyDescent="0.25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 x14ac:dyDescent="0.25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 x14ac:dyDescent="0.25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 x14ac:dyDescent="0.25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 x14ac:dyDescent="0.25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 x14ac:dyDescent="0.25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 x14ac:dyDescent="0.25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 x14ac:dyDescent="0.25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 x14ac:dyDescent="0.25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 x14ac:dyDescent="0.25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1.66722605678708</v>
      </c>
      <c r="C2">
        <v>1.66722605678708</v>
      </c>
      <c r="D2">
        <v>1.66722605678708</v>
      </c>
    </row>
    <row r="3" spans="1:4" x14ac:dyDescent="0.25">
      <c r="A3" s="1">
        <v>26572</v>
      </c>
      <c r="B3">
        <v>1.68842281238362</v>
      </c>
      <c r="C3">
        <v>1.68842281238362</v>
      </c>
      <c r="D3">
        <v>1.68842281238362</v>
      </c>
    </row>
    <row r="4" spans="1:4" x14ac:dyDescent="0.25">
      <c r="A4" s="1">
        <v>26664</v>
      </c>
      <c r="B4">
        <v>3.14990557148298</v>
      </c>
      <c r="C4">
        <v>3.14990557148298</v>
      </c>
      <c r="D4">
        <v>3.14990557148298</v>
      </c>
    </row>
    <row r="5" spans="1:4" x14ac:dyDescent="0.25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 x14ac:dyDescent="0.25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 x14ac:dyDescent="0.25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 x14ac:dyDescent="0.25">
      <c r="A8" s="1">
        <v>27029</v>
      </c>
      <c r="B8">
        <v>7.24378131959456</v>
      </c>
      <c r="C8">
        <v>7.24378131959456</v>
      </c>
      <c r="D8">
        <v>7.24378131959456</v>
      </c>
    </row>
    <row r="9" spans="1:4" x14ac:dyDescent="0.25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 x14ac:dyDescent="0.25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 x14ac:dyDescent="0.25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 x14ac:dyDescent="0.25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 x14ac:dyDescent="0.25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 x14ac:dyDescent="0.25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 x14ac:dyDescent="0.25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 x14ac:dyDescent="0.25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 x14ac:dyDescent="0.25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 x14ac:dyDescent="0.25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 x14ac:dyDescent="0.25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 x14ac:dyDescent="0.25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 x14ac:dyDescent="0.25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 x14ac:dyDescent="0.25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 x14ac:dyDescent="0.25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 x14ac:dyDescent="0.25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 x14ac:dyDescent="0.25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 x14ac:dyDescent="0.25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 x14ac:dyDescent="0.25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 x14ac:dyDescent="0.25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 x14ac:dyDescent="0.25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 x14ac:dyDescent="0.25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 x14ac:dyDescent="0.25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 x14ac:dyDescent="0.25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 x14ac:dyDescent="0.25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 x14ac:dyDescent="0.25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 x14ac:dyDescent="0.25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 x14ac:dyDescent="0.25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 x14ac:dyDescent="0.25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 x14ac:dyDescent="0.25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 x14ac:dyDescent="0.25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 x14ac:dyDescent="0.25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 x14ac:dyDescent="0.25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 x14ac:dyDescent="0.25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 x14ac:dyDescent="0.25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 x14ac:dyDescent="0.25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 x14ac:dyDescent="0.25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 x14ac:dyDescent="0.25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 x14ac:dyDescent="0.25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 x14ac:dyDescent="0.25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 x14ac:dyDescent="0.25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 x14ac:dyDescent="0.25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 x14ac:dyDescent="0.25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 x14ac:dyDescent="0.25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 x14ac:dyDescent="0.25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 x14ac:dyDescent="0.25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 x14ac:dyDescent="0.25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 x14ac:dyDescent="0.25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 x14ac:dyDescent="0.25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 x14ac:dyDescent="0.25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 x14ac:dyDescent="0.25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 x14ac:dyDescent="0.25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 x14ac:dyDescent="0.25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 x14ac:dyDescent="0.25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 x14ac:dyDescent="0.25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 x14ac:dyDescent="0.25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 x14ac:dyDescent="0.25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 x14ac:dyDescent="0.25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 x14ac:dyDescent="0.25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 x14ac:dyDescent="0.25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 x14ac:dyDescent="0.25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 x14ac:dyDescent="0.25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 x14ac:dyDescent="0.25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 x14ac:dyDescent="0.25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 x14ac:dyDescent="0.25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 x14ac:dyDescent="0.25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 x14ac:dyDescent="0.25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 x14ac:dyDescent="0.25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 x14ac:dyDescent="0.25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 x14ac:dyDescent="0.25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 x14ac:dyDescent="0.25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 x14ac:dyDescent="0.25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 x14ac:dyDescent="0.25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 x14ac:dyDescent="0.25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 x14ac:dyDescent="0.25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 x14ac:dyDescent="0.25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 x14ac:dyDescent="0.25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 x14ac:dyDescent="0.25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 x14ac:dyDescent="0.25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 x14ac:dyDescent="0.25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 x14ac:dyDescent="0.25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 x14ac:dyDescent="0.25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 x14ac:dyDescent="0.25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 x14ac:dyDescent="0.25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 x14ac:dyDescent="0.25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 x14ac:dyDescent="0.25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 x14ac:dyDescent="0.25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 x14ac:dyDescent="0.25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 x14ac:dyDescent="0.25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 x14ac:dyDescent="0.25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 x14ac:dyDescent="0.25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 x14ac:dyDescent="0.25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 x14ac:dyDescent="0.25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 x14ac:dyDescent="0.25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 x14ac:dyDescent="0.25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 x14ac:dyDescent="0.25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 x14ac:dyDescent="0.25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 x14ac:dyDescent="0.25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 x14ac:dyDescent="0.25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 x14ac:dyDescent="0.25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 x14ac:dyDescent="0.25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 x14ac:dyDescent="0.25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 x14ac:dyDescent="0.25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 x14ac:dyDescent="0.25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 x14ac:dyDescent="0.25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 x14ac:dyDescent="0.25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 x14ac:dyDescent="0.25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 x14ac:dyDescent="0.25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 x14ac:dyDescent="0.25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 x14ac:dyDescent="0.25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 x14ac:dyDescent="0.25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 x14ac:dyDescent="0.25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 x14ac:dyDescent="0.25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 x14ac:dyDescent="0.25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 x14ac:dyDescent="0.25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 x14ac:dyDescent="0.25">
      <c r="A124" s="1">
        <v>37621</v>
      </c>
      <c r="B124">
        <v>1.408745879627</v>
      </c>
      <c r="C124">
        <v>1.408745879627</v>
      </c>
      <c r="D124">
        <v>1.408745879627</v>
      </c>
    </row>
    <row r="125" spans="1:4" x14ac:dyDescent="0.25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 x14ac:dyDescent="0.25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 x14ac:dyDescent="0.25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 x14ac:dyDescent="0.25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 x14ac:dyDescent="0.25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 x14ac:dyDescent="0.25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 x14ac:dyDescent="0.25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 x14ac:dyDescent="0.25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 x14ac:dyDescent="0.25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 x14ac:dyDescent="0.25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 x14ac:dyDescent="0.25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 x14ac:dyDescent="0.25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 x14ac:dyDescent="0.25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 x14ac:dyDescent="0.25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 x14ac:dyDescent="0.25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 x14ac:dyDescent="0.25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 x14ac:dyDescent="0.25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 x14ac:dyDescent="0.25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 x14ac:dyDescent="0.25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 x14ac:dyDescent="0.25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 x14ac:dyDescent="0.25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 x14ac:dyDescent="0.25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 x14ac:dyDescent="0.25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 x14ac:dyDescent="0.25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 x14ac:dyDescent="0.25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 x14ac:dyDescent="0.25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 x14ac:dyDescent="0.25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 x14ac:dyDescent="0.25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 x14ac:dyDescent="0.25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 x14ac:dyDescent="0.25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 x14ac:dyDescent="0.25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 x14ac:dyDescent="0.25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 x14ac:dyDescent="0.25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 x14ac:dyDescent="0.25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 x14ac:dyDescent="0.25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 x14ac:dyDescent="0.25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 x14ac:dyDescent="0.25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 x14ac:dyDescent="0.25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 x14ac:dyDescent="0.25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 x14ac:dyDescent="0.25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 x14ac:dyDescent="0.25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 x14ac:dyDescent="0.25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 x14ac:dyDescent="0.25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 x14ac:dyDescent="0.25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 x14ac:dyDescent="0.25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 x14ac:dyDescent="0.25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 x14ac:dyDescent="0.25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 x14ac:dyDescent="0.25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 x14ac:dyDescent="0.25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 x14ac:dyDescent="0.25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 x14ac:dyDescent="0.25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 x14ac:dyDescent="0.25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 x14ac:dyDescent="0.25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 x14ac:dyDescent="0.25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 x14ac:dyDescent="0.25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 x14ac:dyDescent="0.25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 x14ac:dyDescent="0.25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 x14ac:dyDescent="0.25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 x14ac:dyDescent="0.25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 x14ac:dyDescent="0.25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 x14ac:dyDescent="0.25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 x14ac:dyDescent="0.25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 x14ac:dyDescent="0.25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 x14ac:dyDescent="0.25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 x14ac:dyDescent="0.25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 x14ac:dyDescent="0.25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 x14ac:dyDescent="0.25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 x14ac:dyDescent="0.25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 x14ac:dyDescent="0.25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 x14ac:dyDescent="0.25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 x14ac:dyDescent="0.25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 x14ac:dyDescent="0.25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 x14ac:dyDescent="0.25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 x14ac:dyDescent="0.25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 x14ac:dyDescent="0.25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 x14ac:dyDescent="0.25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 x14ac:dyDescent="0.25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 x14ac:dyDescent="0.25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 x14ac:dyDescent="0.25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 x14ac:dyDescent="0.25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 x14ac:dyDescent="0.25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 x14ac:dyDescent="0.25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 x14ac:dyDescent="0.25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 x14ac:dyDescent="0.25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 x14ac:dyDescent="0.25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 x14ac:dyDescent="0.25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RowHeight="15" x14ac:dyDescent="0.25"/>
  <cols>
    <col min="1" max="1" width="9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2.03080099721346</v>
      </c>
      <c r="C2">
        <v>2.03080099721346</v>
      </c>
      <c r="D2">
        <v>2.03080099721346</v>
      </c>
    </row>
    <row r="3" spans="1:4" x14ac:dyDescent="0.25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 x14ac:dyDescent="0.25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 x14ac:dyDescent="0.25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 x14ac:dyDescent="0.25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 x14ac:dyDescent="0.25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 x14ac:dyDescent="0.25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 x14ac:dyDescent="0.25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 x14ac:dyDescent="0.25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 x14ac:dyDescent="0.25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 x14ac:dyDescent="0.25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 x14ac:dyDescent="0.25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 x14ac:dyDescent="0.25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 x14ac:dyDescent="0.25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 x14ac:dyDescent="0.25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 x14ac:dyDescent="0.25">
      <c r="A17" s="1">
        <v>27850</v>
      </c>
      <c r="B17">
        <v>4.9652780361149</v>
      </c>
      <c r="C17">
        <v>4.9652780361149</v>
      </c>
      <c r="D17">
        <v>4.9652780361149</v>
      </c>
    </row>
    <row r="18" spans="1:4" x14ac:dyDescent="0.25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 x14ac:dyDescent="0.25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 x14ac:dyDescent="0.25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 x14ac:dyDescent="0.25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 x14ac:dyDescent="0.25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 x14ac:dyDescent="0.25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 x14ac:dyDescent="0.25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 x14ac:dyDescent="0.25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 x14ac:dyDescent="0.25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 x14ac:dyDescent="0.25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 x14ac:dyDescent="0.25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 x14ac:dyDescent="0.25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 x14ac:dyDescent="0.25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 x14ac:dyDescent="0.25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 x14ac:dyDescent="0.25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 x14ac:dyDescent="0.25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 x14ac:dyDescent="0.25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 x14ac:dyDescent="0.25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 x14ac:dyDescent="0.25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 x14ac:dyDescent="0.25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 x14ac:dyDescent="0.25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 x14ac:dyDescent="0.25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 x14ac:dyDescent="0.25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 x14ac:dyDescent="0.25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 x14ac:dyDescent="0.25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 x14ac:dyDescent="0.25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 x14ac:dyDescent="0.25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 x14ac:dyDescent="0.25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 x14ac:dyDescent="0.25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 x14ac:dyDescent="0.25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 x14ac:dyDescent="0.25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 x14ac:dyDescent="0.25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 x14ac:dyDescent="0.25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 x14ac:dyDescent="0.25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 x14ac:dyDescent="0.25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 x14ac:dyDescent="0.25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 x14ac:dyDescent="0.25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 x14ac:dyDescent="0.25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 x14ac:dyDescent="0.25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 x14ac:dyDescent="0.25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 x14ac:dyDescent="0.25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 x14ac:dyDescent="0.25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 x14ac:dyDescent="0.25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 x14ac:dyDescent="0.25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 x14ac:dyDescent="0.25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 x14ac:dyDescent="0.25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 x14ac:dyDescent="0.25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 x14ac:dyDescent="0.25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 x14ac:dyDescent="0.25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 x14ac:dyDescent="0.25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 x14ac:dyDescent="0.25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 x14ac:dyDescent="0.25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 x14ac:dyDescent="0.25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 x14ac:dyDescent="0.25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 x14ac:dyDescent="0.25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 x14ac:dyDescent="0.25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 x14ac:dyDescent="0.25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 x14ac:dyDescent="0.25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 x14ac:dyDescent="0.25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 x14ac:dyDescent="0.25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 x14ac:dyDescent="0.25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 x14ac:dyDescent="0.25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 x14ac:dyDescent="0.25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 x14ac:dyDescent="0.25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 x14ac:dyDescent="0.25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 x14ac:dyDescent="0.25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 x14ac:dyDescent="0.25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 x14ac:dyDescent="0.25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 x14ac:dyDescent="0.25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 x14ac:dyDescent="0.25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 x14ac:dyDescent="0.25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 x14ac:dyDescent="0.25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 x14ac:dyDescent="0.25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 x14ac:dyDescent="0.25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 x14ac:dyDescent="0.25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 x14ac:dyDescent="0.25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 x14ac:dyDescent="0.25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 x14ac:dyDescent="0.25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 x14ac:dyDescent="0.25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 x14ac:dyDescent="0.25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 x14ac:dyDescent="0.25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 x14ac:dyDescent="0.25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 x14ac:dyDescent="0.25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 x14ac:dyDescent="0.25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 x14ac:dyDescent="0.25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 x14ac:dyDescent="0.25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 x14ac:dyDescent="0.25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 x14ac:dyDescent="0.25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 x14ac:dyDescent="0.25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 x14ac:dyDescent="0.25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 x14ac:dyDescent="0.25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 x14ac:dyDescent="0.25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 x14ac:dyDescent="0.25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 x14ac:dyDescent="0.25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 x14ac:dyDescent="0.25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 x14ac:dyDescent="0.25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 x14ac:dyDescent="0.25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 x14ac:dyDescent="0.25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 x14ac:dyDescent="0.25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 x14ac:dyDescent="0.25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 x14ac:dyDescent="0.25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 x14ac:dyDescent="0.25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 x14ac:dyDescent="0.25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 x14ac:dyDescent="0.25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 x14ac:dyDescent="0.25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 x14ac:dyDescent="0.25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 x14ac:dyDescent="0.25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 x14ac:dyDescent="0.25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 x14ac:dyDescent="0.25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 x14ac:dyDescent="0.25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 x14ac:dyDescent="0.25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 x14ac:dyDescent="0.25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 x14ac:dyDescent="0.25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 x14ac:dyDescent="0.25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 x14ac:dyDescent="0.25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 x14ac:dyDescent="0.25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 x14ac:dyDescent="0.25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 x14ac:dyDescent="0.25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 x14ac:dyDescent="0.25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 x14ac:dyDescent="0.25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 x14ac:dyDescent="0.25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 x14ac:dyDescent="0.25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 x14ac:dyDescent="0.25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 x14ac:dyDescent="0.25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 x14ac:dyDescent="0.25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 x14ac:dyDescent="0.25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 x14ac:dyDescent="0.25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 x14ac:dyDescent="0.25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 x14ac:dyDescent="0.25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 x14ac:dyDescent="0.25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 x14ac:dyDescent="0.25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 x14ac:dyDescent="0.25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 x14ac:dyDescent="0.25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 x14ac:dyDescent="0.25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 x14ac:dyDescent="0.25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 x14ac:dyDescent="0.25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 x14ac:dyDescent="0.25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 x14ac:dyDescent="0.25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 x14ac:dyDescent="0.25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 x14ac:dyDescent="0.25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 x14ac:dyDescent="0.25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 x14ac:dyDescent="0.25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 x14ac:dyDescent="0.25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 x14ac:dyDescent="0.25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 x14ac:dyDescent="0.25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 x14ac:dyDescent="0.25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 x14ac:dyDescent="0.25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 x14ac:dyDescent="0.25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 x14ac:dyDescent="0.25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 x14ac:dyDescent="0.25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 x14ac:dyDescent="0.25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 x14ac:dyDescent="0.25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 x14ac:dyDescent="0.25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 x14ac:dyDescent="0.25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 x14ac:dyDescent="0.25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 x14ac:dyDescent="0.25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 x14ac:dyDescent="0.25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 x14ac:dyDescent="0.25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 x14ac:dyDescent="0.25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 x14ac:dyDescent="0.25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 x14ac:dyDescent="0.25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 x14ac:dyDescent="0.25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 x14ac:dyDescent="0.25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 x14ac:dyDescent="0.25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 x14ac:dyDescent="0.25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 x14ac:dyDescent="0.25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 x14ac:dyDescent="0.25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 x14ac:dyDescent="0.25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 x14ac:dyDescent="0.25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 x14ac:dyDescent="0.25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 x14ac:dyDescent="0.25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 x14ac:dyDescent="0.25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 x14ac:dyDescent="0.25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 x14ac:dyDescent="0.25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 x14ac:dyDescent="0.25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 x14ac:dyDescent="0.25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 x14ac:dyDescent="0.25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 x14ac:dyDescent="0.25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 x14ac:dyDescent="0.25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 x14ac:dyDescent="0.25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 x14ac:dyDescent="0.25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 x14ac:dyDescent="0.25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 x14ac:dyDescent="0.25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 x14ac:dyDescent="0.25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 x14ac:dyDescent="0.25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 x14ac:dyDescent="0.25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 x14ac:dyDescent="0.25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 x14ac:dyDescent="0.25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 x14ac:dyDescent="0.25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 x14ac:dyDescent="0.25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 x14ac:dyDescent="0.25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 x14ac:dyDescent="0.25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 x14ac:dyDescent="0.25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RowHeight="15" x14ac:dyDescent="0.25"/>
  <cols>
    <col min="1" max="1" width="10.7109375" bestFit="1" customWidth="1"/>
    <col min="2" max="4" width="12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 x14ac:dyDescent="0.25">
      <c r="A3" s="1">
        <v>26572</v>
      </c>
      <c r="B3">
        <v>2.90958843066662</v>
      </c>
      <c r="C3">
        <v>2.90958843066662</v>
      </c>
      <c r="D3">
        <v>2.90958843066662</v>
      </c>
    </row>
    <row r="4" spans="1:4" x14ac:dyDescent="0.25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 x14ac:dyDescent="0.25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 x14ac:dyDescent="0.25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 x14ac:dyDescent="0.25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 x14ac:dyDescent="0.25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 x14ac:dyDescent="0.25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 x14ac:dyDescent="0.25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 x14ac:dyDescent="0.25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 x14ac:dyDescent="0.25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 x14ac:dyDescent="0.25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 x14ac:dyDescent="0.25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 x14ac:dyDescent="0.25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 x14ac:dyDescent="0.25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 x14ac:dyDescent="0.25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 x14ac:dyDescent="0.25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 x14ac:dyDescent="0.25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 x14ac:dyDescent="0.25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 x14ac:dyDescent="0.25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 x14ac:dyDescent="0.25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 x14ac:dyDescent="0.25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 x14ac:dyDescent="0.25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 x14ac:dyDescent="0.25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 x14ac:dyDescent="0.25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 x14ac:dyDescent="0.25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 x14ac:dyDescent="0.25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 x14ac:dyDescent="0.25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 x14ac:dyDescent="0.25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 x14ac:dyDescent="0.25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 x14ac:dyDescent="0.25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 x14ac:dyDescent="0.25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 x14ac:dyDescent="0.25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 x14ac:dyDescent="0.25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 x14ac:dyDescent="0.25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 x14ac:dyDescent="0.25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 x14ac:dyDescent="0.25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 x14ac:dyDescent="0.25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 x14ac:dyDescent="0.25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 x14ac:dyDescent="0.25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 x14ac:dyDescent="0.25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 x14ac:dyDescent="0.25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 x14ac:dyDescent="0.25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 x14ac:dyDescent="0.25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 x14ac:dyDescent="0.25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 x14ac:dyDescent="0.25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 x14ac:dyDescent="0.25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 x14ac:dyDescent="0.25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 x14ac:dyDescent="0.25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 x14ac:dyDescent="0.25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 x14ac:dyDescent="0.25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 x14ac:dyDescent="0.25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 x14ac:dyDescent="0.25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 x14ac:dyDescent="0.25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 x14ac:dyDescent="0.25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 x14ac:dyDescent="0.25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 x14ac:dyDescent="0.25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 x14ac:dyDescent="0.25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 x14ac:dyDescent="0.25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 x14ac:dyDescent="0.25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 x14ac:dyDescent="0.25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 x14ac:dyDescent="0.25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 x14ac:dyDescent="0.25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 x14ac:dyDescent="0.25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 x14ac:dyDescent="0.25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 x14ac:dyDescent="0.25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 x14ac:dyDescent="0.25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 x14ac:dyDescent="0.25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 x14ac:dyDescent="0.25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 x14ac:dyDescent="0.25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 x14ac:dyDescent="0.25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 x14ac:dyDescent="0.25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 x14ac:dyDescent="0.25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 x14ac:dyDescent="0.25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 x14ac:dyDescent="0.25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 x14ac:dyDescent="0.25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 x14ac:dyDescent="0.25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 x14ac:dyDescent="0.25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 x14ac:dyDescent="0.25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 x14ac:dyDescent="0.25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 x14ac:dyDescent="0.25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 x14ac:dyDescent="0.25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 x14ac:dyDescent="0.25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 x14ac:dyDescent="0.25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 x14ac:dyDescent="0.25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 x14ac:dyDescent="0.25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 x14ac:dyDescent="0.25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 x14ac:dyDescent="0.25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 x14ac:dyDescent="0.25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 x14ac:dyDescent="0.25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 x14ac:dyDescent="0.25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 x14ac:dyDescent="0.25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 x14ac:dyDescent="0.25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 x14ac:dyDescent="0.25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 x14ac:dyDescent="0.25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 x14ac:dyDescent="0.25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 x14ac:dyDescent="0.25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 x14ac:dyDescent="0.25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 x14ac:dyDescent="0.25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 x14ac:dyDescent="0.25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 x14ac:dyDescent="0.25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 x14ac:dyDescent="0.25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 x14ac:dyDescent="0.25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 x14ac:dyDescent="0.25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 x14ac:dyDescent="0.25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 x14ac:dyDescent="0.25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 x14ac:dyDescent="0.25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 x14ac:dyDescent="0.25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 x14ac:dyDescent="0.25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 x14ac:dyDescent="0.25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 x14ac:dyDescent="0.25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 x14ac:dyDescent="0.25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 x14ac:dyDescent="0.25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 x14ac:dyDescent="0.25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 x14ac:dyDescent="0.25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 x14ac:dyDescent="0.25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 x14ac:dyDescent="0.25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 x14ac:dyDescent="0.25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 x14ac:dyDescent="0.25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 x14ac:dyDescent="0.25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 x14ac:dyDescent="0.25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 x14ac:dyDescent="0.25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 x14ac:dyDescent="0.25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 x14ac:dyDescent="0.25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 x14ac:dyDescent="0.25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 x14ac:dyDescent="0.25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 x14ac:dyDescent="0.25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 x14ac:dyDescent="0.25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 x14ac:dyDescent="0.25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 x14ac:dyDescent="0.25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 x14ac:dyDescent="0.25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 x14ac:dyDescent="0.25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 x14ac:dyDescent="0.25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 x14ac:dyDescent="0.25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 x14ac:dyDescent="0.25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 x14ac:dyDescent="0.25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 x14ac:dyDescent="0.25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 x14ac:dyDescent="0.25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 x14ac:dyDescent="0.25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 x14ac:dyDescent="0.25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 x14ac:dyDescent="0.25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 x14ac:dyDescent="0.25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 x14ac:dyDescent="0.25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 x14ac:dyDescent="0.25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 x14ac:dyDescent="0.25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 x14ac:dyDescent="0.25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 x14ac:dyDescent="0.25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 x14ac:dyDescent="0.25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 x14ac:dyDescent="0.25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 x14ac:dyDescent="0.25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 x14ac:dyDescent="0.25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 x14ac:dyDescent="0.25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 x14ac:dyDescent="0.25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 x14ac:dyDescent="0.25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 x14ac:dyDescent="0.25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 x14ac:dyDescent="0.25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 x14ac:dyDescent="0.25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 x14ac:dyDescent="0.25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 x14ac:dyDescent="0.25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 x14ac:dyDescent="0.25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 x14ac:dyDescent="0.25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 x14ac:dyDescent="0.25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 x14ac:dyDescent="0.25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 x14ac:dyDescent="0.25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 x14ac:dyDescent="0.25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 x14ac:dyDescent="0.25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 x14ac:dyDescent="0.25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 x14ac:dyDescent="0.25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 x14ac:dyDescent="0.25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 x14ac:dyDescent="0.25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 x14ac:dyDescent="0.25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 x14ac:dyDescent="0.25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 x14ac:dyDescent="0.25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 x14ac:dyDescent="0.25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 x14ac:dyDescent="0.25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 x14ac:dyDescent="0.25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 x14ac:dyDescent="0.25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 x14ac:dyDescent="0.25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 x14ac:dyDescent="0.25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 x14ac:dyDescent="0.25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 x14ac:dyDescent="0.25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 x14ac:dyDescent="0.25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 x14ac:dyDescent="0.25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 x14ac:dyDescent="0.25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 x14ac:dyDescent="0.25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 x14ac:dyDescent="0.25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 x14ac:dyDescent="0.25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 x14ac:dyDescent="0.25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 x14ac:dyDescent="0.25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 x14ac:dyDescent="0.25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 x14ac:dyDescent="0.25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 x14ac:dyDescent="0.25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 x14ac:dyDescent="0.25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 x14ac:dyDescent="0.25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 x14ac:dyDescent="0.25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 x14ac:dyDescent="0.25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 x14ac:dyDescent="0.25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 x14ac:dyDescent="0.25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 x14ac:dyDescent="0.25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 x14ac:dyDescent="0.25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 x14ac:dyDescent="0.25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 x14ac:dyDescent="0.25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 x14ac:dyDescent="0.25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 x14ac:dyDescent="0.25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 x14ac:dyDescent="0.25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 x14ac:dyDescent="0.25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 x14ac:dyDescent="0.25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 x14ac:dyDescent="0.25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 x14ac:dyDescent="0.25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3.14761880805034</v>
      </c>
      <c r="C2">
        <v>3.14761880805034</v>
      </c>
      <c r="D2">
        <v>3.14761880805034</v>
      </c>
    </row>
    <row r="3" spans="1:4" x14ac:dyDescent="0.25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 x14ac:dyDescent="0.25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 x14ac:dyDescent="0.25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 x14ac:dyDescent="0.25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 x14ac:dyDescent="0.25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 x14ac:dyDescent="0.25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 x14ac:dyDescent="0.25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 x14ac:dyDescent="0.25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 x14ac:dyDescent="0.25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 x14ac:dyDescent="0.25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 x14ac:dyDescent="0.25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 x14ac:dyDescent="0.25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 x14ac:dyDescent="0.25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 x14ac:dyDescent="0.25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 x14ac:dyDescent="0.25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 x14ac:dyDescent="0.25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 x14ac:dyDescent="0.25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 x14ac:dyDescent="0.25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 x14ac:dyDescent="0.25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 x14ac:dyDescent="0.25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 x14ac:dyDescent="0.25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 x14ac:dyDescent="0.25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 x14ac:dyDescent="0.25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 x14ac:dyDescent="0.25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 x14ac:dyDescent="0.25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 x14ac:dyDescent="0.25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 x14ac:dyDescent="0.25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 x14ac:dyDescent="0.25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 x14ac:dyDescent="0.25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 x14ac:dyDescent="0.25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 x14ac:dyDescent="0.25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 x14ac:dyDescent="0.25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 x14ac:dyDescent="0.25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 x14ac:dyDescent="0.25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 x14ac:dyDescent="0.25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 x14ac:dyDescent="0.25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 x14ac:dyDescent="0.25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 x14ac:dyDescent="0.25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 x14ac:dyDescent="0.25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 x14ac:dyDescent="0.25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 x14ac:dyDescent="0.25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 x14ac:dyDescent="0.25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 x14ac:dyDescent="0.25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 x14ac:dyDescent="0.25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 x14ac:dyDescent="0.25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 x14ac:dyDescent="0.25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 x14ac:dyDescent="0.25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 x14ac:dyDescent="0.25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 x14ac:dyDescent="0.25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 x14ac:dyDescent="0.25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 x14ac:dyDescent="0.25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 x14ac:dyDescent="0.25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 x14ac:dyDescent="0.25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 x14ac:dyDescent="0.25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 x14ac:dyDescent="0.25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 x14ac:dyDescent="0.25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 x14ac:dyDescent="0.25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 x14ac:dyDescent="0.25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 x14ac:dyDescent="0.25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 x14ac:dyDescent="0.25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 x14ac:dyDescent="0.25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 x14ac:dyDescent="0.25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 x14ac:dyDescent="0.25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 x14ac:dyDescent="0.25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 x14ac:dyDescent="0.25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 x14ac:dyDescent="0.25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 x14ac:dyDescent="0.25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 x14ac:dyDescent="0.25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 x14ac:dyDescent="0.25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 x14ac:dyDescent="0.25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 x14ac:dyDescent="0.25">
      <c r="A73" s="1">
        <v>32963</v>
      </c>
      <c r="B73">
        <v>6.5599055946105</v>
      </c>
      <c r="C73">
        <v>6.5599055946105</v>
      </c>
      <c r="D73">
        <v>6.5599055946105</v>
      </c>
    </row>
    <row r="74" spans="1:4" x14ac:dyDescent="0.25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 x14ac:dyDescent="0.25">
      <c r="A75" s="1">
        <v>33146</v>
      </c>
      <c r="B75">
        <v>6.5094118512843</v>
      </c>
      <c r="C75">
        <v>6.5094118512843</v>
      </c>
      <c r="D75">
        <v>6.5094118512843</v>
      </c>
    </row>
    <row r="76" spans="1:4" x14ac:dyDescent="0.25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 x14ac:dyDescent="0.25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 x14ac:dyDescent="0.25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 x14ac:dyDescent="0.25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 x14ac:dyDescent="0.25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 x14ac:dyDescent="0.25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 x14ac:dyDescent="0.25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 x14ac:dyDescent="0.25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 x14ac:dyDescent="0.25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 x14ac:dyDescent="0.25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 x14ac:dyDescent="0.25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 x14ac:dyDescent="0.25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 x14ac:dyDescent="0.25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 x14ac:dyDescent="0.25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 x14ac:dyDescent="0.25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 x14ac:dyDescent="0.25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 x14ac:dyDescent="0.25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 x14ac:dyDescent="0.25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 x14ac:dyDescent="0.25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 x14ac:dyDescent="0.25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 x14ac:dyDescent="0.25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 x14ac:dyDescent="0.25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 x14ac:dyDescent="0.25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 x14ac:dyDescent="0.25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 x14ac:dyDescent="0.25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 x14ac:dyDescent="0.25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 x14ac:dyDescent="0.25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 x14ac:dyDescent="0.25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 x14ac:dyDescent="0.25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 x14ac:dyDescent="0.25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 x14ac:dyDescent="0.25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 x14ac:dyDescent="0.25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 x14ac:dyDescent="0.25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 x14ac:dyDescent="0.25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 x14ac:dyDescent="0.25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 x14ac:dyDescent="0.25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 x14ac:dyDescent="0.25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 x14ac:dyDescent="0.25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 x14ac:dyDescent="0.25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 x14ac:dyDescent="0.25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 x14ac:dyDescent="0.25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 x14ac:dyDescent="0.25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 x14ac:dyDescent="0.25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 x14ac:dyDescent="0.25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 x14ac:dyDescent="0.25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 x14ac:dyDescent="0.25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 x14ac:dyDescent="0.25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 x14ac:dyDescent="0.25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 x14ac:dyDescent="0.25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 x14ac:dyDescent="0.25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 x14ac:dyDescent="0.25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 x14ac:dyDescent="0.25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 x14ac:dyDescent="0.25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 x14ac:dyDescent="0.25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 x14ac:dyDescent="0.25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 x14ac:dyDescent="0.25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 x14ac:dyDescent="0.25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 x14ac:dyDescent="0.25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 x14ac:dyDescent="0.25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 x14ac:dyDescent="0.25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 x14ac:dyDescent="0.25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 x14ac:dyDescent="0.25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 x14ac:dyDescent="0.25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 x14ac:dyDescent="0.25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 x14ac:dyDescent="0.25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 x14ac:dyDescent="0.25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 x14ac:dyDescent="0.25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 x14ac:dyDescent="0.25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 x14ac:dyDescent="0.25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 x14ac:dyDescent="0.25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 x14ac:dyDescent="0.25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 x14ac:dyDescent="0.25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 x14ac:dyDescent="0.25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 x14ac:dyDescent="0.25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 x14ac:dyDescent="0.25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 x14ac:dyDescent="0.25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 x14ac:dyDescent="0.25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 x14ac:dyDescent="0.25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 x14ac:dyDescent="0.25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 x14ac:dyDescent="0.25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 x14ac:dyDescent="0.25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 x14ac:dyDescent="0.25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 x14ac:dyDescent="0.25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 x14ac:dyDescent="0.25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 x14ac:dyDescent="0.25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 x14ac:dyDescent="0.25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 x14ac:dyDescent="0.25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 x14ac:dyDescent="0.25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 x14ac:dyDescent="0.25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 x14ac:dyDescent="0.25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 x14ac:dyDescent="0.25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 x14ac:dyDescent="0.25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 x14ac:dyDescent="0.25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 x14ac:dyDescent="0.25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 x14ac:dyDescent="0.25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 x14ac:dyDescent="0.25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 x14ac:dyDescent="0.25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 x14ac:dyDescent="0.25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 x14ac:dyDescent="0.25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 x14ac:dyDescent="0.25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 x14ac:dyDescent="0.25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 x14ac:dyDescent="0.25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 x14ac:dyDescent="0.25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 x14ac:dyDescent="0.25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 x14ac:dyDescent="0.25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 x14ac:dyDescent="0.25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 x14ac:dyDescent="0.25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 x14ac:dyDescent="0.25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 x14ac:dyDescent="0.25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 x14ac:dyDescent="0.25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 x14ac:dyDescent="0.25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 x14ac:dyDescent="0.25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 x14ac:dyDescent="0.25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 x14ac:dyDescent="0.25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 x14ac:dyDescent="0.25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 x14ac:dyDescent="0.25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 x14ac:dyDescent="0.25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 x14ac:dyDescent="0.25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 x14ac:dyDescent="0.25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 x14ac:dyDescent="0.25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 x14ac:dyDescent="0.25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 x14ac:dyDescent="0.25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 x14ac:dyDescent="0.25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 x14ac:dyDescent="0.25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 x14ac:dyDescent="0.25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 x14ac:dyDescent="0.25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 x14ac:dyDescent="0.25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 x14ac:dyDescent="0.25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 x14ac:dyDescent="0.25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 x14ac:dyDescent="0.25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 x14ac:dyDescent="0.25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 x14ac:dyDescent="0.25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 x14ac:dyDescent="0.25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 x14ac:dyDescent="0.25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 x14ac:dyDescent="0.25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 x14ac:dyDescent="0.25">
      <c r="A3" s="1">
        <v>26572</v>
      </c>
      <c r="B3">
        <v>1.68916430533893</v>
      </c>
      <c r="C3">
        <v>1.68916430533893</v>
      </c>
      <c r="D3">
        <v>1.68916430533893</v>
      </c>
    </row>
    <row r="4" spans="1:4" x14ac:dyDescent="0.25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 x14ac:dyDescent="0.25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 x14ac:dyDescent="0.25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 x14ac:dyDescent="0.25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 x14ac:dyDescent="0.25">
      <c r="A8" s="1">
        <v>27029</v>
      </c>
      <c r="B8">
        <v>7.24452410756881</v>
      </c>
      <c r="C8">
        <v>7.24452410756881</v>
      </c>
      <c r="D8">
        <v>7.24452410756881</v>
      </c>
    </row>
    <row r="9" spans="1:4" x14ac:dyDescent="0.25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 x14ac:dyDescent="0.25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 x14ac:dyDescent="0.25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 x14ac:dyDescent="0.25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 x14ac:dyDescent="0.25">
      <c r="A13" s="1">
        <v>27484</v>
      </c>
      <c r="B13">
        <v>4.7180563378497</v>
      </c>
      <c r="C13">
        <v>4.7180563378497</v>
      </c>
      <c r="D13">
        <v>4.7180563378497</v>
      </c>
    </row>
    <row r="14" spans="1:4" x14ac:dyDescent="0.25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 x14ac:dyDescent="0.25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 x14ac:dyDescent="0.25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 x14ac:dyDescent="0.25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 x14ac:dyDescent="0.25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 x14ac:dyDescent="0.25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 x14ac:dyDescent="0.25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 x14ac:dyDescent="0.25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 x14ac:dyDescent="0.25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 x14ac:dyDescent="0.25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 x14ac:dyDescent="0.25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 x14ac:dyDescent="0.25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 x14ac:dyDescent="0.25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 x14ac:dyDescent="0.25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 x14ac:dyDescent="0.25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 x14ac:dyDescent="0.25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 x14ac:dyDescent="0.25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 x14ac:dyDescent="0.25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 x14ac:dyDescent="0.25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 x14ac:dyDescent="0.25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 x14ac:dyDescent="0.25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 x14ac:dyDescent="0.25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 x14ac:dyDescent="0.25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 x14ac:dyDescent="0.25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 x14ac:dyDescent="0.25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 x14ac:dyDescent="0.25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 x14ac:dyDescent="0.25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 x14ac:dyDescent="0.25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 x14ac:dyDescent="0.25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 x14ac:dyDescent="0.25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 x14ac:dyDescent="0.25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 x14ac:dyDescent="0.25">
      <c r="A45" s="1">
        <v>30406</v>
      </c>
      <c r="B45">
        <v>8.3730724551527</v>
      </c>
      <c r="C45">
        <v>8.3730724551527</v>
      </c>
      <c r="D45">
        <v>8.3730724551527</v>
      </c>
    </row>
    <row r="46" spans="1:4" x14ac:dyDescent="0.25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 x14ac:dyDescent="0.25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 x14ac:dyDescent="0.25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 x14ac:dyDescent="0.25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 x14ac:dyDescent="0.25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 x14ac:dyDescent="0.25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 x14ac:dyDescent="0.25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 x14ac:dyDescent="0.25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 x14ac:dyDescent="0.25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 x14ac:dyDescent="0.25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 x14ac:dyDescent="0.25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 x14ac:dyDescent="0.25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 x14ac:dyDescent="0.25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 x14ac:dyDescent="0.25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 x14ac:dyDescent="0.25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 x14ac:dyDescent="0.25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 x14ac:dyDescent="0.25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 x14ac:dyDescent="0.25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 x14ac:dyDescent="0.25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 x14ac:dyDescent="0.25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 x14ac:dyDescent="0.25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 x14ac:dyDescent="0.25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 x14ac:dyDescent="0.25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 x14ac:dyDescent="0.25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 x14ac:dyDescent="0.25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 x14ac:dyDescent="0.25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 x14ac:dyDescent="0.25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 x14ac:dyDescent="0.25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 x14ac:dyDescent="0.25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 x14ac:dyDescent="0.25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 x14ac:dyDescent="0.25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 x14ac:dyDescent="0.25">
      <c r="A77" s="1">
        <v>33328</v>
      </c>
      <c r="B77">
        <v>8.4781841093771</v>
      </c>
      <c r="C77">
        <v>8.4781841093771</v>
      </c>
      <c r="D77">
        <v>8.4781841093771</v>
      </c>
    </row>
    <row r="78" spans="1:4" x14ac:dyDescent="0.25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 x14ac:dyDescent="0.25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 x14ac:dyDescent="0.25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 x14ac:dyDescent="0.25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 x14ac:dyDescent="0.25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 x14ac:dyDescent="0.25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 x14ac:dyDescent="0.25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 x14ac:dyDescent="0.25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 x14ac:dyDescent="0.25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 x14ac:dyDescent="0.25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 x14ac:dyDescent="0.25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 x14ac:dyDescent="0.25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 x14ac:dyDescent="0.25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 x14ac:dyDescent="0.25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 x14ac:dyDescent="0.25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 x14ac:dyDescent="0.25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 x14ac:dyDescent="0.25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 x14ac:dyDescent="0.25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 x14ac:dyDescent="0.25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 x14ac:dyDescent="0.25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 x14ac:dyDescent="0.25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 x14ac:dyDescent="0.25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 x14ac:dyDescent="0.25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 x14ac:dyDescent="0.25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 x14ac:dyDescent="0.25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 x14ac:dyDescent="0.25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 x14ac:dyDescent="0.25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 x14ac:dyDescent="0.25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 x14ac:dyDescent="0.25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 x14ac:dyDescent="0.25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 x14ac:dyDescent="0.25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 x14ac:dyDescent="0.25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 x14ac:dyDescent="0.25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 x14ac:dyDescent="0.25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 x14ac:dyDescent="0.25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 x14ac:dyDescent="0.25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 x14ac:dyDescent="0.25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 x14ac:dyDescent="0.25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 x14ac:dyDescent="0.25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 x14ac:dyDescent="0.25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 x14ac:dyDescent="0.25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 x14ac:dyDescent="0.25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 x14ac:dyDescent="0.25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 x14ac:dyDescent="0.25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 x14ac:dyDescent="0.25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 x14ac:dyDescent="0.25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 x14ac:dyDescent="0.25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 x14ac:dyDescent="0.25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 x14ac:dyDescent="0.25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 x14ac:dyDescent="0.25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 x14ac:dyDescent="0.25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 x14ac:dyDescent="0.25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 x14ac:dyDescent="0.25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 x14ac:dyDescent="0.25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 x14ac:dyDescent="0.25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 x14ac:dyDescent="0.25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 x14ac:dyDescent="0.25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 x14ac:dyDescent="0.25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 x14ac:dyDescent="0.25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 x14ac:dyDescent="0.25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 x14ac:dyDescent="0.25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 x14ac:dyDescent="0.25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 x14ac:dyDescent="0.25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 x14ac:dyDescent="0.25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 x14ac:dyDescent="0.25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 x14ac:dyDescent="0.25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 x14ac:dyDescent="0.25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 x14ac:dyDescent="0.25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 x14ac:dyDescent="0.25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 x14ac:dyDescent="0.25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 x14ac:dyDescent="0.25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 x14ac:dyDescent="0.25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 x14ac:dyDescent="0.25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 x14ac:dyDescent="0.25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 x14ac:dyDescent="0.25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 x14ac:dyDescent="0.25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 x14ac:dyDescent="0.25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 x14ac:dyDescent="0.25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 x14ac:dyDescent="0.25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 x14ac:dyDescent="0.25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 x14ac:dyDescent="0.25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 x14ac:dyDescent="0.25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 x14ac:dyDescent="0.25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 x14ac:dyDescent="0.25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 x14ac:dyDescent="0.25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 x14ac:dyDescent="0.25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 x14ac:dyDescent="0.25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 x14ac:dyDescent="0.25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 x14ac:dyDescent="0.25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 x14ac:dyDescent="0.25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 x14ac:dyDescent="0.25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 x14ac:dyDescent="0.25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 x14ac:dyDescent="0.25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 x14ac:dyDescent="0.25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 x14ac:dyDescent="0.25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 x14ac:dyDescent="0.25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 x14ac:dyDescent="0.25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 x14ac:dyDescent="0.25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 x14ac:dyDescent="0.25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 x14ac:dyDescent="0.25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 x14ac:dyDescent="0.25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 x14ac:dyDescent="0.25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 x14ac:dyDescent="0.25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 x14ac:dyDescent="0.25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 x14ac:dyDescent="0.25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 x14ac:dyDescent="0.25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 x14ac:dyDescent="0.25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 x14ac:dyDescent="0.25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 x14ac:dyDescent="0.25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 x14ac:dyDescent="0.25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 x14ac:dyDescent="0.25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 x14ac:dyDescent="0.25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 x14ac:dyDescent="0.25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 x14ac:dyDescent="0.25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 x14ac:dyDescent="0.25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 x14ac:dyDescent="0.25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 x14ac:dyDescent="0.25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 x14ac:dyDescent="0.25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 x14ac:dyDescent="0.25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 x14ac:dyDescent="0.25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 x14ac:dyDescent="0.25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 x14ac:dyDescent="0.25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 x14ac:dyDescent="0.25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 x14ac:dyDescent="0.25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 x14ac:dyDescent="0.25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 x14ac:dyDescent="0.25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 x14ac:dyDescent="0.25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 x14ac:dyDescent="0.25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 x14ac:dyDescent="0.25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 x14ac:dyDescent="0.25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 x14ac:dyDescent="0.25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 x14ac:dyDescent="0.25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 x14ac:dyDescent="0.25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1.93427135436727</v>
      </c>
      <c r="C2">
        <v>1.93427135436727</v>
      </c>
      <c r="D2">
        <v>1.93427135436727</v>
      </c>
    </row>
    <row r="3" spans="1:4" x14ac:dyDescent="0.25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 x14ac:dyDescent="0.25">
      <c r="A4" s="1">
        <v>26664</v>
      </c>
      <c r="B4">
        <v>4.43865548032971</v>
      </c>
      <c r="C4">
        <v>4.43865548032971</v>
      </c>
      <c r="D4">
        <v>4.43865548032971</v>
      </c>
    </row>
    <row r="5" spans="1:4" x14ac:dyDescent="0.25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 x14ac:dyDescent="0.25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 x14ac:dyDescent="0.25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 x14ac:dyDescent="0.25">
      <c r="A8" s="1">
        <v>27029</v>
      </c>
      <c r="B8">
        <v>9.76882162030868</v>
      </c>
      <c r="C8">
        <v>9.76882162030868</v>
      </c>
      <c r="D8">
        <v>9.76882162030868</v>
      </c>
    </row>
    <row r="9" spans="1:4" x14ac:dyDescent="0.25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 x14ac:dyDescent="0.25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 x14ac:dyDescent="0.25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 x14ac:dyDescent="0.25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 x14ac:dyDescent="0.25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 x14ac:dyDescent="0.25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 x14ac:dyDescent="0.25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 x14ac:dyDescent="0.25">
      <c r="A16" s="1">
        <v>27759</v>
      </c>
      <c r="B16">
        <v>4.2435358725693</v>
      </c>
      <c r="C16">
        <v>4.2435358725693</v>
      </c>
      <c r="D16">
        <v>4.2435358725693</v>
      </c>
    </row>
    <row r="17" spans="1:4" x14ac:dyDescent="0.25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 x14ac:dyDescent="0.25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 x14ac:dyDescent="0.25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 x14ac:dyDescent="0.25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 x14ac:dyDescent="0.25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 x14ac:dyDescent="0.25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 x14ac:dyDescent="0.25">
      <c r="A23" s="1">
        <v>28398</v>
      </c>
      <c r="B23">
        <v>6.9794665174635</v>
      </c>
      <c r="C23">
        <v>6.9794665174635</v>
      </c>
      <c r="D23">
        <v>6.9794665174635</v>
      </c>
    </row>
    <row r="24" spans="1:4" x14ac:dyDescent="0.25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 x14ac:dyDescent="0.25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 x14ac:dyDescent="0.25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 x14ac:dyDescent="0.25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 x14ac:dyDescent="0.25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 x14ac:dyDescent="0.25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 x14ac:dyDescent="0.25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 x14ac:dyDescent="0.25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 x14ac:dyDescent="0.25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 x14ac:dyDescent="0.25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 x14ac:dyDescent="0.25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 x14ac:dyDescent="0.25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 x14ac:dyDescent="0.25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 x14ac:dyDescent="0.25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 x14ac:dyDescent="0.25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 x14ac:dyDescent="0.25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 x14ac:dyDescent="0.25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 x14ac:dyDescent="0.25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 x14ac:dyDescent="0.25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 x14ac:dyDescent="0.25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 x14ac:dyDescent="0.25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 x14ac:dyDescent="0.25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 x14ac:dyDescent="0.25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 x14ac:dyDescent="0.25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 x14ac:dyDescent="0.25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 x14ac:dyDescent="0.25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 x14ac:dyDescent="0.25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 x14ac:dyDescent="0.25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 x14ac:dyDescent="0.25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 x14ac:dyDescent="0.25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 x14ac:dyDescent="0.25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 x14ac:dyDescent="0.25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 x14ac:dyDescent="0.25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 x14ac:dyDescent="0.25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 x14ac:dyDescent="0.25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 x14ac:dyDescent="0.25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 x14ac:dyDescent="0.25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 x14ac:dyDescent="0.25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 x14ac:dyDescent="0.25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 x14ac:dyDescent="0.25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 x14ac:dyDescent="0.25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 x14ac:dyDescent="0.25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 x14ac:dyDescent="0.25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 x14ac:dyDescent="0.25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 x14ac:dyDescent="0.25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 x14ac:dyDescent="0.25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 x14ac:dyDescent="0.25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 x14ac:dyDescent="0.25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 x14ac:dyDescent="0.25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 x14ac:dyDescent="0.25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 x14ac:dyDescent="0.25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 x14ac:dyDescent="0.25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 x14ac:dyDescent="0.25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 x14ac:dyDescent="0.25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 x14ac:dyDescent="0.25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 x14ac:dyDescent="0.25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 x14ac:dyDescent="0.25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 x14ac:dyDescent="0.25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 x14ac:dyDescent="0.25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 x14ac:dyDescent="0.25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 x14ac:dyDescent="0.25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 x14ac:dyDescent="0.25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 x14ac:dyDescent="0.25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 x14ac:dyDescent="0.25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 x14ac:dyDescent="0.25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 x14ac:dyDescent="0.25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 x14ac:dyDescent="0.25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 x14ac:dyDescent="0.25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 x14ac:dyDescent="0.25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 x14ac:dyDescent="0.25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 x14ac:dyDescent="0.25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 x14ac:dyDescent="0.25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 x14ac:dyDescent="0.25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 x14ac:dyDescent="0.25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 x14ac:dyDescent="0.25">
      <c r="A98" s="1">
        <v>35246</v>
      </c>
      <c r="B98">
        <v>3.3010252231127</v>
      </c>
      <c r="C98">
        <v>3.3010252231127</v>
      </c>
      <c r="D98">
        <v>3.3010252231127</v>
      </c>
    </row>
    <row r="99" spans="1:4" x14ac:dyDescent="0.25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 x14ac:dyDescent="0.25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 x14ac:dyDescent="0.25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 x14ac:dyDescent="0.25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 x14ac:dyDescent="0.25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 x14ac:dyDescent="0.25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 x14ac:dyDescent="0.25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 x14ac:dyDescent="0.25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 x14ac:dyDescent="0.25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 x14ac:dyDescent="0.25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 x14ac:dyDescent="0.25">
      <c r="A109" s="1">
        <v>36250</v>
      </c>
      <c r="B109">
        <v>1.766936453102</v>
      </c>
      <c r="C109">
        <v>1.766936453102</v>
      </c>
      <c r="D109">
        <v>1.766936453102</v>
      </c>
    </row>
    <row r="110" spans="1:4" x14ac:dyDescent="0.25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 x14ac:dyDescent="0.25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 x14ac:dyDescent="0.25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 x14ac:dyDescent="0.25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 x14ac:dyDescent="0.25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 x14ac:dyDescent="0.25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 x14ac:dyDescent="0.25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 x14ac:dyDescent="0.25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 x14ac:dyDescent="0.25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 x14ac:dyDescent="0.25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 x14ac:dyDescent="0.25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 x14ac:dyDescent="0.25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 x14ac:dyDescent="0.25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 x14ac:dyDescent="0.25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 x14ac:dyDescent="0.25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 x14ac:dyDescent="0.25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 x14ac:dyDescent="0.25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 x14ac:dyDescent="0.25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 x14ac:dyDescent="0.25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 x14ac:dyDescent="0.25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 x14ac:dyDescent="0.25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 x14ac:dyDescent="0.25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 x14ac:dyDescent="0.25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 x14ac:dyDescent="0.25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 x14ac:dyDescent="0.25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 x14ac:dyDescent="0.25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 x14ac:dyDescent="0.25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 x14ac:dyDescent="0.25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 x14ac:dyDescent="0.25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 x14ac:dyDescent="0.25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 x14ac:dyDescent="0.25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 x14ac:dyDescent="0.25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 x14ac:dyDescent="0.25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 x14ac:dyDescent="0.25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 x14ac:dyDescent="0.25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 x14ac:dyDescent="0.25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 x14ac:dyDescent="0.25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 x14ac:dyDescent="0.25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 x14ac:dyDescent="0.25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 x14ac:dyDescent="0.25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 x14ac:dyDescent="0.25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 x14ac:dyDescent="0.25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 x14ac:dyDescent="0.25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 x14ac:dyDescent="0.25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 x14ac:dyDescent="0.25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 x14ac:dyDescent="0.25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 x14ac:dyDescent="0.25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 x14ac:dyDescent="0.25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 x14ac:dyDescent="0.25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 x14ac:dyDescent="0.25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 x14ac:dyDescent="0.25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 x14ac:dyDescent="0.25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 x14ac:dyDescent="0.25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 x14ac:dyDescent="0.25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 x14ac:dyDescent="0.25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 x14ac:dyDescent="0.25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 x14ac:dyDescent="0.25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 x14ac:dyDescent="0.25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 x14ac:dyDescent="0.25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 x14ac:dyDescent="0.25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 x14ac:dyDescent="0.25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 x14ac:dyDescent="0.25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 x14ac:dyDescent="0.25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 x14ac:dyDescent="0.25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 x14ac:dyDescent="0.25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 x14ac:dyDescent="0.25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 x14ac:dyDescent="0.25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 x14ac:dyDescent="0.25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 x14ac:dyDescent="0.25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 x14ac:dyDescent="0.25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 x14ac:dyDescent="0.25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 x14ac:dyDescent="0.25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 x14ac:dyDescent="0.25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 x14ac:dyDescent="0.25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 x14ac:dyDescent="0.25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 x14ac:dyDescent="0.25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 x14ac:dyDescent="0.25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 x14ac:dyDescent="0.25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 x14ac:dyDescent="0.25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 x14ac:dyDescent="0.25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 x14ac:dyDescent="0.25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 x14ac:dyDescent="0.25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 x14ac:dyDescent="0.25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 x14ac:dyDescent="0.25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 x14ac:dyDescent="0.25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 x14ac:dyDescent="0.25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 x14ac:dyDescent="0.25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 x14ac:dyDescent="0.25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 x14ac:dyDescent="0.25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 x14ac:dyDescent="0.25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 x14ac:dyDescent="0.25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 x14ac:dyDescent="0.25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 x14ac:dyDescent="0.25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 x14ac:dyDescent="0.25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 x14ac:dyDescent="0.25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 x14ac:dyDescent="0.25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 x14ac:dyDescent="0.25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 x14ac:dyDescent="0.25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 x14ac:dyDescent="0.25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 x14ac:dyDescent="0.25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 x14ac:dyDescent="0.25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 x14ac:dyDescent="0.25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 x14ac:dyDescent="0.25">
      <c r="A4" s="1">
        <v>26664</v>
      </c>
      <c r="B4">
        <v>3.52511189613403</v>
      </c>
      <c r="C4">
        <v>3.52511189613403</v>
      </c>
      <c r="D4">
        <v>3.52511189613403</v>
      </c>
    </row>
    <row r="5" spans="1:4" x14ac:dyDescent="0.25">
      <c r="A5" s="1">
        <v>26754</v>
      </c>
      <c r="B5">
        <v>3.51947361093328</v>
      </c>
      <c r="C5">
        <v>3.51947361093328</v>
      </c>
      <c r="D5">
        <v>3.51947361093328</v>
      </c>
    </row>
    <row r="6" spans="1:4" x14ac:dyDescent="0.25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 x14ac:dyDescent="0.25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 x14ac:dyDescent="0.25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 x14ac:dyDescent="0.25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 x14ac:dyDescent="0.25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 x14ac:dyDescent="0.25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 x14ac:dyDescent="0.25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 x14ac:dyDescent="0.25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 x14ac:dyDescent="0.25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 x14ac:dyDescent="0.25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 x14ac:dyDescent="0.25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 x14ac:dyDescent="0.25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 x14ac:dyDescent="0.25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 x14ac:dyDescent="0.25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 x14ac:dyDescent="0.25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 x14ac:dyDescent="0.25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 x14ac:dyDescent="0.25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 x14ac:dyDescent="0.25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 x14ac:dyDescent="0.25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 x14ac:dyDescent="0.25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 x14ac:dyDescent="0.25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 x14ac:dyDescent="0.25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 x14ac:dyDescent="0.25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 x14ac:dyDescent="0.25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 x14ac:dyDescent="0.25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 x14ac:dyDescent="0.25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 x14ac:dyDescent="0.25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 x14ac:dyDescent="0.25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 x14ac:dyDescent="0.25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 x14ac:dyDescent="0.25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 x14ac:dyDescent="0.25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 x14ac:dyDescent="0.25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 x14ac:dyDescent="0.25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 x14ac:dyDescent="0.25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 x14ac:dyDescent="0.25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 x14ac:dyDescent="0.25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 x14ac:dyDescent="0.25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 x14ac:dyDescent="0.25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 x14ac:dyDescent="0.25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 x14ac:dyDescent="0.25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 x14ac:dyDescent="0.25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 x14ac:dyDescent="0.25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 x14ac:dyDescent="0.25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 x14ac:dyDescent="0.25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 x14ac:dyDescent="0.25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 x14ac:dyDescent="0.25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 x14ac:dyDescent="0.25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 x14ac:dyDescent="0.25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 x14ac:dyDescent="0.25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 x14ac:dyDescent="0.25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 x14ac:dyDescent="0.25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 x14ac:dyDescent="0.25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 x14ac:dyDescent="0.25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 x14ac:dyDescent="0.25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 x14ac:dyDescent="0.25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 x14ac:dyDescent="0.25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 x14ac:dyDescent="0.25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 x14ac:dyDescent="0.25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 x14ac:dyDescent="0.25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 x14ac:dyDescent="0.25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 x14ac:dyDescent="0.25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 x14ac:dyDescent="0.25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 x14ac:dyDescent="0.25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 x14ac:dyDescent="0.25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 x14ac:dyDescent="0.25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 x14ac:dyDescent="0.25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 x14ac:dyDescent="0.25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 x14ac:dyDescent="0.25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 x14ac:dyDescent="0.25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 x14ac:dyDescent="0.25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 x14ac:dyDescent="0.25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 x14ac:dyDescent="0.25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 x14ac:dyDescent="0.25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 x14ac:dyDescent="0.25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 x14ac:dyDescent="0.25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 x14ac:dyDescent="0.25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 x14ac:dyDescent="0.25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 x14ac:dyDescent="0.25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 x14ac:dyDescent="0.25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 x14ac:dyDescent="0.25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 x14ac:dyDescent="0.25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 x14ac:dyDescent="0.25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 x14ac:dyDescent="0.25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 x14ac:dyDescent="0.25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 x14ac:dyDescent="0.25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 x14ac:dyDescent="0.25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 x14ac:dyDescent="0.25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 x14ac:dyDescent="0.25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 x14ac:dyDescent="0.25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 x14ac:dyDescent="0.25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 x14ac:dyDescent="0.25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 x14ac:dyDescent="0.25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 x14ac:dyDescent="0.25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 x14ac:dyDescent="0.25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 x14ac:dyDescent="0.25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 x14ac:dyDescent="0.25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 x14ac:dyDescent="0.25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 x14ac:dyDescent="0.25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 x14ac:dyDescent="0.25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 x14ac:dyDescent="0.25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 x14ac:dyDescent="0.25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 x14ac:dyDescent="0.25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 x14ac:dyDescent="0.25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 x14ac:dyDescent="0.25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 x14ac:dyDescent="0.25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 x14ac:dyDescent="0.25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 x14ac:dyDescent="0.25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 x14ac:dyDescent="0.25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 x14ac:dyDescent="0.25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 x14ac:dyDescent="0.25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 x14ac:dyDescent="0.25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 x14ac:dyDescent="0.25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 x14ac:dyDescent="0.25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 x14ac:dyDescent="0.25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 x14ac:dyDescent="0.25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 x14ac:dyDescent="0.25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 x14ac:dyDescent="0.25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 x14ac:dyDescent="0.25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 x14ac:dyDescent="0.25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 x14ac:dyDescent="0.25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 x14ac:dyDescent="0.25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 x14ac:dyDescent="0.25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 x14ac:dyDescent="0.25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 x14ac:dyDescent="0.25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 x14ac:dyDescent="0.25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 x14ac:dyDescent="0.25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 x14ac:dyDescent="0.25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 x14ac:dyDescent="0.25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 x14ac:dyDescent="0.25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 x14ac:dyDescent="0.25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 x14ac:dyDescent="0.25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 x14ac:dyDescent="0.25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 x14ac:dyDescent="0.25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 x14ac:dyDescent="0.25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 x14ac:dyDescent="0.25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 x14ac:dyDescent="0.25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 x14ac:dyDescent="0.25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 x14ac:dyDescent="0.25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 x14ac:dyDescent="0.25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 x14ac:dyDescent="0.25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 x14ac:dyDescent="0.25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 x14ac:dyDescent="0.25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 x14ac:dyDescent="0.25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 x14ac:dyDescent="0.25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 x14ac:dyDescent="0.25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 x14ac:dyDescent="0.25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 x14ac:dyDescent="0.25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 x14ac:dyDescent="0.25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 x14ac:dyDescent="0.25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 x14ac:dyDescent="0.25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 x14ac:dyDescent="0.25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 x14ac:dyDescent="0.25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 x14ac:dyDescent="0.25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 x14ac:dyDescent="0.25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 x14ac:dyDescent="0.25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 x14ac:dyDescent="0.25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 x14ac:dyDescent="0.25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 x14ac:dyDescent="0.25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 x14ac:dyDescent="0.25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 x14ac:dyDescent="0.25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 x14ac:dyDescent="0.25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 x14ac:dyDescent="0.25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 x14ac:dyDescent="0.25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 x14ac:dyDescent="0.25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 x14ac:dyDescent="0.25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 x14ac:dyDescent="0.25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 x14ac:dyDescent="0.25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 x14ac:dyDescent="0.25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 x14ac:dyDescent="0.25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 x14ac:dyDescent="0.25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 x14ac:dyDescent="0.25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 x14ac:dyDescent="0.25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 x14ac:dyDescent="0.25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 x14ac:dyDescent="0.25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 x14ac:dyDescent="0.25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 x14ac:dyDescent="0.25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 x14ac:dyDescent="0.25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 x14ac:dyDescent="0.25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 x14ac:dyDescent="0.25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 x14ac:dyDescent="0.25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 x14ac:dyDescent="0.25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 x14ac:dyDescent="0.25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 x14ac:dyDescent="0.25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 x14ac:dyDescent="0.25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 x14ac:dyDescent="0.25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 x14ac:dyDescent="0.25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 x14ac:dyDescent="0.25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 x14ac:dyDescent="0.25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 x14ac:dyDescent="0.25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 x14ac:dyDescent="0.25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 x14ac:dyDescent="0.25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 x14ac:dyDescent="0.25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 x14ac:dyDescent="0.25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 x14ac:dyDescent="0.25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 x14ac:dyDescent="0.25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 x14ac:dyDescent="0.25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 x14ac:dyDescent="0.25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 x14ac:dyDescent="0.25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 x14ac:dyDescent="0.25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 x14ac:dyDescent="0.25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 x14ac:dyDescent="0.25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 x14ac:dyDescent="0.25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 x14ac:dyDescent="0.25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 x14ac:dyDescent="0.25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 x14ac:dyDescent="0.25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 x14ac:dyDescent="0.25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 x14ac:dyDescent="0.25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 x14ac:dyDescent="0.25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 x14ac:dyDescent="0.25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 x14ac:dyDescent="0.25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 x14ac:dyDescent="0.25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 x14ac:dyDescent="0.25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 x14ac:dyDescent="0.25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 x14ac:dyDescent="0.25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 x14ac:dyDescent="0.25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 x14ac:dyDescent="0.25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 x14ac:dyDescent="0.25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 x14ac:dyDescent="0.25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 x14ac:dyDescent="0.25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 x14ac:dyDescent="0.25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 x14ac:dyDescent="0.25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 x14ac:dyDescent="0.25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 x14ac:dyDescent="0.25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 x14ac:dyDescent="0.25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 x14ac:dyDescent="0.25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 x14ac:dyDescent="0.25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 x14ac:dyDescent="0.25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 x14ac:dyDescent="0.25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 x14ac:dyDescent="0.25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 x14ac:dyDescent="0.25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 x14ac:dyDescent="0.25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 x14ac:dyDescent="0.25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 x14ac:dyDescent="0.25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 x14ac:dyDescent="0.25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 x14ac:dyDescent="0.25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 x14ac:dyDescent="0.25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 x14ac:dyDescent="0.25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 x14ac:dyDescent="0.25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 x14ac:dyDescent="0.25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 x14ac:dyDescent="0.25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 x14ac:dyDescent="0.25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 x14ac:dyDescent="0.25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 x14ac:dyDescent="0.25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 x14ac:dyDescent="0.25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 x14ac:dyDescent="0.25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 x14ac:dyDescent="0.25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 x14ac:dyDescent="0.25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 x14ac:dyDescent="0.25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 x14ac:dyDescent="0.25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 x14ac:dyDescent="0.25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 x14ac:dyDescent="0.25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 x14ac:dyDescent="0.25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 x14ac:dyDescent="0.25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 x14ac:dyDescent="0.25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 x14ac:dyDescent="0.25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 x14ac:dyDescent="0.25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 x14ac:dyDescent="0.25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 x14ac:dyDescent="0.25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 x14ac:dyDescent="0.25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 x14ac:dyDescent="0.25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 x14ac:dyDescent="0.25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 x14ac:dyDescent="0.25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 x14ac:dyDescent="0.25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 x14ac:dyDescent="0.25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 x14ac:dyDescent="0.25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 x14ac:dyDescent="0.25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 x14ac:dyDescent="0.25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 x14ac:dyDescent="0.25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 x14ac:dyDescent="0.25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 x14ac:dyDescent="0.25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 x14ac:dyDescent="0.25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 x14ac:dyDescent="0.25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 x14ac:dyDescent="0.25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 x14ac:dyDescent="0.25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 x14ac:dyDescent="0.25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 x14ac:dyDescent="0.25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 x14ac:dyDescent="0.25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 x14ac:dyDescent="0.25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 x14ac:dyDescent="0.25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 x14ac:dyDescent="0.25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 x14ac:dyDescent="0.25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 x14ac:dyDescent="0.25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 x14ac:dyDescent="0.25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 x14ac:dyDescent="0.25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 x14ac:dyDescent="0.25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 x14ac:dyDescent="0.25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 x14ac:dyDescent="0.25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 x14ac:dyDescent="0.25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 x14ac:dyDescent="0.25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 x14ac:dyDescent="0.25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 x14ac:dyDescent="0.25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 x14ac:dyDescent="0.25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 x14ac:dyDescent="0.25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 x14ac:dyDescent="0.25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 x14ac:dyDescent="0.25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 x14ac:dyDescent="0.25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 x14ac:dyDescent="0.25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 x14ac:dyDescent="0.25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 x14ac:dyDescent="0.25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 x14ac:dyDescent="0.25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 x14ac:dyDescent="0.25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 x14ac:dyDescent="0.25">
      <c r="A99" s="1">
        <v>35338</v>
      </c>
      <c r="B99">
        <v>2.9980981815123</v>
      </c>
      <c r="C99">
        <v>2.9980981815123</v>
      </c>
      <c r="D99">
        <v>2.9980981815123</v>
      </c>
    </row>
    <row r="100" spans="1:4" x14ac:dyDescent="0.25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 x14ac:dyDescent="0.25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 x14ac:dyDescent="0.25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 x14ac:dyDescent="0.25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 x14ac:dyDescent="0.25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 x14ac:dyDescent="0.25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 x14ac:dyDescent="0.25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 x14ac:dyDescent="0.25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 x14ac:dyDescent="0.25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 x14ac:dyDescent="0.25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 x14ac:dyDescent="0.25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 x14ac:dyDescent="0.25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 x14ac:dyDescent="0.25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 x14ac:dyDescent="0.25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 x14ac:dyDescent="0.25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 x14ac:dyDescent="0.25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 x14ac:dyDescent="0.25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 x14ac:dyDescent="0.25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 x14ac:dyDescent="0.25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 x14ac:dyDescent="0.25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 x14ac:dyDescent="0.25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 x14ac:dyDescent="0.25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 x14ac:dyDescent="0.25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 x14ac:dyDescent="0.25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 x14ac:dyDescent="0.25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 x14ac:dyDescent="0.25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 x14ac:dyDescent="0.25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 x14ac:dyDescent="0.25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 x14ac:dyDescent="0.25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 x14ac:dyDescent="0.25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 x14ac:dyDescent="0.25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 x14ac:dyDescent="0.25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 x14ac:dyDescent="0.25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 x14ac:dyDescent="0.25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 x14ac:dyDescent="0.25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 x14ac:dyDescent="0.25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 x14ac:dyDescent="0.25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 x14ac:dyDescent="0.25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 x14ac:dyDescent="0.25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 x14ac:dyDescent="0.25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 x14ac:dyDescent="0.25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 x14ac:dyDescent="0.25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 x14ac:dyDescent="0.25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 x14ac:dyDescent="0.25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 x14ac:dyDescent="0.25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 x14ac:dyDescent="0.25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 x14ac:dyDescent="0.25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 x14ac:dyDescent="0.25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 x14ac:dyDescent="0.25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 x14ac:dyDescent="0.25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 x14ac:dyDescent="0.25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 x14ac:dyDescent="0.25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 x14ac:dyDescent="0.25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 x14ac:dyDescent="0.25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 x14ac:dyDescent="0.25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 x14ac:dyDescent="0.25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 x14ac:dyDescent="0.25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 x14ac:dyDescent="0.25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 x14ac:dyDescent="0.25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 x14ac:dyDescent="0.25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 x14ac:dyDescent="0.25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 x14ac:dyDescent="0.25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 x14ac:dyDescent="0.25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 x14ac:dyDescent="0.25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 x14ac:dyDescent="0.25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 x14ac:dyDescent="0.25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 x14ac:dyDescent="0.25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 x14ac:dyDescent="0.25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 x14ac:dyDescent="0.25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 x14ac:dyDescent="0.25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 x14ac:dyDescent="0.25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 x14ac:dyDescent="0.25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 x14ac:dyDescent="0.25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 x14ac:dyDescent="0.25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 x14ac:dyDescent="0.25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 x14ac:dyDescent="0.25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 x14ac:dyDescent="0.25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 x14ac:dyDescent="0.25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 x14ac:dyDescent="0.25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 x14ac:dyDescent="0.25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 x14ac:dyDescent="0.25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 x14ac:dyDescent="0.25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 x14ac:dyDescent="0.25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 x14ac:dyDescent="0.25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 x14ac:dyDescent="0.25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 x14ac:dyDescent="0.25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 x14ac:dyDescent="0.25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 x14ac:dyDescent="0.25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 x14ac:dyDescent="0.25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 x14ac:dyDescent="0.25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 x14ac:dyDescent="0.25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 x14ac:dyDescent="0.25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 x14ac:dyDescent="0.25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 x14ac:dyDescent="0.25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 x14ac:dyDescent="0.25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 x14ac:dyDescent="0.25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 x14ac:dyDescent="0.25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 x14ac:dyDescent="0.25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 x14ac:dyDescent="0.25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 x14ac:dyDescent="0.25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 x14ac:dyDescent="0.25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 x14ac:dyDescent="0.25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 x14ac:dyDescent="0.25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 x14ac:dyDescent="0.25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 x14ac:dyDescent="0.25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 x14ac:dyDescent="0.25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 x14ac:dyDescent="0.25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 x14ac:dyDescent="0.25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 x14ac:dyDescent="0.25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 x14ac:dyDescent="0.25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 x14ac:dyDescent="0.25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Chart NA - DSGE Raw Data</vt:lpstr>
      <vt:lpstr>DSGE HVD wFG - difference</vt:lpstr>
      <vt:lpstr>YC Chart - Policy rate</vt:lpstr>
      <vt:lpstr>Chart 2 - Real rate gaps</vt:lpstr>
      <vt:lpstr>Decomposition</vt:lpstr>
      <vt:lpstr>DSGE HVD wFG</vt:lpstr>
      <vt:lpstr>EA_output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Farkas, Mátyás</cp:lastModifiedBy>
  <dcterms:created xsi:type="dcterms:W3CDTF">2015-06-05T18:17:20Z</dcterms:created>
  <dcterms:modified xsi:type="dcterms:W3CDTF">2025-09-30T16:00:06Z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