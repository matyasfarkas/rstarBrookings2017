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ink/ink3.xml" ContentType="application/inkml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557A97C8-2184-4F5E-8010-7F3AEFF33565}" xr6:coauthVersionLast="47" xr6:coauthVersionMax="47" xr10:uidLastSave="{00000000-0000-0000-0000-000000000000}"/>
  <bookViews>
    <workbookView minimized="1" xWindow="915" yWindow="2370" windowWidth="15570" windowHeight="10545" tabRatio="667" firstSheet="1" activeTab="4" xr2:uid="{00000000-000D-0000-FFFF-FFFF00000000}"/>
  </bookViews>
  <sheets>
    <sheet name="Chart NA - DSGE Raw Data" sheetId="1" r:id="rId1"/>
    <sheet name="DSGE HVD wFG - difference" sheetId="21" r:id="rId2"/>
    <sheet name="YC Chart - Policy rate" sheetId="20" r:id="rId3"/>
    <sheet name="Chart 2 - Real rate gaps" sheetId="11" r:id="rId4"/>
    <sheet name="Decomposition" sheetId="14" r:id="rId5"/>
    <sheet name="DSGE HVD wFG" sheetId="15" r:id="rId6"/>
    <sheet name="EA_output" sheetId="19" r:id="rId7"/>
    <sheet name="EA_policy_rarte_vs_shadow_rate" sheetId="18" r:id="rId8"/>
    <sheet name="shockdec_obs_nominalrate_cond=n" sheetId="17" r:id="rId9"/>
    <sheet name="DSGE HVD wo FG" sheetId="16" r:id="rId10"/>
    <sheet name="Chart 3 - rstar" sheetId="12" r:id="rId11"/>
    <sheet name="2025Q2" sheetId="13" r:id="rId12"/>
    <sheet name="hist_ExAnteRealRate_wFG" sheetId="2" r:id="rId13"/>
    <sheet name="hist_RealNaturalRate_wFG" sheetId="3" r:id="rId14"/>
    <sheet name="hist_Forward5YearRealR_wFG" sheetId="5" r:id="rId15"/>
    <sheet name="hist_Forward5YearRNatR_wFG" sheetId="4" r:id="rId16"/>
    <sheet name="hist_ExAnteRealRate_woFG" sheetId="7" r:id="rId17"/>
    <sheet name="hist_RealNaturalRate_woFG" sheetId="8" r:id="rId18"/>
    <sheet name="hist_Forward5YearRealR_woFG" sheetId="10" r:id="rId19"/>
    <sheet name="hist_Forward5YearRNatR_woFG" sheetId="9" r:id="rId20"/>
  </sheets>
  <externalReferences>
    <externalReference r:id="rId21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1" l="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J132" i="19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AJ132" i="18"/>
  <c r="AK132" i="18" s="1"/>
  <c r="AH132" i="18"/>
  <c r="AK131" i="18"/>
  <c r="AJ131" i="18"/>
  <c r="AH131" i="18"/>
  <c r="AJ130" i="18"/>
  <c r="AK130" i="18" s="1"/>
  <c r="AH130" i="18"/>
  <c r="AK129" i="18"/>
  <c r="AJ129" i="18"/>
  <c r="AH129" i="18"/>
  <c r="AJ128" i="18"/>
  <c r="AK128" i="18" s="1"/>
  <c r="AH128" i="18"/>
  <c r="AK127" i="18"/>
  <c r="AJ127" i="18"/>
  <c r="AH127" i="18"/>
  <c r="AJ126" i="18"/>
  <c r="AK126" i="18" s="1"/>
  <c r="AH126" i="18"/>
  <c r="AK125" i="18"/>
  <c r="AJ125" i="18"/>
  <c r="AH125" i="18"/>
  <c r="AJ124" i="18"/>
  <c r="AK124" i="18" s="1"/>
  <c r="AH124" i="18"/>
  <c r="AK123" i="18"/>
  <c r="AJ123" i="18"/>
  <c r="AH123" i="18"/>
  <c r="AJ122" i="18"/>
  <c r="AK122" i="18" s="1"/>
  <c r="AH122" i="18"/>
  <c r="AK121" i="18"/>
  <c r="AJ121" i="18"/>
  <c r="AH121" i="18"/>
  <c r="AJ120" i="18"/>
  <c r="AK120" i="18" s="1"/>
  <c r="AH120" i="18"/>
  <c r="AK119" i="18"/>
  <c r="AJ119" i="18"/>
  <c r="AH119" i="18"/>
  <c r="AJ118" i="18"/>
  <c r="AK118" i="18" s="1"/>
  <c r="AH118" i="18"/>
  <c r="AK117" i="18"/>
  <c r="AJ117" i="18"/>
  <c r="AH117" i="18"/>
  <c r="AJ116" i="18"/>
  <c r="AK116" i="18" s="1"/>
  <c r="AH116" i="18"/>
  <c r="AK115" i="18"/>
  <c r="AJ115" i="18"/>
  <c r="AH115" i="18"/>
  <c r="AJ114" i="18"/>
  <c r="AK114" i="18" s="1"/>
  <c r="AH114" i="18"/>
  <c r="AK113" i="18"/>
  <c r="AJ113" i="18"/>
  <c r="AH113" i="18"/>
  <c r="AJ112" i="18"/>
  <c r="AK112" i="18" s="1"/>
  <c r="AH112" i="18"/>
  <c r="AK111" i="18"/>
  <c r="AJ111" i="18"/>
  <c r="AH111" i="18"/>
  <c r="AJ110" i="18"/>
  <c r="AK110" i="18" s="1"/>
  <c r="AH110" i="18"/>
  <c r="AK109" i="18"/>
  <c r="AJ109" i="18"/>
  <c r="AH109" i="18"/>
  <c r="AJ108" i="18"/>
  <c r="AK108" i="18" s="1"/>
  <c r="AH108" i="18"/>
  <c r="AK107" i="18"/>
  <c r="AJ107" i="18"/>
  <c r="AH107" i="18"/>
  <c r="AJ106" i="18"/>
  <c r="AK106" i="18" s="1"/>
  <c r="AH106" i="18"/>
  <c r="AK105" i="18"/>
  <c r="AJ105" i="18"/>
  <c r="AH105" i="18"/>
  <c r="AJ104" i="18"/>
  <c r="AK104" i="18" s="1"/>
  <c r="AH104" i="18"/>
  <c r="AK103" i="18"/>
  <c r="AJ103" i="18"/>
  <c r="AH103" i="18"/>
  <c r="AJ102" i="18"/>
  <c r="AK102" i="18" s="1"/>
  <c r="AH102" i="18"/>
  <c r="AK101" i="18"/>
  <c r="AJ101" i="18"/>
  <c r="AH101" i="18"/>
  <c r="AJ100" i="18"/>
  <c r="AK100" i="18" s="1"/>
  <c r="AH100" i="18"/>
  <c r="AK99" i="18"/>
  <c r="AJ99" i="18"/>
  <c r="AH99" i="18"/>
  <c r="AJ98" i="18"/>
  <c r="AK98" i="18" s="1"/>
  <c r="AH98" i="18"/>
  <c r="AK97" i="18"/>
  <c r="AJ97" i="18"/>
  <c r="AH97" i="18"/>
  <c r="AJ96" i="18"/>
  <c r="AK96" i="18" s="1"/>
  <c r="AH96" i="18"/>
  <c r="AK95" i="18"/>
  <c r="AJ95" i="18"/>
  <c r="AH95" i="18"/>
  <c r="AJ94" i="18"/>
  <c r="AK94" i="18" s="1"/>
  <c r="AH94" i="18"/>
  <c r="AK93" i="18"/>
  <c r="AJ93" i="18"/>
  <c r="AH93" i="18"/>
  <c r="AJ92" i="18"/>
  <c r="AK92" i="18" s="1"/>
  <c r="AH92" i="18"/>
  <c r="AK91" i="18"/>
  <c r="AJ91" i="18"/>
  <c r="AH91" i="18"/>
  <c r="AJ90" i="18"/>
  <c r="AK90" i="18" s="1"/>
  <c r="AH90" i="18"/>
  <c r="AK89" i="18"/>
  <c r="AJ89" i="18"/>
  <c r="AH89" i="18"/>
  <c r="AJ88" i="18"/>
  <c r="AK88" i="18" s="1"/>
  <c r="AH88" i="18"/>
  <c r="AK87" i="18"/>
  <c r="AJ87" i="18"/>
  <c r="AH87" i="18"/>
  <c r="AJ86" i="18"/>
  <c r="AK86" i="18" s="1"/>
  <c r="AH86" i="18"/>
  <c r="AK85" i="18"/>
  <c r="AJ85" i="18"/>
  <c r="AH85" i="18"/>
  <c r="AJ84" i="18"/>
  <c r="AK84" i="18" s="1"/>
  <c r="AH84" i="18"/>
  <c r="AK83" i="18"/>
  <c r="AJ83" i="18"/>
  <c r="AH83" i="18"/>
  <c r="AJ82" i="18"/>
  <c r="AK82" i="18" s="1"/>
  <c r="AH82" i="18"/>
  <c r="AK81" i="18"/>
  <c r="AJ81" i="18"/>
  <c r="AH81" i="18"/>
  <c r="AJ80" i="18"/>
  <c r="AK80" i="18" s="1"/>
  <c r="AH80" i="18"/>
  <c r="AK79" i="18"/>
  <c r="AJ79" i="18"/>
  <c r="AH79" i="18"/>
  <c r="AJ78" i="18"/>
  <c r="AK78" i="18" s="1"/>
  <c r="AH78" i="18"/>
  <c r="AK77" i="18"/>
  <c r="AJ77" i="18"/>
  <c r="AH77" i="18"/>
  <c r="AJ76" i="18"/>
  <c r="AK76" i="18" s="1"/>
  <c r="AH76" i="18"/>
  <c r="AK75" i="18"/>
  <c r="AJ75" i="18"/>
  <c r="AH75" i="18"/>
  <c r="AJ74" i="18"/>
  <c r="AK74" i="18" s="1"/>
  <c r="AH74" i="18"/>
  <c r="AK73" i="18"/>
  <c r="AJ73" i="18"/>
  <c r="AH73" i="18"/>
  <c r="AJ72" i="18"/>
  <c r="AK72" i="18" s="1"/>
  <c r="AH72" i="18"/>
  <c r="AJ71" i="18"/>
  <c r="AK71" i="18" s="1"/>
  <c r="AH71" i="18"/>
  <c r="AJ70" i="18"/>
  <c r="AK70" i="18" s="1"/>
  <c r="AH70" i="18"/>
  <c r="AJ69" i="18"/>
  <c r="AK69" i="18" s="1"/>
  <c r="AH69" i="18"/>
  <c r="AJ68" i="18"/>
  <c r="AK68" i="18" s="1"/>
  <c r="AH68" i="18"/>
  <c r="AJ67" i="18"/>
  <c r="AK67" i="18" s="1"/>
  <c r="AH67" i="18"/>
  <c r="AJ66" i="18"/>
  <c r="AK66" i="18" s="1"/>
  <c r="AH66" i="18"/>
  <c r="AJ65" i="18"/>
  <c r="AK65" i="18" s="1"/>
  <c r="AH65" i="18"/>
  <c r="AJ64" i="18"/>
  <c r="AK64" i="18" s="1"/>
  <c r="AH64" i="18"/>
  <c r="AJ63" i="18"/>
  <c r="AK63" i="18" s="1"/>
  <c r="AH63" i="18"/>
  <c r="AJ62" i="18"/>
  <c r="AK62" i="18" s="1"/>
  <c r="AH62" i="18"/>
  <c r="AJ61" i="18"/>
  <c r="AK61" i="18" s="1"/>
  <c r="AH61" i="18"/>
  <c r="AJ60" i="18"/>
  <c r="AK60" i="18" s="1"/>
  <c r="AH60" i="18"/>
  <c r="AJ59" i="18"/>
  <c r="AK59" i="18" s="1"/>
  <c r="AH59" i="18"/>
  <c r="AJ58" i="18"/>
  <c r="AK58" i="18" s="1"/>
  <c r="AH58" i="18"/>
  <c r="AJ57" i="18"/>
  <c r="AK57" i="18" s="1"/>
  <c r="AH57" i="18"/>
  <c r="AJ56" i="18"/>
  <c r="AK56" i="18" s="1"/>
  <c r="AH56" i="18"/>
  <c r="AJ55" i="18"/>
  <c r="AK55" i="18" s="1"/>
  <c r="AH55" i="18"/>
  <c r="AJ54" i="18"/>
  <c r="AK54" i="18" s="1"/>
  <c r="AH54" i="18"/>
  <c r="AJ53" i="18"/>
  <c r="AK53" i="18" s="1"/>
  <c r="AH53" i="18"/>
  <c r="AJ52" i="18"/>
  <c r="AK52" i="18" s="1"/>
  <c r="AH52" i="18"/>
  <c r="AJ51" i="18"/>
  <c r="AK51" i="18" s="1"/>
  <c r="AH51" i="18"/>
  <c r="AJ50" i="18"/>
  <c r="AK50" i="18" s="1"/>
  <c r="AH50" i="18"/>
  <c r="AJ49" i="18"/>
  <c r="AK49" i="18" s="1"/>
  <c r="AH49" i="18"/>
  <c r="AJ48" i="18"/>
  <c r="AK48" i="18" s="1"/>
  <c r="AH48" i="18"/>
  <c r="AJ47" i="18"/>
  <c r="AK47" i="18" s="1"/>
  <c r="AH47" i="18"/>
  <c r="AJ46" i="18"/>
  <c r="AK46" i="18" s="1"/>
  <c r="AH46" i="18"/>
  <c r="AJ45" i="18"/>
  <c r="AK45" i="18" s="1"/>
  <c r="AH45" i="18"/>
  <c r="AJ44" i="18"/>
  <c r="AK44" i="18" s="1"/>
  <c r="AH44" i="18"/>
  <c r="AJ43" i="18"/>
  <c r="AK43" i="18" s="1"/>
  <c r="AH43" i="18"/>
  <c r="AJ42" i="18"/>
  <c r="AK42" i="18" s="1"/>
  <c r="AH42" i="18"/>
  <c r="AK41" i="18"/>
  <c r="AJ41" i="18"/>
  <c r="AH41" i="18"/>
  <c r="AJ40" i="18"/>
  <c r="AK40" i="18" s="1"/>
  <c r="AH40" i="18"/>
  <c r="AJ39" i="18"/>
  <c r="AK39" i="18" s="1"/>
  <c r="AH39" i="18"/>
  <c r="AJ38" i="18"/>
  <c r="AK38" i="18" s="1"/>
  <c r="AH38" i="18"/>
  <c r="AJ37" i="18"/>
  <c r="AK37" i="18" s="1"/>
  <c r="AH37" i="18"/>
  <c r="AJ36" i="18"/>
  <c r="AK36" i="18" s="1"/>
  <c r="AH36" i="18"/>
  <c r="AJ35" i="18"/>
  <c r="AK35" i="18" s="1"/>
  <c r="AH35" i="18"/>
  <c r="AJ34" i="18"/>
  <c r="AK34" i="18" s="1"/>
  <c r="AH34" i="18"/>
  <c r="AJ33" i="18"/>
  <c r="AK33" i="18" s="1"/>
  <c r="AH33" i="18"/>
  <c r="AJ32" i="18"/>
  <c r="AK32" i="18" s="1"/>
  <c r="AH32" i="18"/>
  <c r="AJ31" i="18"/>
  <c r="AK31" i="18" s="1"/>
  <c r="AH31" i="18"/>
  <c r="AJ30" i="18"/>
  <c r="AK30" i="18" s="1"/>
  <c r="AH30" i="18"/>
  <c r="AJ29" i="18"/>
  <c r="AK29" i="18" s="1"/>
  <c r="AH29" i="18"/>
  <c r="AJ28" i="18"/>
  <c r="AK28" i="18" s="1"/>
  <c r="AH28" i="18"/>
  <c r="AJ27" i="18"/>
  <c r="AK27" i="18" s="1"/>
  <c r="AH27" i="18"/>
  <c r="AJ26" i="18"/>
  <c r="AK26" i="18" s="1"/>
  <c r="AH26" i="18"/>
  <c r="AJ25" i="18"/>
  <c r="AK25" i="18" s="1"/>
  <c r="AH25" i="18"/>
  <c r="AJ24" i="18"/>
  <c r="AK24" i="18" s="1"/>
  <c r="AH24" i="18"/>
  <c r="AJ23" i="18"/>
  <c r="AK23" i="18" s="1"/>
  <c r="AH23" i="18"/>
  <c r="AJ22" i="18"/>
  <c r="AK22" i="18" s="1"/>
  <c r="AH22" i="18"/>
  <c r="AJ21" i="18"/>
  <c r="AK21" i="18" s="1"/>
  <c r="AH21" i="18"/>
  <c r="AJ20" i="18"/>
  <c r="AK20" i="18" s="1"/>
  <c r="AH20" i="18"/>
  <c r="AJ19" i="18"/>
  <c r="AK19" i="18" s="1"/>
  <c r="AH19" i="18"/>
  <c r="AJ18" i="18"/>
  <c r="AK18" i="18" s="1"/>
  <c r="AH18" i="18"/>
  <c r="AJ17" i="18"/>
  <c r="AK17" i="18" s="1"/>
  <c r="AH17" i="18"/>
  <c r="AJ16" i="18"/>
  <c r="AK16" i="18" s="1"/>
  <c r="AH16" i="18"/>
  <c r="AJ15" i="18"/>
  <c r="AK15" i="18" s="1"/>
  <c r="AH15" i="18"/>
  <c r="AJ14" i="18"/>
  <c r="AK14" i="18" s="1"/>
  <c r="AH14" i="18"/>
  <c r="AJ13" i="18"/>
  <c r="AK13" i="18" s="1"/>
  <c r="AH13" i="18"/>
  <c r="AJ12" i="18"/>
  <c r="AK12" i="18" s="1"/>
  <c r="AH12" i="18"/>
  <c r="AJ11" i="18"/>
  <c r="AK11" i="18" s="1"/>
  <c r="AH11" i="18"/>
  <c r="AJ10" i="18"/>
  <c r="AK10" i="18" s="1"/>
  <c r="AH10" i="18"/>
  <c r="AJ9" i="18"/>
  <c r="AK9" i="18" s="1"/>
  <c r="AH9" i="18"/>
  <c r="AJ8" i="18"/>
  <c r="AK8" i="18" s="1"/>
  <c r="AH8" i="18"/>
  <c r="AJ7" i="18"/>
  <c r="AK7" i="18" s="1"/>
  <c r="AH7" i="18"/>
  <c r="AJ6" i="18"/>
  <c r="AK6" i="18" s="1"/>
  <c r="AH6" i="18"/>
  <c r="AK5" i="18"/>
  <c r="AJ5" i="18"/>
  <c r="AH5" i="18"/>
  <c r="AJ4" i="18"/>
  <c r="AK4" i="18" s="1"/>
  <c r="AH4" i="18"/>
  <c r="AJ3" i="18"/>
  <c r="AK3" i="18" s="1"/>
  <c r="AH3" i="18"/>
  <c r="AJ2" i="18"/>
  <c r="AK2" i="18" s="1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<sst xmlns="http://schemas.openxmlformats.org/spreadsheetml/2006/main" count="614" uniqueCount="244">
  <si>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</si>
  <si>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</si>
  <si>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</si>
  <si>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</si>
  <si>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</si>
  <si>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</si>
  <si>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</si>
  <si>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</si>
  <si>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</si>
  <si>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</si>
  <si>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</si>
  <si>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</si>
  <si>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</si>
  <si>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</si>
  <si>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</si>
  <si>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</si>
  <si>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</si>
  <si>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</si>
  <si>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</si>
  <si>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</si>
  <si>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</si>
  <si>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</si>
  <si>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</si>
  <si>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</si>
  <si>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</si>
  <si>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</si>
  <si>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</si>
  <si>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</si>
  <si>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</si>
  <si>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</si>
  <si>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</si>
  <si>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</si>
  <si>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</si>
  <si>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</si>
  <si>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</si>
  <si>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</si>
  <si>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</si>
  <si>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</si>
  <si>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</si>
  <si>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</si>
  <si>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</si>
  <si>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</si>
  <si>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</si>
  <si>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</si>
  <si>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</si>
  <si>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</si>
  <si>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</si>
  <si>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</si>
  <si>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</si>
  <si>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</si>
  <si>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</si>
  <si>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</si>
  <si>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</si>
  <si>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</si>
  <si>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</si>
  <si>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</si>
  <si>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</si>
  <si>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</si>
  <si>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</si>
  <si>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</si>
  <si>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</si>
  <si>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</si>
  <si>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</si>
  <si>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</si>
  <si>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</si>
  <si>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</si>
  <si>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</si>
  <si>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</si>
  <si>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</si>
  <si>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</si>
  <si>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</si>
  <si>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</si>
  <si>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</si>
  <si>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</si>
  <si>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</si>
  <si>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</si>
  <si>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</si>
  <si>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</si>
  <si>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</si>
  <si>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</si>
  <si>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</si>
  <si>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</si>
  <si>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</si>
  <si>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</si>
  <si>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</si>
  <si>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</si>
  <si>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</si>
  <si>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</si>
  <si>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</si>
  <si>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</si>
  <si>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</si>
  <si>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</si>
  <si>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</si>
  <si>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</si>
  <si>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</si>
  <si>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</si>
  <si>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</si>
  <si>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</si>
  <si>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</si>
  <si>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</si>
  <si>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</si>
  <si>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</si>
  <si>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</si>
  <si>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</si>
  <si>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</si>
  <si>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</si>
  <si>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</si>
  <si>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</si>
  <si>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</si>
  <si>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</si>
  <si>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</si>
  <si>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</si>
  <si>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</si>
  <si>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</si>
  <si>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</si>
  <si>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</si>
  <si>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</si>
  <si>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</si>
  <si>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</si>
  <si>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</si>
  <si>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</si>
  <si>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</si>
  <si>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</si>
  <si>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</si>
  <si>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</si>
  <si>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</si>
  <si>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</si>
  <si>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</si>
  <si>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</si>
  <si>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</si>
  <si>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</si>
  <si>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</si>
  <si>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</si>
  <si>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</si>
  <si>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</si>
  <si>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</si>
  <si>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</si>
  <si>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</si>
  <si>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</si>
  <si>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</si>
  <si>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</si>
  <si>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</si>
  <si>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</si>
  <si>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</si>
  <si>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</si>
  <si>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</si>
  <si>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</si>
  <si>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</si>
  <si>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</si>
  <si>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</si>
  <si>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</si>
  <si>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</si>
  <si>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</si>
  <si>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</si>
  <si>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</si>
  <si>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</si>
  <si>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</si>
  <si>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</si>
  <si>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</si>
  <si>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</si>
  <si>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</si>
  <si>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</si>
  <si>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</si>
  <si>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</si>
  <si>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</si>
  <si>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</si>
  <si>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</si>
  <si>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</si>
  <si>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</si>
  <si>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</si>
  <si>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</si>
  <si>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</si>
  <si>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</si>
  <si>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</si>
  <si>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</si>
  <si>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</si>
  <si>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</si>
  <si>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</si>
  <si>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</si>
  <si>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</si>
  <si>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</si>
  <si>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</si>
  <si>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</si>
  <si>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</si>
  <si>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</si>
  <si>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</si>
  <si>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</si>
  <si>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</si>
  <si>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</si>
  <si>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</si>
  <si>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</si>
  <si>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</si>
  <si>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</si>
  <si>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</si>
  <si>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</si>
  <si>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</si>
  <si>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</si>
  <si>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</si>
  <si>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</si>
  <si>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</si>
  <si>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</si>
  <si>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</si>
  <si>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</si>
  <si>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</si>
  <si>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</si>
  <si>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</si>
  <si>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</si>
  <si>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</si>
  <si>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</si>
  <si>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</si>
  <si>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</si>
  <si>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</si>
  <si>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</si>
  <si>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</si>
  <si>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</si>
  <si>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</si>
  <si>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</si>
  <si>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</si>
  <si>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</si>
  <si>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</si>
  <si>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</si>
  <si>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</si>
  <si>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</si>
  <si>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</si>
  <si>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</si>
  <si>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</si>
  <si>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</si>
  <si>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</si>
  <si>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</si>
  <si>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No policy shock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</si>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</sst>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6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6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34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06-4D51-9999-282BDB504485}"/>
            </c:ext>
          </c:extLst>
        </c:ser>
        <c:ser>
          <c:idx val="1"/>
          <c:order val="1"/>
          <c:tx>
            <c:strRef>
              <c:f>EA_output!$AK$1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EA_output!$AK$2:$AK$75</c:f>
              <c:numCache>
                <c:formatCode>General</c:formatCode>
                <c:ptCount val="74"/>
                <c:pt idx="0">
                  <c:v>0.69492280716832822</c:v>
                </c:pt>
                <c:pt idx="1">
                  <c:v>0.83980881927683093</c:v>
                </c:pt>
                <c:pt idx="2">
                  <c:v>1.306689834983235</c:v>
                </c:pt>
                <c:pt idx="3">
                  <c:v>1.2736905881178711</c:v>
                </c:pt>
                <c:pt idx="4">
                  <c:v>0.76398896624881729</c:v>
                </c:pt>
                <c:pt idx="5">
                  <c:v>1.2011555936592839</c:v>
                </c:pt>
                <c:pt idx="6">
                  <c:v>1.4854799272297101</c:v>
                </c:pt>
                <c:pt idx="7">
                  <c:v>1.0930780863196383</c:v>
                </c:pt>
                <c:pt idx="8">
                  <c:v>0.20578233554254699</c:v>
                </c:pt>
                <c:pt idx="9">
                  <c:v>-0.4895451165997845</c:v>
                </c:pt>
                <c:pt idx="10">
                  <c:v>-1.0838622555491699</c:v>
                </c:pt>
                <c:pt idx="11">
                  <c:v>-1.0725801886206017</c:v>
                </c:pt>
                <c:pt idx="12">
                  <c:v>-1.8169639311059926</c:v>
                </c:pt>
                <c:pt idx="13">
                  <c:v>-2.4826144092816711</c:v>
                </c:pt>
                <c:pt idx="14">
                  <c:v>-2.206371826610765</c:v>
                </c:pt>
                <c:pt idx="15">
                  <c:v>-1.581712935871868</c:v>
                </c:pt>
                <c:pt idx="16">
                  <c:v>-0.33294863611052194</c:v>
                </c:pt>
                <c:pt idx="17">
                  <c:v>1.4286726418448343</c:v>
                </c:pt>
                <c:pt idx="18">
                  <c:v>0.49567433273763672</c:v>
                </c:pt>
                <c:pt idx="19">
                  <c:v>-1.1448858791890106</c:v>
                </c:pt>
                <c:pt idx="20">
                  <c:v>-2.5659328010443097</c:v>
                </c:pt>
                <c:pt idx="21">
                  <c:v>-2.8446048628103351</c:v>
                </c:pt>
                <c:pt idx="22">
                  <c:v>-3.3575557589926284</c:v>
                </c:pt>
                <c:pt idx="23">
                  <c:v>-3.3003323403828828</c:v>
                </c:pt>
                <c:pt idx="24">
                  <c:v>-2.4099273211034551</c:v>
                </c:pt>
                <c:pt idx="25">
                  <c:v>-2.2735402275652978</c:v>
                </c:pt>
                <c:pt idx="26">
                  <c:v>-2.2181757338890291</c:v>
                </c:pt>
                <c:pt idx="27">
                  <c:v>-2.0757051871947718</c:v>
                </c:pt>
                <c:pt idx="28">
                  <c:v>-1.2772520387057587</c:v>
                </c:pt>
                <c:pt idx="29">
                  <c:v>-1.2097803346042564</c:v>
                </c:pt>
                <c:pt idx="30">
                  <c:v>-1.6992841924772191</c:v>
                </c:pt>
                <c:pt idx="31">
                  <c:v>-1.8658779137201105</c:v>
                </c:pt>
                <c:pt idx="32">
                  <c:v>-1.5756526346794946</c:v>
                </c:pt>
                <c:pt idx="33">
                  <c:v>-1.9471911437162672</c:v>
                </c:pt>
                <c:pt idx="34">
                  <c:v>-2.1349771303452512</c:v>
                </c:pt>
                <c:pt idx="35">
                  <c:v>-2.4836260520720566</c:v>
                </c:pt>
                <c:pt idx="36">
                  <c:v>-2.9903622309344149</c:v>
                </c:pt>
                <c:pt idx="37">
                  <c:v>-3.3530873115570157</c:v>
                </c:pt>
                <c:pt idx="38">
                  <c:v>-3.4155328536710607</c:v>
                </c:pt>
                <c:pt idx="39">
                  <c:v>-3.767199347599715</c:v>
                </c:pt>
                <c:pt idx="40">
                  <c:v>-3.9481578178547898</c:v>
                </c:pt>
                <c:pt idx="41">
                  <c:v>-3.8688128182145958</c:v>
                </c:pt>
                <c:pt idx="42">
                  <c:v>-3.9986544870920167</c:v>
                </c:pt>
                <c:pt idx="43">
                  <c:v>-4.2825278115727894</c:v>
                </c:pt>
                <c:pt idx="44">
                  <c:v>-4.5861217918265575</c:v>
                </c:pt>
                <c:pt idx="45">
                  <c:v>-4.9560099730333489</c:v>
                </c:pt>
                <c:pt idx="46">
                  <c:v>-4.9473041525765256</c:v>
                </c:pt>
                <c:pt idx="47">
                  <c:v>-5.0389535645140073</c:v>
                </c:pt>
                <c:pt idx="48">
                  <c:v>-4.9495962298449792</c:v>
                </c:pt>
                <c:pt idx="49">
                  <c:v>-5.2150269818953179</c:v>
                </c:pt>
                <c:pt idx="50">
                  <c:v>-5.8523286830424466</c:v>
                </c:pt>
                <c:pt idx="51">
                  <c:v>-5.3214934212481202</c:v>
                </c:pt>
                <c:pt idx="52">
                  <c:v>-3.8244753327507102</c:v>
                </c:pt>
                <c:pt idx="53">
                  <c:v>-1.9526500110261846</c:v>
                </c:pt>
                <c:pt idx="54">
                  <c:v>-1.4023109524771282</c:v>
                </c:pt>
                <c:pt idx="55">
                  <c:v>0.91440310470966035</c:v>
                </c:pt>
                <c:pt idx="56">
                  <c:v>1.9378411422975674</c:v>
                </c:pt>
                <c:pt idx="57">
                  <c:v>-0.51923184497947394</c:v>
                </c:pt>
                <c:pt idx="58">
                  <c:v>-2.8556218925094119</c:v>
                </c:pt>
                <c:pt idx="59">
                  <c:v>-3.0308299084554653</c:v>
                </c:pt>
                <c:pt idx="60">
                  <c:v>-3.5396111021932661</c:v>
                </c:pt>
                <c:pt idx="61">
                  <c:v>-3.6739915909746768</c:v>
                </c:pt>
                <c:pt idx="62">
                  <c:v>-3.4163807842410838</c:v>
                </c:pt>
                <c:pt idx="63">
                  <c:v>-1.2915043544567544</c:v>
                </c:pt>
                <c:pt idx="64">
                  <c:v>0.42276880751680412</c:v>
                </c:pt>
                <c:pt idx="65">
                  <c:v>1.3867053807581029</c:v>
                </c:pt>
                <c:pt idx="66">
                  <c:v>2.0352891467458019</c:v>
                </c:pt>
                <c:pt idx="67">
                  <c:v>2.9431323439170294</c:v>
                </c:pt>
                <c:pt idx="68">
                  <c:v>2.5530976219444357</c:v>
                </c:pt>
                <c:pt idx="69">
                  <c:v>2.7312848648580434</c:v>
                </c:pt>
                <c:pt idx="70">
                  <c:v>2.4831245668343618</c:v>
                </c:pt>
                <c:pt idx="71">
                  <c:v>3.5338383518379506</c:v>
                </c:pt>
                <c:pt idx="72">
                  <c:v>3.1921437664864349</c:v>
                </c:pt>
                <c:pt idx="73">
                  <c:v>3.1976714803885016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06-4D51-9999-282BDB504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9D05D-951F-4B70-A582-0260E0962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>
        <row r="2">
          <cell r="L2" t="str">
            <v>Policy rate(%,apr)</v>
          </cell>
          <cell r="Q2" t="str">
            <v>V5</v>
          </cell>
          <cell r="R2" t="str">
            <v>V6</v>
          </cell>
          <cell r="S2" t="str">
            <v>V7</v>
          </cell>
          <cell r="T2" t="str">
            <v>V8</v>
          </cell>
          <cell r="U2" t="str">
            <v>V9</v>
          </cell>
          <cell r="V2" t="str">
            <v>V10</v>
          </cell>
          <cell r="W2" t="str">
            <v>V11</v>
          </cell>
          <cell r="X2" t="str">
            <v>V12</v>
          </cell>
          <cell r="Y2" t="str">
            <v>V13</v>
          </cell>
          <cell r="Z2" t="str">
            <v>V14</v>
          </cell>
          <cell r="AA2" t="str">
            <v>V15</v>
          </cell>
          <cell r="AB2" t="str">
            <v>V16</v>
          </cell>
          <cell r="AC2" t="str">
            <v>V17</v>
          </cell>
          <cell r="AD2" t="str">
            <v>V18</v>
          </cell>
          <cell r="AE2" t="str">
            <v>V19</v>
          </cell>
          <cell r="AF2" t="str">
            <v>V20</v>
          </cell>
          <cell r="AG2" t="str">
            <v>V21</v>
          </cell>
          <cell r="AH2" t="str">
            <v>V22</v>
          </cell>
          <cell r="AI2" t="str">
            <v>V23</v>
          </cell>
          <cell r="AJ2" t="str">
            <v>V24</v>
          </cell>
          <cell r="AK2" t="str">
            <v>V25</v>
          </cell>
          <cell r="AL2" t="str">
            <v>V26</v>
          </cell>
        </row>
        <row r="3">
          <cell r="K3">
            <v>21823</v>
          </cell>
          <cell r="L3">
            <v>3.57</v>
          </cell>
        </row>
        <row r="4">
          <cell r="K4">
            <v>21915</v>
          </cell>
          <cell r="L4">
            <v>3.99</v>
          </cell>
        </row>
        <row r="5">
          <cell r="K5">
            <v>22006</v>
          </cell>
          <cell r="L5">
            <v>3.93</v>
          </cell>
        </row>
        <row r="6">
          <cell r="K6">
            <v>22097</v>
          </cell>
          <cell r="L6">
            <v>3.7</v>
          </cell>
        </row>
        <row r="7">
          <cell r="K7">
            <v>22189</v>
          </cell>
          <cell r="L7">
            <v>2.94</v>
          </cell>
        </row>
        <row r="8">
          <cell r="K8">
            <v>22281</v>
          </cell>
          <cell r="L8">
            <v>2.2999999999999998</v>
          </cell>
        </row>
        <row r="9">
          <cell r="K9">
            <v>22371</v>
          </cell>
          <cell r="L9">
            <v>1.99</v>
          </cell>
        </row>
        <row r="10">
          <cell r="K10">
            <v>22462</v>
          </cell>
          <cell r="L10">
            <v>1.73</v>
          </cell>
        </row>
        <row r="11">
          <cell r="K11">
            <v>22554</v>
          </cell>
          <cell r="L11">
            <v>1.68</v>
          </cell>
        </row>
        <row r="12">
          <cell r="K12">
            <v>22646</v>
          </cell>
          <cell r="L12">
            <v>2.4</v>
          </cell>
        </row>
        <row r="13">
          <cell r="K13">
            <v>22736</v>
          </cell>
          <cell r="L13">
            <v>2.46</v>
          </cell>
        </row>
        <row r="14">
          <cell r="K14">
            <v>22827</v>
          </cell>
          <cell r="L14">
            <v>2.61</v>
          </cell>
        </row>
        <row r="15">
          <cell r="K15">
            <v>22919</v>
          </cell>
          <cell r="L15">
            <v>2.85</v>
          </cell>
        </row>
        <row r="16">
          <cell r="K16">
            <v>23011</v>
          </cell>
          <cell r="L16">
            <v>2.92</v>
          </cell>
        </row>
        <row r="17">
          <cell r="K17">
            <v>23101</v>
          </cell>
          <cell r="L17">
            <v>2.97</v>
          </cell>
        </row>
        <row r="18">
          <cell r="K18">
            <v>23192</v>
          </cell>
          <cell r="L18">
            <v>2.96</v>
          </cell>
        </row>
        <row r="19">
          <cell r="K19">
            <v>23284</v>
          </cell>
          <cell r="L19">
            <v>3.33</v>
          </cell>
        </row>
        <row r="20">
          <cell r="K20">
            <v>23376</v>
          </cell>
          <cell r="L20">
            <v>3.45</v>
          </cell>
        </row>
        <row r="21">
          <cell r="K21">
            <v>23467</v>
          </cell>
          <cell r="L21">
            <v>3.46</v>
          </cell>
        </row>
        <row r="22">
          <cell r="K22">
            <v>23558</v>
          </cell>
          <cell r="L22">
            <v>3.49</v>
          </cell>
        </row>
        <row r="23">
          <cell r="K23">
            <v>23650</v>
          </cell>
          <cell r="L23">
            <v>3.46</v>
          </cell>
        </row>
        <row r="24">
          <cell r="K24">
            <v>23742</v>
          </cell>
          <cell r="L24">
            <v>3.58</v>
          </cell>
        </row>
        <row r="25">
          <cell r="K25">
            <v>23832</v>
          </cell>
          <cell r="L25">
            <v>3.98</v>
          </cell>
        </row>
        <row r="26">
          <cell r="K26">
            <v>23923</v>
          </cell>
          <cell r="L26">
            <v>4.08</v>
          </cell>
        </row>
        <row r="27">
          <cell r="K27">
            <v>24015</v>
          </cell>
          <cell r="L27">
            <v>4.08</v>
          </cell>
        </row>
        <row r="28">
          <cell r="K28">
            <v>24107</v>
          </cell>
          <cell r="L28">
            <v>4.17</v>
          </cell>
        </row>
        <row r="29">
          <cell r="K29">
            <v>24197</v>
          </cell>
          <cell r="L29">
            <v>4.5599999999999996</v>
          </cell>
        </row>
        <row r="30">
          <cell r="K30">
            <v>24288</v>
          </cell>
          <cell r="L30">
            <v>4.91</v>
          </cell>
        </row>
        <row r="31">
          <cell r="K31">
            <v>24380</v>
          </cell>
          <cell r="L31">
            <v>5.41</v>
          </cell>
        </row>
        <row r="32">
          <cell r="K32">
            <v>24472</v>
          </cell>
          <cell r="L32">
            <v>5.56</v>
          </cell>
        </row>
        <row r="33">
          <cell r="K33">
            <v>24562</v>
          </cell>
          <cell r="L33">
            <v>4.82</v>
          </cell>
        </row>
        <row r="34">
          <cell r="K34">
            <v>24653</v>
          </cell>
          <cell r="L34">
            <v>3.99</v>
          </cell>
        </row>
        <row r="35">
          <cell r="K35">
            <v>24745</v>
          </cell>
          <cell r="L35">
            <v>3.89</v>
          </cell>
        </row>
        <row r="36">
          <cell r="K36">
            <v>24837</v>
          </cell>
          <cell r="L36">
            <v>4.17</v>
          </cell>
        </row>
        <row r="37">
          <cell r="K37">
            <v>24928</v>
          </cell>
          <cell r="L37">
            <v>4.79</v>
          </cell>
        </row>
        <row r="38">
          <cell r="K38">
            <v>25019</v>
          </cell>
          <cell r="L38">
            <v>5.98</v>
          </cell>
        </row>
        <row r="39">
          <cell r="K39">
            <v>25111</v>
          </cell>
          <cell r="L39">
            <v>5.95</v>
          </cell>
        </row>
        <row r="40">
          <cell r="K40">
            <v>25203</v>
          </cell>
          <cell r="L40">
            <v>5.92</v>
          </cell>
        </row>
        <row r="41">
          <cell r="K41">
            <v>25293</v>
          </cell>
          <cell r="L41">
            <v>6.57</v>
          </cell>
        </row>
        <row r="42">
          <cell r="K42">
            <v>25384</v>
          </cell>
          <cell r="L42">
            <v>8.33</v>
          </cell>
        </row>
        <row r="43">
          <cell r="K43">
            <v>25476</v>
          </cell>
          <cell r="L43">
            <v>8.98</v>
          </cell>
        </row>
        <row r="44">
          <cell r="K44">
            <v>25568</v>
          </cell>
          <cell r="L44">
            <v>8.94</v>
          </cell>
        </row>
        <row r="45">
          <cell r="K45">
            <v>25658</v>
          </cell>
          <cell r="L45">
            <v>8.56</v>
          </cell>
        </row>
        <row r="46">
          <cell r="K46">
            <v>25749</v>
          </cell>
          <cell r="L46">
            <v>7.88</v>
          </cell>
        </row>
        <row r="47">
          <cell r="K47">
            <v>25841</v>
          </cell>
          <cell r="L47">
            <v>6.71</v>
          </cell>
        </row>
        <row r="48">
          <cell r="K48">
            <v>25933</v>
          </cell>
          <cell r="L48">
            <v>5.57</v>
          </cell>
        </row>
        <row r="49">
          <cell r="K49">
            <v>26023</v>
          </cell>
          <cell r="L49">
            <v>3.86</v>
          </cell>
        </row>
        <row r="50">
          <cell r="K50">
            <v>26114</v>
          </cell>
          <cell r="L50">
            <v>4.57</v>
          </cell>
        </row>
        <row r="51">
          <cell r="K51">
            <v>26206</v>
          </cell>
          <cell r="L51">
            <v>5.48</v>
          </cell>
        </row>
        <row r="52">
          <cell r="K52">
            <v>26298</v>
          </cell>
          <cell r="L52">
            <v>4.75</v>
          </cell>
        </row>
        <row r="53">
          <cell r="K53">
            <v>26389</v>
          </cell>
          <cell r="L53">
            <v>3.55</v>
          </cell>
        </row>
        <row r="54">
          <cell r="K54">
            <v>26480</v>
          </cell>
          <cell r="L54">
            <v>4.3</v>
          </cell>
        </row>
        <row r="55">
          <cell r="K55">
            <v>26572</v>
          </cell>
          <cell r="L55">
            <v>4.74</v>
          </cell>
        </row>
        <row r="56">
          <cell r="K56">
            <v>26664</v>
          </cell>
          <cell r="L56">
            <v>5.15</v>
          </cell>
        </row>
        <row r="57">
          <cell r="K57">
            <v>26754</v>
          </cell>
          <cell r="L57">
            <v>6.54</v>
          </cell>
        </row>
        <row r="58">
          <cell r="K58">
            <v>26845</v>
          </cell>
          <cell r="L58">
            <v>7.82</v>
          </cell>
        </row>
        <row r="59">
          <cell r="K59">
            <v>26937</v>
          </cell>
          <cell r="L59">
            <v>10.56</v>
          </cell>
        </row>
        <row r="60">
          <cell r="K60">
            <v>27029</v>
          </cell>
          <cell r="L60">
            <v>10</v>
          </cell>
        </row>
        <row r="61">
          <cell r="K61">
            <v>27119</v>
          </cell>
          <cell r="L61">
            <v>9.33</v>
          </cell>
        </row>
        <row r="62">
          <cell r="K62">
            <v>27210</v>
          </cell>
          <cell r="L62">
            <v>11.25</v>
          </cell>
        </row>
        <row r="63">
          <cell r="K63">
            <v>27302</v>
          </cell>
          <cell r="L63">
            <v>12.1</v>
          </cell>
        </row>
        <row r="64">
          <cell r="K64">
            <v>27394</v>
          </cell>
          <cell r="L64">
            <v>9.34</v>
          </cell>
        </row>
        <row r="65">
          <cell r="K65">
            <v>27484</v>
          </cell>
          <cell r="L65">
            <v>6.31</v>
          </cell>
        </row>
        <row r="66">
          <cell r="K66">
            <v>27575</v>
          </cell>
          <cell r="L66">
            <v>5.42</v>
          </cell>
        </row>
        <row r="67">
          <cell r="K67">
            <v>27667</v>
          </cell>
          <cell r="L67">
            <v>6.16</v>
          </cell>
        </row>
        <row r="68">
          <cell r="K68">
            <v>27759</v>
          </cell>
          <cell r="L68">
            <v>5.41</v>
          </cell>
        </row>
        <row r="69">
          <cell r="K69">
            <v>27850</v>
          </cell>
          <cell r="L69">
            <v>4.83</v>
          </cell>
        </row>
        <row r="70">
          <cell r="K70">
            <v>27941</v>
          </cell>
          <cell r="L70">
            <v>5.2</v>
          </cell>
        </row>
        <row r="71">
          <cell r="K71">
            <v>28033</v>
          </cell>
          <cell r="L71">
            <v>5.28</v>
          </cell>
        </row>
        <row r="72">
          <cell r="K72">
            <v>28125</v>
          </cell>
          <cell r="L72">
            <v>4.87</v>
          </cell>
        </row>
        <row r="73">
          <cell r="K73">
            <v>28215</v>
          </cell>
          <cell r="L73">
            <v>4.66</v>
          </cell>
        </row>
        <row r="74">
          <cell r="K74">
            <v>28306</v>
          </cell>
          <cell r="L74">
            <v>5.16</v>
          </cell>
        </row>
        <row r="75">
          <cell r="K75">
            <v>28398</v>
          </cell>
          <cell r="L75">
            <v>5.82</v>
          </cell>
        </row>
        <row r="76">
          <cell r="K76">
            <v>28490</v>
          </cell>
          <cell r="L76">
            <v>6.51</v>
          </cell>
        </row>
        <row r="77">
          <cell r="K77">
            <v>28580</v>
          </cell>
          <cell r="L77">
            <v>6.76</v>
          </cell>
        </row>
        <row r="78">
          <cell r="K78">
            <v>28671</v>
          </cell>
          <cell r="L78">
            <v>7.28</v>
          </cell>
        </row>
        <row r="79">
          <cell r="K79">
            <v>28763</v>
          </cell>
          <cell r="L79">
            <v>8.09</v>
          </cell>
        </row>
        <row r="80">
          <cell r="K80">
            <v>28855</v>
          </cell>
          <cell r="L80">
            <v>9.58</v>
          </cell>
        </row>
        <row r="81">
          <cell r="K81">
            <v>28945</v>
          </cell>
          <cell r="L81">
            <v>10.07</v>
          </cell>
        </row>
        <row r="82">
          <cell r="K82">
            <v>29036</v>
          </cell>
          <cell r="L82">
            <v>10.18</v>
          </cell>
        </row>
        <row r="83">
          <cell r="K83">
            <v>29128</v>
          </cell>
          <cell r="L83">
            <v>10.94</v>
          </cell>
        </row>
        <row r="84">
          <cell r="K84">
            <v>29220</v>
          </cell>
          <cell r="L84">
            <v>13.58</v>
          </cell>
        </row>
        <row r="85">
          <cell r="K85">
            <v>29311</v>
          </cell>
          <cell r="L85">
            <v>15.07</v>
          </cell>
        </row>
        <row r="86">
          <cell r="K86">
            <v>29402</v>
          </cell>
          <cell r="L86">
            <v>12.67</v>
          </cell>
        </row>
        <row r="87">
          <cell r="K87">
            <v>29494</v>
          </cell>
          <cell r="L87">
            <v>9.82</v>
          </cell>
        </row>
        <row r="88">
          <cell r="K88">
            <v>29586</v>
          </cell>
          <cell r="L88">
            <v>15.85</v>
          </cell>
        </row>
        <row r="89">
          <cell r="K89">
            <v>29676</v>
          </cell>
          <cell r="L89">
            <v>16.600000000000001</v>
          </cell>
        </row>
        <row r="90">
          <cell r="K90">
            <v>29767</v>
          </cell>
          <cell r="L90">
            <v>17.79</v>
          </cell>
        </row>
        <row r="91">
          <cell r="K91">
            <v>29859</v>
          </cell>
          <cell r="L91">
            <v>17.59</v>
          </cell>
        </row>
        <row r="92">
          <cell r="K92">
            <v>29951</v>
          </cell>
          <cell r="L92">
            <v>13.59</v>
          </cell>
        </row>
        <row r="93">
          <cell r="K93">
            <v>30041</v>
          </cell>
          <cell r="L93">
            <v>14.21</v>
          </cell>
        </row>
        <row r="94">
          <cell r="K94">
            <v>30132</v>
          </cell>
          <cell r="L94">
            <v>14.51</v>
          </cell>
        </row>
        <row r="95">
          <cell r="K95">
            <v>30224</v>
          </cell>
          <cell r="L95">
            <v>11.01</v>
          </cell>
        </row>
        <row r="96">
          <cell r="K96">
            <v>30316</v>
          </cell>
          <cell r="L96">
            <v>9.2799999999999994</v>
          </cell>
        </row>
        <row r="97">
          <cell r="K97">
            <v>30406</v>
          </cell>
          <cell r="L97">
            <v>8.66</v>
          </cell>
        </row>
        <row r="98">
          <cell r="K98">
            <v>30497</v>
          </cell>
          <cell r="L98">
            <v>8.8000000000000007</v>
          </cell>
        </row>
        <row r="99">
          <cell r="K99">
            <v>30589</v>
          </cell>
          <cell r="L99">
            <v>9.4600000000000009</v>
          </cell>
        </row>
        <row r="100">
          <cell r="K100">
            <v>30681</v>
          </cell>
          <cell r="L100">
            <v>9.43</v>
          </cell>
        </row>
        <row r="101">
          <cell r="K101">
            <v>30772</v>
          </cell>
          <cell r="L101">
            <v>9.69</v>
          </cell>
        </row>
        <row r="102">
          <cell r="K102">
            <v>30863</v>
          </cell>
          <cell r="L102">
            <v>10.55</v>
          </cell>
        </row>
        <row r="103">
          <cell r="K103">
            <v>30955</v>
          </cell>
          <cell r="L103">
            <v>11.39</v>
          </cell>
        </row>
        <row r="104">
          <cell r="K104">
            <v>31047</v>
          </cell>
          <cell r="L104">
            <v>9.26</v>
          </cell>
        </row>
        <row r="105">
          <cell r="K105">
            <v>31137</v>
          </cell>
          <cell r="L105">
            <v>8.48</v>
          </cell>
        </row>
        <row r="106">
          <cell r="K106">
            <v>31228</v>
          </cell>
          <cell r="L106">
            <v>7.92</v>
          </cell>
        </row>
        <row r="107">
          <cell r="K107">
            <v>31320</v>
          </cell>
          <cell r="L107">
            <v>7.9</v>
          </cell>
        </row>
        <row r="108">
          <cell r="K108">
            <v>31412</v>
          </cell>
          <cell r="L108">
            <v>8.1</v>
          </cell>
        </row>
        <row r="109">
          <cell r="K109">
            <v>31502</v>
          </cell>
          <cell r="L109">
            <v>7.83</v>
          </cell>
        </row>
        <row r="110">
          <cell r="K110">
            <v>31593</v>
          </cell>
          <cell r="L110">
            <v>6.92</v>
          </cell>
        </row>
        <row r="111">
          <cell r="K111">
            <v>31685</v>
          </cell>
          <cell r="L111">
            <v>6.21</v>
          </cell>
        </row>
        <row r="112">
          <cell r="K112">
            <v>31777</v>
          </cell>
          <cell r="L112">
            <v>6.27</v>
          </cell>
        </row>
        <row r="113">
          <cell r="K113">
            <v>31867</v>
          </cell>
          <cell r="L113">
            <v>6.22</v>
          </cell>
        </row>
        <row r="114">
          <cell r="K114">
            <v>31958</v>
          </cell>
          <cell r="L114">
            <v>6.65</v>
          </cell>
        </row>
        <row r="115">
          <cell r="K115">
            <v>32050</v>
          </cell>
          <cell r="L115">
            <v>6.84</v>
          </cell>
        </row>
        <row r="116">
          <cell r="K116">
            <v>32142</v>
          </cell>
          <cell r="L116">
            <v>6.92</v>
          </cell>
        </row>
        <row r="117">
          <cell r="K117">
            <v>32233</v>
          </cell>
          <cell r="L117">
            <v>6.67</v>
          </cell>
        </row>
        <row r="118">
          <cell r="K118">
            <v>32324</v>
          </cell>
          <cell r="L118">
            <v>7.15</v>
          </cell>
        </row>
        <row r="119">
          <cell r="K119">
            <v>32416</v>
          </cell>
          <cell r="L119">
            <v>7.98</v>
          </cell>
        </row>
        <row r="120">
          <cell r="K120">
            <v>32508</v>
          </cell>
          <cell r="L120">
            <v>8.4700000000000006</v>
          </cell>
        </row>
        <row r="121">
          <cell r="K121">
            <v>32598</v>
          </cell>
          <cell r="L121">
            <v>9.4499999999999993</v>
          </cell>
        </row>
        <row r="122">
          <cell r="K122">
            <v>32689</v>
          </cell>
          <cell r="L122">
            <v>9.73</v>
          </cell>
        </row>
        <row r="123">
          <cell r="K123">
            <v>32781</v>
          </cell>
          <cell r="L123">
            <v>9.08</v>
          </cell>
        </row>
        <row r="124">
          <cell r="K124">
            <v>32873</v>
          </cell>
          <cell r="L124">
            <v>8.61</v>
          </cell>
        </row>
        <row r="125">
          <cell r="K125">
            <v>32963</v>
          </cell>
          <cell r="L125">
            <v>8.25</v>
          </cell>
        </row>
        <row r="126">
          <cell r="K126">
            <v>33054</v>
          </cell>
          <cell r="L126">
            <v>8.24</v>
          </cell>
        </row>
        <row r="127">
          <cell r="K127">
            <v>33146</v>
          </cell>
          <cell r="L127">
            <v>8.16</v>
          </cell>
        </row>
        <row r="128">
          <cell r="K128">
            <v>33238</v>
          </cell>
          <cell r="L128">
            <v>7.74</v>
          </cell>
        </row>
        <row r="129">
          <cell r="K129">
            <v>33328</v>
          </cell>
          <cell r="L129">
            <v>6.43</v>
          </cell>
        </row>
        <row r="130">
          <cell r="K130">
            <v>33419</v>
          </cell>
          <cell r="L130">
            <v>5.86</v>
          </cell>
        </row>
        <row r="131">
          <cell r="K131">
            <v>33511</v>
          </cell>
          <cell r="L131">
            <v>5.65</v>
          </cell>
        </row>
        <row r="132">
          <cell r="K132">
            <v>33603</v>
          </cell>
          <cell r="L132">
            <v>4.82</v>
          </cell>
        </row>
        <row r="133">
          <cell r="K133">
            <v>33694</v>
          </cell>
          <cell r="L133">
            <v>4.0199999999999996</v>
          </cell>
        </row>
        <row r="134">
          <cell r="K134">
            <v>33785</v>
          </cell>
          <cell r="L134">
            <v>3.77</v>
          </cell>
        </row>
        <row r="135">
          <cell r="K135">
            <v>33877</v>
          </cell>
          <cell r="L135">
            <v>3.26</v>
          </cell>
        </row>
        <row r="136">
          <cell r="K136">
            <v>33969</v>
          </cell>
          <cell r="L136">
            <v>3.03</v>
          </cell>
        </row>
        <row r="137">
          <cell r="K137">
            <v>34059</v>
          </cell>
          <cell r="L137">
            <v>3.04</v>
          </cell>
        </row>
        <row r="138">
          <cell r="K138">
            <v>34150</v>
          </cell>
          <cell r="L138">
            <v>3</v>
          </cell>
        </row>
        <row r="139">
          <cell r="K139">
            <v>34242</v>
          </cell>
          <cell r="L139">
            <v>3.06</v>
          </cell>
        </row>
        <row r="140">
          <cell r="K140">
            <v>34334</v>
          </cell>
          <cell r="L140">
            <v>2.99</v>
          </cell>
        </row>
        <row r="141">
          <cell r="K141">
            <v>34424</v>
          </cell>
          <cell r="L141">
            <v>3.21</v>
          </cell>
        </row>
        <row r="142">
          <cell r="K142">
            <v>34515</v>
          </cell>
          <cell r="L142">
            <v>3.94</v>
          </cell>
        </row>
        <row r="143">
          <cell r="K143">
            <v>34607</v>
          </cell>
          <cell r="L143">
            <v>4.49</v>
          </cell>
        </row>
        <row r="144">
          <cell r="K144">
            <v>34699</v>
          </cell>
          <cell r="L144">
            <v>5.17</v>
          </cell>
        </row>
        <row r="145">
          <cell r="K145">
            <v>34789</v>
          </cell>
          <cell r="L145">
            <v>5.8</v>
          </cell>
        </row>
        <row r="146">
          <cell r="K146">
            <v>34880</v>
          </cell>
          <cell r="L146">
            <v>6.02</v>
          </cell>
        </row>
        <row r="147">
          <cell r="K147">
            <v>34972</v>
          </cell>
          <cell r="L147">
            <v>5.8</v>
          </cell>
        </row>
        <row r="148">
          <cell r="K148">
            <v>35064</v>
          </cell>
          <cell r="L148">
            <v>5.72</v>
          </cell>
        </row>
        <row r="149">
          <cell r="K149">
            <v>35155</v>
          </cell>
          <cell r="L149">
            <v>5.37</v>
          </cell>
        </row>
        <row r="150">
          <cell r="K150">
            <v>35246</v>
          </cell>
          <cell r="L150">
            <v>5.24</v>
          </cell>
        </row>
        <row r="151">
          <cell r="K151">
            <v>35338</v>
          </cell>
          <cell r="L151">
            <v>5.31</v>
          </cell>
        </row>
        <row r="152">
          <cell r="K152">
            <v>35430</v>
          </cell>
          <cell r="L152">
            <v>5.28</v>
          </cell>
        </row>
        <row r="153">
          <cell r="K153">
            <v>35520</v>
          </cell>
          <cell r="L153">
            <v>5.28</v>
          </cell>
        </row>
        <row r="154">
          <cell r="K154">
            <v>35611</v>
          </cell>
          <cell r="L154">
            <v>5.52</v>
          </cell>
        </row>
        <row r="155">
          <cell r="K155">
            <v>35703</v>
          </cell>
          <cell r="L155">
            <v>5.53</v>
          </cell>
        </row>
        <row r="156">
          <cell r="K156">
            <v>35795</v>
          </cell>
          <cell r="L156">
            <v>5.51</v>
          </cell>
        </row>
        <row r="157">
          <cell r="K157">
            <v>35885</v>
          </cell>
          <cell r="L157">
            <v>5.52</v>
          </cell>
        </row>
        <row r="158">
          <cell r="K158">
            <v>35976</v>
          </cell>
          <cell r="L158">
            <v>5.5</v>
          </cell>
        </row>
        <row r="159">
          <cell r="K159">
            <v>36068</v>
          </cell>
          <cell r="L159">
            <v>5.53</v>
          </cell>
        </row>
        <row r="160">
          <cell r="K160">
            <v>36160</v>
          </cell>
          <cell r="L160">
            <v>4.8600000000000003</v>
          </cell>
        </row>
        <row r="161">
          <cell r="K161">
            <v>36250</v>
          </cell>
          <cell r="L161">
            <v>4.7300000000000004</v>
          </cell>
        </row>
        <row r="162">
          <cell r="K162">
            <v>36341</v>
          </cell>
          <cell r="L162">
            <v>4.75</v>
          </cell>
        </row>
        <row r="163">
          <cell r="K163">
            <v>36433</v>
          </cell>
          <cell r="L163">
            <v>5.0999999999999996</v>
          </cell>
        </row>
        <row r="164">
          <cell r="K164">
            <v>36525</v>
          </cell>
          <cell r="L164">
            <v>5.3</v>
          </cell>
        </row>
        <row r="165">
          <cell r="K165">
            <v>36616</v>
          </cell>
          <cell r="L165">
            <v>5.68</v>
          </cell>
        </row>
        <row r="166">
          <cell r="K166">
            <v>36707</v>
          </cell>
          <cell r="L166">
            <v>6.27</v>
          </cell>
        </row>
        <row r="167">
          <cell r="K167">
            <v>36799</v>
          </cell>
          <cell r="L167">
            <v>6.52</v>
          </cell>
        </row>
        <row r="168">
          <cell r="K168">
            <v>36891</v>
          </cell>
          <cell r="L168">
            <v>6.47</v>
          </cell>
        </row>
        <row r="169">
          <cell r="K169">
            <v>36981</v>
          </cell>
          <cell r="L169">
            <v>5.6</v>
          </cell>
        </row>
        <row r="170">
          <cell r="K170">
            <v>37072</v>
          </cell>
          <cell r="L170">
            <v>4.33</v>
          </cell>
        </row>
        <row r="171">
          <cell r="K171">
            <v>37164</v>
          </cell>
          <cell r="L171">
            <v>3.5</v>
          </cell>
        </row>
        <row r="172">
          <cell r="K172">
            <v>37256</v>
          </cell>
          <cell r="L172">
            <v>2.13</v>
          </cell>
        </row>
        <row r="173">
          <cell r="K173">
            <v>37346</v>
          </cell>
          <cell r="L173">
            <v>1.73</v>
          </cell>
        </row>
        <row r="174">
          <cell r="K174">
            <v>37437</v>
          </cell>
          <cell r="L174">
            <v>1.75</v>
          </cell>
        </row>
        <row r="175">
          <cell r="K175">
            <v>37529</v>
          </cell>
          <cell r="L175">
            <v>1.74</v>
          </cell>
        </row>
        <row r="176">
          <cell r="K176">
            <v>37621</v>
          </cell>
          <cell r="L176">
            <v>1.44</v>
          </cell>
        </row>
        <row r="177">
          <cell r="K177">
            <v>37711</v>
          </cell>
          <cell r="L177">
            <v>1.25</v>
          </cell>
        </row>
        <row r="178">
          <cell r="K178">
            <v>37802</v>
          </cell>
          <cell r="L178">
            <v>1.25</v>
          </cell>
        </row>
        <row r="179">
          <cell r="K179">
            <v>37894</v>
          </cell>
          <cell r="L179">
            <v>1.02</v>
          </cell>
        </row>
        <row r="180">
          <cell r="K180">
            <v>37986</v>
          </cell>
          <cell r="L180">
            <v>1</v>
          </cell>
        </row>
        <row r="181">
          <cell r="K181">
            <v>38077</v>
          </cell>
          <cell r="L181">
            <v>1</v>
          </cell>
        </row>
        <row r="182">
          <cell r="K182">
            <v>38168</v>
          </cell>
          <cell r="L182">
            <v>1.01</v>
          </cell>
        </row>
        <row r="183">
          <cell r="K183">
            <v>38260</v>
          </cell>
          <cell r="L183">
            <v>1.43</v>
          </cell>
        </row>
        <row r="184">
          <cell r="K184">
            <v>38352</v>
          </cell>
          <cell r="L184">
            <v>1.95</v>
          </cell>
        </row>
        <row r="185">
          <cell r="K185">
            <v>38442</v>
          </cell>
          <cell r="L185">
            <v>2.4700000000000002</v>
          </cell>
        </row>
        <row r="186">
          <cell r="K186">
            <v>38533</v>
          </cell>
          <cell r="L186">
            <v>2.94</v>
          </cell>
        </row>
        <row r="187">
          <cell r="K187">
            <v>38625</v>
          </cell>
          <cell r="L187">
            <v>3.46</v>
          </cell>
        </row>
        <row r="188">
          <cell r="K188">
            <v>38717</v>
          </cell>
          <cell r="L188">
            <v>3.98</v>
          </cell>
        </row>
        <row r="189">
          <cell r="K189">
            <v>38807</v>
          </cell>
          <cell r="L189">
            <v>4.45</v>
          </cell>
        </row>
        <row r="190">
          <cell r="K190">
            <v>38898</v>
          </cell>
          <cell r="L190">
            <v>4.91</v>
          </cell>
        </row>
        <row r="191">
          <cell r="K191">
            <v>38990</v>
          </cell>
          <cell r="L191">
            <v>5.25</v>
          </cell>
        </row>
        <row r="192">
          <cell r="K192">
            <v>39082</v>
          </cell>
          <cell r="L192">
            <v>5.24</v>
          </cell>
        </row>
        <row r="193">
          <cell r="K193">
            <v>39172</v>
          </cell>
          <cell r="L193">
            <v>5.25</v>
          </cell>
        </row>
        <row r="194">
          <cell r="K194">
            <v>39263</v>
          </cell>
          <cell r="L194">
            <v>5.25</v>
          </cell>
        </row>
        <row r="195">
          <cell r="K195">
            <v>39355</v>
          </cell>
          <cell r="L195">
            <v>5.07</v>
          </cell>
        </row>
        <row r="196">
          <cell r="K196">
            <v>39447</v>
          </cell>
          <cell r="L196">
            <v>4.5</v>
          </cell>
        </row>
        <row r="197">
          <cell r="K197">
            <v>39538</v>
          </cell>
          <cell r="L197">
            <v>3.18</v>
          </cell>
        </row>
        <row r="198">
          <cell r="K198">
            <v>39629</v>
          </cell>
          <cell r="L198">
            <v>2.08</v>
          </cell>
        </row>
        <row r="199">
          <cell r="K199">
            <v>39721</v>
          </cell>
          <cell r="L199">
            <v>1.94</v>
          </cell>
        </row>
        <row r="200">
          <cell r="K200">
            <v>39813</v>
          </cell>
          <cell r="L200">
            <v>0.51</v>
          </cell>
          <cell r="M200">
            <v>0.51</v>
          </cell>
        </row>
        <row r="201">
          <cell r="K201">
            <v>39903</v>
          </cell>
          <cell r="L201">
            <v>0.18</v>
          </cell>
          <cell r="M201">
            <v>0.2</v>
          </cell>
          <cell r="N201">
            <v>0.18</v>
          </cell>
        </row>
        <row r="202">
          <cell r="K202">
            <v>39994</v>
          </cell>
          <cell r="L202">
            <v>0.18</v>
          </cell>
          <cell r="M202">
            <v>0.4</v>
          </cell>
          <cell r="N202">
            <v>0.2</v>
          </cell>
          <cell r="O202">
            <v>0.18</v>
          </cell>
        </row>
        <row r="203">
          <cell r="K203">
            <v>40086</v>
          </cell>
          <cell r="L203">
            <v>0.15</v>
          </cell>
          <cell r="M203">
            <v>0.6</v>
          </cell>
          <cell r="N203">
            <v>0.3</v>
          </cell>
          <cell r="O203">
            <v>0.2</v>
          </cell>
          <cell r="P203">
            <v>0.15</v>
          </cell>
        </row>
        <row r="204">
          <cell r="K204">
            <v>40178</v>
          </cell>
          <cell r="L204">
            <v>0.12</v>
          </cell>
          <cell r="M204">
            <v>0.8</v>
          </cell>
          <cell r="N204">
            <v>0.5</v>
          </cell>
          <cell r="O204">
            <v>0.4</v>
          </cell>
          <cell r="P204">
            <v>0.2</v>
          </cell>
          <cell r="Q204">
            <v>0.12</v>
          </cell>
        </row>
        <row r="205">
          <cell r="K205">
            <v>40268</v>
          </cell>
          <cell r="L205">
            <v>0.13</v>
          </cell>
          <cell r="M205">
            <v>1</v>
          </cell>
          <cell r="N205">
            <v>0.6</v>
          </cell>
          <cell r="O205">
            <v>0.7</v>
          </cell>
          <cell r="P205">
            <v>0.4</v>
          </cell>
          <cell r="Q205">
            <v>0.2</v>
          </cell>
          <cell r="R205">
            <v>0.13</v>
          </cell>
        </row>
        <row r="206">
          <cell r="K206">
            <v>40359</v>
          </cell>
          <cell r="L206">
            <v>0.19</v>
          </cell>
          <cell r="M206">
            <v>1.2</v>
          </cell>
          <cell r="N206">
            <v>0.8</v>
          </cell>
          <cell r="O206">
            <v>1.1000000000000001</v>
          </cell>
          <cell r="P206">
            <v>0.7</v>
          </cell>
          <cell r="Q206">
            <v>0.4</v>
          </cell>
          <cell r="R206">
            <v>0.2</v>
          </cell>
          <cell r="S206">
            <v>0.19</v>
          </cell>
        </row>
        <row r="207">
          <cell r="K207">
            <v>40451</v>
          </cell>
          <cell r="L207">
            <v>0.19</v>
          </cell>
          <cell r="N207">
            <v>1.1000000000000001</v>
          </cell>
          <cell r="O207">
            <v>1.4</v>
          </cell>
          <cell r="P207">
            <v>1</v>
          </cell>
          <cell r="Q207">
            <v>0.8</v>
          </cell>
          <cell r="R207">
            <v>0.4</v>
          </cell>
          <cell r="S207">
            <v>0.2</v>
          </cell>
          <cell r="T207">
            <v>0.19</v>
          </cell>
        </row>
        <row r="208">
          <cell r="K208">
            <v>40543</v>
          </cell>
          <cell r="L208">
            <v>0.19</v>
          </cell>
          <cell r="O208">
            <v>1.8</v>
          </cell>
          <cell r="P208">
            <v>1.4</v>
          </cell>
          <cell r="Q208">
            <v>1.2</v>
          </cell>
          <cell r="R208">
            <v>0.6</v>
          </cell>
          <cell r="S208">
            <v>0.3</v>
          </cell>
          <cell r="T208">
            <v>0.2</v>
          </cell>
          <cell r="U208">
            <v>0.19</v>
          </cell>
        </row>
        <row r="209">
          <cell r="K209">
            <v>40633</v>
          </cell>
          <cell r="L209">
            <v>0.15</v>
          </cell>
          <cell r="P209">
            <v>1.8</v>
          </cell>
          <cell r="Q209">
            <v>1.6</v>
          </cell>
          <cell r="R209">
            <v>0.9</v>
          </cell>
          <cell r="S209">
            <v>0.4</v>
          </cell>
          <cell r="T209">
            <v>0.2</v>
          </cell>
          <cell r="U209">
            <v>0.2</v>
          </cell>
          <cell r="V209">
            <v>0.15</v>
          </cell>
        </row>
        <row r="210">
          <cell r="K210">
            <v>40724</v>
          </cell>
          <cell r="L210">
            <v>0.09</v>
          </cell>
          <cell r="Q210">
            <v>2</v>
          </cell>
          <cell r="R210">
            <v>1.2</v>
          </cell>
          <cell r="S210">
            <v>0.5</v>
          </cell>
          <cell r="T210">
            <v>0.2</v>
          </cell>
          <cell r="U210">
            <v>0.2</v>
          </cell>
          <cell r="V210">
            <v>0.1</v>
          </cell>
          <cell r="W210">
            <v>0.09</v>
          </cell>
        </row>
        <row r="211">
          <cell r="K211">
            <v>40816</v>
          </cell>
          <cell r="L211">
            <v>0.08</v>
          </cell>
          <cell r="R211">
            <v>1.6</v>
          </cell>
          <cell r="S211">
            <v>0.6</v>
          </cell>
          <cell r="T211">
            <v>0.3</v>
          </cell>
          <cell r="U211">
            <v>0.3</v>
          </cell>
          <cell r="V211">
            <v>0.2</v>
          </cell>
          <cell r="W211">
            <v>0.1</v>
          </cell>
          <cell r="X211">
            <v>0.08</v>
          </cell>
        </row>
        <row r="212">
          <cell r="K212">
            <v>40908</v>
          </cell>
          <cell r="L212">
            <v>7.0000000000000007E-2</v>
          </cell>
          <cell r="S212">
            <v>0.8</v>
          </cell>
          <cell r="T212">
            <v>0.4</v>
          </cell>
          <cell r="U212">
            <v>0.4</v>
          </cell>
          <cell r="V212">
            <v>0.4</v>
          </cell>
          <cell r="W212">
            <v>0.2</v>
          </cell>
          <cell r="X212">
            <v>0.1</v>
          </cell>
          <cell r="Y212">
            <v>7.0000000000000007E-2</v>
          </cell>
        </row>
        <row r="213">
          <cell r="K213">
            <v>40999</v>
          </cell>
          <cell r="L213">
            <v>0.1</v>
          </cell>
          <cell r="T213">
            <v>0.5</v>
          </cell>
          <cell r="U213">
            <v>0.6</v>
          </cell>
          <cell r="V213">
            <v>0.7</v>
          </cell>
          <cell r="W213">
            <v>0.3</v>
          </cell>
          <cell r="X213">
            <v>0.1</v>
          </cell>
          <cell r="Y213">
            <v>0.1</v>
          </cell>
          <cell r="Z213">
            <v>0.1</v>
          </cell>
        </row>
        <row r="214">
          <cell r="K214">
            <v>41090</v>
          </cell>
          <cell r="L214">
            <v>0.15</v>
          </cell>
          <cell r="U214">
            <v>0.8</v>
          </cell>
          <cell r="V214">
            <v>0.9</v>
          </cell>
          <cell r="W214">
            <v>0.4</v>
          </cell>
          <cell r="X214">
            <v>0.1</v>
          </cell>
          <cell r="Y214">
            <v>0.1</v>
          </cell>
          <cell r="Z214">
            <v>0.1</v>
          </cell>
          <cell r="AA214">
            <v>0.15</v>
          </cell>
        </row>
        <row r="215">
          <cell r="K215">
            <v>41182</v>
          </cell>
          <cell r="L215">
            <v>0.14000000000000001</v>
          </cell>
          <cell r="V215">
            <v>1.2</v>
          </cell>
          <cell r="W215">
            <v>0.5</v>
          </cell>
          <cell r="X215">
            <v>0.1</v>
          </cell>
          <cell r="Y215">
            <v>0.1</v>
          </cell>
          <cell r="Z215">
            <v>0.1</v>
          </cell>
          <cell r="AA215">
            <v>0.2</v>
          </cell>
          <cell r="AB215">
            <v>0.14000000000000001</v>
          </cell>
        </row>
        <row r="216">
          <cell r="K216">
            <v>41274</v>
          </cell>
          <cell r="L216">
            <v>0.16</v>
          </cell>
          <cell r="W216">
            <v>0.7</v>
          </cell>
          <cell r="X216">
            <v>0.2</v>
          </cell>
          <cell r="Y216">
            <v>0.1</v>
          </cell>
          <cell r="Z216">
            <v>0.2</v>
          </cell>
          <cell r="AA216">
            <v>0.2</v>
          </cell>
          <cell r="AB216">
            <v>0.1</v>
          </cell>
          <cell r="AC216">
            <v>0.16</v>
          </cell>
        </row>
        <row r="217">
          <cell r="K217">
            <v>41364</v>
          </cell>
          <cell r="L217">
            <v>0.14000000000000001</v>
          </cell>
          <cell r="X217">
            <v>0.2</v>
          </cell>
          <cell r="Y217">
            <v>0.2</v>
          </cell>
          <cell r="Z217">
            <v>0.2</v>
          </cell>
          <cell r="AA217">
            <v>0.2</v>
          </cell>
          <cell r="AB217">
            <v>0.1</v>
          </cell>
          <cell r="AC217">
            <v>0.1</v>
          </cell>
          <cell r="AD217">
            <v>0.14000000000000001</v>
          </cell>
        </row>
        <row r="218">
          <cell r="K218">
            <v>41455</v>
          </cell>
          <cell r="L218">
            <v>0.12</v>
          </cell>
          <cell r="Y218">
            <v>0.2</v>
          </cell>
          <cell r="Z218">
            <v>0.3</v>
          </cell>
          <cell r="AA218">
            <v>0.2</v>
          </cell>
          <cell r="AB218">
            <v>0.1</v>
          </cell>
          <cell r="AC218">
            <v>0.1</v>
          </cell>
          <cell r="AD218">
            <v>0.1</v>
          </cell>
          <cell r="AE218">
            <v>0.12</v>
          </cell>
        </row>
        <row r="219">
          <cell r="K219">
            <v>41547</v>
          </cell>
          <cell r="L219">
            <v>0.09</v>
          </cell>
          <cell r="Z219">
            <v>0.3</v>
          </cell>
          <cell r="AA219">
            <v>0.2</v>
          </cell>
          <cell r="AB219">
            <v>0.1</v>
          </cell>
          <cell r="AC219">
            <v>0.1</v>
          </cell>
          <cell r="AD219">
            <v>0.1</v>
          </cell>
          <cell r="AE219">
            <v>0.1</v>
          </cell>
          <cell r="AF219">
            <v>0.09</v>
          </cell>
        </row>
        <row r="220">
          <cell r="K220">
            <v>41639</v>
          </cell>
          <cell r="L220">
            <v>0.09</v>
          </cell>
          <cell r="AA220">
            <v>0.3</v>
          </cell>
          <cell r="AB220">
            <v>0.1</v>
          </cell>
          <cell r="AC220">
            <v>0.1</v>
          </cell>
          <cell r="AD220">
            <v>0.1</v>
          </cell>
          <cell r="AE220">
            <v>0.2</v>
          </cell>
          <cell r="AF220">
            <v>0.1</v>
          </cell>
          <cell r="AG220">
            <v>0.09</v>
          </cell>
        </row>
        <row r="221">
          <cell r="K221">
            <v>41729</v>
          </cell>
          <cell r="L221">
            <v>7.0000000000000007E-2</v>
          </cell>
          <cell r="AB221">
            <v>0.1</v>
          </cell>
          <cell r="AC221">
            <v>0.1</v>
          </cell>
          <cell r="AD221">
            <v>0.1</v>
          </cell>
          <cell r="AE221">
            <v>0.2</v>
          </cell>
          <cell r="AF221">
            <v>0.1</v>
          </cell>
          <cell r="AG221">
            <v>0.1</v>
          </cell>
          <cell r="AH221">
            <v>7.0000000000000007E-2</v>
          </cell>
        </row>
        <row r="222">
          <cell r="K222">
            <v>41820</v>
          </cell>
          <cell r="L222">
            <v>0.09</v>
          </cell>
          <cell r="AC222">
            <v>0.2</v>
          </cell>
          <cell r="AD222">
            <v>0.2</v>
          </cell>
          <cell r="AE222">
            <v>0.3</v>
          </cell>
          <cell r="AF222">
            <v>0.1</v>
          </cell>
          <cell r="AG222">
            <v>0.1</v>
          </cell>
          <cell r="AH222">
            <v>0.1</v>
          </cell>
          <cell r="AI222">
            <v>0.09</v>
          </cell>
        </row>
        <row r="223">
          <cell r="K223">
            <v>41912</v>
          </cell>
          <cell r="L223">
            <v>0.09</v>
          </cell>
          <cell r="AD223">
            <v>0.2</v>
          </cell>
          <cell r="AE223">
            <v>0.4</v>
          </cell>
          <cell r="AF223">
            <v>0.2</v>
          </cell>
          <cell r="AG223">
            <v>0.1</v>
          </cell>
          <cell r="AH223">
            <v>0.1</v>
          </cell>
          <cell r="AI223">
            <v>0.1</v>
          </cell>
          <cell r="AJ223">
            <v>0.09</v>
          </cell>
        </row>
        <row r="224">
          <cell r="K224">
            <v>42004</v>
          </cell>
          <cell r="L224">
            <v>0.1</v>
          </cell>
          <cell r="AE224">
            <v>0.5</v>
          </cell>
          <cell r="AF224">
            <v>0.2</v>
          </cell>
          <cell r="AG224">
            <v>0.2</v>
          </cell>
          <cell r="AH224">
            <v>0.1</v>
          </cell>
          <cell r="AI224">
            <v>0.1</v>
          </cell>
          <cell r="AJ224">
            <v>0.1</v>
          </cell>
          <cell r="AK224">
            <v>0.1</v>
          </cell>
        </row>
        <row r="225">
          <cell r="K225">
            <v>42094</v>
          </cell>
          <cell r="L225">
            <v>0.11</v>
          </cell>
          <cell r="AF225">
            <v>0.3</v>
          </cell>
          <cell r="AG225">
            <v>0.3</v>
          </cell>
          <cell r="AH225">
            <v>0.2</v>
          </cell>
          <cell r="AI225">
            <v>0.2</v>
          </cell>
          <cell r="AJ225">
            <v>0.1</v>
          </cell>
          <cell r="AK225">
            <v>0.1</v>
          </cell>
          <cell r="AL225">
            <v>0.11</v>
          </cell>
        </row>
        <row r="226">
          <cell r="K226">
            <v>42185</v>
          </cell>
          <cell r="L226">
            <v>0.13</v>
          </cell>
          <cell r="AG226">
            <v>0.4</v>
          </cell>
          <cell r="AH226">
            <v>0.4</v>
          </cell>
          <cell r="AI226">
            <v>0.3</v>
          </cell>
          <cell r="AJ226">
            <v>0.2</v>
          </cell>
          <cell r="AK226">
            <v>0.2</v>
          </cell>
          <cell r="AL226">
            <v>0.13</v>
          </cell>
        </row>
        <row r="227">
          <cell r="K227">
            <v>42277</v>
          </cell>
          <cell r="L227">
            <v>0.13</v>
          </cell>
        </row>
        <row r="228">
          <cell r="K228">
            <v>42369</v>
          </cell>
          <cell r="L228">
            <v>0.16</v>
          </cell>
        </row>
        <row r="229">
          <cell r="K229">
            <v>42460</v>
          </cell>
          <cell r="L229">
            <v>0.36</v>
          </cell>
        </row>
        <row r="230">
          <cell r="K230">
            <v>42551</v>
          </cell>
          <cell r="L230">
            <v>0.37</v>
          </cell>
        </row>
        <row r="231">
          <cell r="K231">
            <v>42643</v>
          </cell>
          <cell r="L231">
            <v>0.39</v>
          </cell>
        </row>
        <row r="232">
          <cell r="K232">
            <v>42735</v>
          </cell>
          <cell r="L232">
            <v>0.45</v>
          </cell>
        </row>
        <row r="233">
          <cell r="K233">
            <v>42825</v>
          </cell>
          <cell r="L233">
            <v>0.7</v>
          </cell>
        </row>
        <row r="234">
          <cell r="K234">
            <v>42916</v>
          </cell>
          <cell r="L234">
            <v>0.95</v>
          </cell>
        </row>
        <row r="235">
          <cell r="K235">
            <v>43008</v>
          </cell>
          <cell r="L235">
            <v>1.1499999999999999</v>
          </cell>
        </row>
        <row r="236">
          <cell r="K236">
            <v>43100</v>
          </cell>
          <cell r="L236">
            <v>1.2</v>
          </cell>
        </row>
        <row r="237">
          <cell r="K237">
            <v>43190</v>
          </cell>
          <cell r="L237">
            <v>1.45</v>
          </cell>
        </row>
        <row r="238">
          <cell r="K238">
            <v>43281</v>
          </cell>
          <cell r="L238">
            <v>1.74</v>
          </cell>
        </row>
        <row r="239">
          <cell r="K239">
            <v>43373</v>
          </cell>
          <cell r="L239">
            <v>1.93</v>
          </cell>
        </row>
        <row r="240">
          <cell r="K240">
            <v>43465</v>
          </cell>
          <cell r="L240">
            <v>2.2200000000000002</v>
          </cell>
        </row>
        <row r="241">
          <cell r="K241">
            <v>43555</v>
          </cell>
          <cell r="L241">
            <v>2.4</v>
          </cell>
        </row>
        <row r="242">
          <cell r="K242">
            <v>43646</v>
          </cell>
          <cell r="L242">
            <v>2.4</v>
          </cell>
        </row>
        <row r="243">
          <cell r="K243">
            <v>43738</v>
          </cell>
          <cell r="L243">
            <v>2.19</v>
          </cell>
        </row>
        <row r="244">
          <cell r="K244">
            <v>43830</v>
          </cell>
          <cell r="L244">
            <v>1.65</v>
          </cell>
        </row>
        <row r="245">
          <cell r="K245">
            <v>43921</v>
          </cell>
          <cell r="L245">
            <v>1.25</v>
          </cell>
        </row>
        <row r="246">
          <cell r="K246">
            <v>44012</v>
          </cell>
          <cell r="L246">
            <v>0.06</v>
          </cell>
          <cell r="M246">
            <v>6.8000000000000005E-2</v>
          </cell>
          <cell r="N246">
            <v>0.06</v>
          </cell>
        </row>
        <row r="247">
          <cell r="K247">
            <v>44104</v>
          </cell>
          <cell r="L247">
            <v>0.09</v>
          </cell>
          <cell r="M247">
            <v>6.8000000000000005E-2</v>
          </cell>
          <cell r="N247">
            <v>0.04</v>
          </cell>
          <cell r="O247">
            <v>0.09</v>
          </cell>
        </row>
        <row r="248">
          <cell r="K248">
            <v>44196</v>
          </cell>
          <cell r="L248">
            <v>0.09</v>
          </cell>
          <cell r="M248">
            <v>9.6000000000000002E-2</v>
          </cell>
          <cell r="N248">
            <v>1.2E-2</v>
          </cell>
          <cell r="O248">
            <v>6.9000000000000006E-2</v>
          </cell>
          <cell r="P248">
            <v>0.09</v>
          </cell>
        </row>
        <row r="249">
          <cell r="K249">
            <v>44286</v>
          </cell>
          <cell r="L249">
            <v>0.08</v>
          </cell>
          <cell r="M249">
            <v>0.1</v>
          </cell>
          <cell r="N249">
            <v>0</v>
          </cell>
          <cell r="O249">
            <v>6.0299999999999999E-2</v>
          </cell>
          <cell r="P249">
            <v>7.7700000000000005E-2</v>
          </cell>
          <cell r="Q249">
            <v>0.08</v>
          </cell>
        </row>
        <row r="250">
          <cell r="K250">
            <v>44377</v>
          </cell>
          <cell r="L250">
            <v>7.0000000000000007E-2</v>
          </cell>
          <cell r="M250">
            <v>0.104</v>
          </cell>
          <cell r="N250">
            <v>0</v>
          </cell>
          <cell r="O250">
            <v>5.5E-2</v>
          </cell>
          <cell r="P250">
            <v>7.7100000000000002E-2</v>
          </cell>
          <cell r="Q250">
            <v>7.5399999999999995E-2</v>
          </cell>
          <cell r="R250">
            <v>0.08</v>
          </cell>
        </row>
        <row r="251">
          <cell r="K251">
            <v>44469</v>
          </cell>
          <cell r="L251">
            <v>0.09</v>
          </cell>
          <cell r="M251">
            <v>0.108</v>
          </cell>
          <cell r="N251">
            <v>0</v>
          </cell>
          <cell r="O251">
            <v>4.4900000000000002E-2</v>
          </cell>
          <cell r="P251">
            <v>8.1500000000000003E-2</v>
          </cell>
          <cell r="Q251">
            <v>8.4099999999999994E-2</v>
          </cell>
          <cell r="R251">
            <v>8.3400000000000002E-2</v>
          </cell>
          <cell r="S251">
            <v>0.09</v>
          </cell>
        </row>
        <row r="252">
          <cell r="K252">
            <v>44561</v>
          </cell>
          <cell r="L252">
            <v>0.08</v>
          </cell>
          <cell r="N252">
            <v>0</v>
          </cell>
          <cell r="O252">
            <v>3.49E-2</v>
          </cell>
          <cell r="P252">
            <v>9.7900000000000001E-2</v>
          </cell>
          <cell r="Q252">
            <v>8.3199999999999996E-2</v>
          </cell>
          <cell r="R252">
            <v>8.3000000000000004E-2</v>
          </cell>
          <cell r="S252">
            <v>0.23150000000000001</v>
          </cell>
          <cell r="T252">
            <v>0.08</v>
          </cell>
        </row>
        <row r="253">
          <cell r="K253">
            <v>44651</v>
          </cell>
          <cell r="L253">
            <v>0.12</v>
          </cell>
          <cell r="O253">
            <v>3.15E-2</v>
          </cell>
          <cell r="P253">
            <v>9.7600000000000006E-2</v>
          </cell>
          <cell r="Q253">
            <v>0.1082</v>
          </cell>
          <cell r="R253">
            <v>8.5800000000000001E-2</v>
          </cell>
          <cell r="S253">
            <v>0.56359999999999999</v>
          </cell>
          <cell r="T253">
            <v>0.1988</v>
          </cell>
          <cell r="U253">
            <v>0.12</v>
          </cell>
        </row>
        <row r="254">
          <cell r="K254">
            <v>44742</v>
          </cell>
          <cell r="L254">
            <v>0.77</v>
          </cell>
          <cell r="P254">
            <v>9.7799999999999998E-2</v>
          </cell>
          <cell r="Q254">
            <v>0.1361</v>
          </cell>
          <cell r="R254">
            <v>0.1069</v>
          </cell>
          <cell r="S254">
            <v>0.7278</v>
          </cell>
          <cell r="T254">
            <v>0.44719999999999999</v>
          </cell>
          <cell r="U254">
            <v>0.76249999999999996</v>
          </cell>
          <cell r="V254">
            <v>0.77</v>
          </cell>
        </row>
        <row r="255">
          <cell r="K255">
            <v>44834</v>
          </cell>
          <cell r="L255">
            <v>2.1800000000000002</v>
          </cell>
          <cell r="Q255">
            <v>0.18779999999999999</v>
          </cell>
          <cell r="R255">
            <v>0.14979999999999999</v>
          </cell>
          <cell r="S255">
            <v>0.9516</v>
          </cell>
          <cell r="T255">
            <v>0.61739999999999995</v>
          </cell>
          <cell r="U255">
            <v>0.99039999999999995</v>
          </cell>
          <cell r="V255">
            <v>1.3130999999999999</v>
          </cell>
          <cell r="W255">
            <v>2.1800000000000002</v>
          </cell>
        </row>
        <row r="256">
          <cell r="K256">
            <v>44926</v>
          </cell>
          <cell r="L256">
            <v>3.65</v>
          </cell>
          <cell r="R256">
            <v>0.21329999999999999</v>
          </cell>
          <cell r="S256">
            <v>1.1567000000000001</v>
          </cell>
          <cell r="T256">
            <v>0.79830000000000001</v>
          </cell>
          <cell r="U256">
            <v>1.2964</v>
          </cell>
          <cell r="V256">
            <v>2.1343000000000001</v>
          </cell>
          <cell r="W256">
            <v>2.867</v>
          </cell>
          <cell r="X256">
            <v>3.65</v>
          </cell>
        </row>
        <row r="257">
          <cell r="K257">
            <v>45016</v>
          </cell>
          <cell r="L257">
            <v>4.51</v>
          </cell>
          <cell r="S257">
            <v>1.3374999999999999</v>
          </cell>
          <cell r="T257">
            <v>0.97650000000000003</v>
          </cell>
          <cell r="U257">
            <v>1.5154000000000001</v>
          </cell>
          <cell r="V257">
            <v>2.6865999999999999</v>
          </cell>
          <cell r="W257">
            <v>3.5249999999999999</v>
          </cell>
          <cell r="Y257">
            <v>4.51</v>
          </cell>
        </row>
        <row r="258">
          <cell r="K258">
            <v>45107</v>
          </cell>
          <cell r="L258">
            <v>4.99</v>
          </cell>
          <cell r="T258">
            <v>1.1335</v>
          </cell>
          <cell r="U258">
            <v>1.6072</v>
          </cell>
          <cell r="V258">
            <v>3.2749999999999999</v>
          </cell>
          <cell r="W258">
            <v>3.5992000000000002</v>
          </cell>
          <cell r="X258">
            <v>4.8994999999999997</v>
          </cell>
          <cell r="Z258">
            <v>4.99</v>
          </cell>
        </row>
        <row r="259">
          <cell r="K259">
            <v>45199</v>
          </cell>
          <cell r="L259">
            <v>5.26</v>
          </cell>
          <cell r="U259">
            <v>1.6466000000000001</v>
          </cell>
          <cell r="V259">
            <v>3.2850999999999999</v>
          </cell>
          <cell r="W259">
            <v>3.4552</v>
          </cell>
          <cell r="X259">
            <v>5.0027999999999997</v>
          </cell>
          <cell r="Y259">
            <v>5.1219000000000001</v>
          </cell>
          <cell r="Z259">
            <v>5.3666</v>
          </cell>
          <cell r="AA259">
            <v>5.26</v>
          </cell>
        </row>
        <row r="260">
          <cell r="K260">
            <v>45291</v>
          </cell>
          <cell r="L260">
            <v>5.33</v>
          </cell>
          <cell r="V260">
            <v>3.2238000000000002</v>
          </cell>
          <cell r="W260">
            <v>3.2763</v>
          </cell>
          <cell r="X260">
            <v>4.6388999999999996</v>
          </cell>
          <cell r="Y260">
            <v>4.9771000000000001</v>
          </cell>
          <cell r="Z260">
            <v>5.3437999999999999</v>
          </cell>
          <cell r="AA260">
            <v>5.3876999999999997</v>
          </cell>
          <cell r="AB260">
            <v>5.33</v>
          </cell>
        </row>
        <row r="261">
          <cell r="K261">
            <v>45382</v>
          </cell>
          <cell r="L261">
            <v>5.33</v>
          </cell>
          <cell r="W261">
            <v>3.0510999999999999</v>
          </cell>
          <cell r="X261">
            <v>4.2337999999999996</v>
          </cell>
          <cell r="Y261">
            <v>4.6616</v>
          </cell>
          <cell r="Z261">
            <v>5.0533000000000001</v>
          </cell>
          <cell r="AA261">
            <v>5.3830999999999998</v>
          </cell>
          <cell r="AC261">
            <v>5.33</v>
          </cell>
        </row>
        <row r="262">
          <cell r="K262">
            <v>45473</v>
          </cell>
          <cell r="L262">
            <v>5.33</v>
          </cell>
          <cell r="X262">
            <v>3.8172000000000001</v>
          </cell>
          <cell r="Y262">
            <v>4.2046000000000001</v>
          </cell>
          <cell r="Z262">
            <v>4.6668000000000003</v>
          </cell>
          <cell r="AA262">
            <v>5.1821999999999999</v>
          </cell>
          <cell r="AB262">
            <v>5.2870999999999997</v>
          </cell>
          <cell r="AC262">
            <v>5.2561</v>
          </cell>
          <cell r="AD262">
            <v>5.33</v>
          </cell>
        </row>
        <row r="263">
          <cell r="K263">
            <v>45565</v>
          </cell>
          <cell r="L263">
            <v>5.26</v>
          </cell>
          <cell r="Y263">
            <v>3.8521000000000001</v>
          </cell>
          <cell r="Z263">
            <v>4.2843</v>
          </cell>
          <cell r="AA263">
            <v>4.93</v>
          </cell>
          <cell r="AB263">
            <v>5.0575000000000001</v>
          </cell>
          <cell r="AC263">
            <v>5.0744999999999996</v>
          </cell>
          <cell r="AD263">
            <v>5.1374000000000004</v>
          </cell>
          <cell r="AE263">
            <v>5.26</v>
          </cell>
        </row>
        <row r="264">
          <cell r="K264">
            <v>45657</v>
          </cell>
          <cell r="L264">
            <v>4.6500000000000004</v>
          </cell>
          <cell r="Z264">
            <v>3.9142999999999999</v>
          </cell>
          <cell r="AA264">
            <v>4.7195</v>
          </cell>
          <cell r="AB264">
            <v>4.7455999999999996</v>
          </cell>
          <cell r="AC264">
            <v>4.8766999999999996</v>
          </cell>
          <cell r="AD264">
            <v>4.7152000000000003</v>
          </cell>
        </row>
        <row r="265">
          <cell r="K265">
            <v>45747</v>
          </cell>
          <cell r="L265">
            <v>4.33</v>
          </cell>
          <cell r="AA265">
            <v>4.5320999999999998</v>
          </cell>
          <cell r="AB265">
            <v>4.4351000000000003</v>
          </cell>
          <cell r="AC265">
            <v>4.6829999999999998</v>
          </cell>
          <cell r="AD265">
            <v>4.2916999999999996</v>
          </cell>
          <cell r="AE265">
            <v>4.3564999999999996</v>
          </cell>
        </row>
        <row r="266">
          <cell r="K266">
            <v>45838</v>
          </cell>
          <cell r="L266">
            <v>4.33</v>
          </cell>
          <cell r="AB266">
            <v>4.1494999999999997</v>
          </cell>
          <cell r="AC266">
            <v>4.5012999999999996</v>
          </cell>
          <cell r="AD266">
            <v>3.9447000000000001</v>
          </cell>
          <cell r="AE266">
            <v>3.8064</v>
          </cell>
        </row>
      </sheetData>
      <sheetData sheetId="1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workbookViewId="0">
      <selection activeCell="C2" sqref="C2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dimension ref="A1:BV132"/>
  <sheetViews>
    <sheetView topLeftCell="AI5" zoomScale="106" zoomScaleNormal="115" workbookViewId="0">
      <selection activeCell="AZ21" sqref="AZ21"/>
    </sheetView>
  </sheetViews>
  <sheetFormatPr defaultRowHeight="15" x14ac:dyDescent="0.25"/>
  <cols>
    <col min="1" max="1" width="12.5703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243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:AI33" si="1">+SUM(Z2:AH2)</f>
        <v>0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AB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AB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AB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AB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 x14ac:dyDescent="0.2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dimension ref="A1:BO266"/>
  <sheetViews>
    <sheetView topLeftCell="AT36" zoomScale="138" zoomScaleNormal="138" workbookViewId="0">
      <selection activeCell="I15" sqref="I15"/>
    </sheetView>
  </sheetViews>
  <sheetFormatPr defaultRowHeight="15" x14ac:dyDescent="0.2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 x14ac:dyDescent="0.25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D2" t="s">
        <v>3</v>
      </c>
      <c r="K2" t="s">
        <v>13</v>
      </c>
      <c r="L2" t="s">
        <v>230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231</v>
      </c>
      <c r="AU2" t="s">
        <v>232</v>
      </c>
      <c r="AV2" t="s">
        <v>233</v>
      </c>
      <c r="AW2" t="s">
        <v>234</v>
      </c>
      <c r="AX2" t="s">
        <v>235</v>
      </c>
      <c r="AY2" t="s">
        <v>236</v>
      </c>
      <c r="BJ2" t="s">
        <v>237</v>
      </c>
      <c r="BK2" t="s">
        <v>238</v>
      </c>
      <c r="BL2" t="s">
        <v>239</v>
      </c>
      <c r="BM2" t="s">
        <v>240</v>
      </c>
      <c r="BN2" t="s">
        <v>241</v>
      </c>
      <c r="BO2" t="s">
        <v>242</v>
      </c>
    </row>
    <row r="3" spans="1:67" x14ac:dyDescent="0.25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 x14ac:dyDescent="0.25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 x14ac:dyDescent="0.25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 x14ac:dyDescent="0.25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 x14ac:dyDescent="0.25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 x14ac:dyDescent="0.25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 x14ac:dyDescent="0.25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 x14ac:dyDescent="0.25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 x14ac:dyDescent="0.25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 x14ac:dyDescent="0.25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 x14ac:dyDescent="0.25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 x14ac:dyDescent="0.25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 x14ac:dyDescent="0.25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 x14ac:dyDescent="0.25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 x14ac:dyDescent="0.25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 x14ac:dyDescent="0.25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 x14ac:dyDescent="0.25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 x14ac:dyDescent="0.25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 x14ac:dyDescent="0.25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 x14ac:dyDescent="0.25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 x14ac:dyDescent="0.25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 x14ac:dyDescent="0.25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 x14ac:dyDescent="0.25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 x14ac:dyDescent="0.25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 x14ac:dyDescent="0.25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 x14ac:dyDescent="0.25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 x14ac:dyDescent="0.25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 x14ac:dyDescent="0.25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 x14ac:dyDescent="0.25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 x14ac:dyDescent="0.25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 x14ac:dyDescent="0.25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 x14ac:dyDescent="0.25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 x14ac:dyDescent="0.25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 x14ac:dyDescent="0.25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 x14ac:dyDescent="0.25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 x14ac:dyDescent="0.25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 x14ac:dyDescent="0.25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 x14ac:dyDescent="0.25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 x14ac:dyDescent="0.25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 x14ac:dyDescent="0.25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 x14ac:dyDescent="0.25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 x14ac:dyDescent="0.25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 x14ac:dyDescent="0.25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 x14ac:dyDescent="0.25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 x14ac:dyDescent="0.25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 x14ac:dyDescent="0.25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 x14ac:dyDescent="0.25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 x14ac:dyDescent="0.25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 x14ac:dyDescent="0.25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 x14ac:dyDescent="0.25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 x14ac:dyDescent="0.25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 x14ac:dyDescent="0.25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 x14ac:dyDescent="0.25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 x14ac:dyDescent="0.25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 x14ac:dyDescent="0.25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 x14ac:dyDescent="0.25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 x14ac:dyDescent="0.25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 x14ac:dyDescent="0.25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 x14ac:dyDescent="0.25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 x14ac:dyDescent="0.25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 x14ac:dyDescent="0.25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 x14ac:dyDescent="0.25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 x14ac:dyDescent="0.25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 x14ac:dyDescent="0.25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 x14ac:dyDescent="0.25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 x14ac:dyDescent="0.25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 x14ac:dyDescent="0.25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 x14ac:dyDescent="0.25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 x14ac:dyDescent="0.25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 x14ac:dyDescent="0.25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 x14ac:dyDescent="0.25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 x14ac:dyDescent="0.25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 x14ac:dyDescent="0.25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 x14ac:dyDescent="0.25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 x14ac:dyDescent="0.25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 x14ac:dyDescent="0.25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 x14ac:dyDescent="0.25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 x14ac:dyDescent="0.25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 x14ac:dyDescent="0.25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 x14ac:dyDescent="0.25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 x14ac:dyDescent="0.25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 x14ac:dyDescent="0.25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 x14ac:dyDescent="0.25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 x14ac:dyDescent="0.25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 x14ac:dyDescent="0.25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 x14ac:dyDescent="0.25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 x14ac:dyDescent="0.25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 x14ac:dyDescent="0.25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 x14ac:dyDescent="0.25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 x14ac:dyDescent="0.25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 x14ac:dyDescent="0.25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 x14ac:dyDescent="0.25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 x14ac:dyDescent="0.25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 x14ac:dyDescent="0.25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 x14ac:dyDescent="0.25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 x14ac:dyDescent="0.25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 x14ac:dyDescent="0.25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 x14ac:dyDescent="0.25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 x14ac:dyDescent="0.25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 x14ac:dyDescent="0.25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 x14ac:dyDescent="0.25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 x14ac:dyDescent="0.25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 x14ac:dyDescent="0.25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 x14ac:dyDescent="0.25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 x14ac:dyDescent="0.25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 x14ac:dyDescent="0.25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 x14ac:dyDescent="0.25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 x14ac:dyDescent="0.25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 x14ac:dyDescent="0.25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 x14ac:dyDescent="0.25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 x14ac:dyDescent="0.25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 x14ac:dyDescent="0.25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 x14ac:dyDescent="0.25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 x14ac:dyDescent="0.25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 x14ac:dyDescent="0.25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 x14ac:dyDescent="0.25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 x14ac:dyDescent="0.25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 x14ac:dyDescent="0.25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 x14ac:dyDescent="0.25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 x14ac:dyDescent="0.25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 x14ac:dyDescent="0.25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 x14ac:dyDescent="0.25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 x14ac:dyDescent="0.25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 x14ac:dyDescent="0.25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 x14ac:dyDescent="0.25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 x14ac:dyDescent="0.25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 x14ac:dyDescent="0.25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 x14ac:dyDescent="0.25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 x14ac:dyDescent="0.25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 x14ac:dyDescent="0.25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 x14ac:dyDescent="0.25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 x14ac:dyDescent="0.25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 x14ac:dyDescent="0.25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 x14ac:dyDescent="0.25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 x14ac:dyDescent="0.25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 x14ac:dyDescent="0.25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 x14ac:dyDescent="0.25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 x14ac:dyDescent="0.25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 x14ac:dyDescent="0.25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 x14ac:dyDescent="0.25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 x14ac:dyDescent="0.25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 x14ac:dyDescent="0.25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 x14ac:dyDescent="0.25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 x14ac:dyDescent="0.25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 x14ac:dyDescent="0.25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 x14ac:dyDescent="0.25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 x14ac:dyDescent="0.25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 x14ac:dyDescent="0.25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 x14ac:dyDescent="0.25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 x14ac:dyDescent="0.25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 x14ac:dyDescent="0.25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 x14ac:dyDescent="0.25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 x14ac:dyDescent="0.25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 x14ac:dyDescent="0.25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 x14ac:dyDescent="0.25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 x14ac:dyDescent="0.25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20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 x14ac:dyDescent="0.25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20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 x14ac:dyDescent="0.25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20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 x14ac:dyDescent="0.25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20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 x14ac:dyDescent="0.25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20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 x14ac:dyDescent="0.25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20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 x14ac:dyDescent="0.25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20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 x14ac:dyDescent="0.25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20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 x14ac:dyDescent="0.25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20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 x14ac:dyDescent="0.25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20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 x14ac:dyDescent="0.25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20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 x14ac:dyDescent="0.25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20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 x14ac:dyDescent="0.25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20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 x14ac:dyDescent="0.25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20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 x14ac:dyDescent="0.25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20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 x14ac:dyDescent="0.25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20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 x14ac:dyDescent="0.25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20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 x14ac:dyDescent="0.25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20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 x14ac:dyDescent="0.25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20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 x14ac:dyDescent="0.25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20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 x14ac:dyDescent="0.25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20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 x14ac:dyDescent="0.25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20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20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 x14ac:dyDescent="0.25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20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 x14ac:dyDescent="0.25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20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 x14ac:dyDescent="0.25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20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 x14ac:dyDescent="0.25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20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 x14ac:dyDescent="0.25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20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 x14ac:dyDescent="0.25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20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 x14ac:dyDescent="0.25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20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 x14ac:dyDescent="0.25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20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 x14ac:dyDescent="0.25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20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 x14ac:dyDescent="0.25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20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 x14ac:dyDescent="0.25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20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 x14ac:dyDescent="0.25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20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 x14ac:dyDescent="0.25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20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 x14ac:dyDescent="0.25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20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 x14ac:dyDescent="0.25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20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 x14ac:dyDescent="0.25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20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 x14ac:dyDescent="0.25">
      <c r="A196" s="1">
        <v>43373</v>
      </c>
      <c r="D196">
        <v>-9.2499999999999999E-2</v>
      </c>
      <c r="K196" s="1">
        <f t="shared" ref="K196:K259" si="13">+A196</f>
        <v>43373</v>
      </c>
      <c r="L196">
        <f t="shared" ref="L196:L259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20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 x14ac:dyDescent="0.25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20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 x14ac:dyDescent="0.25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20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 x14ac:dyDescent="0.25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20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 x14ac:dyDescent="0.25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20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 x14ac:dyDescent="0.25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20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 x14ac:dyDescent="0.25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20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 x14ac:dyDescent="0.25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 s="21">
        <v>-0.47666666699999999</v>
      </c>
      <c r="O203" s="20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 x14ac:dyDescent="0.25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 s="21">
        <v>-0.49</v>
      </c>
      <c r="O204" s="21">
        <v>-0.46666666699999998</v>
      </c>
      <c r="P204" s="20">
        <f>L204</f>
        <v>-0.52</v>
      </c>
      <c r="Q204" s="21"/>
      <c r="R204" s="21"/>
      <c r="S204" s="21"/>
      <c r="T204" s="21"/>
      <c r="U204" s="15">
        <v>-0.329337928</v>
      </c>
      <c r="V204" s="15">
        <v>-0.39944711500000002</v>
      </c>
      <c r="W204" s="15">
        <v>-0.556666667</v>
      </c>
      <c r="X204" s="21"/>
      <c r="Y204" s="21"/>
      <c r="Z204" s="21"/>
      <c r="AA204" s="21"/>
      <c r="AB204" s="21"/>
      <c r="AC204" s="21"/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 x14ac:dyDescent="0.25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 s="21">
        <v>-0.50224831599999997</v>
      </c>
      <c r="O205" s="21">
        <v>-0.47666666699999999</v>
      </c>
      <c r="P205" s="21">
        <v>-0.46666666699999998</v>
      </c>
      <c r="Q205" s="20">
        <f>L205</f>
        <v>-0.55000000000000004</v>
      </c>
      <c r="R205" s="21"/>
      <c r="S205" s="21"/>
      <c r="T205" s="21"/>
      <c r="U205" s="21"/>
      <c r="V205" s="15">
        <v>-0.40061965799999999</v>
      </c>
      <c r="W205" s="15">
        <v>-0.57394376499999999</v>
      </c>
      <c r="X205" s="21"/>
      <c r="Y205" s="21"/>
      <c r="Z205" s="21"/>
      <c r="AA205" s="21"/>
      <c r="AB205" s="21"/>
      <c r="AC205" s="21"/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 x14ac:dyDescent="0.25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 s="21">
        <v>-0.51</v>
      </c>
      <c r="O206" s="21">
        <v>-0.48728701400000002</v>
      </c>
      <c r="P206" s="21">
        <v>-0.48</v>
      </c>
      <c r="Q206" s="21">
        <v>-0.48</v>
      </c>
      <c r="R206" s="20">
        <f>L206</f>
        <v>-0.55000000000000004</v>
      </c>
      <c r="V206" s="21">
        <v>-0.48</v>
      </c>
      <c r="W206" s="15">
        <v>-0.58896853100000002</v>
      </c>
      <c r="X206" s="21"/>
      <c r="Y206" s="21"/>
      <c r="Z206" s="21"/>
      <c r="AA206" s="21"/>
      <c r="AB206" s="21"/>
      <c r="AC206" s="21"/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 x14ac:dyDescent="0.25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 s="21">
        <v>-0.51127232099999997</v>
      </c>
      <c r="O207" s="21">
        <v>-0.49666666700000001</v>
      </c>
      <c r="P207" s="21">
        <v>-0.49094085999999998</v>
      </c>
      <c r="Q207" s="21">
        <v>-0.49</v>
      </c>
      <c r="R207" s="21">
        <v>-0.48</v>
      </c>
      <c r="S207" s="20">
        <f>L207</f>
        <v>-0.56000000000000005</v>
      </c>
      <c r="V207" s="21"/>
      <c r="W207" s="21"/>
      <c r="X207" s="21"/>
      <c r="Y207" s="21"/>
      <c r="Z207" s="21"/>
      <c r="AA207" s="21"/>
      <c r="AB207" s="21"/>
      <c r="AC207" s="21"/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 x14ac:dyDescent="0.25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 s="21">
        <v>-0.51196428599999999</v>
      </c>
      <c r="O208" s="21">
        <v>-0.50396880200000005</v>
      </c>
      <c r="P208" s="21">
        <v>-0.5</v>
      </c>
      <c r="Q208" s="21">
        <v>-0.50229236300000002</v>
      </c>
      <c r="R208" s="21">
        <v>-0.486666667</v>
      </c>
      <c r="S208" s="21">
        <v>-0.48</v>
      </c>
      <c r="T208" s="20">
        <f>L208</f>
        <v>-0.56000000000000005</v>
      </c>
      <c r="V208" s="21"/>
      <c r="W208" s="21"/>
      <c r="X208" s="21"/>
      <c r="Y208" s="21"/>
      <c r="Z208" s="21"/>
      <c r="AA208" s="21"/>
      <c r="AB208" s="21"/>
      <c r="AC208" s="21"/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 x14ac:dyDescent="0.25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 s="21">
        <v>-0.51056486099999998</v>
      </c>
      <c r="P209" s="21">
        <v>-0.50730213499999999</v>
      </c>
      <c r="Q209" s="21">
        <v>-0.51333333299999995</v>
      </c>
      <c r="R209" s="21">
        <v>-0.489871795</v>
      </c>
      <c r="S209" s="21">
        <v>-0.48</v>
      </c>
      <c r="T209" s="21">
        <v>-0.48</v>
      </c>
      <c r="U209" s="20">
        <f>L209</f>
        <v>-0.57999999999999996</v>
      </c>
      <c r="V209" s="21"/>
      <c r="W209" s="21"/>
      <c r="X209" s="21"/>
      <c r="Y209" s="21"/>
      <c r="Z209" s="21"/>
      <c r="AA209" s="21"/>
      <c r="AB209" s="21"/>
      <c r="AC209" s="21"/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 x14ac:dyDescent="0.25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 s="21">
        <v>-0.51389819400000003</v>
      </c>
      <c r="Q210" s="21">
        <v>-0.52115785299999995</v>
      </c>
      <c r="R210" s="21">
        <v>-0.49333333299999999</v>
      </c>
      <c r="S210" s="21">
        <v>-0.48499999999999999</v>
      </c>
      <c r="T210" s="21">
        <v>-0.48</v>
      </c>
      <c r="U210" s="21">
        <v>-0.48</v>
      </c>
      <c r="V210" s="21"/>
      <c r="W210" s="21"/>
      <c r="X210" s="21"/>
      <c r="Y210" s="21"/>
      <c r="Z210" s="21"/>
      <c r="AA210" s="21"/>
      <c r="AB210" s="21"/>
      <c r="AC210" s="21"/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 x14ac:dyDescent="0.25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 s="21">
        <v>-0.52806623900000005</v>
      </c>
      <c r="R211" s="21">
        <v>-0.49637820500000002</v>
      </c>
      <c r="S211" s="21">
        <v>-0.49</v>
      </c>
      <c r="T211" s="21">
        <v>-0.48499999999999999</v>
      </c>
      <c r="U211" s="21">
        <v>-0.48</v>
      </c>
      <c r="V211" s="21"/>
      <c r="W211" s="21"/>
      <c r="X211" s="21"/>
      <c r="Y211" s="21"/>
      <c r="Z211" s="21"/>
      <c r="AA211" s="21"/>
      <c r="AB211" s="21"/>
      <c r="AC211" s="21"/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 x14ac:dyDescent="0.25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N212" s="21"/>
      <c r="O212" s="21"/>
      <c r="P212" s="21"/>
      <c r="Q212" s="21"/>
      <c r="R212" s="21">
        <v>-0.49974359000000002</v>
      </c>
      <c r="S212" s="21">
        <v>-0.48992187500000001</v>
      </c>
      <c r="T212" s="21">
        <v>-0.49</v>
      </c>
      <c r="U212" s="21">
        <v>-0.48</v>
      </c>
      <c r="V212" s="21"/>
      <c r="W212" s="21"/>
      <c r="X212" s="21"/>
      <c r="Y212" s="21"/>
      <c r="Z212" s="21"/>
      <c r="AA212" s="21"/>
      <c r="AB212" s="21"/>
      <c r="AC212" s="21"/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 x14ac:dyDescent="0.25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N213" s="21"/>
      <c r="O213" s="21"/>
      <c r="P213" s="21"/>
      <c r="Q213" s="21"/>
      <c r="R213" s="21"/>
      <c r="S213" s="21">
        <v>-0.489375</v>
      </c>
      <c r="T213" s="21">
        <v>-0.48992187500000001</v>
      </c>
      <c r="U213" s="21">
        <v>-0.48</v>
      </c>
      <c r="V213" s="21"/>
      <c r="W213" s="21"/>
      <c r="X213" s="21"/>
      <c r="Y213" s="21"/>
      <c r="Z213" s="21"/>
      <c r="AA213" s="21"/>
      <c r="AB213" s="21"/>
      <c r="AC213" s="21"/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 x14ac:dyDescent="0.25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N214" s="21"/>
      <c r="O214" s="21"/>
      <c r="P214" s="21"/>
      <c r="Q214" s="21"/>
      <c r="R214" s="21"/>
      <c r="S214" s="21"/>
      <c r="T214" s="21">
        <v>-0.489375</v>
      </c>
      <c r="U214" s="21"/>
      <c r="V214" s="21"/>
      <c r="W214" s="21"/>
      <c r="X214" s="21"/>
      <c r="Y214" s="21"/>
      <c r="Z214" s="21"/>
      <c r="AA214" s="21"/>
      <c r="AB214" s="21"/>
      <c r="AC214" s="21"/>
      <c r="BO214">
        <f t="shared" si="12"/>
        <v>-0.489375</v>
      </c>
    </row>
    <row r="215" spans="1:67" x14ac:dyDescent="0.25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</row>
    <row r="216" spans="1:67" x14ac:dyDescent="0.25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</row>
    <row r="217" spans="1:67" x14ac:dyDescent="0.25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0"/>
    </row>
    <row r="218" spans="1:67" x14ac:dyDescent="0.25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E218" s="20"/>
    </row>
    <row r="219" spans="1:67" x14ac:dyDescent="0.25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F219" s="20"/>
    </row>
    <row r="220" spans="1:67" x14ac:dyDescent="0.25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G220" s="20"/>
    </row>
    <row r="221" spans="1:67" x14ac:dyDescent="0.25">
      <c r="A221" s="1"/>
      <c r="K221" s="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H221" s="20"/>
    </row>
    <row r="222" spans="1:67" x14ac:dyDescent="0.25">
      <c r="A222" s="1"/>
      <c r="K222" s="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I222" s="20"/>
    </row>
    <row r="223" spans="1:67" x14ac:dyDescent="0.25">
      <c r="A223" s="1"/>
      <c r="K223" s="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J223" s="20"/>
    </row>
    <row r="224" spans="1:67" x14ac:dyDescent="0.25">
      <c r="A224" s="1"/>
      <c r="K224" s="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K224" s="20"/>
    </row>
    <row r="225" spans="1:38" x14ac:dyDescent="0.25">
      <c r="A225" s="1"/>
      <c r="K225" s="1"/>
      <c r="AL225" s="20"/>
    </row>
    <row r="226" spans="1:38" x14ac:dyDescent="0.25">
      <c r="A226" s="1"/>
      <c r="K226" s="1"/>
    </row>
    <row r="227" spans="1:38" x14ac:dyDescent="0.25">
      <c r="A227" s="1"/>
      <c r="K227" s="1"/>
    </row>
    <row r="228" spans="1:38" x14ac:dyDescent="0.25">
      <c r="A228" s="1"/>
      <c r="K228" s="1"/>
    </row>
    <row r="229" spans="1:38" x14ac:dyDescent="0.25">
      <c r="A229" s="1"/>
      <c r="K229" s="1"/>
    </row>
    <row r="230" spans="1:38" x14ac:dyDescent="0.25">
      <c r="A230" s="1"/>
      <c r="K230" s="1"/>
    </row>
    <row r="231" spans="1:38" x14ac:dyDescent="0.25">
      <c r="A231" s="1"/>
      <c r="K231" s="1"/>
    </row>
    <row r="232" spans="1:38" x14ac:dyDescent="0.25">
      <c r="A232" s="1"/>
      <c r="K232" s="1"/>
    </row>
    <row r="233" spans="1:38" x14ac:dyDescent="0.25">
      <c r="A233" s="1"/>
      <c r="K233" s="1"/>
    </row>
    <row r="234" spans="1:38" x14ac:dyDescent="0.25">
      <c r="A234" s="1"/>
      <c r="K234" s="1"/>
    </row>
    <row r="235" spans="1:38" x14ac:dyDescent="0.25">
      <c r="A235" s="1"/>
      <c r="K235" s="1"/>
    </row>
    <row r="236" spans="1:38" x14ac:dyDescent="0.25">
      <c r="A236" s="1"/>
      <c r="K236" s="1"/>
    </row>
    <row r="237" spans="1:38" x14ac:dyDescent="0.25">
      <c r="A237" s="1"/>
      <c r="K237" s="1"/>
    </row>
    <row r="238" spans="1:38" x14ac:dyDescent="0.25">
      <c r="A238" s="1"/>
      <c r="K238" s="1"/>
    </row>
    <row r="239" spans="1:38" x14ac:dyDescent="0.25">
      <c r="A239" s="1"/>
      <c r="K239" s="1"/>
    </row>
    <row r="240" spans="1:38" x14ac:dyDescent="0.25">
      <c r="A240" s="1"/>
      <c r="K240" s="1"/>
    </row>
    <row r="241" spans="1:24" x14ac:dyDescent="0.25">
      <c r="A241" s="1"/>
      <c r="K241" s="1"/>
    </row>
    <row r="242" spans="1:24" x14ac:dyDescent="0.25">
      <c r="A242" s="1"/>
      <c r="K242" s="1"/>
    </row>
    <row r="243" spans="1:24" x14ac:dyDescent="0.25">
      <c r="A243" s="1"/>
      <c r="K243" s="1"/>
    </row>
    <row r="244" spans="1:24" x14ac:dyDescent="0.25">
      <c r="A244" s="1"/>
      <c r="K244" s="1"/>
    </row>
    <row r="245" spans="1:24" x14ac:dyDescent="0.25">
      <c r="A245" s="1"/>
      <c r="K245" s="1"/>
      <c r="M245" s="20"/>
    </row>
    <row r="246" spans="1:24" x14ac:dyDescent="0.25">
      <c r="A246" s="1"/>
      <c r="K246" s="1"/>
      <c r="N246" s="20"/>
    </row>
    <row r="247" spans="1:24" x14ac:dyDescent="0.25">
      <c r="A247" s="1"/>
      <c r="K247" s="1"/>
      <c r="O247" s="20"/>
    </row>
    <row r="248" spans="1:24" x14ac:dyDescent="0.25">
      <c r="A248" s="1"/>
      <c r="K248" s="1"/>
      <c r="P248" s="20"/>
    </row>
    <row r="249" spans="1:24" x14ac:dyDescent="0.25">
      <c r="A249" s="1"/>
      <c r="K249" s="1"/>
      <c r="Q249" s="20"/>
    </row>
    <row r="250" spans="1:24" x14ac:dyDescent="0.25">
      <c r="A250" s="1"/>
      <c r="K250" s="1"/>
      <c r="R250" s="20"/>
    </row>
    <row r="251" spans="1:24" x14ac:dyDescent="0.25">
      <c r="A251" s="1"/>
      <c r="K251" s="1"/>
      <c r="S251" s="20"/>
    </row>
    <row r="252" spans="1:24" x14ac:dyDescent="0.25">
      <c r="A252" s="1"/>
      <c r="K252" s="1"/>
      <c r="T252" s="20"/>
    </row>
    <row r="253" spans="1:24" x14ac:dyDescent="0.25">
      <c r="A253" s="1"/>
      <c r="K253" s="1"/>
      <c r="U253" s="20"/>
    </row>
    <row r="254" spans="1:24" x14ac:dyDescent="0.25">
      <c r="A254" s="1"/>
      <c r="K254" s="1"/>
      <c r="V254" s="20"/>
    </row>
    <row r="255" spans="1:24" x14ac:dyDescent="0.25">
      <c r="A255" s="1"/>
      <c r="K255" s="1"/>
      <c r="W255" s="20"/>
    </row>
    <row r="256" spans="1:24" x14ac:dyDescent="0.25">
      <c r="A256" s="1"/>
      <c r="K256" s="1"/>
      <c r="X256" s="20"/>
    </row>
    <row r="257" spans="1:31" x14ac:dyDescent="0.25">
      <c r="A257" s="1"/>
      <c r="K257" s="1"/>
      <c r="Y257" s="20"/>
    </row>
    <row r="258" spans="1:31" x14ac:dyDescent="0.25">
      <c r="A258" s="1"/>
      <c r="K258" s="1"/>
      <c r="Z258" s="20"/>
    </row>
    <row r="259" spans="1:31" x14ac:dyDescent="0.25">
      <c r="A259" s="1"/>
      <c r="K259" s="1"/>
      <c r="AA259" s="20"/>
    </row>
    <row r="260" spans="1:31" x14ac:dyDescent="0.25">
      <c r="A260" s="1"/>
      <c r="K260" s="1"/>
      <c r="AB260" s="20"/>
    </row>
    <row r="261" spans="1:31" x14ac:dyDescent="0.25">
      <c r="A261" s="1"/>
      <c r="K261" s="1"/>
      <c r="AC261" s="20"/>
    </row>
    <row r="262" spans="1:31" x14ac:dyDescent="0.25">
      <c r="A262" s="1"/>
      <c r="K262" s="1"/>
      <c r="AD262" s="20"/>
    </row>
    <row r="263" spans="1:31" x14ac:dyDescent="0.25">
      <c r="A263" s="1"/>
      <c r="K263" s="1"/>
      <c r="AE263" s="20"/>
    </row>
    <row r="264" spans="1:31" x14ac:dyDescent="0.25">
      <c r="A264" s="1"/>
      <c r="K264" s="1"/>
    </row>
    <row r="265" spans="1:31" x14ac:dyDescent="0.25">
      <c r="A265" s="1"/>
      <c r="K265" s="1"/>
    </row>
    <row r="266" spans="1:31" x14ac:dyDescent="0.25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RowHeight="15" x14ac:dyDescent="0.2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 x14ac:dyDescent="0.25">
      <c r="K1" t="s">
        <v>14</v>
      </c>
      <c r="L1" t="s">
        <v>15</v>
      </c>
      <c r="N1" s="18" t="s">
        <v>11</v>
      </c>
      <c r="O1" s="18"/>
      <c r="P1" s="18" t="s">
        <v>12</v>
      </c>
      <c r="Q1" s="18"/>
    </row>
    <row r="2" spans="1:17" x14ac:dyDescent="0.25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 x14ac:dyDescent="0.25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 x14ac:dyDescent="0.25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 x14ac:dyDescent="0.25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 x14ac:dyDescent="0.25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 x14ac:dyDescent="0.25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 x14ac:dyDescent="0.25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 x14ac:dyDescent="0.25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 x14ac:dyDescent="0.25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 x14ac:dyDescent="0.25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 x14ac:dyDescent="0.25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 x14ac:dyDescent="0.25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 x14ac:dyDescent="0.25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 x14ac:dyDescent="0.25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 x14ac:dyDescent="0.25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 x14ac:dyDescent="0.25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 x14ac:dyDescent="0.25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 x14ac:dyDescent="0.25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 x14ac:dyDescent="0.25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 x14ac:dyDescent="0.25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 x14ac:dyDescent="0.25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 x14ac:dyDescent="0.25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 x14ac:dyDescent="0.25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 x14ac:dyDescent="0.25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 x14ac:dyDescent="0.25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 x14ac:dyDescent="0.25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 x14ac:dyDescent="0.25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 x14ac:dyDescent="0.25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 x14ac:dyDescent="0.25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 x14ac:dyDescent="0.25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 x14ac:dyDescent="0.25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 x14ac:dyDescent="0.25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 x14ac:dyDescent="0.25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 x14ac:dyDescent="0.25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 x14ac:dyDescent="0.25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 x14ac:dyDescent="0.25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 x14ac:dyDescent="0.25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 x14ac:dyDescent="0.25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 x14ac:dyDescent="0.25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 x14ac:dyDescent="0.25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 x14ac:dyDescent="0.25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 x14ac:dyDescent="0.25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 x14ac:dyDescent="0.25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 x14ac:dyDescent="0.25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 x14ac:dyDescent="0.25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 x14ac:dyDescent="0.25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 x14ac:dyDescent="0.25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 x14ac:dyDescent="0.25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 x14ac:dyDescent="0.25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 x14ac:dyDescent="0.25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 x14ac:dyDescent="0.25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 x14ac:dyDescent="0.25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 x14ac:dyDescent="0.25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 x14ac:dyDescent="0.25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 x14ac:dyDescent="0.25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 x14ac:dyDescent="0.25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 x14ac:dyDescent="0.25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 x14ac:dyDescent="0.25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 x14ac:dyDescent="0.25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 x14ac:dyDescent="0.25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 x14ac:dyDescent="0.25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 x14ac:dyDescent="0.25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 x14ac:dyDescent="0.25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 x14ac:dyDescent="0.25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 x14ac:dyDescent="0.25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 x14ac:dyDescent="0.25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 x14ac:dyDescent="0.25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 x14ac:dyDescent="0.25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 x14ac:dyDescent="0.25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 x14ac:dyDescent="0.25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 x14ac:dyDescent="0.25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 x14ac:dyDescent="0.25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 x14ac:dyDescent="0.25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 x14ac:dyDescent="0.25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 x14ac:dyDescent="0.25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 x14ac:dyDescent="0.25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 x14ac:dyDescent="0.25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 x14ac:dyDescent="0.25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 x14ac:dyDescent="0.25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 x14ac:dyDescent="0.25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 x14ac:dyDescent="0.25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 x14ac:dyDescent="0.25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 x14ac:dyDescent="0.25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 x14ac:dyDescent="0.25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 x14ac:dyDescent="0.25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 x14ac:dyDescent="0.25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 x14ac:dyDescent="0.25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 x14ac:dyDescent="0.25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 x14ac:dyDescent="0.25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 x14ac:dyDescent="0.25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 x14ac:dyDescent="0.25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 x14ac:dyDescent="0.25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 x14ac:dyDescent="0.25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 x14ac:dyDescent="0.25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 x14ac:dyDescent="0.25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 x14ac:dyDescent="0.25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 x14ac:dyDescent="0.25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 x14ac:dyDescent="0.25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 x14ac:dyDescent="0.25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 x14ac:dyDescent="0.25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 x14ac:dyDescent="0.25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 x14ac:dyDescent="0.25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 x14ac:dyDescent="0.25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 x14ac:dyDescent="0.25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 x14ac:dyDescent="0.25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 x14ac:dyDescent="0.25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 x14ac:dyDescent="0.25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 x14ac:dyDescent="0.25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 x14ac:dyDescent="0.25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 x14ac:dyDescent="0.25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 x14ac:dyDescent="0.25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 x14ac:dyDescent="0.25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 x14ac:dyDescent="0.25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 x14ac:dyDescent="0.25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 x14ac:dyDescent="0.25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 x14ac:dyDescent="0.25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 x14ac:dyDescent="0.25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 x14ac:dyDescent="0.25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 x14ac:dyDescent="0.25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 x14ac:dyDescent="0.25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 x14ac:dyDescent="0.25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 x14ac:dyDescent="0.25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 x14ac:dyDescent="0.25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 x14ac:dyDescent="0.25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 x14ac:dyDescent="0.25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 x14ac:dyDescent="0.25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 x14ac:dyDescent="0.25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 x14ac:dyDescent="0.25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 x14ac:dyDescent="0.25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 x14ac:dyDescent="0.25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 x14ac:dyDescent="0.25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 x14ac:dyDescent="0.25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 x14ac:dyDescent="0.25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 x14ac:dyDescent="0.25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 x14ac:dyDescent="0.25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 x14ac:dyDescent="0.25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 x14ac:dyDescent="0.25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 x14ac:dyDescent="0.25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 x14ac:dyDescent="0.25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 x14ac:dyDescent="0.25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 x14ac:dyDescent="0.25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 x14ac:dyDescent="0.25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 x14ac:dyDescent="0.25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 x14ac:dyDescent="0.25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 x14ac:dyDescent="0.25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 x14ac:dyDescent="0.25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 x14ac:dyDescent="0.25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 x14ac:dyDescent="0.25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 x14ac:dyDescent="0.25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 x14ac:dyDescent="0.25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 x14ac:dyDescent="0.25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 x14ac:dyDescent="0.25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 x14ac:dyDescent="0.25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 x14ac:dyDescent="0.25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 x14ac:dyDescent="0.25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 x14ac:dyDescent="0.25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 x14ac:dyDescent="0.25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 x14ac:dyDescent="0.25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 x14ac:dyDescent="0.25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 x14ac:dyDescent="0.25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 x14ac:dyDescent="0.25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 x14ac:dyDescent="0.25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 x14ac:dyDescent="0.25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 x14ac:dyDescent="0.25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 x14ac:dyDescent="0.25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 x14ac:dyDescent="0.25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 x14ac:dyDescent="0.25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 x14ac:dyDescent="0.25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 x14ac:dyDescent="0.25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 x14ac:dyDescent="0.25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 x14ac:dyDescent="0.25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 x14ac:dyDescent="0.25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 x14ac:dyDescent="0.25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 x14ac:dyDescent="0.25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 x14ac:dyDescent="0.25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 x14ac:dyDescent="0.25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 x14ac:dyDescent="0.25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 x14ac:dyDescent="0.25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 x14ac:dyDescent="0.25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 x14ac:dyDescent="0.25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 x14ac:dyDescent="0.25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 x14ac:dyDescent="0.25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 x14ac:dyDescent="0.25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 x14ac:dyDescent="0.25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 x14ac:dyDescent="0.25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 x14ac:dyDescent="0.25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 x14ac:dyDescent="0.25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 x14ac:dyDescent="0.25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 x14ac:dyDescent="0.25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 x14ac:dyDescent="0.25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 x14ac:dyDescent="0.25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 x14ac:dyDescent="0.25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 x14ac:dyDescent="0.25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 x14ac:dyDescent="0.25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 x14ac:dyDescent="0.25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 x14ac:dyDescent="0.25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 x14ac:dyDescent="0.25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 x14ac:dyDescent="0.25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 x14ac:dyDescent="0.25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 x14ac:dyDescent="0.25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 x14ac:dyDescent="0.25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 x14ac:dyDescent="0.25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 x14ac:dyDescent="0.25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 x14ac:dyDescent="0.25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 x14ac:dyDescent="0.25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 x14ac:dyDescent="0.25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 x14ac:dyDescent="0.25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 x14ac:dyDescent="0.25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 x14ac:dyDescent="0.25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 x14ac:dyDescent="0.25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 x14ac:dyDescent="0.25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 x14ac:dyDescent="0.25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 x14ac:dyDescent="0.25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 x14ac:dyDescent="0.25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 x14ac:dyDescent="0.25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 x14ac:dyDescent="0.25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 x14ac:dyDescent="0.25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 x14ac:dyDescent="0.25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 x14ac:dyDescent="0.25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 x14ac:dyDescent="0.25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 x14ac:dyDescent="0.25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 x14ac:dyDescent="0.25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 x14ac:dyDescent="0.25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 x14ac:dyDescent="0.25">
      <c r="A225" s="1"/>
      <c r="B225" s="1"/>
      <c r="C225" s="1"/>
      <c r="D225" s="1"/>
      <c r="E225" s="1"/>
      <c r="F225" s="1"/>
      <c r="G225" s="1"/>
      <c r="N225" s="2"/>
      <c r="P225" s="2"/>
    </row>
    <row r="226" spans="1:16" x14ac:dyDescent="0.25">
      <c r="A226" s="1"/>
      <c r="B226" s="1"/>
      <c r="C226" s="1"/>
      <c r="D226" s="1"/>
      <c r="E226" s="1"/>
      <c r="F226" s="1"/>
      <c r="G226" s="1"/>
      <c r="N226" s="2"/>
      <c r="P226" s="2"/>
    </row>
    <row r="227" spans="1:16" x14ac:dyDescent="0.25">
      <c r="A227" s="1"/>
      <c r="B227" s="1"/>
      <c r="C227" s="1"/>
      <c r="D227" s="1"/>
      <c r="E227" s="1"/>
      <c r="F227" s="1"/>
      <c r="G227" s="1"/>
      <c r="N227" s="2"/>
      <c r="P227" s="2"/>
    </row>
    <row r="228" spans="1:16" x14ac:dyDescent="0.25">
      <c r="A228" s="1"/>
      <c r="B228" s="1"/>
      <c r="C228" s="1"/>
      <c r="D228" s="1"/>
      <c r="E228" s="1"/>
      <c r="F228" s="1"/>
      <c r="G228" s="1"/>
      <c r="N228" s="2"/>
      <c r="P228" s="2"/>
    </row>
    <row r="229" spans="1:16" x14ac:dyDescent="0.25">
      <c r="A229" s="1"/>
      <c r="B229" s="1"/>
      <c r="C229" s="1"/>
      <c r="D229" s="1"/>
      <c r="E229" s="1"/>
      <c r="F229" s="1"/>
      <c r="G229" s="1"/>
      <c r="N229" s="2"/>
      <c r="P229" s="2"/>
    </row>
    <row r="230" spans="1:16" x14ac:dyDescent="0.25">
      <c r="A230" s="1"/>
      <c r="B230" s="1"/>
      <c r="C230" s="1"/>
      <c r="D230" s="1"/>
      <c r="E230" s="1"/>
      <c r="F230" s="1"/>
      <c r="G230" s="1"/>
      <c r="N230" s="2"/>
      <c r="P230" s="2"/>
    </row>
    <row r="231" spans="1:16" x14ac:dyDescent="0.25">
      <c r="A231" s="1"/>
      <c r="B231" s="1"/>
      <c r="C231" s="1"/>
      <c r="D231" s="1"/>
      <c r="E231" s="1"/>
      <c r="F231" s="1"/>
      <c r="G231" s="1"/>
      <c r="N231" s="2"/>
      <c r="P231" s="2"/>
    </row>
    <row r="232" spans="1:16" x14ac:dyDescent="0.25">
      <c r="A232" s="1"/>
      <c r="B232" s="1"/>
      <c r="C232" s="1"/>
      <c r="D232" s="1"/>
      <c r="E232" s="1"/>
      <c r="F232" s="1"/>
      <c r="G232" s="1"/>
      <c r="N232" s="2"/>
      <c r="P232" s="2"/>
    </row>
    <row r="233" spans="1:16" x14ac:dyDescent="0.25">
      <c r="A233" s="1"/>
      <c r="B233" s="1"/>
      <c r="C233" s="1"/>
      <c r="D233" s="1"/>
      <c r="E233" s="1"/>
      <c r="F233" s="1"/>
      <c r="G233" s="1"/>
      <c r="N233" s="2"/>
      <c r="P233" s="2"/>
    </row>
    <row r="234" spans="1:16" x14ac:dyDescent="0.25">
      <c r="A234" s="1"/>
      <c r="B234" s="1"/>
      <c r="C234" s="1"/>
      <c r="D234" s="1"/>
      <c r="E234" s="1"/>
      <c r="F234" s="1"/>
      <c r="G234" s="1"/>
      <c r="N234" s="2"/>
      <c r="P234" s="2"/>
    </row>
    <row r="235" spans="1:16" x14ac:dyDescent="0.25">
      <c r="A235" s="1"/>
      <c r="B235" s="1"/>
      <c r="C235" s="1"/>
      <c r="D235" s="1"/>
      <c r="E235" s="1"/>
      <c r="F235" s="1"/>
      <c r="G235" s="1"/>
      <c r="N235" s="2"/>
      <c r="P235" s="2"/>
    </row>
    <row r="236" spans="1:16" x14ac:dyDescent="0.25">
      <c r="A236" s="1"/>
      <c r="B236" s="1"/>
      <c r="C236" s="1"/>
      <c r="D236" s="1"/>
      <c r="E236" s="1"/>
      <c r="F236" s="1"/>
      <c r="G236" s="1"/>
      <c r="N236" s="2"/>
      <c r="P236" s="2"/>
    </row>
    <row r="237" spans="1:16" x14ac:dyDescent="0.25">
      <c r="A237" s="1"/>
      <c r="B237" s="1"/>
      <c r="C237" s="1"/>
      <c r="D237" s="1"/>
      <c r="E237" s="1"/>
      <c r="F237" s="1"/>
      <c r="G237" s="1"/>
      <c r="N237" s="2"/>
      <c r="P237" s="2"/>
    </row>
    <row r="238" spans="1:16" x14ac:dyDescent="0.25">
      <c r="A238" s="1"/>
      <c r="B238" s="1"/>
      <c r="C238" s="1"/>
      <c r="D238" s="1"/>
      <c r="E238" s="1"/>
      <c r="F238" s="1"/>
      <c r="G238" s="1"/>
      <c r="N238" s="2"/>
      <c r="P238" s="2"/>
    </row>
    <row r="239" spans="1:16" x14ac:dyDescent="0.25">
      <c r="A239" s="1"/>
      <c r="B239" s="1"/>
      <c r="C239" s="1"/>
      <c r="D239" s="1"/>
      <c r="E239" s="1"/>
      <c r="F239" s="1"/>
      <c r="G239" s="1"/>
      <c r="N239" s="2"/>
      <c r="P239" s="2"/>
    </row>
    <row r="240" spans="1:16" x14ac:dyDescent="0.25">
      <c r="A240" s="1"/>
      <c r="B240" s="1"/>
      <c r="C240" s="1"/>
      <c r="D240" s="1"/>
      <c r="E240" s="1"/>
      <c r="F240" s="1"/>
      <c r="G240" s="1"/>
      <c r="N240" s="2"/>
      <c r="P240" s="2"/>
    </row>
    <row r="241" spans="1:16" x14ac:dyDescent="0.25">
      <c r="A241" s="1"/>
      <c r="B241" s="1"/>
      <c r="C241" s="1"/>
      <c r="D241" s="1"/>
      <c r="E241" s="1"/>
      <c r="F241" s="1"/>
      <c r="G241" s="1"/>
      <c r="N241" s="2"/>
      <c r="P241" s="2"/>
    </row>
    <row r="242" spans="1:16" x14ac:dyDescent="0.25">
      <c r="A242" s="1"/>
      <c r="B242" s="1"/>
      <c r="C242" s="1"/>
      <c r="D242" s="1"/>
      <c r="E242" s="1"/>
      <c r="F242" s="1"/>
      <c r="G242" s="1"/>
      <c r="N242" s="2"/>
      <c r="P242" s="2"/>
    </row>
    <row r="243" spans="1:16" x14ac:dyDescent="0.25">
      <c r="A243" s="1"/>
      <c r="B243" s="1"/>
      <c r="C243" s="1"/>
      <c r="D243" s="1"/>
      <c r="E243" s="1"/>
      <c r="F243" s="1"/>
      <c r="G243" s="1"/>
      <c r="N243" s="2"/>
      <c r="P243" s="2"/>
    </row>
    <row r="244" spans="1:16" x14ac:dyDescent="0.25">
      <c r="A244" s="1"/>
      <c r="B244" s="1"/>
      <c r="C244" s="1"/>
      <c r="D244" s="1"/>
      <c r="E244" s="1"/>
      <c r="F244" s="1"/>
      <c r="G244" s="1"/>
      <c r="N244" s="2"/>
      <c r="P244" s="2"/>
    </row>
    <row r="245" spans="1:16" x14ac:dyDescent="0.25">
      <c r="A245" s="1"/>
      <c r="B245" s="1"/>
      <c r="C245" s="1"/>
      <c r="D245" s="1"/>
      <c r="E245" s="1"/>
      <c r="F245" s="1"/>
      <c r="G245" s="1"/>
      <c r="N245" s="2"/>
      <c r="P245" s="2"/>
    </row>
    <row r="246" spans="1:16" x14ac:dyDescent="0.25">
      <c r="A246" s="1"/>
      <c r="B246" s="1"/>
      <c r="C246" s="1"/>
      <c r="D246" s="1"/>
      <c r="E246" s="1"/>
      <c r="F246" s="1"/>
      <c r="G246" s="1"/>
      <c r="N246" s="2"/>
      <c r="P246" s="2"/>
    </row>
    <row r="247" spans="1:16" x14ac:dyDescent="0.25">
      <c r="A247" s="1"/>
      <c r="B247" s="1"/>
      <c r="C247" s="1"/>
      <c r="D247" s="1"/>
      <c r="E247" s="1"/>
      <c r="F247" s="1"/>
      <c r="G247" s="1"/>
      <c r="N247" s="2"/>
      <c r="P247" s="2"/>
    </row>
    <row r="248" spans="1:16" x14ac:dyDescent="0.25">
      <c r="A248" s="1"/>
      <c r="B248" s="1"/>
      <c r="C248" s="1"/>
      <c r="D248" s="1"/>
      <c r="E248" s="1"/>
      <c r="F248" s="1"/>
      <c r="G248" s="1"/>
      <c r="N248" s="2"/>
      <c r="P248" s="2"/>
    </row>
    <row r="249" spans="1:16" x14ac:dyDescent="0.25">
      <c r="A249" s="1"/>
      <c r="B249" s="1"/>
      <c r="C249" s="1"/>
      <c r="D249" s="1"/>
      <c r="E249" s="1"/>
      <c r="F249" s="1"/>
      <c r="G249" s="1"/>
      <c r="N249" s="2"/>
      <c r="P249" s="2"/>
    </row>
    <row r="250" spans="1:16" x14ac:dyDescent="0.25">
      <c r="A250" s="1"/>
      <c r="B250" s="1"/>
      <c r="C250" s="1"/>
      <c r="D250" s="1"/>
      <c r="E250" s="1"/>
      <c r="F250" s="1"/>
      <c r="G250" s="1"/>
      <c r="N250" s="2"/>
      <c r="P250" s="2"/>
    </row>
    <row r="251" spans="1:16" x14ac:dyDescent="0.25">
      <c r="A251" s="1"/>
      <c r="B251" s="1"/>
      <c r="C251" s="1"/>
      <c r="D251" s="1"/>
      <c r="E251" s="1"/>
      <c r="F251" s="1"/>
      <c r="G251" s="1"/>
      <c r="N251" s="2"/>
      <c r="P251" s="2"/>
    </row>
    <row r="252" spans="1:16" x14ac:dyDescent="0.25">
      <c r="A252" s="1"/>
      <c r="B252" s="1"/>
      <c r="C252" s="1"/>
      <c r="D252" s="1"/>
      <c r="E252" s="1"/>
      <c r="F252" s="1"/>
      <c r="G252" s="1"/>
      <c r="N252" s="2"/>
      <c r="P252" s="2"/>
    </row>
    <row r="253" spans="1:16" x14ac:dyDescent="0.25">
      <c r="A253" s="1"/>
      <c r="B253" s="1"/>
      <c r="C253" s="1"/>
      <c r="D253" s="1"/>
      <c r="E253" s="1"/>
      <c r="F253" s="1"/>
      <c r="G253" s="1"/>
      <c r="N253" s="2"/>
      <c r="P253" s="2"/>
    </row>
    <row r="254" spans="1:16" x14ac:dyDescent="0.25">
      <c r="A254" s="1"/>
      <c r="B254" s="1"/>
      <c r="C254" s="1"/>
      <c r="D254" s="1"/>
      <c r="E254" s="1"/>
      <c r="F254" s="1"/>
      <c r="G254" s="1"/>
      <c r="N254" s="2"/>
      <c r="P254" s="2"/>
    </row>
    <row r="255" spans="1:16" x14ac:dyDescent="0.25">
      <c r="A255" s="1"/>
      <c r="B255" s="1"/>
      <c r="C255" s="1"/>
      <c r="D255" s="1"/>
      <c r="E255" s="1"/>
      <c r="F255" s="1"/>
      <c r="G255" s="1"/>
      <c r="N255" s="2"/>
      <c r="P255" s="2"/>
    </row>
    <row r="256" spans="1:16" x14ac:dyDescent="0.25">
      <c r="A256" s="1"/>
      <c r="B256" s="1"/>
      <c r="C256" s="1"/>
      <c r="D256" s="1"/>
      <c r="E256" s="1"/>
      <c r="F256" s="1"/>
      <c r="G256" s="1"/>
      <c r="N256" s="2"/>
      <c r="P256" s="2"/>
    </row>
    <row r="257" spans="1:16" x14ac:dyDescent="0.25">
      <c r="A257" s="1"/>
      <c r="B257" s="1"/>
      <c r="C257" s="1"/>
      <c r="D257" s="1"/>
      <c r="E257" s="1"/>
      <c r="F257" s="1"/>
      <c r="G257" s="1"/>
      <c r="N257" s="2"/>
      <c r="P257" s="2"/>
    </row>
    <row r="258" spans="1:16" x14ac:dyDescent="0.25">
      <c r="A258" s="1"/>
      <c r="B258" s="1"/>
      <c r="C258" s="1"/>
      <c r="D258" s="1"/>
      <c r="E258" s="1"/>
      <c r="F258" s="1"/>
      <c r="G258" s="1"/>
      <c r="N258" s="2"/>
      <c r="P258" s="2"/>
    </row>
    <row r="259" spans="1:16" x14ac:dyDescent="0.25">
      <c r="A259" s="1"/>
      <c r="B259" s="1"/>
      <c r="C259" s="1"/>
      <c r="D259" s="1"/>
      <c r="E259" s="1"/>
      <c r="F259" s="1"/>
      <c r="G259" s="1"/>
      <c r="N259" s="2"/>
      <c r="P259" s="2"/>
    </row>
    <row r="260" spans="1:16" x14ac:dyDescent="0.25">
      <c r="A260" s="1"/>
      <c r="B260" s="1"/>
      <c r="C260" s="1"/>
      <c r="D260" s="1"/>
      <c r="E260" s="1"/>
      <c r="F260" s="1"/>
      <c r="G260" s="1"/>
      <c r="N260" s="2"/>
      <c r="P260" s="2"/>
    </row>
    <row r="261" spans="1:16" x14ac:dyDescent="0.25">
      <c r="A261" s="1"/>
      <c r="B261" s="1"/>
      <c r="C261" s="1"/>
      <c r="D261" s="1"/>
      <c r="E261" s="1"/>
      <c r="F261" s="1"/>
      <c r="G261" s="1"/>
      <c r="N261" s="2"/>
      <c r="P261" s="2"/>
    </row>
    <row r="262" spans="1:16" x14ac:dyDescent="0.25">
      <c r="A262" s="1"/>
      <c r="B262" s="1"/>
      <c r="C262" s="1"/>
      <c r="D262" s="1"/>
      <c r="E262" s="1"/>
      <c r="F262" s="1"/>
      <c r="G262" s="1"/>
      <c r="N262" s="2"/>
      <c r="P262" s="2"/>
    </row>
    <row r="263" spans="1:16" x14ac:dyDescent="0.25">
      <c r="A263" s="1"/>
      <c r="B263" s="1"/>
      <c r="C263" s="1"/>
      <c r="D263" s="1"/>
      <c r="E263" s="1"/>
      <c r="F263" s="1"/>
      <c r="G263" s="1"/>
      <c r="N263" s="2"/>
      <c r="P263" s="2"/>
    </row>
    <row r="264" spans="1:16" x14ac:dyDescent="0.25">
      <c r="A264" s="1"/>
      <c r="B264" s="1"/>
      <c r="C264" s="1"/>
      <c r="D264" s="1"/>
      <c r="E264" s="1"/>
      <c r="F264" s="1"/>
      <c r="G264" s="1"/>
      <c r="N264" s="2"/>
      <c r="P264" s="2"/>
    </row>
    <row r="265" spans="1:16" x14ac:dyDescent="0.25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dimension ref="A1:G259"/>
  <sheetViews>
    <sheetView tabSelected="1" zoomScale="45" zoomScaleNormal="145" workbookViewId="0">
      <selection activeCell="Z30" sqref="Z30"/>
    </sheetView>
  </sheetViews>
  <sheetFormatPr defaultRowHeight="15" x14ac:dyDescent="0.25"/>
  <sheetData>
    <row r="1" spans="1:7" x14ac:dyDescent="0.25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 x14ac:dyDescent="0.25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 x14ac:dyDescent="0.25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 x14ac:dyDescent="0.25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 x14ac:dyDescent="0.25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 x14ac:dyDescent="0.25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 x14ac:dyDescent="0.25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 x14ac:dyDescent="0.25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 x14ac:dyDescent="0.25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 x14ac:dyDescent="0.25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 x14ac:dyDescent="0.25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 x14ac:dyDescent="0.25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 x14ac:dyDescent="0.25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 x14ac:dyDescent="0.25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 x14ac:dyDescent="0.25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 x14ac:dyDescent="0.25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 x14ac:dyDescent="0.25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 x14ac:dyDescent="0.25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 x14ac:dyDescent="0.25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 x14ac:dyDescent="0.25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 x14ac:dyDescent="0.25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 x14ac:dyDescent="0.25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 x14ac:dyDescent="0.25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 x14ac:dyDescent="0.25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 x14ac:dyDescent="0.25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 x14ac:dyDescent="0.25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 x14ac:dyDescent="0.25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 x14ac:dyDescent="0.25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 x14ac:dyDescent="0.25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 x14ac:dyDescent="0.25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 x14ac:dyDescent="0.25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 x14ac:dyDescent="0.25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 x14ac:dyDescent="0.25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 x14ac:dyDescent="0.25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 x14ac:dyDescent="0.25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 x14ac:dyDescent="0.25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 x14ac:dyDescent="0.25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 x14ac:dyDescent="0.25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 x14ac:dyDescent="0.25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 x14ac:dyDescent="0.25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 x14ac:dyDescent="0.25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 x14ac:dyDescent="0.25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 x14ac:dyDescent="0.25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 x14ac:dyDescent="0.25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 x14ac:dyDescent="0.25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 x14ac:dyDescent="0.25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 x14ac:dyDescent="0.25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 x14ac:dyDescent="0.25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 x14ac:dyDescent="0.25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 x14ac:dyDescent="0.25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 x14ac:dyDescent="0.25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 x14ac:dyDescent="0.25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 x14ac:dyDescent="0.25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 x14ac:dyDescent="0.25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 x14ac:dyDescent="0.25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 x14ac:dyDescent="0.25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 x14ac:dyDescent="0.25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 x14ac:dyDescent="0.25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 x14ac:dyDescent="0.25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 x14ac:dyDescent="0.25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 x14ac:dyDescent="0.25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 x14ac:dyDescent="0.25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 x14ac:dyDescent="0.25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 x14ac:dyDescent="0.25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 x14ac:dyDescent="0.25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 x14ac:dyDescent="0.25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 x14ac:dyDescent="0.25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 x14ac:dyDescent="0.25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 x14ac:dyDescent="0.25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 x14ac:dyDescent="0.25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 x14ac:dyDescent="0.25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 x14ac:dyDescent="0.25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 x14ac:dyDescent="0.25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 x14ac:dyDescent="0.25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 x14ac:dyDescent="0.25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 x14ac:dyDescent="0.25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 x14ac:dyDescent="0.25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 x14ac:dyDescent="0.25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 x14ac:dyDescent="0.25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 x14ac:dyDescent="0.25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 x14ac:dyDescent="0.25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 x14ac:dyDescent="0.25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 x14ac:dyDescent="0.25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 x14ac:dyDescent="0.25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 x14ac:dyDescent="0.25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 x14ac:dyDescent="0.25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 x14ac:dyDescent="0.25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 x14ac:dyDescent="0.25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 x14ac:dyDescent="0.25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 x14ac:dyDescent="0.25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 x14ac:dyDescent="0.25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 x14ac:dyDescent="0.25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 x14ac:dyDescent="0.25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 x14ac:dyDescent="0.25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 x14ac:dyDescent="0.25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 x14ac:dyDescent="0.25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 x14ac:dyDescent="0.25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 x14ac:dyDescent="0.25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 x14ac:dyDescent="0.25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 x14ac:dyDescent="0.25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 x14ac:dyDescent="0.25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 x14ac:dyDescent="0.25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 x14ac:dyDescent="0.25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 x14ac:dyDescent="0.25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 x14ac:dyDescent="0.25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 x14ac:dyDescent="0.25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 x14ac:dyDescent="0.25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 x14ac:dyDescent="0.25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 x14ac:dyDescent="0.25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 x14ac:dyDescent="0.25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 x14ac:dyDescent="0.25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 x14ac:dyDescent="0.25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 x14ac:dyDescent="0.25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 x14ac:dyDescent="0.25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 x14ac:dyDescent="0.25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 x14ac:dyDescent="0.25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 x14ac:dyDescent="0.25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 x14ac:dyDescent="0.25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 x14ac:dyDescent="0.25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 x14ac:dyDescent="0.25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 x14ac:dyDescent="0.25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 x14ac:dyDescent="0.25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 x14ac:dyDescent="0.25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 x14ac:dyDescent="0.25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 x14ac:dyDescent="0.25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 x14ac:dyDescent="0.25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 x14ac:dyDescent="0.25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 x14ac:dyDescent="0.25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 x14ac:dyDescent="0.25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 x14ac:dyDescent="0.25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 x14ac:dyDescent="0.25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 x14ac:dyDescent="0.25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 x14ac:dyDescent="0.25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 x14ac:dyDescent="0.25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 x14ac:dyDescent="0.25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 x14ac:dyDescent="0.25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 x14ac:dyDescent="0.25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 x14ac:dyDescent="0.25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 x14ac:dyDescent="0.25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 x14ac:dyDescent="0.25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 x14ac:dyDescent="0.25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 x14ac:dyDescent="0.25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 x14ac:dyDescent="0.25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 x14ac:dyDescent="0.25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 x14ac:dyDescent="0.25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 x14ac:dyDescent="0.25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 x14ac:dyDescent="0.25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 x14ac:dyDescent="0.25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 x14ac:dyDescent="0.25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 x14ac:dyDescent="0.25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 x14ac:dyDescent="0.25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 x14ac:dyDescent="0.25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 x14ac:dyDescent="0.25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 x14ac:dyDescent="0.25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 x14ac:dyDescent="0.25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 x14ac:dyDescent="0.25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 x14ac:dyDescent="0.25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 x14ac:dyDescent="0.25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 x14ac:dyDescent="0.25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 x14ac:dyDescent="0.25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 x14ac:dyDescent="0.25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 x14ac:dyDescent="0.25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 x14ac:dyDescent="0.25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 x14ac:dyDescent="0.25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 x14ac:dyDescent="0.25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 x14ac:dyDescent="0.25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 x14ac:dyDescent="0.25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 x14ac:dyDescent="0.25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 x14ac:dyDescent="0.25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 x14ac:dyDescent="0.25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 x14ac:dyDescent="0.25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 x14ac:dyDescent="0.25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 x14ac:dyDescent="0.25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 x14ac:dyDescent="0.25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 x14ac:dyDescent="0.25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 x14ac:dyDescent="0.25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 x14ac:dyDescent="0.25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 x14ac:dyDescent="0.25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 x14ac:dyDescent="0.25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 x14ac:dyDescent="0.25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 x14ac:dyDescent="0.25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 x14ac:dyDescent="0.25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 x14ac:dyDescent="0.25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 x14ac:dyDescent="0.25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 x14ac:dyDescent="0.25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 x14ac:dyDescent="0.25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 x14ac:dyDescent="0.25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 x14ac:dyDescent="0.25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 x14ac:dyDescent="0.25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 x14ac:dyDescent="0.25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 x14ac:dyDescent="0.25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 x14ac:dyDescent="0.25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 x14ac:dyDescent="0.25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 x14ac:dyDescent="0.25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 x14ac:dyDescent="0.25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 x14ac:dyDescent="0.25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 x14ac:dyDescent="0.25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 x14ac:dyDescent="0.25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 x14ac:dyDescent="0.25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 x14ac:dyDescent="0.25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 x14ac:dyDescent="0.25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 x14ac:dyDescent="0.25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 x14ac:dyDescent="0.25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 x14ac:dyDescent="0.25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 x14ac:dyDescent="0.25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 x14ac:dyDescent="0.25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 x14ac:dyDescent="0.25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 x14ac:dyDescent="0.25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 x14ac:dyDescent="0.25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 x14ac:dyDescent="0.25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 x14ac:dyDescent="0.25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 x14ac:dyDescent="0.25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 x14ac:dyDescent="0.25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 x14ac:dyDescent="0.25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 x14ac:dyDescent="0.25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 x14ac:dyDescent="0.25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 x14ac:dyDescent="0.25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 x14ac:dyDescent="0.25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 x14ac:dyDescent="0.25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 x14ac:dyDescent="0.25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 x14ac:dyDescent="0.25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 x14ac:dyDescent="0.25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 x14ac:dyDescent="0.25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 x14ac:dyDescent="0.25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 x14ac:dyDescent="0.25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 x14ac:dyDescent="0.25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 x14ac:dyDescent="0.25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 x14ac:dyDescent="0.25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 x14ac:dyDescent="0.25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 x14ac:dyDescent="0.25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 x14ac:dyDescent="0.25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 x14ac:dyDescent="0.25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 x14ac:dyDescent="0.25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 x14ac:dyDescent="0.25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 x14ac:dyDescent="0.25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 x14ac:dyDescent="0.25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 x14ac:dyDescent="0.25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 x14ac:dyDescent="0.25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 x14ac:dyDescent="0.25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 x14ac:dyDescent="0.25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 x14ac:dyDescent="0.25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 x14ac:dyDescent="0.25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 x14ac:dyDescent="0.25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 x14ac:dyDescent="0.25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 x14ac:dyDescent="0.25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 x14ac:dyDescent="0.25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 x14ac:dyDescent="0.25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 x14ac:dyDescent="0.25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 x14ac:dyDescent="0.25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 x14ac:dyDescent="0.25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 x14ac:dyDescent="0.25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 x14ac:dyDescent="0.25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 x14ac:dyDescent="0.25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 x14ac:dyDescent="0.25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 x14ac:dyDescent="0.25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 x14ac:dyDescent="0.25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 x14ac:dyDescent="0.25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 x14ac:dyDescent="0.25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 x14ac:dyDescent="0.25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dimension ref="A1:BV132"/>
  <sheetViews>
    <sheetView topLeftCell="Z1" zoomScale="115" zoomScaleNormal="115" workbookViewId="0">
      <selection activeCell="Z2" sqref="Z2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 x14ac:dyDescent="0.2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02630-2BDF-4AB2-9824-440FD22C3ACD}">
  <dimension ref="A1:AK132"/>
  <sheetViews>
    <sheetView topLeftCell="D1" workbookViewId="0">
      <selection activeCell="AE2" sqref="AE2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229</v>
      </c>
    </row>
    <row r="2" spans="1:37" x14ac:dyDescent="0.25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v>0</v>
      </c>
      <c r="AH2">
        <f>AF2+AG2</f>
        <v>28.944766476749599</v>
      </c>
      <c r="AI2">
        <v>0.92500000000000004</v>
      </c>
      <c r="AJ2">
        <f>+AI2*4</f>
        <v>3.7</v>
      </c>
      <c r="AK2">
        <f>AJ2-SUM(Y2:AD2,K2,O2)</f>
        <v>0.69492280716832822</v>
      </c>
    </row>
    <row r="3" spans="1:37" x14ac:dyDescent="0.25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v>0</v>
      </c>
      <c r="AH3">
        <f t="shared" ref="AH3:AH66" si="0">AF3+AG3</f>
        <v>29.2392752450607</v>
      </c>
      <c r="AI3">
        <v>0.99</v>
      </c>
      <c r="AJ3">
        <f t="shared" ref="AJ3:AJ66" si="1">+AI3*4</f>
        <v>3.96</v>
      </c>
      <c r="AK3">
        <f t="shared" ref="AK3:AK66" si="2">AJ3-SUM(Y3:AD3,K3,O3)</f>
        <v>0.83980881927683093</v>
      </c>
    </row>
    <row r="4" spans="1:37" x14ac:dyDescent="0.25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v>0</v>
      </c>
      <c r="AH4">
        <f t="shared" si="0"/>
        <v>29.505000400814001</v>
      </c>
      <c r="AI4">
        <v>1.07</v>
      </c>
      <c r="AJ4">
        <f t="shared" si="1"/>
        <v>4.28</v>
      </c>
      <c r="AK4">
        <f t="shared" si="2"/>
        <v>1.306689834983235</v>
      </c>
    </row>
    <row r="5" spans="1:37" x14ac:dyDescent="0.25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v>0</v>
      </c>
      <c r="AH5">
        <f t="shared" si="0"/>
        <v>29.691801815733999</v>
      </c>
      <c r="AI5">
        <v>1.0974999999999999</v>
      </c>
      <c r="AJ5">
        <f t="shared" si="1"/>
        <v>4.3899999999999997</v>
      </c>
      <c r="AK5">
        <f t="shared" si="2"/>
        <v>1.2736905881178711</v>
      </c>
    </row>
    <row r="6" spans="1:37" x14ac:dyDescent="0.25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v>0</v>
      </c>
      <c r="AH6">
        <f t="shared" si="0"/>
        <v>29.960849957436601</v>
      </c>
      <c r="AI6">
        <v>1.0575000000000001</v>
      </c>
      <c r="AJ6">
        <f t="shared" si="1"/>
        <v>4.2300000000000004</v>
      </c>
      <c r="AK6">
        <f t="shared" si="2"/>
        <v>0.76398896624881729</v>
      </c>
    </row>
    <row r="7" spans="1:37" x14ac:dyDescent="0.25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v>0</v>
      </c>
      <c r="AH7">
        <f t="shared" si="0"/>
        <v>29.681851017356099</v>
      </c>
      <c r="AI7">
        <v>1.1025</v>
      </c>
      <c r="AJ7">
        <f t="shared" si="1"/>
        <v>4.41</v>
      </c>
      <c r="AK7">
        <f t="shared" si="2"/>
        <v>1.2011555936592839</v>
      </c>
    </row>
    <row r="8" spans="1:37" x14ac:dyDescent="0.25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v>0</v>
      </c>
      <c r="AH8">
        <f t="shared" si="0"/>
        <v>29.306172702996999</v>
      </c>
      <c r="AI8">
        <v>1.135</v>
      </c>
      <c r="AJ8">
        <f t="shared" si="1"/>
        <v>4.54</v>
      </c>
      <c r="AK8">
        <f t="shared" si="2"/>
        <v>1.4854799272297101</v>
      </c>
    </row>
    <row r="9" spans="1:37" x14ac:dyDescent="0.25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v>0</v>
      </c>
      <c r="AH9">
        <f t="shared" si="0"/>
        <v>28.915920303183601</v>
      </c>
      <c r="AI9">
        <v>0.97250000000000003</v>
      </c>
      <c r="AJ9">
        <f t="shared" si="1"/>
        <v>3.89</v>
      </c>
      <c r="AK9">
        <f t="shared" si="2"/>
        <v>1.0930780863196383</v>
      </c>
    </row>
    <row r="10" spans="1:37" x14ac:dyDescent="0.25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v>0</v>
      </c>
      <c r="AH10">
        <f t="shared" si="0"/>
        <v>27.414581609041502</v>
      </c>
      <c r="AI10">
        <v>0.42</v>
      </c>
      <c r="AJ10">
        <f t="shared" si="1"/>
        <v>1.68</v>
      </c>
      <c r="AK10">
        <f t="shared" si="2"/>
        <v>0.20578233554254699</v>
      </c>
    </row>
    <row r="11" spans="1:37" x14ac:dyDescent="0.25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v>0</v>
      </c>
      <c r="AH11">
        <f t="shared" si="0"/>
        <v>26.800606171334099</v>
      </c>
      <c r="AI11">
        <v>0.23250000000000001</v>
      </c>
      <c r="AJ11">
        <f t="shared" si="1"/>
        <v>0.93</v>
      </c>
      <c r="AK11">
        <f t="shared" si="2"/>
        <v>-0.4895451165997845</v>
      </c>
    </row>
    <row r="12" spans="1:37" x14ac:dyDescent="0.25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v>0</v>
      </c>
      <c r="AH12">
        <f t="shared" si="0"/>
        <v>26.6989154051731</v>
      </c>
      <c r="AI12">
        <v>0.13250000000000001</v>
      </c>
      <c r="AJ12">
        <f t="shared" si="1"/>
        <v>0.53</v>
      </c>
      <c r="AK12">
        <f t="shared" si="2"/>
        <v>-1.0838622555491699</v>
      </c>
    </row>
    <row r="13" spans="1:37" x14ac:dyDescent="0.25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v>0</v>
      </c>
      <c r="AH13">
        <f t="shared" si="0"/>
        <v>26.5555433765951</v>
      </c>
      <c r="AI13">
        <v>0.1125</v>
      </c>
      <c r="AJ13">
        <f t="shared" si="1"/>
        <v>0.45</v>
      </c>
      <c r="AK13">
        <f t="shared" si="2"/>
        <v>-1.0725801886206017</v>
      </c>
    </row>
    <row r="14" spans="1:37" x14ac:dyDescent="0.25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v>0</v>
      </c>
      <c r="AH14">
        <f t="shared" si="0"/>
        <v>26.960410045289301</v>
      </c>
      <c r="AI14">
        <v>0.105</v>
      </c>
      <c r="AJ14">
        <f t="shared" si="1"/>
        <v>0.42</v>
      </c>
      <c r="AK14">
        <f t="shared" si="2"/>
        <v>-1.8169639311059926</v>
      </c>
    </row>
    <row r="15" spans="1:37" x14ac:dyDescent="0.25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v>0</v>
      </c>
      <c r="AH15">
        <f t="shared" si="0"/>
        <v>27.151006743073602</v>
      </c>
      <c r="AI15">
        <v>0.105</v>
      </c>
      <c r="AJ15">
        <f t="shared" si="1"/>
        <v>0.42</v>
      </c>
      <c r="AK15">
        <f t="shared" si="2"/>
        <v>-2.4826144092816711</v>
      </c>
    </row>
    <row r="16" spans="1:37" x14ac:dyDescent="0.25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v>0</v>
      </c>
      <c r="AH16">
        <f t="shared" si="0"/>
        <v>27.1203847216497</v>
      </c>
      <c r="AI16">
        <v>0.1525</v>
      </c>
      <c r="AJ16">
        <f t="shared" si="1"/>
        <v>0.61</v>
      </c>
      <c r="AK16">
        <f t="shared" si="2"/>
        <v>-2.206371826610765</v>
      </c>
    </row>
    <row r="17" spans="1:37" x14ac:dyDescent="0.25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v>0</v>
      </c>
      <c r="AH17">
        <f t="shared" si="0"/>
        <v>27.152483808492399</v>
      </c>
      <c r="AI17">
        <v>0.20250000000000001</v>
      </c>
      <c r="AJ17">
        <f t="shared" si="1"/>
        <v>0.81</v>
      </c>
      <c r="AK17">
        <f t="shared" si="2"/>
        <v>-1.581712935871868</v>
      </c>
    </row>
    <row r="18" spans="1:37" x14ac:dyDescent="0.25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v>0</v>
      </c>
      <c r="AH18">
        <f t="shared" si="0"/>
        <v>27.786203885795899</v>
      </c>
      <c r="AI18">
        <v>0.215</v>
      </c>
      <c r="AJ18">
        <f t="shared" si="1"/>
        <v>0.86</v>
      </c>
      <c r="AK18">
        <f t="shared" si="2"/>
        <v>-0.33294863611052194</v>
      </c>
    </row>
    <row r="19" spans="1:37" x14ac:dyDescent="0.25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v>0</v>
      </c>
      <c r="AH19">
        <f t="shared" si="0"/>
        <v>27.480477150072101</v>
      </c>
      <c r="AI19">
        <v>0.30499999999999999</v>
      </c>
      <c r="AJ19">
        <f t="shared" si="1"/>
        <v>1.22</v>
      </c>
      <c r="AK19">
        <f t="shared" si="2"/>
        <v>1.4286726418448343</v>
      </c>
    </row>
    <row r="20" spans="1:37" x14ac:dyDescent="0.25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v>0</v>
      </c>
      <c r="AH20">
        <f t="shared" si="0"/>
        <v>27.328812324935299</v>
      </c>
      <c r="AI20">
        <v>0.34499999999999997</v>
      </c>
      <c r="AJ20">
        <f t="shared" si="1"/>
        <v>1.38</v>
      </c>
      <c r="AK20">
        <f t="shared" si="2"/>
        <v>0.49567433273763672</v>
      </c>
    </row>
    <row r="21" spans="1:37" x14ac:dyDescent="0.25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v>0</v>
      </c>
      <c r="AH21">
        <f t="shared" si="0"/>
        <v>27.0125832718266</v>
      </c>
      <c r="AI21">
        <v>0.31</v>
      </c>
      <c r="AJ21">
        <f t="shared" si="1"/>
        <v>1.24</v>
      </c>
      <c r="AK21">
        <f t="shared" si="2"/>
        <v>-1.1448858791890106</v>
      </c>
    </row>
    <row r="22" spans="1:37" x14ac:dyDescent="0.25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v>0</v>
      </c>
      <c r="AH22">
        <f t="shared" si="0"/>
        <v>26.706731333767799</v>
      </c>
      <c r="AI22">
        <v>0.16250000000000001</v>
      </c>
      <c r="AJ22">
        <f t="shared" si="1"/>
        <v>0.65</v>
      </c>
      <c r="AK22">
        <f t="shared" si="2"/>
        <v>-2.5659328010443097</v>
      </c>
    </row>
    <row r="23" spans="1:37" x14ac:dyDescent="0.25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v>0</v>
      </c>
      <c r="AH23">
        <f t="shared" si="0"/>
        <v>26.117370404772299</v>
      </c>
      <c r="AI23">
        <v>9.7500000000000003E-2</v>
      </c>
      <c r="AJ23">
        <f t="shared" si="1"/>
        <v>0.39</v>
      </c>
      <c r="AK23">
        <f t="shared" si="2"/>
        <v>-2.8446048628103351</v>
      </c>
    </row>
    <row r="24" spans="1:37" x14ac:dyDescent="0.25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v>0</v>
      </c>
      <c r="AH24">
        <f t="shared" si="0"/>
        <v>25.740839218242701</v>
      </c>
      <c r="AI24">
        <v>0.04</v>
      </c>
      <c r="AJ24">
        <f t="shared" si="1"/>
        <v>0.16</v>
      </c>
      <c r="AK24">
        <f t="shared" si="2"/>
        <v>-3.3575557589926284</v>
      </c>
    </row>
    <row r="25" spans="1:37" x14ac:dyDescent="0.25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v>0</v>
      </c>
      <c r="AH25">
        <f t="shared" si="0"/>
        <v>25.104723756639501</v>
      </c>
      <c r="AI25">
        <v>2.75E-2</v>
      </c>
      <c r="AJ25">
        <f t="shared" si="1"/>
        <v>0.11</v>
      </c>
      <c r="AK25">
        <f t="shared" si="2"/>
        <v>-3.3003323403828828</v>
      </c>
    </row>
    <row r="26" spans="1:37" x14ac:dyDescent="0.25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v>0</v>
      </c>
      <c r="AH26">
        <f t="shared" si="0"/>
        <v>24.494787978478801</v>
      </c>
      <c r="AI26">
        <v>0.03</v>
      </c>
      <c r="AJ26">
        <f t="shared" si="1"/>
        <v>0.12</v>
      </c>
      <c r="AK26">
        <f t="shared" si="2"/>
        <v>-2.4099273211034551</v>
      </c>
    </row>
    <row r="27" spans="1:37" x14ac:dyDescent="0.25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v>0</v>
      </c>
      <c r="AH27">
        <f t="shared" si="0"/>
        <v>24.563825698460398</v>
      </c>
      <c r="AI27">
        <v>0.03</v>
      </c>
      <c r="AJ27">
        <f t="shared" si="1"/>
        <v>0.12</v>
      </c>
      <c r="AK27">
        <f t="shared" si="2"/>
        <v>-2.2735402275652978</v>
      </c>
    </row>
    <row r="28" spans="1:37" x14ac:dyDescent="0.25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v>0</v>
      </c>
      <c r="AH28">
        <f t="shared" si="0"/>
        <v>24.560318754054101</v>
      </c>
      <c r="AI28">
        <v>3.2500000000000001E-2</v>
      </c>
      <c r="AJ28">
        <f t="shared" si="1"/>
        <v>0.13</v>
      </c>
      <c r="AK28">
        <f t="shared" si="2"/>
        <v>-2.2181757338890291</v>
      </c>
    </row>
    <row r="29" spans="1:37" x14ac:dyDescent="0.25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v>0</v>
      </c>
      <c r="AH29">
        <f t="shared" si="0"/>
        <v>24.7729431603302</v>
      </c>
      <c r="AI29">
        <v>0.04</v>
      </c>
      <c r="AJ29">
        <f t="shared" si="1"/>
        <v>0.16</v>
      </c>
      <c r="AK29">
        <f t="shared" si="2"/>
        <v>-2.0757051871947718</v>
      </c>
    </row>
    <row r="30" spans="1:37" x14ac:dyDescent="0.25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v>0</v>
      </c>
      <c r="AH30">
        <f t="shared" si="0"/>
        <v>24.293225869660599</v>
      </c>
      <c r="AI30">
        <v>5.5E-2</v>
      </c>
      <c r="AJ30">
        <f t="shared" si="1"/>
        <v>0.22</v>
      </c>
      <c r="AK30">
        <f t="shared" si="2"/>
        <v>-1.2772520387057587</v>
      </c>
    </row>
    <row r="31" spans="1:37" x14ac:dyDescent="0.25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v>0</v>
      </c>
      <c r="AH31">
        <f t="shared" si="0"/>
        <v>24.132790640452701</v>
      </c>
      <c r="AI31">
        <v>5.5E-2</v>
      </c>
      <c r="AJ31">
        <f t="shared" si="1"/>
        <v>0.22</v>
      </c>
      <c r="AK31">
        <f t="shared" si="2"/>
        <v>-1.2097803346042564</v>
      </c>
    </row>
    <row r="32" spans="1:37" x14ac:dyDescent="0.25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v>0</v>
      </c>
      <c r="AH32">
        <f t="shared" si="0"/>
        <v>24.187117954449899</v>
      </c>
      <c r="AI32">
        <v>1.7500000000000002E-2</v>
      </c>
      <c r="AJ32">
        <f t="shared" si="1"/>
        <v>7.0000000000000007E-2</v>
      </c>
      <c r="AK32">
        <f t="shared" si="2"/>
        <v>-1.6992841924772191</v>
      </c>
    </row>
    <row r="33" spans="1:37" x14ac:dyDescent="0.25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v>0</v>
      </c>
      <c r="AH33">
        <f t="shared" si="0"/>
        <v>24.352199094933901</v>
      </c>
      <c r="AI33">
        <v>2.5000000000000001E-3</v>
      </c>
      <c r="AJ33">
        <f t="shared" si="1"/>
        <v>0.01</v>
      </c>
      <c r="AK33">
        <f t="shared" si="2"/>
        <v>-1.8658779137201105</v>
      </c>
    </row>
    <row r="34" spans="1:37" x14ac:dyDescent="0.25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v>0</v>
      </c>
      <c r="AH34">
        <f t="shared" si="0"/>
        <v>23.828970749746102</v>
      </c>
      <c r="AI34">
        <v>0</v>
      </c>
      <c r="AJ34">
        <f t="shared" si="1"/>
        <v>0</v>
      </c>
      <c r="AK34">
        <f t="shared" si="2"/>
        <v>-1.5756526346794946</v>
      </c>
    </row>
    <row r="35" spans="1:37" x14ac:dyDescent="0.25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v>0</v>
      </c>
      <c r="AH35">
        <f t="shared" si="0"/>
        <v>24.160678346323699</v>
      </c>
      <c r="AI35">
        <v>-1.2500000000000001E-2</v>
      </c>
      <c r="AJ35">
        <f t="shared" si="1"/>
        <v>-0.05</v>
      </c>
      <c r="AK35">
        <f t="shared" si="2"/>
        <v>-1.9471911437162672</v>
      </c>
    </row>
    <row r="36" spans="1:37" x14ac:dyDescent="0.25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v>0</v>
      </c>
      <c r="AH36">
        <f t="shared" si="0"/>
        <v>24.3808963745056</v>
      </c>
      <c r="AI36">
        <v>-2.2499999999999999E-2</v>
      </c>
      <c r="AJ36">
        <f t="shared" si="1"/>
        <v>-0.09</v>
      </c>
      <c r="AK36">
        <f t="shared" si="2"/>
        <v>-2.1349771303452512</v>
      </c>
    </row>
    <row r="37" spans="1:37" x14ac:dyDescent="0.25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v>0</v>
      </c>
      <c r="AH37">
        <f t="shared" si="0"/>
        <v>24.408284990831898</v>
      </c>
      <c r="AI37">
        <v>-3.7499999999999999E-2</v>
      </c>
      <c r="AJ37">
        <f t="shared" si="1"/>
        <v>-0.15</v>
      </c>
      <c r="AK37">
        <f t="shared" si="2"/>
        <v>-2.4836260520720566</v>
      </c>
    </row>
    <row r="38" spans="1:37" x14ac:dyDescent="0.25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v>0</v>
      </c>
      <c r="AH38">
        <f t="shared" si="0"/>
        <v>25.0284236438834</v>
      </c>
      <c r="AI38">
        <v>-6.5000000000000002E-2</v>
      </c>
      <c r="AJ38">
        <f t="shared" si="1"/>
        <v>-0.26</v>
      </c>
      <c r="AK38">
        <f t="shared" si="2"/>
        <v>-2.9903622309344149</v>
      </c>
    </row>
    <row r="39" spans="1:37" x14ac:dyDescent="0.25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v>0</v>
      </c>
      <c r="AH39">
        <f t="shared" si="0"/>
        <v>25.114143492639801</v>
      </c>
      <c r="AI39">
        <v>-8.7499999999999994E-2</v>
      </c>
      <c r="AJ39">
        <f t="shared" si="1"/>
        <v>-0.35</v>
      </c>
      <c r="AK39">
        <f t="shared" si="2"/>
        <v>-3.3530873115570157</v>
      </c>
    </row>
    <row r="40" spans="1:37" x14ac:dyDescent="0.25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v>0</v>
      </c>
      <c r="AH40">
        <f t="shared" si="0"/>
        <v>25.027297901426799</v>
      </c>
      <c r="AI40">
        <v>-9.2499999999999999E-2</v>
      </c>
      <c r="AJ40">
        <f t="shared" si="1"/>
        <v>-0.37</v>
      </c>
      <c r="AK40">
        <f t="shared" si="2"/>
        <v>-3.4155328536710607</v>
      </c>
    </row>
    <row r="41" spans="1:37" x14ac:dyDescent="0.25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v>0</v>
      </c>
      <c r="AH41">
        <f t="shared" si="0"/>
        <v>25.107322348956</v>
      </c>
      <c r="AI41">
        <v>-9.2499999999999999E-2</v>
      </c>
      <c r="AJ41">
        <f t="shared" si="1"/>
        <v>-0.37</v>
      </c>
      <c r="AK41">
        <f t="shared" si="2"/>
        <v>-3.767199347599715</v>
      </c>
    </row>
    <row r="42" spans="1:37" x14ac:dyDescent="0.25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v>0</v>
      </c>
      <c r="AH42">
        <f t="shared" si="0"/>
        <v>25.505081955751098</v>
      </c>
      <c r="AI42">
        <v>-9.2499999999999999E-2</v>
      </c>
      <c r="AJ42">
        <f t="shared" si="1"/>
        <v>-0.37</v>
      </c>
      <c r="AK42">
        <f t="shared" si="2"/>
        <v>-3.9481578178547898</v>
      </c>
    </row>
    <row r="43" spans="1:37" x14ac:dyDescent="0.25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v>0</v>
      </c>
      <c r="AH43">
        <f t="shared" si="0"/>
        <v>25.771235922279299</v>
      </c>
      <c r="AI43">
        <v>-9.2499999999999999E-2</v>
      </c>
      <c r="AJ43">
        <f t="shared" si="1"/>
        <v>-0.37</v>
      </c>
      <c r="AK43">
        <f t="shared" si="2"/>
        <v>-3.8688128182145958</v>
      </c>
    </row>
    <row r="44" spans="1:37" x14ac:dyDescent="0.25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v>0</v>
      </c>
      <c r="AH44">
        <f t="shared" si="0"/>
        <v>25.894767872751999</v>
      </c>
      <c r="AI44">
        <v>-9.2499999999999999E-2</v>
      </c>
      <c r="AJ44">
        <f t="shared" si="1"/>
        <v>-0.37</v>
      </c>
      <c r="AK44">
        <f t="shared" si="2"/>
        <v>-3.9986544870920167</v>
      </c>
    </row>
    <row r="45" spans="1:37" x14ac:dyDescent="0.25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v>0</v>
      </c>
      <c r="AH45">
        <f t="shared" si="0"/>
        <v>26.307091363776699</v>
      </c>
      <c r="AI45">
        <v>-9.2499999999999999E-2</v>
      </c>
      <c r="AJ45">
        <f t="shared" si="1"/>
        <v>-0.37</v>
      </c>
      <c r="AK45">
        <f t="shared" si="2"/>
        <v>-4.2825278115727894</v>
      </c>
    </row>
    <row r="46" spans="1:37" x14ac:dyDescent="0.25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v>0</v>
      </c>
      <c r="AH46">
        <f t="shared" si="0"/>
        <v>26.267357994119202</v>
      </c>
      <c r="AI46">
        <v>-9.2499999999999999E-2</v>
      </c>
      <c r="AJ46">
        <f t="shared" si="1"/>
        <v>-0.37</v>
      </c>
      <c r="AK46">
        <f t="shared" si="2"/>
        <v>-4.5861217918265575</v>
      </c>
    </row>
    <row r="47" spans="1:37" x14ac:dyDescent="0.25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v>0</v>
      </c>
      <c r="AH47">
        <f t="shared" si="0"/>
        <v>27.014666768258198</v>
      </c>
      <c r="AI47">
        <v>-9.2499999999999999E-2</v>
      </c>
      <c r="AJ47">
        <f t="shared" si="1"/>
        <v>-0.37</v>
      </c>
      <c r="AK47">
        <f t="shared" si="2"/>
        <v>-4.9560099730333489</v>
      </c>
    </row>
    <row r="48" spans="1:37" x14ac:dyDescent="0.25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v>0</v>
      </c>
      <c r="AH48">
        <f t="shared" si="0"/>
        <v>27.071849391836</v>
      </c>
      <c r="AI48">
        <v>-9.2499999999999999E-2</v>
      </c>
      <c r="AJ48">
        <f t="shared" si="1"/>
        <v>-0.37</v>
      </c>
      <c r="AK48">
        <f t="shared" si="2"/>
        <v>-4.9473041525765256</v>
      </c>
    </row>
    <row r="49" spans="1:37" x14ac:dyDescent="0.25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v>0</v>
      </c>
      <c r="AH49">
        <f t="shared" si="0"/>
        <v>27.2366222334004</v>
      </c>
      <c r="AI49">
        <v>-9.2499999999999999E-2</v>
      </c>
      <c r="AJ49">
        <f t="shared" si="1"/>
        <v>-0.37</v>
      </c>
      <c r="AK49">
        <f t="shared" si="2"/>
        <v>-5.0389535645140073</v>
      </c>
    </row>
    <row r="50" spans="1:37" x14ac:dyDescent="0.25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v>0</v>
      </c>
      <c r="AH50">
        <f t="shared" si="0"/>
        <v>27.776761762451301</v>
      </c>
      <c r="AI50">
        <v>-9.2499999999999999E-2</v>
      </c>
      <c r="AJ50">
        <f t="shared" si="1"/>
        <v>-0.37</v>
      </c>
      <c r="AK50">
        <f t="shared" si="2"/>
        <v>-4.9495962298449792</v>
      </c>
    </row>
    <row r="51" spans="1:37" x14ac:dyDescent="0.25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v>0</v>
      </c>
      <c r="AH51">
        <f t="shared" si="0"/>
        <v>27.3480697227332</v>
      </c>
      <c r="AI51">
        <v>-9.2499999999999999E-2</v>
      </c>
      <c r="AJ51">
        <f t="shared" si="1"/>
        <v>-0.37</v>
      </c>
      <c r="AK51">
        <f t="shared" si="2"/>
        <v>-5.2150269818953179</v>
      </c>
    </row>
    <row r="52" spans="1:37" x14ac:dyDescent="0.25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v>0</v>
      </c>
      <c r="AH52">
        <f t="shared" si="0"/>
        <v>27.515602352677</v>
      </c>
      <c r="AI52">
        <v>-0.105</v>
      </c>
      <c r="AJ52">
        <f t="shared" si="1"/>
        <v>-0.42</v>
      </c>
      <c r="AK52">
        <f t="shared" si="2"/>
        <v>-5.8523286830424466</v>
      </c>
    </row>
    <row r="53" spans="1:37" x14ac:dyDescent="0.25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v>0</v>
      </c>
      <c r="AH53">
        <f t="shared" si="0"/>
        <v>27.164832706933499</v>
      </c>
      <c r="AI53">
        <v>-0.1125</v>
      </c>
      <c r="AJ53">
        <f t="shared" si="1"/>
        <v>-0.45</v>
      </c>
      <c r="AK53">
        <f t="shared" si="2"/>
        <v>-5.3214934212481202</v>
      </c>
    </row>
    <row r="54" spans="1:37" x14ac:dyDescent="0.25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v>0</v>
      </c>
      <c r="AH54">
        <f t="shared" si="0"/>
        <v>25.229025695294599</v>
      </c>
      <c r="AI54">
        <v>-0.11749999999999999</v>
      </c>
      <c r="AJ54">
        <f t="shared" si="1"/>
        <v>-0.47</v>
      </c>
      <c r="AK54">
        <f t="shared" si="2"/>
        <v>-3.8244753327507102</v>
      </c>
    </row>
    <row r="55" spans="1:37" x14ac:dyDescent="0.25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v>0</v>
      </c>
      <c r="AH55">
        <f t="shared" si="0"/>
        <v>22.901934194912599</v>
      </c>
      <c r="AI55">
        <v>-0.115</v>
      </c>
      <c r="AJ55">
        <f t="shared" si="1"/>
        <v>-0.46</v>
      </c>
      <c r="AK55">
        <f t="shared" si="2"/>
        <v>-1.9526500110261846</v>
      </c>
    </row>
    <row r="56" spans="1:37" x14ac:dyDescent="0.25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v>0</v>
      </c>
      <c r="AH56">
        <f t="shared" si="0"/>
        <v>22.170858779703501</v>
      </c>
      <c r="AI56">
        <v>-0.13</v>
      </c>
      <c r="AJ56">
        <f t="shared" si="1"/>
        <v>-0.52</v>
      </c>
      <c r="AK56">
        <f t="shared" si="2"/>
        <v>-1.4023109524771282</v>
      </c>
    </row>
    <row r="57" spans="1:37" x14ac:dyDescent="0.25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v>0</v>
      </c>
      <c r="AH57">
        <f t="shared" si="0"/>
        <v>20.915508938482201</v>
      </c>
      <c r="AI57">
        <v>-0.13750000000000001</v>
      </c>
      <c r="AJ57">
        <f t="shared" si="1"/>
        <v>-0.55000000000000004</v>
      </c>
      <c r="AK57">
        <f t="shared" si="2"/>
        <v>0.91440310470966035</v>
      </c>
    </row>
    <row r="58" spans="1:37" x14ac:dyDescent="0.25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v>0</v>
      </c>
      <c r="AH58">
        <f t="shared" si="0"/>
        <v>21.042861540181502</v>
      </c>
      <c r="AI58">
        <v>-0.13750000000000001</v>
      </c>
      <c r="AJ58">
        <f t="shared" si="1"/>
        <v>-0.55000000000000004</v>
      </c>
      <c r="AK58">
        <f t="shared" si="2"/>
        <v>1.9378411422975674</v>
      </c>
    </row>
    <row r="59" spans="1:37" x14ac:dyDescent="0.25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v>0</v>
      </c>
      <c r="AH59">
        <f t="shared" si="0"/>
        <v>23.9994411695886</v>
      </c>
      <c r="AI59">
        <v>-0.14000000000000001</v>
      </c>
      <c r="AJ59">
        <f t="shared" si="1"/>
        <v>-0.56000000000000005</v>
      </c>
      <c r="AK59">
        <f t="shared" si="2"/>
        <v>-0.51923184497947394</v>
      </c>
    </row>
    <row r="60" spans="1:37" x14ac:dyDescent="0.25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v>0</v>
      </c>
      <c r="AH60">
        <f t="shared" si="0"/>
        <v>25.2649779976833</v>
      </c>
      <c r="AI60">
        <v>-0.14000000000000001</v>
      </c>
      <c r="AJ60">
        <f t="shared" si="1"/>
        <v>-0.56000000000000005</v>
      </c>
      <c r="AK60">
        <f t="shared" si="2"/>
        <v>-2.8556218925094119</v>
      </c>
    </row>
    <row r="61" spans="1:37" x14ac:dyDescent="0.25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v>0</v>
      </c>
      <c r="AH61">
        <f t="shared" si="0"/>
        <v>25.818946442200001</v>
      </c>
      <c r="AI61">
        <v>-0.14499999999999999</v>
      </c>
      <c r="AJ61">
        <f t="shared" si="1"/>
        <v>-0.57999999999999996</v>
      </c>
      <c r="AK61">
        <f t="shared" si="2"/>
        <v>-3.0308299084554653</v>
      </c>
    </row>
    <row r="62" spans="1:37" x14ac:dyDescent="0.25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v>0</v>
      </c>
      <c r="AH62">
        <f t="shared" si="0"/>
        <v>26.594890670939801</v>
      </c>
      <c r="AI62">
        <v>-0.13750000000000001</v>
      </c>
      <c r="AJ62">
        <f t="shared" si="1"/>
        <v>-0.55000000000000004</v>
      </c>
      <c r="AK62">
        <f t="shared" si="2"/>
        <v>-3.5396111021932661</v>
      </c>
    </row>
    <row r="63" spans="1:37" x14ac:dyDescent="0.25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v>0</v>
      </c>
      <c r="AH63">
        <f t="shared" si="0"/>
        <v>26.778154532879402</v>
      </c>
      <c r="AI63">
        <v>-0.13500000000000001</v>
      </c>
      <c r="AJ63">
        <f t="shared" si="1"/>
        <v>-0.54</v>
      </c>
      <c r="AK63">
        <f t="shared" si="2"/>
        <v>-3.6739915909746768</v>
      </c>
    </row>
    <row r="64" spans="1:37" x14ac:dyDescent="0.25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v>0</v>
      </c>
      <c r="AH64">
        <f t="shared" si="0"/>
        <v>26.904023298511799</v>
      </c>
      <c r="AI64">
        <v>2.2499999999999999E-2</v>
      </c>
      <c r="AJ64">
        <f t="shared" si="1"/>
        <v>0.09</v>
      </c>
      <c r="AK64">
        <f t="shared" si="2"/>
        <v>-3.4163807842410838</v>
      </c>
    </row>
    <row r="65" spans="1:37" x14ac:dyDescent="0.25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v>0</v>
      </c>
      <c r="AH65">
        <f t="shared" si="0"/>
        <v>27.174624011656</v>
      </c>
      <c r="AI65">
        <v>0.33750000000000002</v>
      </c>
      <c r="AJ65">
        <f t="shared" si="1"/>
        <v>1.35</v>
      </c>
      <c r="AK65">
        <f t="shared" si="2"/>
        <v>-1.2915043544567544</v>
      </c>
    </row>
    <row r="66" spans="1:37" x14ac:dyDescent="0.25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v>0</v>
      </c>
      <c r="AH66">
        <f t="shared" si="0"/>
        <v>27.824628349270402</v>
      </c>
      <c r="AI66">
        <v>0.58750000000000002</v>
      </c>
      <c r="AJ66">
        <f t="shared" si="1"/>
        <v>2.35</v>
      </c>
      <c r="AK66">
        <f t="shared" si="2"/>
        <v>0.42276880751680412</v>
      </c>
    </row>
    <row r="67" spans="1:37" x14ac:dyDescent="0.25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v>0</v>
      </c>
      <c r="AH67">
        <f t="shared" ref="AH67:AH130" si="3">AF67+AG67</f>
        <v>27.790329386580702</v>
      </c>
      <c r="AI67">
        <v>0.78749999999999998</v>
      </c>
      <c r="AJ67">
        <f t="shared" ref="AJ67:AJ130" si="4">+AI67*4</f>
        <v>3.15</v>
      </c>
      <c r="AK67">
        <f t="shared" ref="AK67:AK130" si="5">AJ67-SUM(Y67:AD67,K67,O67)</f>
        <v>1.3867053807581029</v>
      </c>
    </row>
    <row r="68" spans="1:37" x14ac:dyDescent="0.25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v>0</v>
      </c>
      <c r="AH68">
        <f t="shared" si="3"/>
        <v>28.0392910930399</v>
      </c>
      <c r="AI68">
        <v>0.90500000000000003</v>
      </c>
      <c r="AJ68">
        <f t="shared" si="4"/>
        <v>3.62</v>
      </c>
      <c r="AK68">
        <f t="shared" si="5"/>
        <v>2.0352891467458019</v>
      </c>
    </row>
    <row r="69" spans="1:37" x14ac:dyDescent="0.25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v>0</v>
      </c>
      <c r="AH69">
        <f t="shared" si="3"/>
        <v>28.026736191485799</v>
      </c>
      <c r="AI69">
        <v>0.96250000000000002</v>
      </c>
      <c r="AJ69">
        <f t="shared" si="4"/>
        <v>3.85</v>
      </c>
      <c r="AK69">
        <f t="shared" si="5"/>
        <v>2.9431323439170294</v>
      </c>
    </row>
    <row r="70" spans="1:37" x14ac:dyDescent="0.25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v>0</v>
      </c>
      <c r="AH70">
        <f t="shared" si="3"/>
        <v>28.169871821563401</v>
      </c>
      <c r="AI70">
        <v>0.96499999999999997</v>
      </c>
      <c r="AJ70">
        <f t="shared" si="4"/>
        <v>3.86</v>
      </c>
      <c r="AK70">
        <f t="shared" si="5"/>
        <v>2.5530976219444357</v>
      </c>
    </row>
    <row r="71" spans="1:37" x14ac:dyDescent="0.25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v>0</v>
      </c>
      <c r="AH71">
        <f t="shared" si="3"/>
        <v>28.046378902033101</v>
      </c>
      <c r="AI71">
        <v>0.9425</v>
      </c>
      <c r="AJ71">
        <f t="shared" si="4"/>
        <v>3.77</v>
      </c>
      <c r="AK71">
        <f t="shared" si="5"/>
        <v>2.7312848648580434</v>
      </c>
    </row>
    <row r="72" spans="1:37" x14ac:dyDescent="0.25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v>0</v>
      </c>
      <c r="AH72">
        <f t="shared" si="3"/>
        <v>27.819650292195099</v>
      </c>
      <c r="AI72">
        <v>0.88749999999999996</v>
      </c>
      <c r="AJ72">
        <f t="shared" si="4"/>
        <v>3.55</v>
      </c>
      <c r="AK72">
        <f t="shared" si="5"/>
        <v>2.4831245668343618</v>
      </c>
    </row>
    <row r="73" spans="1:37" x14ac:dyDescent="0.25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v>0</v>
      </c>
      <c r="AH73">
        <f t="shared" si="3"/>
        <v>27.613052069756101</v>
      </c>
      <c r="AI73">
        <v>1.1625000000000001</v>
      </c>
      <c r="AJ73">
        <f t="shared" si="4"/>
        <v>4.6500000000000004</v>
      </c>
      <c r="AK73">
        <f t="shared" si="5"/>
        <v>3.5338383518379506</v>
      </c>
    </row>
    <row r="74" spans="1:37" x14ac:dyDescent="0.25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v>0</v>
      </c>
      <c r="AH74">
        <f t="shared" si="3"/>
        <v>27.385139960133099</v>
      </c>
      <c r="AI74">
        <v>1.0825</v>
      </c>
      <c r="AJ74">
        <f t="shared" si="4"/>
        <v>4.33</v>
      </c>
      <c r="AK74">
        <f t="shared" si="5"/>
        <v>3.1921437664864349</v>
      </c>
    </row>
    <row r="75" spans="1:37" x14ac:dyDescent="0.25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v>0</v>
      </c>
      <c r="AH75">
        <f t="shared" si="3"/>
        <v>27.139262502741801</v>
      </c>
      <c r="AI75">
        <v>1.0825</v>
      </c>
      <c r="AJ75">
        <f t="shared" si="4"/>
        <v>4.33</v>
      </c>
      <c r="AK75">
        <f t="shared" si="5"/>
        <v>3.1976714803885016</v>
      </c>
    </row>
    <row r="76" spans="1:37" x14ac:dyDescent="0.25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v>0</v>
      </c>
      <c r="AH76">
        <f t="shared" si="3"/>
        <v>26.886311996313498</v>
      </c>
      <c r="AJ76">
        <f t="shared" si="4"/>
        <v>0</v>
      </c>
      <c r="AK76">
        <f t="shared" si="5"/>
        <v>-1.1092504447288802</v>
      </c>
    </row>
    <row r="77" spans="1:37" x14ac:dyDescent="0.25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v>0</v>
      </c>
      <c r="AH77">
        <f t="shared" si="3"/>
        <v>26.635046202294799</v>
      </c>
      <c r="AJ77">
        <f t="shared" si="4"/>
        <v>0</v>
      </c>
      <c r="AK77">
        <f t="shared" si="5"/>
        <v>-1.0769500299265058</v>
      </c>
    </row>
    <row r="78" spans="1:37" x14ac:dyDescent="0.25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v>0</v>
      </c>
      <c r="AH78">
        <f t="shared" si="3"/>
        <v>26.3913497628246</v>
      </c>
      <c r="AJ78">
        <f t="shared" si="4"/>
        <v>0</v>
      </c>
      <c r="AK78">
        <f t="shared" si="5"/>
        <v>-1.0412776998828663</v>
      </c>
    </row>
    <row r="79" spans="1:37" x14ac:dyDescent="0.25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v>0</v>
      </c>
      <c r="AH79">
        <f t="shared" si="3"/>
        <v>26.158367895662199</v>
      </c>
      <c r="AJ79">
        <f t="shared" si="4"/>
        <v>0</v>
      </c>
      <c r="AK79">
        <f t="shared" si="5"/>
        <v>-1.0055646976359165</v>
      </c>
    </row>
    <row r="80" spans="1:37" x14ac:dyDescent="0.25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v>0</v>
      </c>
      <c r="AH80">
        <f t="shared" si="3"/>
        <v>25.936887719200602</v>
      </c>
      <c r="AJ80">
        <f t="shared" si="4"/>
        <v>0</v>
      </c>
      <c r="AK80">
        <f t="shared" si="5"/>
        <v>-0.97091859125047142</v>
      </c>
    </row>
    <row r="81" spans="1:37" x14ac:dyDescent="0.2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v>0</v>
      </c>
      <c r="AH81">
        <f t="shared" si="3"/>
        <v>25.726767185100201</v>
      </c>
      <c r="AJ81">
        <f t="shared" si="4"/>
        <v>0</v>
      </c>
      <c r="AK81">
        <f t="shared" si="5"/>
        <v>-0.93760539937826248</v>
      </c>
    </row>
    <row r="82" spans="1:37" x14ac:dyDescent="0.2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v>0</v>
      </c>
      <c r="AH82">
        <f t="shared" si="3"/>
        <v>25.5275407666721</v>
      </c>
      <c r="AJ82">
        <f t="shared" si="4"/>
        <v>0</v>
      </c>
      <c r="AK82">
        <f t="shared" si="5"/>
        <v>-0.9056268110770711</v>
      </c>
    </row>
    <row r="83" spans="1:37" x14ac:dyDescent="0.2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v>0</v>
      </c>
      <c r="AH83">
        <f t="shared" si="3"/>
        <v>25.338630006461301</v>
      </c>
      <c r="AJ83">
        <f t="shared" si="4"/>
        <v>0</v>
      </c>
      <c r="AK83">
        <f t="shared" si="5"/>
        <v>-0.87491158942371428</v>
      </c>
    </row>
    <row r="84" spans="1:37" x14ac:dyDescent="0.2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v>0</v>
      </c>
      <c r="AH84">
        <f t="shared" si="3"/>
        <v>25.159415993434202</v>
      </c>
      <c r="AJ84">
        <f t="shared" si="4"/>
        <v>0</v>
      </c>
      <c r="AK84">
        <f t="shared" si="5"/>
        <v>-0.84537405131155186</v>
      </c>
    </row>
    <row r="85" spans="1:37" x14ac:dyDescent="0.2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v>0</v>
      </c>
      <c r="AH85">
        <f t="shared" si="3"/>
        <v>24.989267201506799</v>
      </c>
      <c r="AJ85">
        <f t="shared" si="4"/>
        <v>0</v>
      </c>
      <c r="AK85">
        <f t="shared" si="5"/>
        <v>-0.81693100914512862</v>
      </c>
    </row>
    <row r="86" spans="1:37" x14ac:dyDescent="0.2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v>0</v>
      </c>
      <c r="AH86">
        <f t="shared" si="3"/>
        <v>24.827552787313099</v>
      </c>
      <c r="AJ86">
        <f t="shared" si="4"/>
        <v>0</v>
      </c>
      <c r="AK86">
        <f t="shared" si="5"/>
        <v>-0.78950622185678632</v>
      </c>
    </row>
    <row r="87" spans="1:37" x14ac:dyDescent="0.2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v>0</v>
      </c>
      <c r="AH87">
        <f t="shared" si="3"/>
        <v>24.673650714957599</v>
      </c>
      <c r="AJ87">
        <f t="shared" si="4"/>
        <v>0</v>
      </c>
      <c r="AK87">
        <f t="shared" si="5"/>
        <v>-0.7630311602227946</v>
      </c>
    </row>
    <row r="88" spans="1:37" x14ac:dyDescent="0.2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v>0</v>
      </c>
      <c r="AH88">
        <f t="shared" si="3"/>
        <v>24.5269536424303</v>
      </c>
      <c r="AJ88">
        <f t="shared" si="4"/>
        <v>0</v>
      </c>
      <c r="AK88">
        <f t="shared" si="5"/>
        <v>-0.73744470581376564</v>
      </c>
    </row>
    <row r="89" spans="1:37" x14ac:dyDescent="0.2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v>0</v>
      </c>
      <c r="AH89">
        <f t="shared" si="3"/>
        <v>24.386873532164401</v>
      </c>
      <c r="AJ89">
        <f t="shared" si="4"/>
        <v>0</v>
      </c>
      <c r="AK89">
        <f t="shared" si="5"/>
        <v>-0.71269255885747396</v>
      </c>
    </row>
    <row r="90" spans="1:37" x14ac:dyDescent="0.2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v>0</v>
      </c>
      <c r="AH90">
        <f t="shared" si="3"/>
        <v>24.2528453370162</v>
      </c>
      <c r="AJ90">
        <f t="shared" si="4"/>
        <v>0</v>
      </c>
      <c r="AK90">
        <f t="shared" si="5"/>
        <v>-0.68872658584713697</v>
      </c>
    </row>
    <row r="91" spans="1:37" x14ac:dyDescent="0.2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v>0</v>
      </c>
      <c r="AH91">
        <f t="shared" si="3"/>
        <v>24.124329917904902</v>
      </c>
      <c r="AJ91">
        <f t="shared" si="4"/>
        <v>0</v>
      </c>
      <c r="AK91">
        <f t="shared" si="5"/>
        <v>-0.6655041771171204</v>
      </c>
    </row>
    <row r="92" spans="1:37" x14ac:dyDescent="0.2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v>0</v>
      </c>
      <c r="AH92">
        <f t="shared" si="3"/>
        <v>24.0008162842411</v>
      </c>
      <c r="AJ92">
        <f t="shared" si="4"/>
        <v>0</v>
      </c>
      <c r="AK92">
        <f t="shared" si="5"/>
        <v>-0.64298763675452242</v>
      </c>
    </row>
    <row r="93" spans="1:37" x14ac:dyDescent="0.2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v>0</v>
      </c>
      <c r="AH93">
        <f t="shared" si="3"/>
        <v>23.8818232253183</v>
      </c>
      <c r="AJ93">
        <f t="shared" si="4"/>
        <v>0</v>
      </c>
      <c r="AK93">
        <f t="shared" si="5"/>
        <v>-0.62114361247576289</v>
      </c>
    </row>
    <row r="94" spans="1:37" x14ac:dyDescent="0.2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v>0</v>
      </c>
      <c r="AH94">
        <f t="shared" si="3"/>
        <v>23.766900392259899</v>
      </c>
      <c r="AJ94">
        <f t="shared" si="4"/>
        <v>0</v>
      </c>
      <c r="AK94">
        <f t="shared" si="5"/>
        <v>-0.59994256813634061</v>
      </c>
    </row>
    <row r="95" spans="1:37" x14ac:dyDescent="0.2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v>0</v>
      </c>
      <c r="AH95">
        <f t="shared" si="3"/>
        <v>23.655628886637899</v>
      </c>
      <c r="AJ95">
        <f t="shared" si="4"/>
        <v>0</v>
      </c>
      <c r="AK95">
        <f t="shared" si="5"/>
        <v>-0.57935829954875218</v>
      </c>
    </row>
    <row r="96" spans="1:37" x14ac:dyDescent="0.2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v>0</v>
      </c>
      <c r="AH96">
        <f t="shared" si="3"/>
        <v>23.547621410125</v>
      </c>
      <c r="AJ96">
        <f t="shared" si="4"/>
        <v>0</v>
      </c>
      <c r="AK96">
        <f t="shared" si="5"/>
        <v>-0.55936749324752444</v>
      </c>
    </row>
    <row r="97" spans="1:37" x14ac:dyDescent="0.2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v>0</v>
      </c>
      <c r="AH97">
        <f t="shared" si="3"/>
        <v>23.442522028212501</v>
      </c>
      <c r="AJ97">
        <f t="shared" si="4"/>
        <v>0</v>
      </c>
      <c r="AK97">
        <f t="shared" si="5"/>
        <v>-0.53994932717209532</v>
      </c>
    </row>
    <row r="98" spans="1:37" x14ac:dyDescent="0.2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v>0</v>
      </c>
      <c r="AH98">
        <f t="shared" si="3"/>
        <v>23.340005599546799</v>
      </c>
      <c r="AJ98">
        <f t="shared" si="4"/>
        <v>0</v>
      </c>
      <c r="AK98">
        <f t="shared" si="5"/>
        <v>-0.52108511175519012</v>
      </c>
    </row>
    <row r="99" spans="1:37" x14ac:dyDescent="0.2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v>0</v>
      </c>
      <c r="AH99">
        <f t="shared" si="3"/>
        <v>23.239776920606399</v>
      </c>
      <c r="AJ99">
        <f t="shared" si="4"/>
        <v>0</v>
      </c>
      <c r="AK99">
        <f t="shared" si="5"/>
        <v>-0.50275796954545138</v>
      </c>
    </row>
    <row r="100" spans="1:37" x14ac:dyDescent="0.2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v>0</v>
      </c>
      <c r="AH100">
        <f t="shared" si="3"/>
        <v>23.1415696331809</v>
      </c>
      <c r="AJ100">
        <f t="shared" si="4"/>
        <v>0</v>
      </c>
      <c r="AK100">
        <f t="shared" si="5"/>
        <v>-0.48495255123038367</v>
      </c>
    </row>
    <row r="101" spans="1:37" x14ac:dyDescent="0.2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v>0</v>
      </c>
      <c r="AH101">
        <f t="shared" si="3"/>
        <v>23.045144939452999</v>
      </c>
      <c r="AJ101">
        <f t="shared" si="4"/>
        <v>0</v>
      </c>
      <c r="AK101">
        <f t="shared" si="5"/>
        <v>-0.46765478574424069</v>
      </c>
    </row>
    <row r="102" spans="1:37" x14ac:dyDescent="0.2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v>0</v>
      </c>
      <c r="AH102">
        <f t="shared" si="3"/>
        <v>22.9502901664757</v>
      </c>
      <c r="AJ102">
        <f t="shared" si="4"/>
        <v>0</v>
      </c>
      <c r="AK102">
        <f t="shared" si="5"/>
        <v>-0.45085166203332205</v>
      </c>
    </row>
    <row r="103" spans="1:37" x14ac:dyDescent="0.2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v>0</v>
      </c>
      <c r="AH103">
        <f t="shared" si="3"/>
        <v>22.856817218559399</v>
      </c>
      <c r="AJ103">
        <f t="shared" si="4"/>
        <v>0</v>
      </c>
      <c r="AK103">
        <f t="shared" si="5"/>
        <v>-0.43453103999595166</v>
      </c>
    </row>
    <row r="104" spans="1:37" x14ac:dyDescent="0.2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v>0</v>
      </c>
      <c r="AH104">
        <f t="shared" si="3"/>
        <v>22.764560952627601</v>
      </c>
      <c r="AJ104">
        <f t="shared" si="4"/>
        <v>0</v>
      </c>
      <c r="AK104">
        <f t="shared" si="5"/>
        <v>-0.41868148810942063</v>
      </c>
    </row>
    <row r="105" spans="1:37" x14ac:dyDescent="0.2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v>0</v>
      </c>
      <c r="AH105">
        <f t="shared" si="3"/>
        <v>22.673377508035799</v>
      </c>
      <c r="AJ105">
        <f t="shared" si="4"/>
        <v>0</v>
      </c>
      <c r="AK105">
        <f t="shared" si="5"/>
        <v>-0.40329214528955626</v>
      </c>
    </row>
    <row r="106" spans="1:37" x14ac:dyDescent="0.2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v>0</v>
      </c>
      <c r="AH106">
        <f t="shared" si="3"/>
        <v>22.5831426187669</v>
      </c>
      <c r="AJ106">
        <f t="shared" si="4"/>
        <v>0</v>
      </c>
      <c r="AK106">
        <f t="shared" si="5"/>
        <v>-0.38835260459605808</v>
      </c>
    </row>
    <row r="107" spans="1:37" x14ac:dyDescent="0.2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v>0</v>
      </c>
      <c r="AH107">
        <f t="shared" si="3"/>
        <v>22.493749932372701</v>
      </c>
      <c r="AJ107">
        <f t="shared" si="4"/>
        <v>0</v>
      </c>
      <c r="AK107">
        <f t="shared" si="5"/>
        <v>-0.37385281648780461</v>
      </c>
    </row>
    <row r="108" spans="1:37" x14ac:dyDescent="0.2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v>0</v>
      </c>
      <c r="AH108">
        <f t="shared" si="3"/>
        <v>22.405109356594799</v>
      </c>
      <c r="AJ108">
        <f t="shared" si="4"/>
        <v>0</v>
      </c>
      <c r="AK108">
        <f t="shared" si="5"/>
        <v>-0.35978300944485386</v>
      </c>
    </row>
    <row r="109" spans="1:37" x14ac:dyDescent="0.2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v>0</v>
      </c>
      <c r="AH109">
        <f t="shared" si="3"/>
        <v>22.317145451299901</v>
      </c>
      <c r="AJ109">
        <f t="shared" si="4"/>
        <v>0</v>
      </c>
      <c r="AK109">
        <f t="shared" si="5"/>
        <v>-0.34613362589900387</v>
      </c>
    </row>
    <row r="110" spans="1:37" x14ac:dyDescent="0.2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v>0</v>
      </c>
      <c r="AH110">
        <f t="shared" si="3"/>
        <v>22.229795880264898</v>
      </c>
      <c r="AJ110">
        <f t="shared" si="4"/>
        <v>0</v>
      </c>
      <c r="AK110">
        <f t="shared" si="5"/>
        <v>-0.3328952715503985</v>
      </c>
    </row>
    <row r="111" spans="1:37" x14ac:dyDescent="0.2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v>0</v>
      </c>
      <c r="AH111">
        <f t="shared" si="3"/>
        <v>22.143009934446301</v>
      </c>
      <c r="AJ111">
        <f t="shared" si="4"/>
        <v>0</v>
      </c>
      <c r="AK111">
        <f t="shared" si="5"/>
        <v>-0.32005867628894785</v>
      </c>
    </row>
    <row r="112" spans="1:37" x14ac:dyDescent="0.2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v>0</v>
      </c>
      <c r="AH112">
        <f t="shared" si="3"/>
        <v>22.0567471357122</v>
      </c>
      <c r="AJ112">
        <f t="shared" si="4"/>
        <v>0</v>
      </c>
      <c r="AK112">
        <f t="shared" si="5"/>
        <v>-0.30761466508290436</v>
      </c>
    </row>
    <row r="113" spans="1:37" x14ac:dyDescent="0.2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v>0</v>
      </c>
      <c r="AH113">
        <f t="shared" si="3"/>
        <v>21.9709759275935</v>
      </c>
      <c r="AJ113">
        <f t="shared" si="4"/>
        <v>0</v>
      </c>
      <c r="AK113">
        <f t="shared" si="5"/>
        <v>-0.29555413734059655</v>
      </c>
    </row>
    <row r="114" spans="1:37" x14ac:dyDescent="0.2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v>0</v>
      </c>
      <c r="AH114">
        <f t="shared" si="3"/>
        <v>21.8856724574438</v>
      </c>
      <c r="AJ114">
        <f t="shared" si="4"/>
        <v>0</v>
      </c>
      <c r="AK114">
        <f t="shared" si="5"/>
        <v>-0.28386805339220905</v>
      </c>
    </row>
    <row r="115" spans="1:37" x14ac:dyDescent="0.2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v>0</v>
      </c>
      <c r="AH115">
        <f t="shared" si="3"/>
        <v>21.800819452476802</v>
      </c>
      <c r="AJ115">
        <f t="shared" si="4"/>
        <v>0</v>
      </c>
      <c r="AK115">
        <f t="shared" si="5"/>
        <v>-0.27254742687541678</v>
      </c>
    </row>
    <row r="116" spans="1:37" x14ac:dyDescent="0.2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v>0</v>
      </c>
      <c r="AH116">
        <f t="shared" si="3"/>
        <v>21.716405190471399</v>
      </c>
      <c r="AJ116">
        <f t="shared" si="4"/>
        <v>0</v>
      </c>
      <c r="AK116">
        <f t="shared" si="5"/>
        <v>-0.26158332193973804</v>
      </c>
    </row>
    <row r="117" spans="1:37" x14ac:dyDescent="0.2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v>0</v>
      </c>
      <c r="AH117">
        <f t="shared" si="3"/>
        <v>21.632422564495599</v>
      </c>
      <c r="AJ117">
        <f t="shared" si="4"/>
        <v>0</v>
      </c>
      <c r="AK117">
        <f t="shared" si="5"/>
        <v>-0.25096685430918469</v>
      </c>
    </row>
    <row r="118" spans="1:37" x14ac:dyDescent="0.2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v>0</v>
      </c>
      <c r="AH118">
        <f t="shared" si="3"/>
        <v>21.548868239775299</v>
      </c>
      <c r="AJ118">
        <f t="shared" si="4"/>
        <v>0</v>
      </c>
      <c r="AK118">
        <f t="shared" si="5"/>
        <v>-0.24068919535933717</v>
      </c>
    </row>
    <row r="119" spans="1:37" x14ac:dyDescent="0.2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v>0</v>
      </c>
      <c r="AH119">
        <f t="shared" si="3"/>
        <v>21.465741899830299</v>
      </c>
      <c r="AJ119">
        <f t="shared" si="4"/>
        <v>0</v>
      </c>
      <c r="AK119">
        <f t="shared" si="5"/>
        <v>-0.23074157847469973</v>
      </c>
    </row>
    <row r="120" spans="1:37" x14ac:dyDescent="0.2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v>0</v>
      </c>
      <c r="AH120">
        <f t="shared" si="3"/>
        <v>21.383045578176301</v>
      </c>
      <c r="AJ120">
        <f t="shared" si="4"/>
        <v>0</v>
      </c>
      <c r="AK120">
        <f t="shared" si="5"/>
        <v>-0.22111530705232127</v>
      </c>
    </row>
    <row r="121" spans="1:37" x14ac:dyDescent="0.2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v>0</v>
      </c>
      <c r="AH121">
        <f t="shared" si="3"/>
        <v>21.300783071257701</v>
      </c>
      <c r="AJ121">
        <f t="shared" si="4"/>
        <v>0</v>
      </c>
      <c r="AK121">
        <f t="shared" si="5"/>
        <v>-0.21180176361062519</v>
      </c>
    </row>
    <row r="122" spans="1:37" x14ac:dyDescent="0.2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v>0</v>
      </c>
      <c r="AH122">
        <f t="shared" si="3"/>
        <v>21.218959427793401</v>
      </c>
      <c r="AJ122">
        <f t="shared" si="4"/>
        <v>0</v>
      </c>
      <c r="AK122">
        <f t="shared" si="5"/>
        <v>-0.20279241954654276</v>
      </c>
    </row>
    <row r="123" spans="1:37" x14ac:dyDescent="0.2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v>0</v>
      </c>
      <c r="AH123">
        <f t="shared" si="3"/>
        <v>21.137580509384399</v>
      </c>
      <c r="AJ123">
        <f t="shared" si="4"/>
        <v>0</v>
      </c>
      <c r="AK123">
        <f t="shared" si="5"/>
        <v>-0.19407884515967877</v>
      </c>
    </row>
    <row r="124" spans="1:37" x14ac:dyDescent="0.2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v>0</v>
      </c>
      <c r="AH124">
        <f t="shared" si="3"/>
        <v>21.056652617022198</v>
      </c>
      <c r="AJ124">
        <f t="shared" si="4"/>
        <v>0</v>
      </c>
      <c r="AK124">
        <f t="shared" si="5"/>
        <v>-0.18565271963107877</v>
      </c>
    </row>
    <row r="125" spans="1:37" x14ac:dyDescent="0.2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v>0</v>
      </c>
      <c r="AH125">
        <f t="shared" si="3"/>
        <v>20.976182178040499</v>
      </c>
      <c r="AJ125">
        <f t="shared" si="4"/>
        <v>0</v>
      </c>
      <c r="AK125">
        <f t="shared" si="5"/>
        <v>-0.17750584070428013</v>
      </c>
    </row>
    <row r="126" spans="1:37" x14ac:dyDescent="0.2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v>0</v>
      </c>
      <c r="AH126">
        <f t="shared" si="3"/>
        <v>20.896175488046602</v>
      </c>
      <c r="AJ126">
        <f t="shared" si="4"/>
        <v>0</v>
      </c>
      <c r="AK126">
        <f t="shared" si="5"/>
        <v>-0.16963013387034262</v>
      </c>
    </row>
    <row r="127" spans="1:37" x14ac:dyDescent="0.2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v>0</v>
      </c>
      <c r="AH127">
        <f t="shared" si="3"/>
        <v>20.8166385024523</v>
      </c>
      <c r="AJ127">
        <f t="shared" si="4"/>
        <v>0</v>
      </c>
      <c r="AK127">
        <f t="shared" si="5"/>
        <v>-0.16201766090526626</v>
      </c>
    </row>
    <row r="128" spans="1:37" x14ac:dyDescent="0.2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v>0</v>
      </c>
      <c r="AH128">
        <f t="shared" si="3"/>
        <v>20.7375766723613</v>
      </c>
      <c r="AJ128">
        <f t="shared" si="4"/>
        <v>0</v>
      </c>
      <c r="AK128">
        <f t="shared" si="5"/>
        <v>-0.15466062764875654</v>
      </c>
    </row>
    <row r="129" spans="1:37" x14ac:dyDescent="0.25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v>0</v>
      </c>
      <c r="AH129">
        <f t="shared" si="3"/>
        <v>20.658994819775099</v>
      </c>
      <c r="AJ129">
        <f t="shared" si="4"/>
        <v>0</v>
      </c>
      <c r="AK129">
        <f t="shared" si="5"/>
        <v>-0.14755139094881328</v>
      </c>
    </row>
    <row r="130" spans="1:37" x14ac:dyDescent="0.25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v>0</v>
      </c>
      <c r="AH130">
        <f t="shared" si="3"/>
        <v>20.5808970473167</v>
      </c>
      <c r="AJ130">
        <f t="shared" si="4"/>
        <v>0</v>
      </c>
      <c r="AK130">
        <f t="shared" si="5"/>
        <v>-0.14068246472585408</v>
      </c>
    </row>
    <row r="131" spans="1:37" x14ac:dyDescent="0.25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v>0</v>
      </c>
      <c r="AH131">
        <f t="shared" ref="AH131:AH132" si="6">AF131+AG131</f>
        <v>20.5032866779489</v>
      </c>
      <c r="AJ131">
        <f t="shared" ref="AJ131:AJ132" si="7">+AI131*4</f>
        <v>0</v>
      </c>
      <c r="AK131">
        <f t="shared" ref="AK131:AK132" si="8">AJ131-SUM(Y131:AD131,K131,O131)</f>
        <v>-0.13404652513529314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dimension ref="A1:AK132"/>
  <sheetViews>
    <sheetView topLeftCell="I1" workbookViewId="0">
      <selection activeCell="BA30" sqref="BA30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dimension ref="A1:AF131"/>
  <sheetViews>
    <sheetView topLeftCell="F122" workbookViewId="0">
      <selection sqref="A1:AF131"/>
    </sheetView>
  </sheetViews>
  <sheetFormatPr defaultRowHeight="15" x14ac:dyDescent="0.25"/>
  <sheetData>
    <row r="1" spans="1:32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dimension ref="A1:BV132"/>
  <sheetViews>
    <sheetView topLeftCell="AI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 x14ac:dyDescent="0.25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 x14ac:dyDescent="0.25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 x14ac:dyDescent="0.25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 x14ac:dyDescent="0.25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 x14ac:dyDescent="0.25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 x14ac:dyDescent="0.25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 x14ac:dyDescent="0.25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 x14ac:dyDescent="0.25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 x14ac:dyDescent="0.25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 x14ac:dyDescent="0.25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 x14ac:dyDescent="0.25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 x14ac:dyDescent="0.25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 x14ac:dyDescent="0.25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 x14ac:dyDescent="0.2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 x14ac:dyDescent="0.2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 x14ac:dyDescent="0.2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 x14ac:dyDescent="0.2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 x14ac:dyDescent="0.2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 x14ac:dyDescent="0.2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 x14ac:dyDescent="0.2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 x14ac:dyDescent="0.2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 x14ac:dyDescent="0.2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 x14ac:dyDescent="0.2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 x14ac:dyDescent="0.2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 x14ac:dyDescent="0.2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 x14ac:dyDescent="0.2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 x14ac:dyDescent="0.2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 x14ac:dyDescent="0.2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 x14ac:dyDescent="0.2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 x14ac:dyDescent="0.2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 x14ac:dyDescent="0.2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 x14ac:dyDescent="0.2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 x14ac:dyDescent="0.2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 x14ac:dyDescent="0.2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 x14ac:dyDescent="0.2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 x14ac:dyDescent="0.2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 x14ac:dyDescent="0.2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 x14ac:dyDescent="0.2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 x14ac:dyDescent="0.2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 x14ac:dyDescent="0.2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 x14ac:dyDescent="0.2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 x14ac:dyDescent="0.2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 x14ac:dyDescent="0.2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 x14ac:dyDescent="0.2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 x14ac:dyDescent="0.2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 x14ac:dyDescent="0.2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 x14ac:dyDescent="0.2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 x14ac:dyDescent="0.2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 x14ac:dyDescent="0.2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 x14ac:dyDescent="0.2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 x14ac:dyDescent="0.2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 x14ac:dyDescent="0.2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 x14ac:dyDescent="0.2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 x14ac:dyDescent="0.2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 x14ac:dyDescent="0.2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 x14ac:dyDescent="0.2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 x14ac:dyDescent="0.2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 x14ac:dyDescent="0.2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 x14ac:dyDescent="0.2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 x14ac:dyDescent="0.2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 x14ac:dyDescent="0.2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 x14ac:dyDescent="0.2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 x14ac:dyDescent="0.2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 x14ac:dyDescent="0.2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 x14ac:dyDescent="0.2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 x14ac:dyDescent="0.2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 x14ac:dyDescent="0.2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 x14ac:dyDescent="0.2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 x14ac:dyDescent="0.2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 x14ac:dyDescent="0.2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 x14ac:dyDescent="0.2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 x14ac:dyDescent="0.2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 x14ac:dyDescent="0.2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 x14ac:dyDescent="0.2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 x14ac:dyDescent="0.2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 x14ac:dyDescent="0.2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 x14ac:dyDescent="0.2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 x14ac:dyDescent="0.2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 x14ac:dyDescent="0.2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 x14ac:dyDescent="0.2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 x14ac:dyDescent="0.2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zoomScaleNormal="100" workbookViewId="0">
      <selection activeCell="Q21" sqref="Q21"/>
    </sheetView>
  </sheetViews>
  <sheetFormatPr defaultRowHeight="15" x14ac:dyDescent="0.25"/>
  <cols>
    <col min="1" max="1" width="11.140625" bestFit="1" customWidth="1"/>
  </cols>
  <sheetData>
    <row r="1" spans="1:12" x14ac:dyDescent="0.25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 x14ac:dyDescent="0.25">
      <c r="A2" s="1">
        <v>25841</v>
      </c>
      <c r="E2">
        <f>+'Chart NA - DSGE Raw Data'!D47</f>
        <v>1.6775</v>
      </c>
    </row>
    <row r="3" spans="1:12" x14ac:dyDescent="0.25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 x14ac:dyDescent="0.25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 x14ac:dyDescent="0.25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 x14ac:dyDescent="0.25">
      <c r="A6" s="1">
        <v>26206</v>
      </c>
      <c r="E6">
        <f>+'Chart NA - DSGE Raw Data'!D51</f>
        <v>1.37</v>
      </c>
    </row>
    <row r="7" spans="1:12" x14ac:dyDescent="0.25">
      <c r="A7" s="1">
        <v>26298</v>
      </c>
      <c r="E7">
        <f>+'Chart NA - DSGE Raw Data'!D52</f>
        <v>1.1875</v>
      </c>
    </row>
    <row r="8" spans="1:12" x14ac:dyDescent="0.25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 x14ac:dyDescent="0.25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 x14ac:dyDescent="0.25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 x14ac:dyDescent="0.25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 x14ac:dyDescent="0.25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 x14ac:dyDescent="0.25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 x14ac:dyDescent="0.25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 x14ac:dyDescent="0.25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 x14ac:dyDescent="0.25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 x14ac:dyDescent="0.2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 x14ac:dyDescent="0.2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 x14ac:dyDescent="0.2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 x14ac:dyDescent="0.2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 x14ac:dyDescent="0.2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 x14ac:dyDescent="0.2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 x14ac:dyDescent="0.2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 x14ac:dyDescent="0.2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 x14ac:dyDescent="0.2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 x14ac:dyDescent="0.2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 x14ac:dyDescent="0.2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 x14ac:dyDescent="0.2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 x14ac:dyDescent="0.2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 x14ac:dyDescent="0.2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 x14ac:dyDescent="0.2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 x14ac:dyDescent="0.2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 x14ac:dyDescent="0.2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 x14ac:dyDescent="0.2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 x14ac:dyDescent="0.2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 x14ac:dyDescent="0.2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 x14ac:dyDescent="0.2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 x14ac:dyDescent="0.2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 x14ac:dyDescent="0.2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 x14ac:dyDescent="0.2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 x14ac:dyDescent="0.2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 x14ac:dyDescent="0.2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 x14ac:dyDescent="0.2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 x14ac:dyDescent="0.2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 x14ac:dyDescent="0.2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 x14ac:dyDescent="0.2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 x14ac:dyDescent="0.2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 x14ac:dyDescent="0.2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 x14ac:dyDescent="0.2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 x14ac:dyDescent="0.2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 x14ac:dyDescent="0.2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 x14ac:dyDescent="0.2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 x14ac:dyDescent="0.2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 x14ac:dyDescent="0.2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 x14ac:dyDescent="0.2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 x14ac:dyDescent="0.2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 x14ac:dyDescent="0.2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 x14ac:dyDescent="0.2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 x14ac:dyDescent="0.2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 x14ac:dyDescent="0.2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 x14ac:dyDescent="0.2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 x14ac:dyDescent="0.2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 x14ac:dyDescent="0.2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 x14ac:dyDescent="0.2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 x14ac:dyDescent="0.2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 x14ac:dyDescent="0.2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 x14ac:dyDescent="0.2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 x14ac:dyDescent="0.2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 x14ac:dyDescent="0.2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 x14ac:dyDescent="0.2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 x14ac:dyDescent="0.2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 x14ac:dyDescent="0.2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 x14ac:dyDescent="0.2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 x14ac:dyDescent="0.2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 x14ac:dyDescent="0.2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 x14ac:dyDescent="0.2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 x14ac:dyDescent="0.2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 x14ac:dyDescent="0.2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 x14ac:dyDescent="0.2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 x14ac:dyDescent="0.2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 x14ac:dyDescent="0.2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 x14ac:dyDescent="0.2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 x14ac:dyDescent="0.2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 x14ac:dyDescent="0.2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 x14ac:dyDescent="0.2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 x14ac:dyDescent="0.2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 x14ac:dyDescent="0.2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 x14ac:dyDescent="0.2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 x14ac:dyDescent="0.2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 x14ac:dyDescent="0.2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 x14ac:dyDescent="0.2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 x14ac:dyDescent="0.2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 x14ac:dyDescent="0.2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 x14ac:dyDescent="0.2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 x14ac:dyDescent="0.2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 x14ac:dyDescent="0.2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 x14ac:dyDescent="0.2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 x14ac:dyDescent="0.2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 x14ac:dyDescent="0.2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 x14ac:dyDescent="0.2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 x14ac:dyDescent="0.2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 x14ac:dyDescent="0.2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 x14ac:dyDescent="0.2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 x14ac:dyDescent="0.2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 x14ac:dyDescent="0.2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 x14ac:dyDescent="0.2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 x14ac:dyDescent="0.2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 x14ac:dyDescent="0.2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 x14ac:dyDescent="0.2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 x14ac:dyDescent="0.2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 x14ac:dyDescent="0.2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 x14ac:dyDescent="0.2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 x14ac:dyDescent="0.2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 x14ac:dyDescent="0.2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 x14ac:dyDescent="0.2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 x14ac:dyDescent="0.2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 x14ac:dyDescent="0.2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 x14ac:dyDescent="0.2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 x14ac:dyDescent="0.2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 x14ac:dyDescent="0.2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 x14ac:dyDescent="0.2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 x14ac:dyDescent="0.2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 x14ac:dyDescent="0.2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 x14ac:dyDescent="0.2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 x14ac:dyDescent="0.2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 x14ac:dyDescent="0.2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 x14ac:dyDescent="0.2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 x14ac:dyDescent="0.2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 x14ac:dyDescent="0.2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 x14ac:dyDescent="0.2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 x14ac:dyDescent="0.2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 x14ac:dyDescent="0.2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 x14ac:dyDescent="0.2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 x14ac:dyDescent="0.2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 x14ac:dyDescent="0.2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 x14ac:dyDescent="0.2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 x14ac:dyDescent="0.2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 x14ac:dyDescent="0.2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 x14ac:dyDescent="0.2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 x14ac:dyDescent="0.2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 x14ac:dyDescent="0.2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 x14ac:dyDescent="0.2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 x14ac:dyDescent="0.2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 x14ac:dyDescent="0.2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 x14ac:dyDescent="0.2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 x14ac:dyDescent="0.2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 x14ac:dyDescent="0.2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 x14ac:dyDescent="0.2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 x14ac:dyDescent="0.2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 x14ac:dyDescent="0.2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 x14ac:dyDescent="0.2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 x14ac:dyDescent="0.2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 x14ac:dyDescent="0.2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 x14ac:dyDescent="0.2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 x14ac:dyDescent="0.2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 x14ac:dyDescent="0.2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 x14ac:dyDescent="0.2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 x14ac:dyDescent="0.2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 x14ac:dyDescent="0.2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 x14ac:dyDescent="0.2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 x14ac:dyDescent="0.2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 x14ac:dyDescent="0.2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 x14ac:dyDescent="0.2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 x14ac:dyDescent="0.2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 x14ac:dyDescent="0.2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 x14ac:dyDescent="0.2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 x14ac:dyDescent="0.2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 x14ac:dyDescent="0.2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 x14ac:dyDescent="0.2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 x14ac:dyDescent="0.2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 x14ac:dyDescent="0.2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 x14ac:dyDescent="0.2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 x14ac:dyDescent="0.2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 x14ac:dyDescent="0.2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 x14ac:dyDescent="0.2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 x14ac:dyDescent="0.2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 x14ac:dyDescent="0.2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 x14ac:dyDescent="0.2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 x14ac:dyDescent="0.2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 x14ac:dyDescent="0.2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 x14ac:dyDescent="0.2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 x14ac:dyDescent="0.2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 x14ac:dyDescent="0.2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 x14ac:dyDescent="0.2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 x14ac:dyDescent="0.2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 x14ac:dyDescent="0.2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 x14ac:dyDescent="0.2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 x14ac:dyDescent="0.2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 x14ac:dyDescent="0.2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 x14ac:dyDescent="0.2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 x14ac:dyDescent="0.2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 x14ac:dyDescent="0.2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 x14ac:dyDescent="0.2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 x14ac:dyDescent="0.2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 x14ac:dyDescent="0.2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 x14ac:dyDescent="0.2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 x14ac:dyDescent="0.2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 x14ac:dyDescent="0.2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 x14ac:dyDescent="0.2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 x14ac:dyDescent="0.2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 x14ac:dyDescent="0.2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 x14ac:dyDescent="0.2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 x14ac:dyDescent="0.2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 x14ac:dyDescent="0.2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 x14ac:dyDescent="0.2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 x14ac:dyDescent="0.2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 x14ac:dyDescent="0.2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 x14ac:dyDescent="0.2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 x14ac:dyDescent="0.2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 x14ac:dyDescent="0.2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 x14ac:dyDescent="0.2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 x14ac:dyDescent="0.2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 x14ac:dyDescent="0.2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 x14ac:dyDescent="0.2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 x14ac:dyDescent="0.2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 x14ac:dyDescent="0.2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 x14ac:dyDescent="0.2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 x14ac:dyDescent="0.25">
      <c r="A218" s="1"/>
      <c r="D218">
        <f>+'2025Q2'!M261</f>
        <v>0.20355209684499201</v>
      </c>
      <c r="E218">
        <f>+'Chart NA - DSGE Raw Data'!D263</f>
        <v>1.3149999999999999</v>
      </c>
    </row>
    <row r="219" spans="1:5" x14ac:dyDescent="0.25">
      <c r="A219" s="1"/>
      <c r="D219">
        <f>+'2025Q2'!M262</f>
        <v>0.117082182323117</v>
      </c>
      <c r="E219">
        <f>+'Chart NA - DSGE Raw Data'!D264</f>
        <v>1.1625000000000001</v>
      </c>
    </row>
    <row r="220" spans="1:5" x14ac:dyDescent="0.25">
      <c r="A220" s="1"/>
      <c r="D220">
        <f>+'2025Q2'!M263</f>
        <v>0.191652056806562</v>
      </c>
      <c r="E220">
        <f>+'Chart NA - DSGE Raw Data'!D265</f>
        <v>1.0825</v>
      </c>
    </row>
    <row r="221" spans="1:5" x14ac:dyDescent="0.25">
      <c r="A221" s="1"/>
      <c r="D221">
        <f>+'2025Q2'!M264</f>
        <v>0.20918164208349599</v>
      </c>
      <c r="E221">
        <f>+'Chart NA - DSGE Raw Data'!D266</f>
        <v>1.0825</v>
      </c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dimension ref="A1:Q264"/>
  <sheetViews>
    <sheetView workbookViewId="0"/>
  </sheetViews>
  <sheetFormatPr defaultRowHeight="15" x14ac:dyDescent="0.25"/>
  <cols>
    <col min="1" max="1" width="10.5703125" style="7" customWidth="1"/>
  </cols>
  <sheetData>
    <row r="1" spans="1:17" x14ac:dyDescent="0.25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 x14ac:dyDescent="0.25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 x14ac:dyDescent="0.25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 x14ac:dyDescent="0.25">
      <c r="C5" s="19" t="s">
        <v>146</v>
      </c>
      <c r="D5" s="19"/>
      <c r="E5" s="19"/>
      <c r="G5" s="19" t="s">
        <v>147</v>
      </c>
      <c r="H5" s="19"/>
      <c r="I5" s="19"/>
      <c r="K5" s="19" t="s">
        <v>148</v>
      </c>
      <c r="L5" s="19"/>
      <c r="M5" s="19"/>
      <c r="O5" s="19" t="s">
        <v>149</v>
      </c>
      <c r="P5" s="19"/>
      <c r="Q5" s="19"/>
    </row>
    <row r="6" spans="1:17" x14ac:dyDescent="0.25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 x14ac:dyDescent="0.25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 x14ac:dyDescent="0.25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 x14ac:dyDescent="0.25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 x14ac:dyDescent="0.25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 x14ac:dyDescent="0.25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 x14ac:dyDescent="0.25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 x14ac:dyDescent="0.25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 x14ac:dyDescent="0.25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 x14ac:dyDescent="0.25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 x14ac:dyDescent="0.25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 x14ac:dyDescent="0.25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 x14ac:dyDescent="0.25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 x14ac:dyDescent="0.25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 x14ac:dyDescent="0.25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 x14ac:dyDescent="0.25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 x14ac:dyDescent="0.25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 x14ac:dyDescent="0.25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 x14ac:dyDescent="0.25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 x14ac:dyDescent="0.25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 x14ac:dyDescent="0.25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 x14ac:dyDescent="0.25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 x14ac:dyDescent="0.25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 x14ac:dyDescent="0.25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 x14ac:dyDescent="0.25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 x14ac:dyDescent="0.25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 x14ac:dyDescent="0.25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 x14ac:dyDescent="0.25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 x14ac:dyDescent="0.25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 x14ac:dyDescent="0.25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 x14ac:dyDescent="0.25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 x14ac:dyDescent="0.25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 x14ac:dyDescent="0.25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 x14ac:dyDescent="0.25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 x14ac:dyDescent="0.25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 x14ac:dyDescent="0.25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 x14ac:dyDescent="0.25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 x14ac:dyDescent="0.25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 x14ac:dyDescent="0.25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 x14ac:dyDescent="0.25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 x14ac:dyDescent="0.25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 x14ac:dyDescent="0.25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 x14ac:dyDescent="0.25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 x14ac:dyDescent="0.25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 x14ac:dyDescent="0.25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 x14ac:dyDescent="0.25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1.66722605678708</v>
      </c>
      <c r="C2">
        <v>1.66722605678708</v>
      </c>
      <c r="D2">
        <v>1.66722605678708</v>
      </c>
    </row>
    <row r="3" spans="1:4" x14ac:dyDescent="0.25">
      <c r="A3" s="1">
        <v>26572</v>
      </c>
      <c r="B3">
        <v>1.68842281238362</v>
      </c>
      <c r="C3">
        <v>1.68842281238362</v>
      </c>
      <c r="D3">
        <v>1.68842281238362</v>
      </c>
    </row>
    <row r="4" spans="1:4" x14ac:dyDescent="0.25">
      <c r="A4" s="1">
        <v>26664</v>
      </c>
      <c r="B4">
        <v>3.14990557148298</v>
      </c>
      <c r="C4">
        <v>3.14990557148298</v>
      </c>
      <c r="D4">
        <v>3.14990557148298</v>
      </c>
    </row>
    <row r="5" spans="1:4" x14ac:dyDescent="0.25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 x14ac:dyDescent="0.25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 x14ac:dyDescent="0.25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 x14ac:dyDescent="0.25">
      <c r="A8" s="1">
        <v>27029</v>
      </c>
      <c r="B8">
        <v>7.24378131959456</v>
      </c>
      <c r="C8">
        <v>7.24378131959456</v>
      </c>
      <c r="D8">
        <v>7.24378131959456</v>
      </c>
    </row>
    <row r="9" spans="1:4" x14ac:dyDescent="0.25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 x14ac:dyDescent="0.25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 x14ac:dyDescent="0.25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 x14ac:dyDescent="0.25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 x14ac:dyDescent="0.25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 x14ac:dyDescent="0.25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 x14ac:dyDescent="0.25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 x14ac:dyDescent="0.25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 x14ac:dyDescent="0.25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 x14ac:dyDescent="0.25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 x14ac:dyDescent="0.25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 x14ac:dyDescent="0.25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 x14ac:dyDescent="0.25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 x14ac:dyDescent="0.25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 x14ac:dyDescent="0.25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 x14ac:dyDescent="0.25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 x14ac:dyDescent="0.25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 x14ac:dyDescent="0.25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 x14ac:dyDescent="0.25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 x14ac:dyDescent="0.25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 x14ac:dyDescent="0.25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 x14ac:dyDescent="0.25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 x14ac:dyDescent="0.25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 x14ac:dyDescent="0.25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 x14ac:dyDescent="0.25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 x14ac:dyDescent="0.25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 x14ac:dyDescent="0.25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 x14ac:dyDescent="0.25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 x14ac:dyDescent="0.25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 x14ac:dyDescent="0.25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 x14ac:dyDescent="0.25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 x14ac:dyDescent="0.25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 x14ac:dyDescent="0.25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 x14ac:dyDescent="0.25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 x14ac:dyDescent="0.25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 x14ac:dyDescent="0.25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 x14ac:dyDescent="0.25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 x14ac:dyDescent="0.25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 x14ac:dyDescent="0.25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 x14ac:dyDescent="0.25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 x14ac:dyDescent="0.25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 x14ac:dyDescent="0.25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 x14ac:dyDescent="0.25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 x14ac:dyDescent="0.25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 x14ac:dyDescent="0.25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 x14ac:dyDescent="0.25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 x14ac:dyDescent="0.25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 x14ac:dyDescent="0.25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 x14ac:dyDescent="0.25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 x14ac:dyDescent="0.25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 x14ac:dyDescent="0.25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 x14ac:dyDescent="0.25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 x14ac:dyDescent="0.25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 x14ac:dyDescent="0.25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 x14ac:dyDescent="0.25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 x14ac:dyDescent="0.25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 x14ac:dyDescent="0.25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 x14ac:dyDescent="0.25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 x14ac:dyDescent="0.25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 x14ac:dyDescent="0.25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 x14ac:dyDescent="0.25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 x14ac:dyDescent="0.25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 x14ac:dyDescent="0.25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 x14ac:dyDescent="0.25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 x14ac:dyDescent="0.25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 x14ac:dyDescent="0.25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 x14ac:dyDescent="0.25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 x14ac:dyDescent="0.25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 x14ac:dyDescent="0.25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 x14ac:dyDescent="0.25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 x14ac:dyDescent="0.25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 x14ac:dyDescent="0.25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 x14ac:dyDescent="0.25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 x14ac:dyDescent="0.25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 x14ac:dyDescent="0.25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 x14ac:dyDescent="0.25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 x14ac:dyDescent="0.25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 x14ac:dyDescent="0.25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 x14ac:dyDescent="0.25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 x14ac:dyDescent="0.25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 x14ac:dyDescent="0.25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 x14ac:dyDescent="0.25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 x14ac:dyDescent="0.25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 x14ac:dyDescent="0.25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 x14ac:dyDescent="0.25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 x14ac:dyDescent="0.25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 x14ac:dyDescent="0.25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 x14ac:dyDescent="0.25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 x14ac:dyDescent="0.25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 x14ac:dyDescent="0.25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 x14ac:dyDescent="0.25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 x14ac:dyDescent="0.25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 x14ac:dyDescent="0.25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 x14ac:dyDescent="0.25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 x14ac:dyDescent="0.25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 x14ac:dyDescent="0.25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 x14ac:dyDescent="0.25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 x14ac:dyDescent="0.25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 x14ac:dyDescent="0.25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 x14ac:dyDescent="0.25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 x14ac:dyDescent="0.25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 x14ac:dyDescent="0.25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 x14ac:dyDescent="0.25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 x14ac:dyDescent="0.25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 x14ac:dyDescent="0.25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 x14ac:dyDescent="0.25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 x14ac:dyDescent="0.25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 x14ac:dyDescent="0.25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 x14ac:dyDescent="0.25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 x14ac:dyDescent="0.25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 x14ac:dyDescent="0.25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 x14ac:dyDescent="0.25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 x14ac:dyDescent="0.25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 x14ac:dyDescent="0.25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 x14ac:dyDescent="0.25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 x14ac:dyDescent="0.25">
      <c r="A124" s="1">
        <v>37621</v>
      </c>
      <c r="B124">
        <v>1.408745879627</v>
      </c>
      <c r="C124">
        <v>1.408745879627</v>
      </c>
      <c r="D124">
        <v>1.408745879627</v>
      </c>
    </row>
    <row r="125" spans="1:4" x14ac:dyDescent="0.25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 x14ac:dyDescent="0.25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 x14ac:dyDescent="0.25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 x14ac:dyDescent="0.25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 x14ac:dyDescent="0.25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 x14ac:dyDescent="0.25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 x14ac:dyDescent="0.25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 x14ac:dyDescent="0.25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 x14ac:dyDescent="0.25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 x14ac:dyDescent="0.25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 x14ac:dyDescent="0.25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 x14ac:dyDescent="0.25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 x14ac:dyDescent="0.25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 x14ac:dyDescent="0.25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 x14ac:dyDescent="0.25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 x14ac:dyDescent="0.25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 x14ac:dyDescent="0.25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 x14ac:dyDescent="0.25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 x14ac:dyDescent="0.25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 x14ac:dyDescent="0.25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 x14ac:dyDescent="0.25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 x14ac:dyDescent="0.25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 x14ac:dyDescent="0.25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 x14ac:dyDescent="0.25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 x14ac:dyDescent="0.25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 x14ac:dyDescent="0.25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 x14ac:dyDescent="0.25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 x14ac:dyDescent="0.25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 x14ac:dyDescent="0.25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 x14ac:dyDescent="0.25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 x14ac:dyDescent="0.25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 x14ac:dyDescent="0.25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 x14ac:dyDescent="0.25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 x14ac:dyDescent="0.25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 x14ac:dyDescent="0.25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 x14ac:dyDescent="0.25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 x14ac:dyDescent="0.25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 x14ac:dyDescent="0.25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 x14ac:dyDescent="0.25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 x14ac:dyDescent="0.25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 x14ac:dyDescent="0.25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 x14ac:dyDescent="0.25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 x14ac:dyDescent="0.25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 x14ac:dyDescent="0.25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 x14ac:dyDescent="0.25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 x14ac:dyDescent="0.25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 x14ac:dyDescent="0.25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 x14ac:dyDescent="0.25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 x14ac:dyDescent="0.25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 x14ac:dyDescent="0.25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 x14ac:dyDescent="0.25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 x14ac:dyDescent="0.25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 x14ac:dyDescent="0.25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 x14ac:dyDescent="0.25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 x14ac:dyDescent="0.25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 x14ac:dyDescent="0.25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 x14ac:dyDescent="0.25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 x14ac:dyDescent="0.25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 x14ac:dyDescent="0.25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 x14ac:dyDescent="0.25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 x14ac:dyDescent="0.25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 x14ac:dyDescent="0.25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 x14ac:dyDescent="0.25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 x14ac:dyDescent="0.25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 x14ac:dyDescent="0.25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 x14ac:dyDescent="0.25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 x14ac:dyDescent="0.25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 x14ac:dyDescent="0.25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 x14ac:dyDescent="0.25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 x14ac:dyDescent="0.25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 x14ac:dyDescent="0.25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 x14ac:dyDescent="0.25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 x14ac:dyDescent="0.25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 x14ac:dyDescent="0.25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 x14ac:dyDescent="0.25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 x14ac:dyDescent="0.25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 x14ac:dyDescent="0.25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 x14ac:dyDescent="0.25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 x14ac:dyDescent="0.25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 x14ac:dyDescent="0.25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 x14ac:dyDescent="0.25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 x14ac:dyDescent="0.25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 x14ac:dyDescent="0.25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 x14ac:dyDescent="0.25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 x14ac:dyDescent="0.25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 x14ac:dyDescent="0.25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RowHeight="15" x14ac:dyDescent="0.25"/>
  <cols>
    <col min="1" max="1" width="9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2.03080099721346</v>
      </c>
      <c r="C2">
        <v>2.03080099721346</v>
      </c>
      <c r="D2">
        <v>2.03080099721346</v>
      </c>
    </row>
    <row r="3" spans="1:4" x14ac:dyDescent="0.25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 x14ac:dyDescent="0.25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 x14ac:dyDescent="0.25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 x14ac:dyDescent="0.25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 x14ac:dyDescent="0.25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 x14ac:dyDescent="0.25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 x14ac:dyDescent="0.25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 x14ac:dyDescent="0.25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 x14ac:dyDescent="0.25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 x14ac:dyDescent="0.25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 x14ac:dyDescent="0.25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 x14ac:dyDescent="0.25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 x14ac:dyDescent="0.25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 x14ac:dyDescent="0.25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 x14ac:dyDescent="0.25">
      <c r="A17" s="1">
        <v>27850</v>
      </c>
      <c r="B17">
        <v>4.9652780361149</v>
      </c>
      <c r="C17">
        <v>4.9652780361149</v>
      </c>
      <c r="D17">
        <v>4.9652780361149</v>
      </c>
    </row>
    <row r="18" spans="1:4" x14ac:dyDescent="0.25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 x14ac:dyDescent="0.25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 x14ac:dyDescent="0.25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 x14ac:dyDescent="0.25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 x14ac:dyDescent="0.25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 x14ac:dyDescent="0.25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 x14ac:dyDescent="0.25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 x14ac:dyDescent="0.25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 x14ac:dyDescent="0.25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 x14ac:dyDescent="0.25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 x14ac:dyDescent="0.25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 x14ac:dyDescent="0.25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 x14ac:dyDescent="0.25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 x14ac:dyDescent="0.25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 x14ac:dyDescent="0.25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 x14ac:dyDescent="0.25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 x14ac:dyDescent="0.25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 x14ac:dyDescent="0.25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 x14ac:dyDescent="0.25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 x14ac:dyDescent="0.25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 x14ac:dyDescent="0.25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 x14ac:dyDescent="0.25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 x14ac:dyDescent="0.25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 x14ac:dyDescent="0.25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 x14ac:dyDescent="0.25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 x14ac:dyDescent="0.25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 x14ac:dyDescent="0.25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 x14ac:dyDescent="0.25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 x14ac:dyDescent="0.25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 x14ac:dyDescent="0.25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 x14ac:dyDescent="0.25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 x14ac:dyDescent="0.25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 x14ac:dyDescent="0.25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 x14ac:dyDescent="0.25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 x14ac:dyDescent="0.25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 x14ac:dyDescent="0.25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 x14ac:dyDescent="0.25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 x14ac:dyDescent="0.25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 x14ac:dyDescent="0.25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 x14ac:dyDescent="0.25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 x14ac:dyDescent="0.25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 x14ac:dyDescent="0.25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 x14ac:dyDescent="0.25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 x14ac:dyDescent="0.25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 x14ac:dyDescent="0.25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 x14ac:dyDescent="0.25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 x14ac:dyDescent="0.25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 x14ac:dyDescent="0.25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 x14ac:dyDescent="0.25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 x14ac:dyDescent="0.25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 x14ac:dyDescent="0.25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 x14ac:dyDescent="0.25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 x14ac:dyDescent="0.25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 x14ac:dyDescent="0.25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 x14ac:dyDescent="0.25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 x14ac:dyDescent="0.25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 x14ac:dyDescent="0.25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 x14ac:dyDescent="0.25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 x14ac:dyDescent="0.25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 x14ac:dyDescent="0.25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 x14ac:dyDescent="0.25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 x14ac:dyDescent="0.25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 x14ac:dyDescent="0.25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 x14ac:dyDescent="0.25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 x14ac:dyDescent="0.25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 x14ac:dyDescent="0.25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 x14ac:dyDescent="0.25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 x14ac:dyDescent="0.25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 x14ac:dyDescent="0.25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 x14ac:dyDescent="0.25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 x14ac:dyDescent="0.25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 x14ac:dyDescent="0.25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 x14ac:dyDescent="0.25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 x14ac:dyDescent="0.25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 x14ac:dyDescent="0.25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 x14ac:dyDescent="0.25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 x14ac:dyDescent="0.25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 x14ac:dyDescent="0.25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 x14ac:dyDescent="0.25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 x14ac:dyDescent="0.25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 x14ac:dyDescent="0.25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 x14ac:dyDescent="0.25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 x14ac:dyDescent="0.25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 x14ac:dyDescent="0.25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 x14ac:dyDescent="0.25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 x14ac:dyDescent="0.25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 x14ac:dyDescent="0.25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 x14ac:dyDescent="0.25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 x14ac:dyDescent="0.25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 x14ac:dyDescent="0.25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 x14ac:dyDescent="0.25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 x14ac:dyDescent="0.25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 x14ac:dyDescent="0.25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 x14ac:dyDescent="0.25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 x14ac:dyDescent="0.25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 x14ac:dyDescent="0.25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 x14ac:dyDescent="0.25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 x14ac:dyDescent="0.25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 x14ac:dyDescent="0.25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 x14ac:dyDescent="0.25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 x14ac:dyDescent="0.25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 x14ac:dyDescent="0.25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 x14ac:dyDescent="0.25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 x14ac:dyDescent="0.25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 x14ac:dyDescent="0.25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 x14ac:dyDescent="0.25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 x14ac:dyDescent="0.25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 x14ac:dyDescent="0.25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 x14ac:dyDescent="0.25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 x14ac:dyDescent="0.25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 x14ac:dyDescent="0.25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 x14ac:dyDescent="0.25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 x14ac:dyDescent="0.25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 x14ac:dyDescent="0.25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 x14ac:dyDescent="0.25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 x14ac:dyDescent="0.25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 x14ac:dyDescent="0.25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 x14ac:dyDescent="0.25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 x14ac:dyDescent="0.25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 x14ac:dyDescent="0.25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 x14ac:dyDescent="0.25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 x14ac:dyDescent="0.25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 x14ac:dyDescent="0.25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 x14ac:dyDescent="0.25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 x14ac:dyDescent="0.25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 x14ac:dyDescent="0.25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 x14ac:dyDescent="0.25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 x14ac:dyDescent="0.25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 x14ac:dyDescent="0.25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 x14ac:dyDescent="0.25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 x14ac:dyDescent="0.25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 x14ac:dyDescent="0.25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 x14ac:dyDescent="0.25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 x14ac:dyDescent="0.25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 x14ac:dyDescent="0.25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 x14ac:dyDescent="0.25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 x14ac:dyDescent="0.25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 x14ac:dyDescent="0.25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 x14ac:dyDescent="0.25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 x14ac:dyDescent="0.25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 x14ac:dyDescent="0.25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 x14ac:dyDescent="0.25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 x14ac:dyDescent="0.25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 x14ac:dyDescent="0.25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 x14ac:dyDescent="0.25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 x14ac:dyDescent="0.25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 x14ac:dyDescent="0.25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 x14ac:dyDescent="0.25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 x14ac:dyDescent="0.25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 x14ac:dyDescent="0.25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 x14ac:dyDescent="0.25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 x14ac:dyDescent="0.25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 x14ac:dyDescent="0.25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 x14ac:dyDescent="0.25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 x14ac:dyDescent="0.25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 x14ac:dyDescent="0.25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 x14ac:dyDescent="0.25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 x14ac:dyDescent="0.25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 x14ac:dyDescent="0.25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 x14ac:dyDescent="0.25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 x14ac:dyDescent="0.25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 x14ac:dyDescent="0.25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 x14ac:dyDescent="0.25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 x14ac:dyDescent="0.25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 x14ac:dyDescent="0.25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 x14ac:dyDescent="0.25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 x14ac:dyDescent="0.25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 x14ac:dyDescent="0.25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 x14ac:dyDescent="0.25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 x14ac:dyDescent="0.25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 x14ac:dyDescent="0.25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 x14ac:dyDescent="0.25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 x14ac:dyDescent="0.25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 x14ac:dyDescent="0.25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 x14ac:dyDescent="0.25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 x14ac:dyDescent="0.25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 x14ac:dyDescent="0.25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 x14ac:dyDescent="0.25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 x14ac:dyDescent="0.25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 x14ac:dyDescent="0.25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 x14ac:dyDescent="0.25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 x14ac:dyDescent="0.25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 x14ac:dyDescent="0.25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 x14ac:dyDescent="0.25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 x14ac:dyDescent="0.25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 x14ac:dyDescent="0.25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 x14ac:dyDescent="0.25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 x14ac:dyDescent="0.25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 x14ac:dyDescent="0.25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 x14ac:dyDescent="0.25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 x14ac:dyDescent="0.25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 x14ac:dyDescent="0.25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 x14ac:dyDescent="0.25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RowHeight="15" x14ac:dyDescent="0.25"/>
  <cols>
    <col min="1" max="1" width="10.7109375" bestFit="1" customWidth="1"/>
    <col min="2" max="4" width="12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 x14ac:dyDescent="0.25">
      <c r="A3" s="1">
        <v>26572</v>
      </c>
      <c r="B3">
        <v>2.90958843066662</v>
      </c>
      <c r="C3">
        <v>2.90958843066662</v>
      </c>
      <c r="D3">
        <v>2.90958843066662</v>
      </c>
    </row>
    <row r="4" spans="1:4" x14ac:dyDescent="0.25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 x14ac:dyDescent="0.25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 x14ac:dyDescent="0.25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 x14ac:dyDescent="0.25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 x14ac:dyDescent="0.25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 x14ac:dyDescent="0.25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 x14ac:dyDescent="0.25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 x14ac:dyDescent="0.25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 x14ac:dyDescent="0.25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 x14ac:dyDescent="0.25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 x14ac:dyDescent="0.25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 x14ac:dyDescent="0.25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 x14ac:dyDescent="0.25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 x14ac:dyDescent="0.25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 x14ac:dyDescent="0.25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 x14ac:dyDescent="0.25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 x14ac:dyDescent="0.25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 x14ac:dyDescent="0.25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 x14ac:dyDescent="0.25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 x14ac:dyDescent="0.25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 x14ac:dyDescent="0.25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 x14ac:dyDescent="0.25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 x14ac:dyDescent="0.25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 x14ac:dyDescent="0.25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 x14ac:dyDescent="0.25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 x14ac:dyDescent="0.25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 x14ac:dyDescent="0.25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 x14ac:dyDescent="0.25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 x14ac:dyDescent="0.25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 x14ac:dyDescent="0.25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 x14ac:dyDescent="0.25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 x14ac:dyDescent="0.25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 x14ac:dyDescent="0.25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 x14ac:dyDescent="0.25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 x14ac:dyDescent="0.25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 x14ac:dyDescent="0.25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 x14ac:dyDescent="0.25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 x14ac:dyDescent="0.25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 x14ac:dyDescent="0.25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 x14ac:dyDescent="0.25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 x14ac:dyDescent="0.25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 x14ac:dyDescent="0.25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 x14ac:dyDescent="0.25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 x14ac:dyDescent="0.25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 x14ac:dyDescent="0.25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 x14ac:dyDescent="0.25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 x14ac:dyDescent="0.25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 x14ac:dyDescent="0.25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 x14ac:dyDescent="0.25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 x14ac:dyDescent="0.25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 x14ac:dyDescent="0.25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 x14ac:dyDescent="0.25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 x14ac:dyDescent="0.25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 x14ac:dyDescent="0.25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 x14ac:dyDescent="0.25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 x14ac:dyDescent="0.25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 x14ac:dyDescent="0.25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 x14ac:dyDescent="0.25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 x14ac:dyDescent="0.25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 x14ac:dyDescent="0.25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 x14ac:dyDescent="0.25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 x14ac:dyDescent="0.25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 x14ac:dyDescent="0.25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 x14ac:dyDescent="0.25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 x14ac:dyDescent="0.25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 x14ac:dyDescent="0.25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 x14ac:dyDescent="0.25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 x14ac:dyDescent="0.25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 x14ac:dyDescent="0.25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 x14ac:dyDescent="0.25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 x14ac:dyDescent="0.25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 x14ac:dyDescent="0.25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 x14ac:dyDescent="0.25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 x14ac:dyDescent="0.25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 x14ac:dyDescent="0.25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 x14ac:dyDescent="0.25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 x14ac:dyDescent="0.25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 x14ac:dyDescent="0.25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 x14ac:dyDescent="0.25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 x14ac:dyDescent="0.25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 x14ac:dyDescent="0.25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 x14ac:dyDescent="0.25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 x14ac:dyDescent="0.25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 x14ac:dyDescent="0.25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 x14ac:dyDescent="0.25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 x14ac:dyDescent="0.25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 x14ac:dyDescent="0.25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 x14ac:dyDescent="0.25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 x14ac:dyDescent="0.25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 x14ac:dyDescent="0.25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 x14ac:dyDescent="0.25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 x14ac:dyDescent="0.25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 x14ac:dyDescent="0.25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 x14ac:dyDescent="0.25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 x14ac:dyDescent="0.25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 x14ac:dyDescent="0.25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 x14ac:dyDescent="0.25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 x14ac:dyDescent="0.25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 x14ac:dyDescent="0.25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 x14ac:dyDescent="0.25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 x14ac:dyDescent="0.25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 x14ac:dyDescent="0.25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 x14ac:dyDescent="0.25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 x14ac:dyDescent="0.25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 x14ac:dyDescent="0.25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 x14ac:dyDescent="0.25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 x14ac:dyDescent="0.25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 x14ac:dyDescent="0.25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 x14ac:dyDescent="0.25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 x14ac:dyDescent="0.25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 x14ac:dyDescent="0.25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 x14ac:dyDescent="0.25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 x14ac:dyDescent="0.25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 x14ac:dyDescent="0.25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 x14ac:dyDescent="0.25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 x14ac:dyDescent="0.25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 x14ac:dyDescent="0.25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 x14ac:dyDescent="0.25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 x14ac:dyDescent="0.25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 x14ac:dyDescent="0.25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 x14ac:dyDescent="0.25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 x14ac:dyDescent="0.25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 x14ac:dyDescent="0.25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 x14ac:dyDescent="0.25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 x14ac:dyDescent="0.25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 x14ac:dyDescent="0.25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 x14ac:dyDescent="0.25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 x14ac:dyDescent="0.25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 x14ac:dyDescent="0.25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 x14ac:dyDescent="0.25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 x14ac:dyDescent="0.25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 x14ac:dyDescent="0.25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 x14ac:dyDescent="0.25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 x14ac:dyDescent="0.25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 x14ac:dyDescent="0.25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 x14ac:dyDescent="0.25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 x14ac:dyDescent="0.25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 x14ac:dyDescent="0.25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 x14ac:dyDescent="0.25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 x14ac:dyDescent="0.25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 x14ac:dyDescent="0.25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 x14ac:dyDescent="0.25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 x14ac:dyDescent="0.25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 x14ac:dyDescent="0.25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 x14ac:dyDescent="0.25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 x14ac:dyDescent="0.25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 x14ac:dyDescent="0.25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 x14ac:dyDescent="0.25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 x14ac:dyDescent="0.25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 x14ac:dyDescent="0.25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 x14ac:dyDescent="0.25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 x14ac:dyDescent="0.25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 x14ac:dyDescent="0.25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 x14ac:dyDescent="0.25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 x14ac:dyDescent="0.25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 x14ac:dyDescent="0.25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 x14ac:dyDescent="0.25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 x14ac:dyDescent="0.25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 x14ac:dyDescent="0.25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 x14ac:dyDescent="0.25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 x14ac:dyDescent="0.25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 x14ac:dyDescent="0.25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 x14ac:dyDescent="0.25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 x14ac:dyDescent="0.25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 x14ac:dyDescent="0.25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 x14ac:dyDescent="0.25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 x14ac:dyDescent="0.25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 x14ac:dyDescent="0.25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 x14ac:dyDescent="0.25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 x14ac:dyDescent="0.25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 x14ac:dyDescent="0.25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 x14ac:dyDescent="0.25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 x14ac:dyDescent="0.25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 x14ac:dyDescent="0.25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 x14ac:dyDescent="0.25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 x14ac:dyDescent="0.25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 x14ac:dyDescent="0.25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 x14ac:dyDescent="0.25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 x14ac:dyDescent="0.25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 x14ac:dyDescent="0.25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 x14ac:dyDescent="0.25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 x14ac:dyDescent="0.25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 x14ac:dyDescent="0.25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 x14ac:dyDescent="0.25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 x14ac:dyDescent="0.25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 x14ac:dyDescent="0.25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 x14ac:dyDescent="0.25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 x14ac:dyDescent="0.25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 x14ac:dyDescent="0.25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 x14ac:dyDescent="0.25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 x14ac:dyDescent="0.25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 x14ac:dyDescent="0.25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 x14ac:dyDescent="0.25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 x14ac:dyDescent="0.25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 x14ac:dyDescent="0.25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 x14ac:dyDescent="0.25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 x14ac:dyDescent="0.25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 x14ac:dyDescent="0.25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 x14ac:dyDescent="0.25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 x14ac:dyDescent="0.25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 x14ac:dyDescent="0.25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 x14ac:dyDescent="0.25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 x14ac:dyDescent="0.25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 x14ac:dyDescent="0.25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 x14ac:dyDescent="0.25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 x14ac:dyDescent="0.25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 x14ac:dyDescent="0.25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3.14761880805034</v>
      </c>
      <c r="C2">
        <v>3.14761880805034</v>
      </c>
      <c r="D2">
        <v>3.14761880805034</v>
      </c>
    </row>
    <row r="3" spans="1:4" x14ac:dyDescent="0.25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 x14ac:dyDescent="0.25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 x14ac:dyDescent="0.25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 x14ac:dyDescent="0.25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 x14ac:dyDescent="0.25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 x14ac:dyDescent="0.25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 x14ac:dyDescent="0.25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 x14ac:dyDescent="0.25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 x14ac:dyDescent="0.25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 x14ac:dyDescent="0.25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 x14ac:dyDescent="0.25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 x14ac:dyDescent="0.25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 x14ac:dyDescent="0.25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 x14ac:dyDescent="0.25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 x14ac:dyDescent="0.25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 x14ac:dyDescent="0.25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 x14ac:dyDescent="0.25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 x14ac:dyDescent="0.25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 x14ac:dyDescent="0.25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 x14ac:dyDescent="0.25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 x14ac:dyDescent="0.25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 x14ac:dyDescent="0.25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 x14ac:dyDescent="0.25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 x14ac:dyDescent="0.25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 x14ac:dyDescent="0.25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 x14ac:dyDescent="0.25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 x14ac:dyDescent="0.25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 x14ac:dyDescent="0.25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 x14ac:dyDescent="0.25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 x14ac:dyDescent="0.25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 x14ac:dyDescent="0.25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 x14ac:dyDescent="0.25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 x14ac:dyDescent="0.25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 x14ac:dyDescent="0.25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 x14ac:dyDescent="0.25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 x14ac:dyDescent="0.25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 x14ac:dyDescent="0.25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 x14ac:dyDescent="0.25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 x14ac:dyDescent="0.25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 x14ac:dyDescent="0.25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 x14ac:dyDescent="0.25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 x14ac:dyDescent="0.25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 x14ac:dyDescent="0.25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 x14ac:dyDescent="0.25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 x14ac:dyDescent="0.25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 x14ac:dyDescent="0.25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 x14ac:dyDescent="0.25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 x14ac:dyDescent="0.25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 x14ac:dyDescent="0.25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 x14ac:dyDescent="0.25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 x14ac:dyDescent="0.25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 x14ac:dyDescent="0.25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 x14ac:dyDescent="0.25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 x14ac:dyDescent="0.25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 x14ac:dyDescent="0.25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 x14ac:dyDescent="0.25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 x14ac:dyDescent="0.25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 x14ac:dyDescent="0.25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 x14ac:dyDescent="0.25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 x14ac:dyDescent="0.25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 x14ac:dyDescent="0.25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 x14ac:dyDescent="0.25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 x14ac:dyDescent="0.25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 x14ac:dyDescent="0.25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 x14ac:dyDescent="0.25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 x14ac:dyDescent="0.25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 x14ac:dyDescent="0.25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 x14ac:dyDescent="0.25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 x14ac:dyDescent="0.25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 x14ac:dyDescent="0.25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 x14ac:dyDescent="0.25">
      <c r="A73" s="1">
        <v>32963</v>
      </c>
      <c r="B73">
        <v>6.5599055946105</v>
      </c>
      <c r="C73">
        <v>6.5599055946105</v>
      </c>
      <c r="D73">
        <v>6.5599055946105</v>
      </c>
    </row>
    <row r="74" spans="1:4" x14ac:dyDescent="0.25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 x14ac:dyDescent="0.25">
      <c r="A75" s="1">
        <v>33146</v>
      </c>
      <c r="B75">
        <v>6.5094118512843</v>
      </c>
      <c r="C75">
        <v>6.5094118512843</v>
      </c>
      <c r="D75">
        <v>6.5094118512843</v>
      </c>
    </row>
    <row r="76" spans="1:4" x14ac:dyDescent="0.25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 x14ac:dyDescent="0.25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 x14ac:dyDescent="0.25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 x14ac:dyDescent="0.25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 x14ac:dyDescent="0.25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 x14ac:dyDescent="0.25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 x14ac:dyDescent="0.25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 x14ac:dyDescent="0.25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 x14ac:dyDescent="0.25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 x14ac:dyDescent="0.25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 x14ac:dyDescent="0.25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 x14ac:dyDescent="0.25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 x14ac:dyDescent="0.25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 x14ac:dyDescent="0.25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 x14ac:dyDescent="0.25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 x14ac:dyDescent="0.25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 x14ac:dyDescent="0.25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 x14ac:dyDescent="0.25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 x14ac:dyDescent="0.25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 x14ac:dyDescent="0.25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 x14ac:dyDescent="0.25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 x14ac:dyDescent="0.25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 x14ac:dyDescent="0.25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 x14ac:dyDescent="0.25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 x14ac:dyDescent="0.25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 x14ac:dyDescent="0.25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 x14ac:dyDescent="0.25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 x14ac:dyDescent="0.25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 x14ac:dyDescent="0.25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 x14ac:dyDescent="0.25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 x14ac:dyDescent="0.25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 x14ac:dyDescent="0.25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 x14ac:dyDescent="0.25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 x14ac:dyDescent="0.25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 x14ac:dyDescent="0.25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 x14ac:dyDescent="0.25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 x14ac:dyDescent="0.25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 x14ac:dyDescent="0.25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 x14ac:dyDescent="0.25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 x14ac:dyDescent="0.25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 x14ac:dyDescent="0.25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 x14ac:dyDescent="0.25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 x14ac:dyDescent="0.25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 x14ac:dyDescent="0.25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 x14ac:dyDescent="0.25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 x14ac:dyDescent="0.25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 x14ac:dyDescent="0.25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 x14ac:dyDescent="0.25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 x14ac:dyDescent="0.25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 x14ac:dyDescent="0.25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 x14ac:dyDescent="0.25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 x14ac:dyDescent="0.25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 x14ac:dyDescent="0.25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 x14ac:dyDescent="0.25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 x14ac:dyDescent="0.25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 x14ac:dyDescent="0.25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 x14ac:dyDescent="0.25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 x14ac:dyDescent="0.25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 x14ac:dyDescent="0.25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 x14ac:dyDescent="0.25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 x14ac:dyDescent="0.25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 x14ac:dyDescent="0.25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 x14ac:dyDescent="0.25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 x14ac:dyDescent="0.25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 x14ac:dyDescent="0.25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 x14ac:dyDescent="0.25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 x14ac:dyDescent="0.25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 x14ac:dyDescent="0.25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 x14ac:dyDescent="0.25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 x14ac:dyDescent="0.25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 x14ac:dyDescent="0.25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 x14ac:dyDescent="0.25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 x14ac:dyDescent="0.25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 x14ac:dyDescent="0.25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 x14ac:dyDescent="0.25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 x14ac:dyDescent="0.25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 x14ac:dyDescent="0.25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 x14ac:dyDescent="0.25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 x14ac:dyDescent="0.25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 x14ac:dyDescent="0.25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 x14ac:dyDescent="0.25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 x14ac:dyDescent="0.25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 x14ac:dyDescent="0.25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 x14ac:dyDescent="0.25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 x14ac:dyDescent="0.25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 x14ac:dyDescent="0.25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 x14ac:dyDescent="0.25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 x14ac:dyDescent="0.25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 x14ac:dyDescent="0.25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 x14ac:dyDescent="0.25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 x14ac:dyDescent="0.25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 x14ac:dyDescent="0.25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 x14ac:dyDescent="0.25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 x14ac:dyDescent="0.25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 x14ac:dyDescent="0.25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 x14ac:dyDescent="0.25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 x14ac:dyDescent="0.25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 x14ac:dyDescent="0.25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 x14ac:dyDescent="0.25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 x14ac:dyDescent="0.25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 x14ac:dyDescent="0.25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 x14ac:dyDescent="0.25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 x14ac:dyDescent="0.25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 x14ac:dyDescent="0.25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 x14ac:dyDescent="0.25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 x14ac:dyDescent="0.25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 x14ac:dyDescent="0.25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 x14ac:dyDescent="0.25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 x14ac:dyDescent="0.25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 x14ac:dyDescent="0.25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 x14ac:dyDescent="0.25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 x14ac:dyDescent="0.25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 x14ac:dyDescent="0.25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 x14ac:dyDescent="0.25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 x14ac:dyDescent="0.25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 x14ac:dyDescent="0.25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 x14ac:dyDescent="0.25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 x14ac:dyDescent="0.25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 x14ac:dyDescent="0.25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 x14ac:dyDescent="0.25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 x14ac:dyDescent="0.25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 x14ac:dyDescent="0.25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 x14ac:dyDescent="0.25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 x14ac:dyDescent="0.25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 x14ac:dyDescent="0.25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 x14ac:dyDescent="0.25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 x14ac:dyDescent="0.25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 x14ac:dyDescent="0.25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 x14ac:dyDescent="0.25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 x14ac:dyDescent="0.25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 x14ac:dyDescent="0.25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 x14ac:dyDescent="0.25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 x14ac:dyDescent="0.25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 x14ac:dyDescent="0.25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 x14ac:dyDescent="0.25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 x14ac:dyDescent="0.25">
      <c r="A3" s="1">
        <v>26572</v>
      </c>
      <c r="B3">
        <v>1.68916430533893</v>
      </c>
      <c r="C3">
        <v>1.68916430533893</v>
      </c>
      <c r="D3">
        <v>1.68916430533893</v>
      </c>
    </row>
    <row r="4" spans="1:4" x14ac:dyDescent="0.25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 x14ac:dyDescent="0.25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 x14ac:dyDescent="0.25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 x14ac:dyDescent="0.25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 x14ac:dyDescent="0.25">
      <c r="A8" s="1">
        <v>27029</v>
      </c>
      <c r="B8">
        <v>7.24452410756881</v>
      </c>
      <c r="C8">
        <v>7.24452410756881</v>
      </c>
      <c r="D8">
        <v>7.24452410756881</v>
      </c>
    </row>
    <row r="9" spans="1:4" x14ac:dyDescent="0.25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 x14ac:dyDescent="0.25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 x14ac:dyDescent="0.25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 x14ac:dyDescent="0.25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 x14ac:dyDescent="0.25">
      <c r="A13" s="1">
        <v>27484</v>
      </c>
      <c r="B13">
        <v>4.7180563378497</v>
      </c>
      <c r="C13">
        <v>4.7180563378497</v>
      </c>
      <c r="D13">
        <v>4.7180563378497</v>
      </c>
    </row>
    <row r="14" spans="1:4" x14ac:dyDescent="0.25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 x14ac:dyDescent="0.25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 x14ac:dyDescent="0.25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 x14ac:dyDescent="0.25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 x14ac:dyDescent="0.25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 x14ac:dyDescent="0.25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 x14ac:dyDescent="0.25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 x14ac:dyDescent="0.25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 x14ac:dyDescent="0.25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 x14ac:dyDescent="0.25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 x14ac:dyDescent="0.25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 x14ac:dyDescent="0.25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 x14ac:dyDescent="0.25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 x14ac:dyDescent="0.25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 x14ac:dyDescent="0.25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 x14ac:dyDescent="0.25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 x14ac:dyDescent="0.25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 x14ac:dyDescent="0.25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 x14ac:dyDescent="0.25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 x14ac:dyDescent="0.25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 x14ac:dyDescent="0.25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 x14ac:dyDescent="0.25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 x14ac:dyDescent="0.25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 x14ac:dyDescent="0.25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 x14ac:dyDescent="0.25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 x14ac:dyDescent="0.25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 x14ac:dyDescent="0.25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 x14ac:dyDescent="0.25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 x14ac:dyDescent="0.25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 x14ac:dyDescent="0.25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 x14ac:dyDescent="0.25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 x14ac:dyDescent="0.25">
      <c r="A45" s="1">
        <v>30406</v>
      </c>
      <c r="B45">
        <v>8.3730724551527</v>
      </c>
      <c r="C45">
        <v>8.3730724551527</v>
      </c>
      <c r="D45">
        <v>8.3730724551527</v>
      </c>
    </row>
    <row r="46" spans="1:4" x14ac:dyDescent="0.25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 x14ac:dyDescent="0.25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 x14ac:dyDescent="0.25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 x14ac:dyDescent="0.25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 x14ac:dyDescent="0.25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 x14ac:dyDescent="0.25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 x14ac:dyDescent="0.25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 x14ac:dyDescent="0.25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 x14ac:dyDescent="0.25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 x14ac:dyDescent="0.25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 x14ac:dyDescent="0.25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 x14ac:dyDescent="0.25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 x14ac:dyDescent="0.25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 x14ac:dyDescent="0.25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 x14ac:dyDescent="0.25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 x14ac:dyDescent="0.25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 x14ac:dyDescent="0.25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 x14ac:dyDescent="0.25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 x14ac:dyDescent="0.25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 x14ac:dyDescent="0.25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 x14ac:dyDescent="0.25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 x14ac:dyDescent="0.25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 x14ac:dyDescent="0.25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 x14ac:dyDescent="0.25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 x14ac:dyDescent="0.25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 x14ac:dyDescent="0.25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 x14ac:dyDescent="0.25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 x14ac:dyDescent="0.25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 x14ac:dyDescent="0.25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 x14ac:dyDescent="0.25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 x14ac:dyDescent="0.25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 x14ac:dyDescent="0.25">
      <c r="A77" s="1">
        <v>33328</v>
      </c>
      <c r="B77">
        <v>8.4781841093771</v>
      </c>
      <c r="C77">
        <v>8.4781841093771</v>
      </c>
      <c r="D77">
        <v>8.4781841093771</v>
      </c>
    </row>
    <row r="78" spans="1:4" x14ac:dyDescent="0.25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 x14ac:dyDescent="0.25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 x14ac:dyDescent="0.25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 x14ac:dyDescent="0.25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 x14ac:dyDescent="0.25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 x14ac:dyDescent="0.25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 x14ac:dyDescent="0.25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 x14ac:dyDescent="0.25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 x14ac:dyDescent="0.25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 x14ac:dyDescent="0.25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 x14ac:dyDescent="0.25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 x14ac:dyDescent="0.25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 x14ac:dyDescent="0.25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 x14ac:dyDescent="0.25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 x14ac:dyDescent="0.25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 x14ac:dyDescent="0.25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 x14ac:dyDescent="0.25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 x14ac:dyDescent="0.25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 x14ac:dyDescent="0.25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 x14ac:dyDescent="0.25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 x14ac:dyDescent="0.25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 x14ac:dyDescent="0.25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 x14ac:dyDescent="0.25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 x14ac:dyDescent="0.25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 x14ac:dyDescent="0.25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 x14ac:dyDescent="0.25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 x14ac:dyDescent="0.25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 x14ac:dyDescent="0.25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 x14ac:dyDescent="0.25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 x14ac:dyDescent="0.25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 x14ac:dyDescent="0.25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 x14ac:dyDescent="0.25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 x14ac:dyDescent="0.25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 x14ac:dyDescent="0.25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 x14ac:dyDescent="0.25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 x14ac:dyDescent="0.25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 x14ac:dyDescent="0.25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 x14ac:dyDescent="0.25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 x14ac:dyDescent="0.25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 x14ac:dyDescent="0.25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 x14ac:dyDescent="0.25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 x14ac:dyDescent="0.25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 x14ac:dyDescent="0.25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 x14ac:dyDescent="0.25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 x14ac:dyDescent="0.25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 x14ac:dyDescent="0.25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 x14ac:dyDescent="0.25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 x14ac:dyDescent="0.25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 x14ac:dyDescent="0.25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 x14ac:dyDescent="0.25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 x14ac:dyDescent="0.25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 x14ac:dyDescent="0.25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 x14ac:dyDescent="0.25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 x14ac:dyDescent="0.25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 x14ac:dyDescent="0.25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 x14ac:dyDescent="0.25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 x14ac:dyDescent="0.25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 x14ac:dyDescent="0.25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 x14ac:dyDescent="0.25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 x14ac:dyDescent="0.25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 x14ac:dyDescent="0.25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 x14ac:dyDescent="0.25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 x14ac:dyDescent="0.25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 x14ac:dyDescent="0.25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 x14ac:dyDescent="0.25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 x14ac:dyDescent="0.25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 x14ac:dyDescent="0.25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 x14ac:dyDescent="0.25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 x14ac:dyDescent="0.25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 x14ac:dyDescent="0.25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 x14ac:dyDescent="0.25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 x14ac:dyDescent="0.25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 x14ac:dyDescent="0.25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 x14ac:dyDescent="0.25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 x14ac:dyDescent="0.25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 x14ac:dyDescent="0.25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 x14ac:dyDescent="0.25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 x14ac:dyDescent="0.25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 x14ac:dyDescent="0.25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 x14ac:dyDescent="0.25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 x14ac:dyDescent="0.25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 x14ac:dyDescent="0.25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 x14ac:dyDescent="0.25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 x14ac:dyDescent="0.25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 x14ac:dyDescent="0.25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 x14ac:dyDescent="0.25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 x14ac:dyDescent="0.25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 x14ac:dyDescent="0.25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 x14ac:dyDescent="0.25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 x14ac:dyDescent="0.25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 x14ac:dyDescent="0.25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 x14ac:dyDescent="0.25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 x14ac:dyDescent="0.25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 x14ac:dyDescent="0.25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 x14ac:dyDescent="0.25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 x14ac:dyDescent="0.25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 x14ac:dyDescent="0.25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 x14ac:dyDescent="0.25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 x14ac:dyDescent="0.25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 x14ac:dyDescent="0.25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 x14ac:dyDescent="0.25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 x14ac:dyDescent="0.25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 x14ac:dyDescent="0.25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 x14ac:dyDescent="0.25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 x14ac:dyDescent="0.25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 x14ac:dyDescent="0.25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 x14ac:dyDescent="0.25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 x14ac:dyDescent="0.25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 x14ac:dyDescent="0.25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 x14ac:dyDescent="0.25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 x14ac:dyDescent="0.25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 x14ac:dyDescent="0.25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 x14ac:dyDescent="0.25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 x14ac:dyDescent="0.25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 x14ac:dyDescent="0.25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 x14ac:dyDescent="0.25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 x14ac:dyDescent="0.25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 x14ac:dyDescent="0.25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 x14ac:dyDescent="0.25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 x14ac:dyDescent="0.25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 x14ac:dyDescent="0.25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 x14ac:dyDescent="0.25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 x14ac:dyDescent="0.25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 x14ac:dyDescent="0.25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 x14ac:dyDescent="0.25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 x14ac:dyDescent="0.25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 x14ac:dyDescent="0.25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 x14ac:dyDescent="0.25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 x14ac:dyDescent="0.25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 x14ac:dyDescent="0.25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 x14ac:dyDescent="0.25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 x14ac:dyDescent="0.25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 x14ac:dyDescent="0.25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1.93427135436727</v>
      </c>
      <c r="C2">
        <v>1.93427135436727</v>
      </c>
      <c r="D2">
        <v>1.93427135436727</v>
      </c>
    </row>
    <row r="3" spans="1:4" x14ac:dyDescent="0.25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 x14ac:dyDescent="0.25">
      <c r="A4" s="1">
        <v>26664</v>
      </c>
      <c r="B4">
        <v>4.43865548032971</v>
      </c>
      <c r="C4">
        <v>4.43865548032971</v>
      </c>
      <c r="D4">
        <v>4.43865548032971</v>
      </c>
    </row>
    <row r="5" spans="1:4" x14ac:dyDescent="0.25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 x14ac:dyDescent="0.25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 x14ac:dyDescent="0.25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 x14ac:dyDescent="0.25">
      <c r="A8" s="1">
        <v>27029</v>
      </c>
      <c r="B8">
        <v>9.76882162030868</v>
      </c>
      <c r="C8">
        <v>9.76882162030868</v>
      </c>
      <c r="D8">
        <v>9.76882162030868</v>
      </c>
    </row>
    <row r="9" spans="1:4" x14ac:dyDescent="0.25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 x14ac:dyDescent="0.25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 x14ac:dyDescent="0.25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 x14ac:dyDescent="0.25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 x14ac:dyDescent="0.25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 x14ac:dyDescent="0.25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 x14ac:dyDescent="0.25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 x14ac:dyDescent="0.25">
      <c r="A16" s="1">
        <v>27759</v>
      </c>
      <c r="B16">
        <v>4.2435358725693</v>
      </c>
      <c r="C16">
        <v>4.2435358725693</v>
      </c>
      <c r="D16">
        <v>4.2435358725693</v>
      </c>
    </row>
    <row r="17" spans="1:4" x14ac:dyDescent="0.25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 x14ac:dyDescent="0.25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 x14ac:dyDescent="0.25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 x14ac:dyDescent="0.25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 x14ac:dyDescent="0.25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 x14ac:dyDescent="0.25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 x14ac:dyDescent="0.25">
      <c r="A23" s="1">
        <v>28398</v>
      </c>
      <c r="B23">
        <v>6.9794665174635</v>
      </c>
      <c r="C23">
        <v>6.9794665174635</v>
      </c>
      <c r="D23">
        <v>6.9794665174635</v>
      </c>
    </row>
    <row r="24" spans="1:4" x14ac:dyDescent="0.25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 x14ac:dyDescent="0.25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 x14ac:dyDescent="0.25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 x14ac:dyDescent="0.25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 x14ac:dyDescent="0.25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 x14ac:dyDescent="0.25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 x14ac:dyDescent="0.25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 x14ac:dyDescent="0.25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 x14ac:dyDescent="0.25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 x14ac:dyDescent="0.25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 x14ac:dyDescent="0.25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 x14ac:dyDescent="0.25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 x14ac:dyDescent="0.25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 x14ac:dyDescent="0.25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 x14ac:dyDescent="0.25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 x14ac:dyDescent="0.25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 x14ac:dyDescent="0.25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 x14ac:dyDescent="0.25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 x14ac:dyDescent="0.25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 x14ac:dyDescent="0.25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 x14ac:dyDescent="0.25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 x14ac:dyDescent="0.25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 x14ac:dyDescent="0.25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 x14ac:dyDescent="0.25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 x14ac:dyDescent="0.25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 x14ac:dyDescent="0.25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 x14ac:dyDescent="0.25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 x14ac:dyDescent="0.25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 x14ac:dyDescent="0.25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 x14ac:dyDescent="0.25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 x14ac:dyDescent="0.25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 x14ac:dyDescent="0.25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 x14ac:dyDescent="0.25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 x14ac:dyDescent="0.25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 x14ac:dyDescent="0.25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 x14ac:dyDescent="0.25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 x14ac:dyDescent="0.25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 x14ac:dyDescent="0.25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 x14ac:dyDescent="0.25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 x14ac:dyDescent="0.25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 x14ac:dyDescent="0.25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 x14ac:dyDescent="0.25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 x14ac:dyDescent="0.25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 x14ac:dyDescent="0.25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 x14ac:dyDescent="0.25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 x14ac:dyDescent="0.25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 x14ac:dyDescent="0.25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 x14ac:dyDescent="0.25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 x14ac:dyDescent="0.25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 x14ac:dyDescent="0.25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 x14ac:dyDescent="0.25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 x14ac:dyDescent="0.25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 x14ac:dyDescent="0.25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 x14ac:dyDescent="0.25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 x14ac:dyDescent="0.25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 x14ac:dyDescent="0.25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 x14ac:dyDescent="0.25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 x14ac:dyDescent="0.25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 x14ac:dyDescent="0.25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 x14ac:dyDescent="0.25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 x14ac:dyDescent="0.25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 x14ac:dyDescent="0.25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 x14ac:dyDescent="0.25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 x14ac:dyDescent="0.25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 x14ac:dyDescent="0.25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 x14ac:dyDescent="0.25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 x14ac:dyDescent="0.25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 x14ac:dyDescent="0.25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 x14ac:dyDescent="0.25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 x14ac:dyDescent="0.25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 x14ac:dyDescent="0.25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 x14ac:dyDescent="0.25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 x14ac:dyDescent="0.25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 x14ac:dyDescent="0.25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 x14ac:dyDescent="0.25">
      <c r="A98" s="1">
        <v>35246</v>
      </c>
      <c r="B98">
        <v>3.3010252231127</v>
      </c>
      <c r="C98">
        <v>3.3010252231127</v>
      </c>
      <c r="D98">
        <v>3.3010252231127</v>
      </c>
    </row>
    <row r="99" spans="1:4" x14ac:dyDescent="0.25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 x14ac:dyDescent="0.25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 x14ac:dyDescent="0.25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 x14ac:dyDescent="0.25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 x14ac:dyDescent="0.25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 x14ac:dyDescent="0.25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 x14ac:dyDescent="0.25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 x14ac:dyDescent="0.25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 x14ac:dyDescent="0.25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 x14ac:dyDescent="0.25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 x14ac:dyDescent="0.25">
      <c r="A109" s="1">
        <v>36250</v>
      </c>
      <c r="B109">
        <v>1.766936453102</v>
      </c>
      <c r="C109">
        <v>1.766936453102</v>
      </c>
      <c r="D109">
        <v>1.766936453102</v>
      </c>
    </row>
    <row r="110" spans="1:4" x14ac:dyDescent="0.25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 x14ac:dyDescent="0.25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 x14ac:dyDescent="0.25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 x14ac:dyDescent="0.25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 x14ac:dyDescent="0.25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 x14ac:dyDescent="0.25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 x14ac:dyDescent="0.25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 x14ac:dyDescent="0.25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 x14ac:dyDescent="0.25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 x14ac:dyDescent="0.25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 x14ac:dyDescent="0.25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 x14ac:dyDescent="0.25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 x14ac:dyDescent="0.25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 x14ac:dyDescent="0.25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 x14ac:dyDescent="0.25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 x14ac:dyDescent="0.25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 x14ac:dyDescent="0.25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 x14ac:dyDescent="0.25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 x14ac:dyDescent="0.25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 x14ac:dyDescent="0.25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 x14ac:dyDescent="0.25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 x14ac:dyDescent="0.25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 x14ac:dyDescent="0.25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 x14ac:dyDescent="0.25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 x14ac:dyDescent="0.25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 x14ac:dyDescent="0.25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 x14ac:dyDescent="0.25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 x14ac:dyDescent="0.25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 x14ac:dyDescent="0.25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 x14ac:dyDescent="0.25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 x14ac:dyDescent="0.25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 x14ac:dyDescent="0.25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 x14ac:dyDescent="0.25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 x14ac:dyDescent="0.25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 x14ac:dyDescent="0.25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 x14ac:dyDescent="0.25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 x14ac:dyDescent="0.25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 x14ac:dyDescent="0.25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 x14ac:dyDescent="0.25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 x14ac:dyDescent="0.25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 x14ac:dyDescent="0.25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 x14ac:dyDescent="0.25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 x14ac:dyDescent="0.25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 x14ac:dyDescent="0.25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 x14ac:dyDescent="0.25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 x14ac:dyDescent="0.25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 x14ac:dyDescent="0.25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 x14ac:dyDescent="0.25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 x14ac:dyDescent="0.25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 x14ac:dyDescent="0.25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 x14ac:dyDescent="0.25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 x14ac:dyDescent="0.25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 x14ac:dyDescent="0.25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 x14ac:dyDescent="0.25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 x14ac:dyDescent="0.25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 x14ac:dyDescent="0.25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 x14ac:dyDescent="0.25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 x14ac:dyDescent="0.25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 x14ac:dyDescent="0.25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 x14ac:dyDescent="0.25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 x14ac:dyDescent="0.25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 x14ac:dyDescent="0.25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 x14ac:dyDescent="0.25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 x14ac:dyDescent="0.25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 x14ac:dyDescent="0.25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 x14ac:dyDescent="0.25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 x14ac:dyDescent="0.25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 x14ac:dyDescent="0.25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 x14ac:dyDescent="0.25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 x14ac:dyDescent="0.25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 x14ac:dyDescent="0.25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 x14ac:dyDescent="0.25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 x14ac:dyDescent="0.25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 x14ac:dyDescent="0.25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 x14ac:dyDescent="0.25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 x14ac:dyDescent="0.25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 x14ac:dyDescent="0.25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 x14ac:dyDescent="0.25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 x14ac:dyDescent="0.25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 x14ac:dyDescent="0.25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 x14ac:dyDescent="0.25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 x14ac:dyDescent="0.25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 x14ac:dyDescent="0.25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 x14ac:dyDescent="0.25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 x14ac:dyDescent="0.25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 x14ac:dyDescent="0.25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 x14ac:dyDescent="0.25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 x14ac:dyDescent="0.25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 x14ac:dyDescent="0.25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 x14ac:dyDescent="0.25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 x14ac:dyDescent="0.25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 x14ac:dyDescent="0.25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 x14ac:dyDescent="0.25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 x14ac:dyDescent="0.25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 x14ac:dyDescent="0.25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 x14ac:dyDescent="0.25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 x14ac:dyDescent="0.25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 x14ac:dyDescent="0.25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 x14ac:dyDescent="0.25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 x14ac:dyDescent="0.25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 x14ac:dyDescent="0.25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 x14ac:dyDescent="0.25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 x14ac:dyDescent="0.25">
      <c r="A4" s="1">
        <v>26664</v>
      </c>
      <c r="B4">
        <v>3.52511189613403</v>
      </c>
      <c r="C4">
        <v>3.52511189613403</v>
      </c>
      <c r="D4">
        <v>3.52511189613403</v>
      </c>
    </row>
    <row r="5" spans="1:4" x14ac:dyDescent="0.25">
      <c r="A5" s="1">
        <v>26754</v>
      </c>
      <c r="B5">
        <v>3.51947361093328</v>
      </c>
      <c r="C5">
        <v>3.51947361093328</v>
      </c>
      <c r="D5">
        <v>3.51947361093328</v>
      </c>
    </row>
    <row r="6" spans="1:4" x14ac:dyDescent="0.25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 x14ac:dyDescent="0.25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 x14ac:dyDescent="0.25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 x14ac:dyDescent="0.25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 x14ac:dyDescent="0.25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 x14ac:dyDescent="0.25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 x14ac:dyDescent="0.25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 x14ac:dyDescent="0.25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 x14ac:dyDescent="0.25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 x14ac:dyDescent="0.25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 x14ac:dyDescent="0.25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 x14ac:dyDescent="0.25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 x14ac:dyDescent="0.25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 x14ac:dyDescent="0.25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 x14ac:dyDescent="0.25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 x14ac:dyDescent="0.25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 x14ac:dyDescent="0.25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 x14ac:dyDescent="0.25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 x14ac:dyDescent="0.25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 x14ac:dyDescent="0.25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 x14ac:dyDescent="0.25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 x14ac:dyDescent="0.25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 x14ac:dyDescent="0.25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 x14ac:dyDescent="0.25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 x14ac:dyDescent="0.25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 x14ac:dyDescent="0.25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 x14ac:dyDescent="0.25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 x14ac:dyDescent="0.25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 x14ac:dyDescent="0.25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 x14ac:dyDescent="0.25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 x14ac:dyDescent="0.25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 x14ac:dyDescent="0.25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 x14ac:dyDescent="0.25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 x14ac:dyDescent="0.25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 x14ac:dyDescent="0.25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 x14ac:dyDescent="0.25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 x14ac:dyDescent="0.25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 x14ac:dyDescent="0.25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 x14ac:dyDescent="0.25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 x14ac:dyDescent="0.25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 x14ac:dyDescent="0.25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 x14ac:dyDescent="0.25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 x14ac:dyDescent="0.25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 x14ac:dyDescent="0.25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 x14ac:dyDescent="0.25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 x14ac:dyDescent="0.25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 x14ac:dyDescent="0.25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 x14ac:dyDescent="0.25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 x14ac:dyDescent="0.25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 x14ac:dyDescent="0.25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 x14ac:dyDescent="0.25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 x14ac:dyDescent="0.25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 x14ac:dyDescent="0.25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 x14ac:dyDescent="0.25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 x14ac:dyDescent="0.25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 x14ac:dyDescent="0.25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 x14ac:dyDescent="0.25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 x14ac:dyDescent="0.25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 x14ac:dyDescent="0.25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 x14ac:dyDescent="0.25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 x14ac:dyDescent="0.25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 x14ac:dyDescent="0.25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 x14ac:dyDescent="0.25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 x14ac:dyDescent="0.25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 x14ac:dyDescent="0.25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 x14ac:dyDescent="0.25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 x14ac:dyDescent="0.25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 x14ac:dyDescent="0.25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 x14ac:dyDescent="0.25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 x14ac:dyDescent="0.25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 x14ac:dyDescent="0.25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 x14ac:dyDescent="0.25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 x14ac:dyDescent="0.25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 x14ac:dyDescent="0.25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 x14ac:dyDescent="0.25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 x14ac:dyDescent="0.25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 x14ac:dyDescent="0.25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 x14ac:dyDescent="0.25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 x14ac:dyDescent="0.25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 x14ac:dyDescent="0.25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 x14ac:dyDescent="0.25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 x14ac:dyDescent="0.25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 x14ac:dyDescent="0.25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 x14ac:dyDescent="0.25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 x14ac:dyDescent="0.25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 x14ac:dyDescent="0.25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 x14ac:dyDescent="0.25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 x14ac:dyDescent="0.25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 x14ac:dyDescent="0.25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 x14ac:dyDescent="0.25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 x14ac:dyDescent="0.25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 x14ac:dyDescent="0.25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 x14ac:dyDescent="0.25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 x14ac:dyDescent="0.25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 x14ac:dyDescent="0.25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 x14ac:dyDescent="0.25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 x14ac:dyDescent="0.25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 x14ac:dyDescent="0.25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 x14ac:dyDescent="0.25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 x14ac:dyDescent="0.25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 x14ac:dyDescent="0.25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 x14ac:dyDescent="0.25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 x14ac:dyDescent="0.25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 x14ac:dyDescent="0.25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 x14ac:dyDescent="0.25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 x14ac:dyDescent="0.25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 x14ac:dyDescent="0.25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 x14ac:dyDescent="0.25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 x14ac:dyDescent="0.25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 x14ac:dyDescent="0.25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 x14ac:dyDescent="0.25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 x14ac:dyDescent="0.25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 x14ac:dyDescent="0.25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 x14ac:dyDescent="0.25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 x14ac:dyDescent="0.25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 x14ac:dyDescent="0.25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 x14ac:dyDescent="0.25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 x14ac:dyDescent="0.25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 x14ac:dyDescent="0.25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 x14ac:dyDescent="0.25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 x14ac:dyDescent="0.25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 x14ac:dyDescent="0.25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 x14ac:dyDescent="0.25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 x14ac:dyDescent="0.25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 x14ac:dyDescent="0.25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 x14ac:dyDescent="0.25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 x14ac:dyDescent="0.25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 x14ac:dyDescent="0.25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 x14ac:dyDescent="0.25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 x14ac:dyDescent="0.25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 x14ac:dyDescent="0.25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 x14ac:dyDescent="0.25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 x14ac:dyDescent="0.25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 x14ac:dyDescent="0.25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 x14ac:dyDescent="0.25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 x14ac:dyDescent="0.25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 x14ac:dyDescent="0.25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 x14ac:dyDescent="0.25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 x14ac:dyDescent="0.25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 x14ac:dyDescent="0.25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 x14ac:dyDescent="0.25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 x14ac:dyDescent="0.25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 x14ac:dyDescent="0.25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 x14ac:dyDescent="0.25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 x14ac:dyDescent="0.25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 x14ac:dyDescent="0.25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 x14ac:dyDescent="0.25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 x14ac:dyDescent="0.25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 x14ac:dyDescent="0.25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 x14ac:dyDescent="0.25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 x14ac:dyDescent="0.25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 x14ac:dyDescent="0.25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 x14ac:dyDescent="0.25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 x14ac:dyDescent="0.25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 x14ac:dyDescent="0.25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 x14ac:dyDescent="0.25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 x14ac:dyDescent="0.25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 x14ac:dyDescent="0.25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 x14ac:dyDescent="0.25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 x14ac:dyDescent="0.25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 x14ac:dyDescent="0.25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 x14ac:dyDescent="0.25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 x14ac:dyDescent="0.25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 x14ac:dyDescent="0.25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 x14ac:dyDescent="0.25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 x14ac:dyDescent="0.25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 x14ac:dyDescent="0.25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 x14ac:dyDescent="0.25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 x14ac:dyDescent="0.25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 x14ac:dyDescent="0.25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 x14ac:dyDescent="0.25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 x14ac:dyDescent="0.25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 x14ac:dyDescent="0.25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 x14ac:dyDescent="0.25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 x14ac:dyDescent="0.25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 x14ac:dyDescent="0.25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 x14ac:dyDescent="0.25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 x14ac:dyDescent="0.25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 x14ac:dyDescent="0.25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 x14ac:dyDescent="0.25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 x14ac:dyDescent="0.25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 x14ac:dyDescent="0.25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 x14ac:dyDescent="0.25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 x14ac:dyDescent="0.25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 x14ac:dyDescent="0.25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 x14ac:dyDescent="0.25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 x14ac:dyDescent="0.25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 x14ac:dyDescent="0.25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 x14ac:dyDescent="0.25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 x14ac:dyDescent="0.25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 x14ac:dyDescent="0.25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 x14ac:dyDescent="0.25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 x14ac:dyDescent="0.25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 x14ac:dyDescent="0.25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 x14ac:dyDescent="0.25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 x14ac:dyDescent="0.25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 x14ac:dyDescent="0.25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 x14ac:dyDescent="0.25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 x14ac:dyDescent="0.25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 x14ac:dyDescent="0.25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 x14ac:dyDescent="0.25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 x14ac:dyDescent="0.25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 x14ac:dyDescent="0.25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 x14ac:dyDescent="0.25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 x14ac:dyDescent="0.25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 x14ac:dyDescent="0.25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 x14ac:dyDescent="0.25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 x14ac:dyDescent="0.25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 x14ac:dyDescent="0.25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 x14ac:dyDescent="0.25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 x14ac:dyDescent="0.25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 x14ac:dyDescent="0.25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 x14ac:dyDescent="0.25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 x14ac:dyDescent="0.25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 x14ac:dyDescent="0.25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 x14ac:dyDescent="0.25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 x14ac:dyDescent="0.25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 x14ac:dyDescent="0.25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 x14ac:dyDescent="0.25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 x14ac:dyDescent="0.25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 x14ac:dyDescent="0.25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 x14ac:dyDescent="0.25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 x14ac:dyDescent="0.25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 x14ac:dyDescent="0.25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 x14ac:dyDescent="0.25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 x14ac:dyDescent="0.25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 x14ac:dyDescent="0.25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 x14ac:dyDescent="0.25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 x14ac:dyDescent="0.25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 x14ac:dyDescent="0.25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 x14ac:dyDescent="0.25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 x14ac:dyDescent="0.25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 x14ac:dyDescent="0.25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 x14ac:dyDescent="0.25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 x14ac:dyDescent="0.25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 x14ac:dyDescent="0.25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 x14ac:dyDescent="0.25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 x14ac:dyDescent="0.25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 x14ac:dyDescent="0.25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 x14ac:dyDescent="0.25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 x14ac:dyDescent="0.25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 x14ac:dyDescent="0.25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 x14ac:dyDescent="0.25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 x14ac:dyDescent="0.25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 x14ac:dyDescent="0.25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 x14ac:dyDescent="0.25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 x14ac:dyDescent="0.25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 x14ac:dyDescent="0.25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 x14ac:dyDescent="0.25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 x14ac:dyDescent="0.25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 x14ac:dyDescent="0.25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 x14ac:dyDescent="0.25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 x14ac:dyDescent="0.25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 x14ac:dyDescent="0.25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 x14ac:dyDescent="0.25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 x14ac:dyDescent="0.25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 x14ac:dyDescent="0.25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 x14ac:dyDescent="0.25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 x14ac:dyDescent="0.25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 x14ac:dyDescent="0.25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 x14ac:dyDescent="0.25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 x14ac:dyDescent="0.25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 x14ac:dyDescent="0.25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 x14ac:dyDescent="0.25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 x14ac:dyDescent="0.25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 x14ac:dyDescent="0.25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 x14ac:dyDescent="0.25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 x14ac:dyDescent="0.25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 x14ac:dyDescent="0.25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 x14ac:dyDescent="0.25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 x14ac:dyDescent="0.25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 x14ac:dyDescent="0.25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 x14ac:dyDescent="0.25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 x14ac:dyDescent="0.25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 x14ac:dyDescent="0.25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 x14ac:dyDescent="0.25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 x14ac:dyDescent="0.25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 x14ac:dyDescent="0.25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 x14ac:dyDescent="0.25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 x14ac:dyDescent="0.25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 x14ac:dyDescent="0.25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 x14ac:dyDescent="0.25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 x14ac:dyDescent="0.25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 x14ac:dyDescent="0.25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 x14ac:dyDescent="0.25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 x14ac:dyDescent="0.25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 x14ac:dyDescent="0.25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 x14ac:dyDescent="0.25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 x14ac:dyDescent="0.25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 x14ac:dyDescent="0.25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 x14ac:dyDescent="0.25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 x14ac:dyDescent="0.25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 x14ac:dyDescent="0.25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 x14ac:dyDescent="0.25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 x14ac:dyDescent="0.25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 x14ac:dyDescent="0.25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 x14ac:dyDescent="0.25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 x14ac:dyDescent="0.25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 x14ac:dyDescent="0.25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 x14ac:dyDescent="0.25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 x14ac:dyDescent="0.25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 x14ac:dyDescent="0.25">
      <c r="A99" s="1">
        <v>35338</v>
      </c>
      <c r="B99">
        <v>2.9980981815123</v>
      </c>
      <c r="C99">
        <v>2.9980981815123</v>
      </c>
      <c r="D99">
        <v>2.9980981815123</v>
      </c>
    </row>
    <row r="100" spans="1:4" x14ac:dyDescent="0.25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 x14ac:dyDescent="0.25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 x14ac:dyDescent="0.25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 x14ac:dyDescent="0.25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 x14ac:dyDescent="0.25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 x14ac:dyDescent="0.25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 x14ac:dyDescent="0.25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 x14ac:dyDescent="0.25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 x14ac:dyDescent="0.25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 x14ac:dyDescent="0.25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 x14ac:dyDescent="0.25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 x14ac:dyDescent="0.25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 x14ac:dyDescent="0.25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 x14ac:dyDescent="0.25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 x14ac:dyDescent="0.25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 x14ac:dyDescent="0.25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 x14ac:dyDescent="0.25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 x14ac:dyDescent="0.25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 x14ac:dyDescent="0.25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 x14ac:dyDescent="0.25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 x14ac:dyDescent="0.25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 x14ac:dyDescent="0.25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 x14ac:dyDescent="0.25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 x14ac:dyDescent="0.25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 x14ac:dyDescent="0.25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 x14ac:dyDescent="0.25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 x14ac:dyDescent="0.25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 x14ac:dyDescent="0.25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 x14ac:dyDescent="0.25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 x14ac:dyDescent="0.25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 x14ac:dyDescent="0.25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 x14ac:dyDescent="0.25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 x14ac:dyDescent="0.25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 x14ac:dyDescent="0.25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 x14ac:dyDescent="0.25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 x14ac:dyDescent="0.25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 x14ac:dyDescent="0.25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 x14ac:dyDescent="0.25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 x14ac:dyDescent="0.25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 x14ac:dyDescent="0.25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 x14ac:dyDescent="0.25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 x14ac:dyDescent="0.25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 x14ac:dyDescent="0.25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 x14ac:dyDescent="0.25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 x14ac:dyDescent="0.25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 x14ac:dyDescent="0.25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 x14ac:dyDescent="0.25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 x14ac:dyDescent="0.25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 x14ac:dyDescent="0.25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 x14ac:dyDescent="0.25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 x14ac:dyDescent="0.25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 x14ac:dyDescent="0.25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 x14ac:dyDescent="0.25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 x14ac:dyDescent="0.25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 x14ac:dyDescent="0.25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 x14ac:dyDescent="0.25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 x14ac:dyDescent="0.25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 x14ac:dyDescent="0.25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 x14ac:dyDescent="0.25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 x14ac:dyDescent="0.25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 x14ac:dyDescent="0.25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 x14ac:dyDescent="0.25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 x14ac:dyDescent="0.25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 x14ac:dyDescent="0.25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 x14ac:dyDescent="0.25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 x14ac:dyDescent="0.25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 x14ac:dyDescent="0.25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 x14ac:dyDescent="0.25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 x14ac:dyDescent="0.25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 x14ac:dyDescent="0.25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 x14ac:dyDescent="0.25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 x14ac:dyDescent="0.25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 x14ac:dyDescent="0.25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 x14ac:dyDescent="0.25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 x14ac:dyDescent="0.25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 x14ac:dyDescent="0.25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 x14ac:dyDescent="0.25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 x14ac:dyDescent="0.25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 x14ac:dyDescent="0.25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 x14ac:dyDescent="0.25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 x14ac:dyDescent="0.25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 x14ac:dyDescent="0.25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 x14ac:dyDescent="0.25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 x14ac:dyDescent="0.25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 x14ac:dyDescent="0.25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 x14ac:dyDescent="0.25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 x14ac:dyDescent="0.25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 x14ac:dyDescent="0.25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 x14ac:dyDescent="0.25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 x14ac:dyDescent="0.25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 x14ac:dyDescent="0.25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 x14ac:dyDescent="0.25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 x14ac:dyDescent="0.25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 x14ac:dyDescent="0.25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 x14ac:dyDescent="0.25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 x14ac:dyDescent="0.25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 x14ac:dyDescent="0.25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 x14ac:dyDescent="0.25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 x14ac:dyDescent="0.25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 x14ac:dyDescent="0.25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 x14ac:dyDescent="0.25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 x14ac:dyDescent="0.25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 x14ac:dyDescent="0.25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 x14ac:dyDescent="0.25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 x14ac:dyDescent="0.25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 x14ac:dyDescent="0.25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 x14ac:dyDescent="0.25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 x14ac:dyDescent="0.25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 x14ac:dyDescent="0.25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 x14ac:dyDescent="0.25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 x14ac:dyDescent="0.25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Chart NA - DSGE Raw Data</vt:lpstr>
      <vt:lpstr>DSGE HVD wFG - difference</vt:lpstr>
      <vt:lpstr>YC Chart - Policy rate</vt:lpstr>
      <vt:lpstr>Chart 2 - Real rate gaps</vt:lpstr>
      <vt:lpstr>Decomposition</vt:lpstr>
      <vt:lpstr>DSGE HVD wFG</vt:lpstr>
      <vt:lpstr>EA_output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2025-09-21T23:50:09Z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