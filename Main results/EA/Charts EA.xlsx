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ink/ink1.xml" ContentType="application/inkml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ink/ink2.xml" ContentType="application/inkml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4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E5C9F57B-3657-45DA-951C-27E497AA6126}" xr6:coauthVersionLast="47" xr6:coauthVersionMax="47" xr10:uidLastSave="{00000000-0000-0000-0000-000000000000}"/>
  <bookViews>
    <workbookView xWindow="-120" yWindow="-120" windowWidth="51840" windowHeight="21120" tabRatio="667" firstSheet="2" activeTab="4" xr2:uid="{00000000-000D-0000-FFFF-FFFF00000000}"/>
  </bookViews>
  <sheets>
    <sheet name="Chart NA - DSGE Raw Data" sheetId="1" r:id="rId1"/>
    <sheet name="Chart 2 - Real rate gaps" sheetId="11" r:id="rId2"/>
    <sheet name="Decomposition" sheetId="14" r:id="rId3"/>
    <sheet name="DSGE HVD wFG" sheetId="15" r:id="rId4"/>
    <sheet name="EA_output" sheetId="19" r:id="rId5"/>
    <sheet name="EA_policy_rarte_vs_shadow_rate" sheetId="18" r:id="rId6"/>
    <sheet name="shockdec_obs_nominalrate_cond=n" sheetId="17" r:id="rId7"/>
    <sheet name="DSGE HVD wo FG" sheetId="16" r:id="rId8"/>
    <sheet name="Chart 3 - rstar" sheetId="12" r:id="rId9"/>
    <sheet name="2025Q2" sheetId="13" r:id="rId10"/>
    <sheet name="hist_ExAnteRealRate_wFG" sheetId="2" r:id="rId11"/>
    <sheet name="hist_RealNaturalRate_wFG" sheetId="3" r:id="rId12"/>
    <sheet name="hist_Forward5YearRealR_wFG" sheetId="5" r:id="rId13"/>
    <sheet name="hist_Forward5YearRNatR_wFG" sheetId="4" r:id="rId14"/>
    <sheet name="hist_ExAnteRealRate_woFG" sheetId="7" r:id="rId15"/>
    <sheet name="hist_RealNaturalRate_woFG" sheetId="8" r:id="rId16"/>
    <sheet name="hist_Forward5YearRealR_woFG" sheetId="10" r:id="rId17"/>
    <sheet name="hist_Forward5YearRNatR_woFG" sheetId="9" r:id="rId18"/>
  </sheets>
  <externalReferences>
    <externalReference r:id="rId19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19" l="1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J132" i="19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AJ132" i="18"/>
  <c r="AK132" i="18" s="1"/>
  <c r="AH132" i="18"/>
  <c r="AK131" i="18"/>
  <c r="AJ131" i="18"/>
  <c r="AH131" i="18"/>
  <c r="AJ130" i="18"/>
  <c r="AK130" i="18" s="1"/>
  <c r="AH130" i="18"/>
  <c r="AK129" i="18"/>
  <c r="AJ129" i="18"/>
  <c r="AH129" i="18"/>
  <c r="AJ128" i="18"/>
  <c r="AK128" i="18" s="1"/>
  <c r="AH128" i="18"/>
  <c r="AK127" i="18"/>
  <c r="AJ127" i="18"/>
  <c r="AH127" i="18"/>
  <c r="AJ126" i="18"/>
  <c r="AK126" i="18" s="1"/>
  <c r="AH126" i="18"/>
  <c r="AK125" i="18"/>
  <c r="AJ125" i="18"/>
  <c r="AH125" i="18"/>
  <c r="AJ124" i="18"/>
  <c r="AK124" i="18" s="1"/>
  <c r="AH124" i="18"/>
  <c r="AK123" i="18"/>
  <c r="AJ123" i="18"/>
  <c r="AH123" i="18"/>
  <c r="AJ122" i="18"/>
  <c r="AK122" i="18" s="1"/>
  <c r="AH122" i="18"/>
  <c r="AK121" i="18"/>
  <c r="AJ121" i="18"/>
  <c r="AH121" i="18"/>
  <c r="AJ120" i="18"/>
  <c r="AK120" i="18" s="1"/>
  <c r="AH120" i="18"/>
  <c r="AK119" i="18"/>
  <c r="AJ119" i="18"/>
  <c r="AH119" i="18"/>
  <c r="AJ118" i="18"/>
  <c r="AK118" i="18" s="1"/>
  <c r="AH118" i="18"/>
  <c r="AK117" i="18"/>
  <c r="AJ117" i="18"/>
  <c r="AH117" i="18"/>
  <c r="AJ116" i="18"/>
  <c r="AK116" i="18" s="1"/>
  <c r="AH116" i="18"/>
  <c r="AK115" i="18"/>
  <c r="AJ115" i="18"/>
  <c r="AH115" i="18"/>
  <c r="AJ114" i="18"/>
  <c r="AK114" i="18" s="1"/>
  <c r="AH114" i="18"/>
  <c r="AK113" i="18"/>
  <c r="AJ113" i="18"/>
  <c r="AH113" i="18"/>
  <c r="AJ112" i="18"/>
  <c r="AK112" i="18" s="1"/>
  <c r="AH112" i="18"/>
  <c r="AK111" i="18"/>
  <c r="AJ111" i="18"/>
  <c r="AH111" i="18"/>
  <c r="AJ110" i="18"/>
  <c r="AK110" i="18" s="1"/>
  <c r="AH110" i="18"/>
  <c r="AK109" i="18"/>
  <c r="AJ109" i="18"/>
  <c r="AH109" i="18"/>
  <c r="AJ108" i="18"/>
  <c r="AK108" i="18" s="1"/>
  <c r="AH108" i="18"/>
  <c r="AK107" i="18"/>
  <c r="AJ107" i="18"/>
  <c r="AH107" i="18"/>
  <c r="AJ106" i="18"/>
  <c r="AK106" i="18" s="1"/>
  <c r="AH106" i="18"/>
  <c r="AK105" i="18"/>
  <c r="AJ105" i="18"/>
  <c r="AH105" i="18"/>
  <c r="AJ104" i="18"/>
  <c r="AK104" i="18" s="1"/>
  <c r="AH104" i="18"/>
  <c r="AK103" i="18"/>
  <c r="AJ103" i="18"/>
  <c r="AH103" i="18"/>
  <c r="AJ102" i="18"/>
  <c r="AK102" i="18" s="1"/>
  <c r="AH102" i="18"/>
  <c r="AK101" i="18"/>
  <c r="AJ101" i="18"/>
  <c r="AH101" i="18"/>
  <c r="AJ100" i="18"/>
  <c r="AK100" i="18" s="1"/>
  <c r="AH100" i="18"/>
  <c r="AK99" i="18"/>
  <c r="AJ99" i="18"/>
  <c r="AH99" i="18"/>
  <c r="AJ98" i="18"/>
  <c r="AK98" i="18" s="1"/>
  <c r="AH98" i="18"/>
  <c r="AK97" i="18"/>
  <c r="AJ97" i="18"/>
  <c r="AH97" i="18"/>
  <c r="AJ96" i="18"/>
  <c r="AK96" i="18" s="1"/>
  <c r="AH96" i="18"/>
  <c r="AK95" i="18"/>
  <c r="AJ95" i="18"/>
  <c r="AH95" i="18"/>
  <c r="AJ94" i="18"/>
  <c r="AK94" i="18" s="1"/>
  <c r="AH94" i="18"/>
  <c r="AK93" i="18"/>
  <c r="AJ93" i="18"/>
  <c r="AH93" i="18"/>
  <c r="AJ92" i="18"/>
  <c r="AK92" i="18" s="1"/>
  <c r="AH92" i="18"/>
  <c r="AK91" i="18"/>
  <c r="AJ91" i="18"/>
  <c r="AH91" i="18"/>
  <c r="AJ90" i="18"/>
  <c r="AK90" i="18" s="1"/>
  <c r="AH90" i="18"/>
  <c r="AK89" i="18"/>
  <c r="AJ89" i="18"/>
  <c r="AH89" i="18"/>
  <c r="AJ88" i="18"/>
  <c r="AK88" i="18" s="1"/>
  <c r="AH88" i="18"/>
  <c r="AK87" i="18"/>
  <c r="AJ87" i="18"/>
  <c r="AH87" i="18"/>
  <c r="AJ86" i="18"/>
  <c r="AK86" i="18" s="1"/>
  <c r="AH86" i="18"/>
  <c r="AK85" i="18"/>
  <c r="AJ85" i="18"/>
  <c r="AH85" i="18"/>
  <c r="AJ84" i="18"/>
  <c r="AK84" i="18" s="1"/>
  <c r="AH84" i="18"/>
  <c r="AK83" i="18"/>
  <c r="AJ83" i="18"/>
  <c r="AH83" i="18"/>
  <c r="AJ82" i="18"/>
  <c r="AK82" i="18" s="1"/>
  <c r="AH82" i="18"/>
  <c r="AK81" i="18"/>
  <c r="AJ81" i="18"/>
  <c r="AH81" i="18"/>
  <c r="AJ80" i="18"/>
  <c r="AK80" i="18" s="1"/>
  <c r="AH80" i="18"/>
  <c r="AK79" i="18"/>
  <c r="AJ79" i="18"/>
  <c r="AH79" i="18"/>
  <c r="AJ78" i="18"/>
  <c r="AK78" i="18" s="1"/>
  <c r="AH78" i="18"/>
  <c r="AK77" i="18"/>
  <c r="AJ77" i="18"/>
  <c r="AH77" i="18"/>
  <c r="AJ76" i="18"/>
  <c r="AK76" i="18" s="1"/>
  <c r="AH76" i="18"/>
  <c r="AK75" i="18"/>
  <c r="AJ75" i="18"/>
  <c r="AH75" i="18"/>
  <c r="AJ74" i="18"/>
  <c r="AK74" i="18" s="1"/>
  <c r="AH74" i="18"/>
  <c r="AK73" i="18"/>
  <c r="AJ73" i="18"/>
  <c r="AH73" i="18"/>
  <c r="AJ72" i="18"/>
  <c r="AK72" i="18" s="1"/>
  <c r="AH72" i="18"/>
  <c r="AJ71" i="18"/>
  <c r="AK71" i="18" s="1"/>
  <c r="AH71" i="18"/>
  <c r="AJ70" i="18"/>
  <c r="AK70" i="18" s="1"/>
  <c r="AH70" i="18"/>
  <c r="AJ69" i="18"/>
  <c r="AK69" i="18" s="1"/>
  <c r="AH69" i="18"/>
  <c r="AJ68" i="18"/>
  <c r="AK68" i="18" s="1"/>
  <c r="AH68" i="18"/>
  <c r="AJ67" i="18"/>
  <c r="AK67" i="18" s="1"/>
  <c r="AH67" i="18"/>
  <c r="AJ66" i="18"/>
  <c r="AK66" i="18" s="1"/>
  <c r="AH66" i="18"/>
  <c r="AJ65" i="18"/>
  <c r="AK65" i="18" s="1"/>
  <c r="AH65" i="18"/>
  <c r="AJ64" i="18"/>
  <c r="AK64" i="18" s="1"/>
  <c r="AH64" i="18"/>
  <c r="AJ63" i="18"/>
  <c r="AK63" i="18" s="1"/>
  <c r="AH63" i="18"/>
  <c r="AJ62" i="18"/>
  <c r="AK62" i="18" s="1"/>
  <c r="AH62" i="18"/>
  <c r="AJ61" i="18"/>
  <c r="AK61" i="18" s="1"/>
  <c r="AH61" i="18"/>
  <c r="AJ60" i="18"/>
  <c r="AK60" i="18" s="1"/>
  <c r="AH60" i="18"/>
  <c r="AJ59" i="18"/>
  <c r="AK59" i="18" s="1"/>
  <c r="AH59" i="18"/>
  <c r="AJ58" i="18"/>
  <c r="AK58" i="18" s="1"/>
  <c r="AH58" i="18"/>
  <c r="AJ57" i="18"/>
  <c r="AK57" i="18" s="1"/>
  <c r="AH57" i="18"/>
  <c r="AJ56" i="18"/>
  <c r="AK56" i="18" s="1"/>
  <c r="AH56" i="18"/>
  <c r="AJ55" i="18"/>
  <c r="AK55" i="18" s="1"/>
  <c r="AH55" i="18"/>
  <c r="AJ54" i="18"/>
  <c r="AK54" i="18" s="1"/>
  <c r="AH54" i="18"/>
  <c r="AJ53" i="18"/>
  <c r="AK53" i="18" s="1"/>
  <c r="AH53" i="18"/>
  <c r="AJ52" i="18"/>
  <c r="AK52" i="18" s="1"/>
  <c r="AH52" i="18"/>
  <c r="AJ51" i="18"/>
  <c r="AK51" i="18" s="1"/>
  <c r="AH51" i="18"/>
  <c r="AJ50" i="18"/>
  <c r="AK50" i="18" s="1"/>
  <c r="AH50" i="18"/>
  <c r="AJ49" i="18"/>
  <c r="AK49" i="18" s="1"/>
  <c r="AH49" i="18"/>
  <c r="AJ48" i="18"/>
  <c r="AK48" i="18" s="1"/>
  <c r="AH48" i="18"/>
  <c r="AJ47" i="18"/>
  <c r="AK47" i="18" s="1"/>
  <c r="AH47" i="18"/>
  <c r="AJ46" i="18"/>
  <c r="AK46" i="18" s="1"/>
  <c r="AH46" i="18"/>
  <c r="AJ45" i="18"/>
  <c r="AK45" i="18" s="1"/>
  <c r="AH45" i="18"/>
  <c r="AJ44" i="18"/>
  <c r="AK44" i="18" s="1"/>
  <c r="AH44" i="18"/>
  <c r="AJ43" i="18"/>
  <c r="AK43" i="18" s="1"/>
  <c r="AH43" i="18"/>
  <c r="AJ42" i="18"/>
  <c r="AK42" i="18" s="1"/>
  <c r="AH42" i="18"/>
  <c r="AK41" i="18"/>
  <c r="AJ41" i="18"/>
  <c r="AH41" i="18"/>
  <c r="AJ40" i="18"/>
  <c r="AK40" i="18" s="1"/>
  <c r="AH40" i="18"/>
  <c r="AJ39" i="18"/>
  <c r="AK39" i="18" s="1"/>
  <c r="AH39" i="18"/>
  <c r="AJ38" i="18"/>
  <c r="AK38" i="18" s="1"/>
  <c r="AH38" i="18"/>
  <c r="AJ37" i="18"/>
  <c r="AK37" i="18" s="1"/>
  <c r="AH37" i="18"/>
  <c r="AJ36" i="18"/>
  <c r="AK36" i="18" s="1"/>
  <c r="AH36" i="18"/>
  <c r="AJ35" i="18"/>
  <c r="AK35" i="18" s="1"/>
  <c r="AH35" i="18"/>
  <c r="AJ34" i="18"/>
  <c r="AK34" i="18" s="1"/>
  <c r="AH34" i="18"/>
  <c r="AJ33" i="18"/>
  <c r="AK33" i="18" s="1"/>
  <c r="AH33" i="18"/>
  <c r="AJ32" i="18"/>
  <c r="AK32" i="18" s="1"/>
  <c r="AH32" i="18"/>
  <c r="AJ31" i="18"/>
  <c r="AK31" i="18" s="1"/>
  <c r="AH31" i="18"/>
  <c r="AJ30" i="18"/>
  <c r="AK30" i="18" s="1"/>
  <c r="AH30" i="18"/>
  <c r="AJ29" i="18"/>
  <c r="AK29" i="18" s="1"/>
  <c r="AH29" i="18"/>
  <c r="AJ28" i="18"/>
  <c r="AK28" i="18" s="1"/>
  <c r="AH28" i="18"/>
  <c r="AJ27" i="18"/>
  <c r="AK27" i="18" s="1"/>
  <c r="AH27" i="18"/>
  <c r="AJ26" i="18"/>
  <c r="AK26" i="18" s="1"/>
  <c r="AH26" i="18"/>
  <c r="AJ25" i="18"/>
  <c r="AK25" i="18" s="1"/>
  <c r="AH25" i="18"/>
  <c r="AJ24" i="18"/>
  <c r="AK24" i="18" s="1"/>
  <c r="AH24" i="18"/>
  <c r="AJ23" i="18"/>
  <c r="AK23" i="18" s="1"/>
  <c r="AH23" i="18"/>
  <c r="AJ22" i="18"/>
  <c r="AK22" i="18" s="1"/>
  <c r="AH22" i="18"/>
  <c r="AJ21" i="18"/>
  <c r="AK21" i="18" s="1"/>
  <c r="AH21" i="18"/>
  <c r="AJ20" i="18"/>
  <c r="AK20" i="18" s="1"/>
  <c r="AH20" i="18"/>
  <c r="AJ19" i="18"/>
  <c r="AK19" i="18" s="1"/>
  <c r="AH19" i="18"/>
  <c r="AJ18" i="18"/>
  <c r="AK18" i="18" s="1"/>
  <c r="AH18" i="18"/>
  <c r="AJ17" i="18"/>
  <c r="AK17" i="18" s="1"/>
  <c r="AH17" i="18"/>
  <c r="AJ16" i="18"/>
  <c r="AK16" i="18" s="1"/>
  <c r="AH16" i="18"/>
  <c r="AJ15" i="18"/>
  <c r="AK15" i="18" s="1"/>
  <c r="AH15" i="18"/>
  <c r="AJ14" i="18"/>
  <c r="AK14" i="18" s="1"/>
  <c r="AH14" i="18"/>
  <c r="AJ13" i="18"/>
  <c r="AK13" i="18" s="1"/>
  <c r="AH13" i="18"/>
  <c r="AJ12" i="18"/>
  <c r="AK12" i="18" s="1"/>
  <c r="AH12" i="18"/>
  <c r="AJ11" i="18"/>
  <c r="AK11" i="18" s="1"/>
  <c r="AH11" i="18"/>
  <c r="AJ10" i="18"/>
  <c r="AK10" i="18" s="1"/>
  <c r="AH10" i="18"/>
  <c r="AJ9" i="18"/>
  <c r="AK9" i="18" s="1"/>
  <c r="AH9" i="18"/>
  <c r="AJ8" i="18"/>
  <c r="AK8" i="18" s="1"/>
  <c r="AH8" i="18"/>
  <c r="AJ7" i="18"/>
  <c r="AK7" i="18" s="1"/>
  <c r="AH7" i="18"/>
  <c r="AJ6" i="18"/>
  <c r="AK6" i="18" s="1"/>
  <c r="AH6" i="18"/>
  <c r="AK5" i="18"/>
  <c r="AJ5" i="18"/>
  <c r="AH5" i="18"/>
  <c r="AJ4" i="18"/>
  <c r="AK4" i="18" s="1"/>
  <c r="AH4" i="18"/>
  <c r="AJ3" i="18"/>
  <c r="AK3" i="18" s="1"/>
  <c r="AH3" i="18"/>
  <c r="AJ2" i="18"/>
  <c r="AK2" i="18" s="1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F186" i="14" s="1"/>
  <c r="D186" i="14"/>
  <c r="G186" i="14" s="1"/>
  <c r="B187" i="14"/>
  <c r="C187" i="14"/>
  <c r="D187" i="14"/>
  <c r="B188" i="14"/>
  <c r="C188" i="14"/>
  <c r="F188" i="14" s="1"/>
  <c r="D188" i="14"/>
  <c r="G188" i="14" s="1"/>
  <c r="B189" i="14"/>
  <c r="C189" i="14"/>
  <c r="D189" i="14"/>
  <c r="B190" i="14"/>
  <c r="C190" i="14"/>
  <c r="F190" i="14" s="1"/>
  <c r="D190" i="14"/>
  <c r="G190" i="14" s="1"/>
  <c r="B191" i="14"/>
  <c r="C191" i="14"/>
  <c r="D191" i="14"/>
  <c r="B192" i="14"/>
  <c r="C192" i="14"/>
  <c r="F192" i="14" s="1"/>
  <c r="D192" i="14"/>
  <c r="G192" i="14" s="1"/>
  <c r="B193" i="14"/>
  <c r="C193" i="14"/>
  <c r="D193" i="14"/>
  <c r="B194" i="14"/>
  <c r="C194" i="14"/>
  <c r="F194" i="14" s="1"/>
  <c r="D194" i="14"/>
  <c r="G194" i="14" s="1"/>
  <c r="B195" i="14"/>
  <c r="C195" i="14"/>
  <c r="D195" i="14"/>
  <c r="B196" i="14"/>
  <c r="C196" i="14"/>
  <c r="F196" i="14" s="1"/>
  <c r="D196" i="14"/>
  <c r="G196" i="14" s="1"/>
  <c r="B197" i="14"/>
  <c r="C197" i="14"/>
  <c r="D197" i="14"/>
  <c r="B198" i="14"/>
  <c r="C198" i="14"/>
  <c r="F198" i="14" s="1"/>
  <c r="D198" i="14"/>
  <c r="G198" i="14" s="1"/>
  <c r="B199" i="14"/>
  <c r="C199" i="14"/>
  <c r="D199" i="14"/>
  <c r="B200" i="14"/>
  <c r="C200" i="14"/>
  <c r="F200" i="14" s="1"/>
  <c r="D200" i="14"/>
  <c r="G200" i="14" s="1"/>
  <c r="B201" i="14"/>
  <c r="C201" i="14"/>
  <c r="D201" i="14"/>
  <c r="B202" i="14"/>
  <c r="C202" i="14"/>
  <c r="F202" i="14" s="1"/>
  <c r="D202" i="14"/>
  <c r="G202" i="14" s="1"/>
  <c r="B203" i="14"/>
  <c r="C203" i="14"/>
  <c r="D203" i="14"/>
  <c r="B204" i="14"/>
  <c r="C204" i="14"/>
  <c r="F204" i="14" s="1"/>
  <c r="D204" i="14"/>
  <c r="G204" i="14" s="1"/>
  <c r="B205" i="14"/>
  <c r="C205" i="14"/>
  <c r="D205" i="14"/>
  <c r="B206" i="14"/>
  <c r="C206" i="14"/>
  <c r="F206" i="14" s="1"/>
  <c r="D206" i="14"/>
  <c r="G206" i="14" s="1"/>
  <c r="B207" i="14"/>
  <c r="C207" i="14"/>
  <c r="D207" i="14"/>
  <c r="B208" i="14"/>
  <c r="C208" i="14"/>
  <c r="F208" i="14" s="1"/>
  <c r="D208" i="14"/>
  <c r="G208" i="14" s="1"/>
  <c r="B209" i="14"/>
  <c r="C209" i="14"/>
  <c r="D209" i="14"/>
  <c r="B210" i="14"/>
  <c r="C210" i="14"/>
  <c r="F210" i="14" s="1"/>
  <c r="D210" i="14"/>
  <c r="G210" i="14" s="1"/>
  <c r="B211" i="14"/>
  <c r="C211" i="14"/>
  <c r="D211" i="14"/>
  <c r="B212" i="14"/>
  <c r="C212" i="14"/>
  <c r="F212" i="14" s="1"/>
  <c r="D212" i="14"/>
  <c r="G212" i="14" s="1"/>
  <c r="B213" i="14"/>
  <c r="C213" i="14"/>
  <c r="D213" i="14"/>
  <c r="B214" i="14"/>
  <c r="C214" i="14"/>
  <c r="F214" i="14" s="1"/>
  <c r="D214" i="14"/>
  <c r="G214" i="14" s="1"/>
  <c r="B215" i="14"/>
  <c r="C215" i="14"/>
  <c r="D215" i="14"/>
  <c r="B216" i="14"/>
  <c r="C216" i="14"/>
  <c r="F216" i="14" s="1"/>
  <c r="D216" i="14"/>
  <c r="G216" i="14" s="1"/>
  <c r="B217" i="14"/>
  <c r="C217" i="14"/>
  <c r="D217" i="14"/>
  <c r="B218" i="14"/>
  <c r="C218" i="14"/>
  <c r="F218" i="14" s="1"/>
  <c r="D218" i="14"/>
  <c r="G218" i="14" s="1"/>
  <c r="B219" i="14"/>
  <c r="C219" i="14"/>
  <c r="D219" i="14"/>
  <c r="B220" i="14"/>
  <c r="C220" i="14"/>
  <c r="F220" i="14" s="1"/>
  <c r="D220" i="14"/>
  <c r="G220" i="14" s="1"/>
  <c r="B221" i="14"/>
  <c r="C221" i="14"/>
  <c r="D221" i="14"/>
  <c r="B222" i="14"/>
  <c r="C222" i="14"/>
  <c r="F222" i="14" s="1"/>
  <c r="D222" i="14"/>
  <c r="G222" i="14" s="1"/>
  <c r="B223" i="14"/>
  <c r="C223" i="14"/>
  <c r="D223" i="14"/>
  <c r="B224" i="14"/>
  <c r="C224" i="14"/>
  <c r="F224" i="14" s="1"/>
  <c r="D224" i="14"/>
  <c r="G224" i="14" s="1"/>
  <c r="B225" i="14"/>
  <c r="C225" i="14"/>
  <c r="D225" i="14"/>
  <c r="B226" i="14"/>
  <c r="C226" i="14"/>
  <c r="D226" i="14"/>
  <c r="G226" i="14" s="1"/>
  <c r="B227" i="14"/>
  <c r="C227" i="14"/>
  <c r="D227" i="14"/>
  <c r="G227" i="14" s="1"/>
  <c r="B228" i="14"/>
  <c r="E228" i="14" s="1"/>
  <c r="C228" i="14"/>
  <c r="D228" i="14"/>
  <c r="G228" i="14" s="1"/>
  <c r="B229" i="14"/>
  <c r="C229" i="14"/>
  <c r="D229" i="14"/>
  <c r="G229" i="14" s="1"/>
  <c r="B230" i="14"/>
  <c r="E230" i="14" s="1"/>
  <c r="C230" i="14"/>
  <c r="D230" i="14"/>
  <c r="G230" i="14" s="1"/>
  <c r="B231" i="14"/>
  <c r="C231" i="14"/>
  <c r="D231" i="14"/>
  <c r="G231" i="14" s="1"/>
  <c r="B232" i="14"/>
  <c r="E232" i="14" s="1"/>
  <c r="C232" i="14"/>
  <c r="D232" i="14"/>
  <c r="G232" i="14" s="1"/>
  <c r="B233" i="14"/>
  <c r="C233" i="14"/>
  <c r="D233" i="14"/>
  <c r="G233" i="14" s="1"/>
  <c r="B234" i="14"/>
  <c r="E234" i="14" s="1"/>
  <c r="C234" i="14"/>
  <c r="D234" i="14"/>
  <c r="G234" i="14" s="1"/>
  <c r="B235" i="14"/>
  <c r="C235" i="14"/>
  <c r="D235" i="14"/>
  <c r="G235" i="14" s="1"/>
  <c r="B236" i="14"/>
  <c r="E236" i="14" s="1"/>
  <c r="C236" i="14"/>
  <c r="D236" i="14"/>
  <c r="G236" i="14" s="1"/>
  <c r="B237" i="14"/>
  <c r="C237" i="14"/>
  <c r="D237" i="14"/>
  <c r="G237" i="14" s="1"/>
  <c r="B238" i="14"/>
  <c r="E238" i="14" s="1"/>
  <c r="C238" i="14"/>
  <c r="D238" i="14"/>
  <c r="G238" i="14" s="1"/>
  <c r="B239" i="14"/>
  <c r="C239" i="14"/>
  <c r="D239" i="14"/>
  <c r="G239" i="14" s="1"/>
  <c r="B240" i="14"/>
  <c r="E240" i="14" s="1"/>
  <c r="C240" i="14"/>
  <c r="D240" i="14"/>
  <c r="G240" i="14" s="1"/>
  <c r="B241" i="14"/>
  <c r="C241" i="14"/>
  <c r="D241" i="14"/>
  <c r="G241" i="14" s="1"/>
  <c r="B242" i="14"/>
  <c r="E242" i="14" s="1"/>
  <c r="C242" i="14"/>
  <c r="D242" i="14"/>
  <c r="G242" i="14" s="1"/>
  <c r="B243" i="14"/>
  <c r="C243" i="14"/>
  <c r="D243" i="14"/>
  <c r="G243" i="14" s="1"/>
  <c r="B244" i="14"/>
  <c r="E244" i="14" s="1"/>
  <c r="C244" i="14"/>
  <c r="D244" i="14"/>
  <c r="G244" i="14" s="1"/>
  <c r="B245" i="14"/>
  <c r="C245" i="14"/>
  <c r="D245" i="14"/>
  <c r="G245" i="14" s="1"/>
  <c r="B246" i="14"/>
  <c r="E246" i="14" s="1"/>
  <c r="C246" i="14"/>
  <c r="D246" i="14"/>
  <c r="G246" i="14" s="1"/>
  <c r="B247" i="14"/>
  <c r="C247" i="14"/>
  <c r="D247" i="14"/>
  <c r="G247" i="14" s="1"/>
  <c r="B248" i="14"/>
  <c r="E248" i="14" s="1"/>
  <c r="C248" i="14"/>
  <c r="D248" i="14"/>
  <c r="G248" i="14" s="1"/>
  <c r="B249" i="14"/>
  <c r="C249" i="14"/>
  <c r="D249" i="14"/>
  <c r="G249" i="14" s="1"/>
  <c r="B250" i="14"/>
  <c r="E250" i="14" s="1"/>
  <c r="C250" i="14"/>
  <c r="D250" i="14"/>
  <c r="G250" i="14" s="1"/>
  <c r="B251" i="14"/>
  <c r="C251" i="14"/>
  <c r="D251" i="14"/>
  <c r="G251" i="14" s="1"/>
  <c r="B252" i="14"/>
  <c r="E252" i="14" s="1"/>
  <c r="C252" i="14"/>
  <c r="D252" i="14"/>
  <c r="G252" i="14" s="1"/>
  <c r="B253" i="14"/>
  <c r="C253" i="14"/>
  <c r="D253" i="14"/>
  <c r="G253" i="14" s="1"/>
  <c r="B254" i="14"/>
  <c r="E254" i="14" s="1"/>
  <c r="C254" i="14"/>
  <c r="D254" i="14"/>
  <c r="G254" i="14" s="1"/>
  <c r="B255" i="14"/>
  <c r="C255" i="14"/>
  <c r="D255" i="14"/>
  <c r="G255" i="14" s="1"/>
  <c r="B256" i="14"/>
  <c r="E256" i="14" s="1"/>
  <c r="C256" i="14"/>
  <c r="D256" i="14"/>
  <c r="G256" i="14" s="1"/>
  <c r="B257" i="14"/>
  <c r="C257" i="14"/>
  <c r="D257" i="14"/>
  <c r="G257" i="14" s="1"/>
  <c r="B258" i="14"/>
  <c r="E258" i="14" s="1"/>
  <c r="C258" i="14"/>
  <c r="D258" i="14"/>
  <c r="G258" i="14" s="1"/>
  <c r="B259" i="14"/>
  <c r="C259" i="14"/>
  <c r="D259" i="14"/>
  <c r="G259" i="14" s="1"/>
  <c r="D2" i="14"/>
  <c r="C2" i="14"/>
  <c r="B2" i="14"/>
  <c r="Y132" i="15"/>
  <c r="AE132" i="15"/>
  <c r="AG132" i="15"/>
  <c r="AF132" i="15"/>
  <c r="AD132" i="15"/>
  <c r="AB132" i="15"/>
  <c r="AA132" i="15"/>
  <c r="Z132" i="15"/>
  <c r="Y131" i="15"/>
  <c r="AE131" i="15"/>
  <c r="AG131" i="15"/>
  <c r="AF131" i="15"/>
  <c r="AD131" i="15"/>
  <c r="AB131" i="15"/>
  <c r="AA131" i="15"/>
  <c r="Z131" i="15"/>
  <c r="Y130" i="15"/>
  <c r="AE130" i="15"/>
  <c r="AG130" i="15"/>
  <c r="AF130" i="15"/>
  <c r="AC130" i="15"/>
  <c r="AD130" i="15"/>
  <c r="AB130" i="15"/>
  <c r="AA130" i="15"/>
  <c r="Z130" i="15"/>
  <c r="Y129" i="15"/>
  <c r="AE129" i="15"/>
  <c r="AG129" i="15"/>
  <c r="AF129" i="15"/>
  <c r="AD129" i="15"/>
  <c r="AB129" i="15"/>
  <c r="AA129" i="15"/>
  <c r="Z129" i="15"/>
  <c r="AG128" i="15"/>
  <c r="Y128" i="15"/>
  <c r="AE128" i="15"/>
  <c r="AF128" i="15"/>
  <c r="AD128" i="15"/>
  <c r="AB128" i="15"/>
  <c r="AA128" i="15"/>
  <c r="Z128" i="15"/>
  <c r="Z127" i="15"/>
  <c r="Y127" i="15"/>
  <c r="AE127" i="15"/>
  <c r="AG127" i="15"/>
  <c r="AF127" i="15"/>
  <c r="AD127" i="15"/>
  <c r="AB127" i="15"/>
  <c r="AA127" i="15"/>
  <c r="Y126" i="15"/>
  <c r="AE126" i="15"/>
  <c r="AG126" i="15"/>
  <c r="AF126" i="15"/>
  <c r="AD126" i="15"/>
  <c r="AB126" i="15"/>
  <c r="AA126" i="15"/>
  <c r="Z126" i="15"/>
  <c r="Y125" i="15"/>
  <c r="AE125" i="15"/>
  <c r="AG125" i="15"/>
  <c r="AF125" i="15"/>
  <c r="AC125" i="15"/>
  <c r="AD125" i="15"/>
  <c r="AB125" i="15"/>
  <c r="AA125" i="15"/>
  <c r="Z125" i="15"/>
  <c r="AC124" i="15"/>
  <c r="Y124" i="15"/>
  <c r="AE124" i="15"/>
  <c r="AG124" i="15"/>
  <c r="AF124" i="15"/>
  <c r="AD124" i="15"/>
  <c r="AB124" i="15"/>
  <c r="AA124" i="15"/>
  <c r="Z124" i="15"/>
  <c r="Y123" i="15"/>
  <c r="AE123" i="15"/>
  <c r="AG123" i="15"/>
  <c r="AF123" i="15"/>
  <c r="AD123" i="15"/>
  <c r="AB123" i="15"/>
  <c r="AA123" i="15"/>
  <c r="Z123" i="15"/>
  <c r="Y122" i="15"/>
  <c r="AE122" i="15"/>
  <c r="AG122" i="15"/>
  <c r="AF122" i="15"/>
  <c r="AD122" i="15"/>
  <c r="AB122" i="15"/>
  <c r="AA122" i="15"/>
  <c r="Z122" i="15"/>
  <c r="Y121" i="15"/>
  <c r="AE121" i="15"/>
  <c r="AG121" i="15"/>
  <c r="AF121" i="15"/>
  <c r="AD121" i="15"/>
  <c r="AB121" i="15"/>
  <c r="AA121" i="15"/>
  <c r="Z121" i="15"/>
  <c r="Y120" i="15"/>
  <c r="AE120" i="15"/>
  <c r="AG120" i="15"/>
  <c r="AF120" i="15"/>
  <c r="AD120" i="15"/>
  <c r="AB120" i="15"/>
  <c r="AA120" i="15"/>
  <c r="Z120" i="15"/>
  <c r="AB119" i="15"/>
  <c r="Y119" i="15"/>
  <c r="AE119" i="15"/>
  <c r="AG119" i="15"/>
  <c r="AF119" i="15"/>
  <c r="AD119" i="15"/>
  <c r="AA119" i="15"/>
  <c r="Z119" i="15"/>
  <c r="AE118" i="15"/>
  <c r="Y118" i="15"/>
  <c r="AG118" i="15"/>
  <c r="AF118" i="15"/>
  <c r="AC118" i="15"/>
  <c r="AD118" i="15"/>
  <c r="AB118" i="15"/>
  <c r="AA118" i="15"/>
  <c r="Z118" i="15"/>
  <c r="AF117" i="15"/>
  <c r="Y117" i="15"/>
  <c r="AE117" i="15"/>
  <c r="AG117" i="15"/>
  <c r="AC117" i="15"/>
  <c r="AD117" i="15"/>
  <c r="AB117" i="15"/>
  <c r="AA117" i="15"/>
  <c r="Z117" i="15"/>
  <c r="Y116" i="15"/>
  <c r="AE116" i="15"/>
  <c r="AG116" i="15"/>
  <c r="AF116" i="15"/>
  <c r="AD116" i="15"/>
  <c r="AB116" i="15"/>
  <c r="AA116" i="15"/>
  <c r="Z116" i="15"/>
  <c r="AA115" i="15"/>
  <c r="Y115" i="15"/>
  <c r="AE115" i="15"/>
  <c r="AG115" i="15"/>
  <c r="AF115" i="15"/>
  <c r="AD115" i="15"/>
  <c r="AB115" i="15"/>
  <c r="Z115" i="15"/>
  <c r="AG114" i="15"/>
  <c r="AB114" i="15"/>
  <c r="AA114" i="15"/>
  <c r="Y114" i="15"/>
  <c r="AE114" i="15"/>
  <c r="AF114" i="15"/>
  <c r="AD114" i="15"/>
  <c r="Z114" i="15"/>
  <c r="AB113" i="15"/>
  <c r="Y113" i="15"/>
  <c r="AE113" i="15"/>
  <c r="AG113" i="15"/>
  <c r="AF113" i="15"/>
  <c r="AD113" i="15"/>
  <c r="AA113" i="15"/>
  <c r="Z113" i="15"/>
  <c r="Y112" i="15"/>
  <c r="AE112" i="15"/>
  <c r="AG112" i="15"/>
  <c r="AF112" i="15"/>
  <c r="AC112" i="15"/>
  <c r="AD112" i="15"/>
  <c r="AB112" i="15"/>
  <c r="AA112" i="15"/>
  <c r="Z112" i="15"/>
  <c r="AE111" i="15"/>
  <c r="Y111" i="15"/>
  <c r="AG111" i="15"/>
  <c r="AF111" i="15"/>
  <c r="AC111" i="15"/>
  <c r="AD111" i="15"/>
  <c r="AB111" i="15"/>
  <c r="AA111" i="15"/>
  <c r="Z111" i="15"/>
  <c r="Y110" i="15"/>
  <c r="AE110" i="15"/>
  <c r="AG110" i="15"/>
  <c r="AF110" i="15"/>
  <c r="AD110" i="15"/>
  <c r="AB110" i="15"/>
  <c r="AA110" i="15"/>
  <c r="Z110" i="15"/>
  <c r="AB109" i="15"/>
  <c r="Y109" i="15"/>
  <c r="AE109" i="15"/>
  <c r="AG109" i="15"/>
  <c r="AF109" i="15"/>
  <c r="AD109" i="15"/>
  <c r="AA109" i="15"/>
  <c r="Z109" i="15"/>
  <c r="AA108" i="15"/>
  <c r="Y108" i="15"/>
  <c r="AE108" i="15"/>
  <c r="AG108" i="15"/>
  <c r="AF108" i="15"/>
  <c r="AC108" i="15"/>
  <c r="AD108" i="15"/>
  <c r="AB108" i="15"/>
  <c r="Z108" i="15"/>
  <c r="Y107" i="15"/>
  <c r="AE107" i="15"/>
  <c r="AG107" i="15"/>
  <c r="AF107" i="15"/>
  <c r="AD107" i="15"/>
  <c r="AB107" i="15"/>
  <c r="AA107" i="15"/>
  <c r="Z107" i="15"/>
  <c r="Y106" i="15"/>
  <c r="AE106" i="15"/>
  <c r="AG106" i="15"/>
  <c r="AF106" i="15"/>
  <c r="AC106" i="15"/>
  <c r="AD106" i="15"/>
  <c r="AB106" i="15"/>
  <c r="AA106" i="15"/>
  <c r="Z106" i="15"/>
  <c r="Z105" i="15"/>
  <c r="Y105" i="15"/>
  <c r="AE105" i="15"/>
  <c r="AG105" i="15"/>
  <c r="AF105" i="15"/>
  <c r="AC105" i="15"/>
  <c r="AD105" i="15"/>
  <c r="AB105" i="15"/>
  <c r="AA105" i="15"/>
  <c r="AA104" i="15"/>
  <c r="Y104" i="15"/>
  <c r="AE104" i="15"/>
  <c r="AG104" i="15"/>
  <c r="AF104" i="15"/>
  <c r="AC104" i="15"/>
  <c r="AD104" i="15"/>
  <c r="AB104" i="15"/>
  <c r="Z104" i="15"/>
  <c r="AG103" i="15"/>
  <c r="Y103" i="15"/>
  <c r="AH103" i="15"/>
  <c r="AE103" i="15"/>
  <c r="AF103" i="15"/>
  <c r="AD103" i="15"/>
  <c r="AB103" i="15"/>
  <c r="AA103" i="15"/>
  <c r="Z103" i="15"/>
  <c r="Y102" i="15"/>
  <c r="AE102" i="15"/>
  <c r="AG102" i="15"/>
  <c r="AF102" i="15"/>
  <c r="AD102" i="15"/>
  <c r="AB102" i="15"/>
  <c r="AA102" i="15"/>
  <c r="Z102" i="15"/>
  <c r="Y101" i="15"/>
  <c r="AE101" i="15"/>
  <c r="AG101" i="15"/>
  <c r="AF101" i="15"/>
  <c r="AD101" i="15"/>
  <c r="AB101" i="15"/>
  <c r="AA101" i="15"/>
  <c r="Z101" i="15"/>
  <c r="Y100" i="15"/>
  <c r="AE100" i="15"/>
  <c r="AG100" i="15"/>
  <c r="AF100" i="15"/>
  <c r="AC100" i="15"/>
  <c r="AD100" i="15"/>
  <c r="AB100" i="15"/>
  <c r="AA100" i="15"/>
  <c r="Z100" i="15"/>
  <c r="Z99" i="15"/>
  <c r="Y99" i="15"/>
  <c r="AE99" i="15"/>
  <c r="AG99" i="15"/>
  <c r="AF99" i="15"/>
  <c r="AC99" i="15"/>
  <c r="AD99" i="15"/>
  <c r="AB99" i="15"/>
  <c r="AA99" i="15"/>
  <c r="AA98" i="15"/>
  <c r="Y98" i="15"/>
  <c r="AE98" i="15"/>
  <c r="AG98" i="15"/>
  <c r="AF98" i="15"/>
  <c r="AD98" i="15"/>
  <c r="AB98" i="15"/>
  <c r="Z98" i="15"/>
  <c r="Y97" i="15"/>
  <c r="AE97" i="15"/>
  <c r="AG97" i="15"/>
  <c r="AF97" i="15"/>
  <c r="AD97" i="15"/>
  <c r="AB97" i="15"/>
  <c r="AA97" i="15"/>
  <c r="Z97" i="15"/>
  <c r="Y96" i="15"/>
  <c r="AE96" i="15"/>
  <c r="AG96" i="15"/>
  <c r="AF96" i="15"/>
  <c r="AD96" i="15"/>
  <c r="AB96" i="15"/>
  <c r="AA96" i="15"/>
  <c r="Z96" i="15"/>
  <c r="Y95" i="15"/>
  <c r="AC95" i="15"/>
  <c r="AE95" i="15"/>
  <c r="AG95" i="15"/>
  <c r="AF95" i="15"/>
  <c r="AD95" i="15"/>
  <c r="AB95" i="15"/>
  <c r="AA95" i="15"/>
  <c r="Z95" i="15"/>
  <c r="Y94" i="15"/>
  <c r="AE94" i="15"/>
  <c r="AG94" i="15"/>
  <c r="AF94" i="15"/>
  <c r="AC94" i="15"/>
  <c r="AD94" i="15"/>
  <c r="AB94" i="15"/>
  <c r="AA94" i="15"/>
  <c r="Z94" i="15"/>
  <c r="Y93" i="15"/>
  <c r="AE93" i="15"/>
  <c r="AG93" i="15"/>
  <c r="AF93" i="15"/>
  <c r="AC93" i="15"/>
  <c r="AD93" i="15"/>
  <c r="AB93" i="15"/>
  <c r="AA93" i="15"/>
  <c r="Z93" i="15"/>
  <c r="AG92" i="15"/>
  <c r="Y92" i="15"/>
  <c r="AE92" i="15"/>
  <c r="AF92" i="15"/>
  <c r="AD92" i="15"/>
  <c r="AB92" i="15"/>
  <c r="AA92" i="15"/>
  <c r="Z92" i="15"/>
  <c r="AB91" i="15"/>
  <c r="AA91" i="15"/>
  <c r="Z91" i="15"/>
  <c r="Y91" i="15"/>
  <c r="AE91" i="15"/>
  <c r="AG91" i="15"/>
  <c r="AF91" i="15"/>
  <c r="AD91" i="15"/>
  <c r="AB90" i="15"/>
  <c r="AA90" i="15"/>
  <c r="Y90" i="15"/>
  <c r="AE90" i="15"/>
  <c r="AG90" i="15"/>
  <c r="AF90" i="15"/>
  <c r="AC90" i="15"/>
  <c r="AD90" i="15"/>
  <c r="Z90" i="15"/>
  <c r="Y89" i="15"/>
  <c r="AE89" i="15"/>
  <c r="AG89" i="15"/>
  <c r="AF89" i="15"/>
  <c r="AD89" i="15"/>
  <c r="AB89" i="15"/>
  <c r="AA89" i="15"/>
  <c r="Z89" i="15"/>
  <c r="Y88" i="15"/>
  <c r="AC88" i="15"/>
  <c r="AE88" i="15"/>
  <c r="AG88" i="15"/>
  <c r="AF88" i="15"/>
  <c r="AD88" i="15"/>
  <c r="AB88" i="15"/>
  <c r="AA88" i="15"/>
  <c r="Z88" i="15"/>
  <c r="Y87" i="15"/>
  <c r="AE87" i="15"/>
  <c r="AG87" i="15"/>
  <c r="AF87" i="15"/>
  <c r="AC87" i="15"/>
  <c r="AD87" i="15"/>
  <c r="AB87" i="15"/>
  <c r="AA87" i="15"/>
  <c r="Z87" i="15"/>
  <c r="AF86" i="15"/>
  <c r="Y86" i="15"/>
  <c r="AE86" i="15"/>
  <c r="AG86" i="15"/>
  <c r="AC86" i="15"/>
  <c r="AD86" i="15"/>
  <c r="AB86" i="15"/>
  <c r="AA86" i="15"/>
  <c r="Z86" i="15"/>
  <c r="Y85" i="15"/>
  <c r="AE85" i="15"/>
  <c r="AG85" i="15"/>
  <c r="AF85" i="15"/>
  <c r="AD85" i="15"/>
  <c r="AB85" i="15"/>
  <c r="AA85" i="15"/>
  <c r="Z85" i="15"/>
  <c r="Y84" i="15"/>
  <c r="AE84" i="15"/>
  <c r="AG84" i="15"/>
  <c r="AF84" i="15"/>
  <c r="AD84" i="15"/>
  <c r="AB84" i="15"/>
  <c r="AA84" i="15"/>
  <c r="Z84" i="15"/>
  <c r="Y83" i="15"/>
  <c r="AE83" i="15"/>
  <c r="AG83" i="15"/>
  <c r="AF83" i="15"/>
  <c r="AC83" i="15"/>
  <c r="AD83" i="15"/>
  <c r="AB83" i="15"/>
  <c r="AA83" i="15"/>
  <c r="Z83" i="15"/>
  <c r="Y82" i="15"/>
  <c r="AE82" i="15"/>
  <c r="AG82" i="15"/>
  <c r="AF82" i="15"/>
  <c r="AD82" i="15"/>
  <c r="AB82" i="15"/>
  <c r="AA82" i="15"/>
  <c r="Z82" i="15"/>
  <c r="Y81" i="15"/>
  <c r="AE81" i="15"/>
  <c r="AG81" i="15"/>
  <c r="AF81" i="15"/>
  <c r="AD81" i="15"/>
  <c r="AB81" i="15"/>
  <c r="AA81" i="15"/>
  <c r="Z81" i="15"/>
  <c r="Z80" i="15"/>
  <c r="Y80" i="15"/>
  <c r="AE80" i="15"/>
  <c r="AG80" i="15"/>
  <c r="AF80" i="15"/>
  <c r="AC80" i="15"/>
  <c r="AD80" i="15"/>
  <c r="AB80" i="15"/>
  <c r="AA80" i="15"/>
  <c r="Z79" i="15"/>
  <c r="Y79" i="15"/>
  <c r="AE79" i="15"/>
  <c r="AG79" i="15"/>
  <c r="AF79" i="15"/>
  <c r="AD79" i="15"/>
  <c r="AB79" i="15"/>
  <c r="AA79" i="15"/>
  <c r="Y78" i="15"/>
  <c r="AE78" i="15"/>
  <c r="AG78" i="15"/>
  <c r="AF78" i="15"/>
  <c r="AD78" i="15"/>
  <c r="AB78" i="15"/>
  <c r="AA78" i="15"/>
  <c r="Z78" i="15"/>
  <c r="AB77" i="15"/>
  <c r="Y77" i="15"/>
  <c r="AE77" i="15"/>
  <c r="AG77" i="15"/>
  <c r="AF77" i="15"/>
  <c r="AD77" i="15"/>
  <c r="AA77" i="15"/>
  <c r="Z77" i="15"/>
  <c r="AG76" i="15"/>
  <c r="Y76" i="15"/>
  <c r="AE76" i="15"/>
  <c r="AF76" i="15"/>
  <c r="AD76" i="15"/>
  <c r="AB76" i="15"/>
  <c r="AA76" i="15"/>
  <c r="Z76" i="15"/>
  <c r="Y75" i="15"/>
  <c r="AE75" i="15"/>
  <c r="AG75" i="15"/>
  <c r="AF75" i="15"/>
  <c r="AD75" i="15"/>
  <c r="AB75" i="15"/>
  <c r="AA75" i="15"/>
  <c r="Z75" i="15"/>
  <c r="Y74" i="15"/>
  <c r="AE74" i="15"/>
  <c r="AG74" i="15"/>
  <c r="AF74" i="15"/>
  <c r="AD74" i="15"/>
  <c r="AB74" i="15"/>
  <c r="AA74" i="15"/>
  <c r="Z74" i="15"/>
  <c r="AF73" i="15"/>
  <c r="Z73" i="15"/>
  <c r="Y73" i="15"/>
  <c r="AE73" i="15"/>
  <c r="AG73" i="15"/>
  <c r="AD73" i="15"/>
  <c r="AB73" i="15"/>
  <c r="AA73" i="15"/>
  <c r="AB72" i="15"/>
  <c r="AA72" i="15"/>
  <c r="Y72" i="15"/>
  <c r="AE72" i="15"/>
  <c r="AG72" i="15"/>
  <c r="AF72" i="15"/>
  <c r="AD72" i="15"/>
  <c r="Z72" i="15"/>
  <c r="AG71" i="15"/>
  <c r="AB71" i="15"/>
  <c r="AA71" i="15"/>
  <c r="Y71" i="15"/>
  <c r="AE71" i="15"/>
  <c r="AF71" i="15"/>
  <c r="AD71" i="15"/>
  <c r="Z71" i="15"/>
  <c r="AE70" i="15"/>
  <c r="AD70" i="15"/>
  <c r="AB70" i="15"/>
  <c r="Y70" i="15"/>
  <c r="AG70" i="15"/>
  <c r="AF70" i="15"/>
  <c r="AA70" i="15"/>
  <c r="Z70" i="15"/>
  <c r="AE69" i="15"/>
  <c r="Y69" i="15"/>
  <c r="AG69" i="15"/>
  <c r="AF69" i="15"/>
  <c r="AC69" i="15"/>
  <c r="AD69" i="15"/>
  <c r="AB69" i="15"/>
  <c r="AA69" i="15"/>
  <c r="Z69" i="15"/>
  <c r="AF68" i="15"/>
  <c r="AA68" i="15"/>
  <c r="Y68" i="15"/>
  <c r="AE68" i="15"/>
  <c r="AG68" i="15"/>
  <c r="AC68" i="15"/>
  <c r="AD68" i="15"/>
  <c r="AB68" i="15"/>
  <c r="Z68" i="15"/>
  <c r="Z67" i="15"/>
  <c r="Y67" i="15"/>
  <c r="AE67" i="15"/>
  <c r="AG67" i="15"/>
  <c r="AF67" i="15"/>
  <c r="AD67" i="15"/>
  <c r="AB67" i="15"/>
  <c r="AA67" i="15"/>
  <c r="Y66" i="15"/>
  <c r="AE66" i="15"/>
  <c r="AG66" i="15"/>
  <c r="AF66" i="15"/>
  <c r="AC66" i="15"/>
  <c r="AD66" i="15"/>
  <c r="AB66" i="15"/>
  <c r="AA66" i="15"/>
  <c r="Z66" i="15"/>
  <c r="Y65" i="15"/>
  <c r="AE65" i="15"/>
  <c r="AG65" i="15"/>
  <c r="AF65" i="15"/>
  <c r="AD65" i="15"/>
  <c r="AB65" i="15"/>
  <c r="AA65" i="15"/>
  <c r="Z65" i="15"/>
  <c r="Y64" i="15"/>
  <c r="AE64" i="15"/>
  <c r="AG64" i="15"/>
  <c r="AF64" i="15"/>
  <c r="AD64" i="15"/>
  <c r="AB64" i="15"/>
  <c r="AA64" i="15"/>
  <c r="Z64" i="15"/>
  <c r="Y63" i="15"/>
  <c r="AE63" i="15"/>
  <c r="AG63" i="15"/>
  <c r="AF63" i="15"/>
  <c r="AD63" i="15"/>
  <c r="AB63" i="15"/>
  <c r="AA63" i="15"/>
  <c r="Z63" i="15"/>
  <c r="Y62" i="15"/>
  <c r="AE62" i="15"/>
  <c r="AG62" i="15"/>
  <c r="AF62" i="15"/>
  <c r="AC62" i="15"/>
  <c r="AD62" i="15"/>
  <c r="AB62" i="15"/>
  <c r="AA62" i="15"/>
  <c r="Z62" i="15"/>
  <c r="Y61" i="15"/>
  <c r="AE61" i="15"/>
  <c r="AG61" i="15"/>
  <c r="AF61" i="15"/>
  <c r="AD61" i="15"/>
  <c r="AB61" i="15"/>
  <c r="AA61" i="15"/>
  <c r="Z61" i="15"/>
  <c r="Y60" i="15"/>
  <c r="AH60" i="15"/>
  <c r="AE60" i="15"/>
  <c r="AG60" i="15"/>
  <c r="AF60" i="15"/>
  <c r="AD60" i="15"/>
  <c r="AB60" i="15"/>
  <c r="AA60" i="15"/>
  <c r="Z60" i="15"/>
  <c r="AD59" i="15"/>
  <c r="AB59" i="15"/>
  <c r="Y59" i="15"/>
  <c r="AE59" i="15"/>
  <c r="AG59" i="15"/>
  <c r="AF59" i="15"/>
  <c r="AC59" i="15"/>
  <c r="AA59" i="15"/>
  <c r="Z59" i="15"/>
  <c r="AE58" i="15"/>
  <c r="AD58" i="15"/>
  <c r="AB58" i="15"/>
  <c r="Y58" i="15"/>
  <c r="AG58" i="15"/>
  <c r="AF58" i="15"/>
  <c r="AA58" i="15"/>
  <c r="Z58" i="15"/>
  <c r="Y57" i="15"/>
  <c r="AE57" i="15"/>
  <c r="AG57" i="15"/>
  <c r="AF57" i="15"/>
  <c r="AD57" i="15"/>
  <c r="AB57" i="15"/>
  <c r="AA57" i="15"/>
  <c r="Z57" i="15"/>
  <c r="Y56" i="15"/>
  <c r="AE56" i="15"/>
  <c r="AG56" i="15"/>
  <c r="AF56" i="15"/>
  <c r="AD56" i="15"/>
  <c r="AB56" i="15"/>
  <c r="AA56" i="15"/>
  <c r="Z56" i="15"/>
  <c r="AF55" i="15"/>
  <c r="Z55" i="15"/>
  <c r="Y55" i="15"/>
  <c r="AE55" i="15"/>
  <c r="AG55" i="15"/>
  <c r="AD55" i="15"/>
  <c r="AB55" i="15"/>
  <c r="AA55" i="15"/>
  <c r="AG54" i="15"/>
  <c r="AA54" i="15"/>
  <c r="Z54" i="15"/>
  <c r="Y54" i="15"/>
  <c r="AE54" i="15"/>
  <c r="AF54" i="15"/>
  <c r="AC54" i="15"/>
  <c r="AD54" i="15"/>
  <c r="AB54" i="15"/>
  <c r="AB53" i="15"/>
  <c r="Y53" i="15"/>
  <c r="AE53" i="15"/>
  <c r="AG53" i="15"/>
  <c r="AF53" i="15"/>
  <c r="AC53" i="15"/>
  <c r="AD53" i="15"/>
  <c r="AA53" i="15"/>
  <c r="Z53" i="15"/>
  <c r="Y52" i="15"/>
  <c r="AE52" i="15"/>
  <c r="AG52" i="15"/>
  <c r="AF52" i="15"/>
  <c r="AD52" i="15"/>
  <c r="AB52" i="15"/>
  <c r="AA52" i="15"/>
  <c r="Z52" i="15"/>
  <c r="AE51" i="15"/>
  <c r="Y51" i="15"/>
  <c r="AG51" i="15"/>
  <c r="AF51" i="15"/>
  <c r="AD51" i="15"/>
  <c r="AB51" i="15"/>
  <c r="AA51" i="15"/>
  <c r="Z51" i="15"/>
  <c r="AF50" i="15"/>
  <c r="Y50" i="15"/>
  <c r="AE50" i="15"/>
  <c r="AG50" i="15"/>
  <c r="AC50" i="15"/>
  <c r="AD50" i="15"/>
  <c r="AB50" i="15"/>
  <c r="AA50" i="15"/>
  <c r="Z50" i="15"/>
  <c r="Y49" i="15"/>
  <c r="AE49" i="15"/>
  <c r="AG49" i="15"/>
  <c r="AF49" i="15"/>
  <c r="AD49" i="15"/>
  <c r="AB49" i="15"/>
  <c r="AA49" i="15"/>
  <c r="Z49" i="15"/>
  <c r="AB48" i="15"/>
  <c r="Y48" i="15"/>
  <c r="AE48" i="15"/>
  <c r="AG48" i="15"/>
  <c r="AF48" i="15"/>
  <c r="AD48" i="15"/>
  <c r="AA48" i="15"/>
  <c r="Z48" i="15"/>
  <c r="Y47" i="15"/>
  <c r="AE47" i="15"/>
  <c r="AG47" i="15"/>
  <c r="AF47" i="15"/>
  <c r="AC47" i="15"/>
  <c r="AD47" i="15"/>
  <c r="AB47" i="15"/>
  <c r="AA47" i="15"/>
  <c r="Z47" i="15"/>
  <c r="Y46" i="15"/>
  <c r="AE46" i="15"/>
  <c r="AG46" i="15"/>
  <c r="AF46" i="15"/>
  <c r="AD46" i="15"/>
  <c r="AB46" i="15"/>
  <c r="AA46" i="15"/>
  <c r="Z46" i="15"/>
  <c r="AD45" i="15"/>
  <c r="AA45" i="15"/>
  <c r="Y45" i="15"/>
  <c r="AE45" i="15"/>
  <c r="AG45" i="15"/>
  <c r="AF45" i="15"/>
  <c r="AB45" i="15"/>
  <c r="Z45" i="15"/>
  <c r="AG44" i="15"/>
  <c r="AA44" i="15"/>
  <c r="Y44" i="15"/>
  <c r="AE44" i="15"/>
  <c r="AF44" i="15"/>
  <c r="AD44" i="15"/>
  <c r="AB44" i="15"/>
  <c r="Z44" i="15"/>
  <c r="AG43" i="15"/>
  <c r="Y43" i="15"/>
  <c r="AE43" i="15"/>
  <c r="AF43" i="15"/>
  <c r="AD43" i="15"/>
  <c r="AB43" i="15"/>
  <c r="AA43" i="15"/>
  <c r="Z43" i="15"/>
  <c r="Y42" i="15"/>
  <c r="AE42" i="15"/>
  <c r="AG42" i="15"/>
  <c r="AF42" i="15"/>
  <c r="AC42" i="15"/>
  <c r="AD42" i="15"/>
  <c r="AB42" i="15"/>
  <c r="AA42" i="15"/>
  <c r="Z42" i="15"/>
  <c r="Y41" i="15"/>
  <c r="AE41" i="15"/>
  <c r="AG41" i="15"/>
  <c r="AF41" i="15"/>
  <c r="AD41" i="15"/>
  <c r="AB41" i="15"/>
  <c r="AA41" i="15"/>
  <c r="Z41" i="15"/>
  <c r="Y40" i="15"/>
  <c r="AE40" i="15"/>
  <c r="AG40" i="15"/>
  <c r="AF40" i="15"/>
  <c r="AC40" i="15"/>
  <c r="AD40" i="15"/>
  <c r="AB40" i="15"/>
  <c r="AA40" i="15"/>
  <c r="Z40" i="15"/>
  <c r="AA39" i="15"/>
  <c r="Z39" i="15"/>
  <c r="Y39" i="15"/>
  <c r="AE39" i="15"/>
  <c r="AG39" i="15"/>
  <c r="AF39" i="15"/>
  <c r="AC39" i="15"/>
  <c r="AD39" i="15"/>
  <c r="AB39" i="15"/>
  <c r="AF38" i="15"/>
  <c r="Y38" i="15"/>
  <c r="AE38" i="15"/>
  <c r="AG38" i="15"/>
  <c r="AD38" i="15"/>
  <c r="AB38" i="15"/>
  <c r="AA38" i="15"/>
  <c r="Z38" i="15"/>
  <c r="AA37" i="15"/>
  <c r="Y37" i="15"/>
  <c r="AE37" i="15"/>
  <c r="AG37" i="15"/>
  <c r="AF37" i="15"/>
  <c r="AD37" i="15"/>
  <c r="AB37" i="15"/>
  <c r="Z37" i="15"/>
  <c r="AA36" i="15"/>
  <c r="Y36" i="15"/>
  <c r="AE36" i="15"/>
  <c r="AG36" i="15"/>
  <c r="AF36" i="15"/>
  <c r="AD36" i="15"/>
  <c r="AB36" i="15"/>
  <c r="Z36" i="15"/>
  <c r="Y35" i="15"/>
  <c r="AE35" i="15"/>
  <c r="AG35" i="15"/>
  <c r="AF35" i="15"/>
  <c r="AC35" i="15"/>
  <c r="AD35" i="15"/>
  <c r="AB35" i="15"/>
  <c r="AA35" i="15"/>
  <c r="Z35" i="15"/>
  <c r="Y34" i="15"/>
  <c r="AC34" i="15"/>
  <c r="AE34" i="15"/>
  <c r="AG34" i="15"/>
  <c r="AF34" i="15"/>
  <c r="AD34" i="15"/>
  <c r="AB34" i="15"/>
  <c r="AA34" i="15"/>
  <c r="Z34" i="15"/>
  <c r="Y33" i="15"/>
  <c r="AE33" i="15"/>
  <c r="AG33" i="15"/>
  <c r="AF33" i="15"/>
  <c r="AC33" i="15"/>
  <c r="AD33" i="15"/>
  <c r="AB33" i="15"/>
  <c r="AA33" i="15"/>
  <c r="Z33" i="15"/>
  <c r="AF32" i="15"/>
  <c r="Z32" i="15"/>
  <c r="Y32" i="15"/>
  <c r="AE32" i="15"/>
  <c r="AG32" i="15"/>
  <c r="AD32" i="15"/>
  <c r="AB32" i="15"/>
  <c r="AA32" i="15"/>
  <c r="Y31" i="15"/>
  <c r="AE31" i="15"/>
  <c r="AG31" i="15"/>
  <c r="AF31" i="15"/>
  <c r="AC31" i="15"/>
  <c r="AD31" i="15"/>
  <c r="AB31" i="15"/>
  <c r="AA31" i="15"/>
  <c r="Z31" i="15"/>
  <c r="Y30" i="15"/>
  <c r="AE30" i="15"/>
  <c r="AG30" i="15"/>
  <c r="AF30" i="15"/>
  <c r="AC30" i="15"/>
  <c r="AD30" i="15"/>
  <c r="AB30" i="15"/>
  <c r="AA30" i="15"/>
  <c r="Z30" i="15"/>
  <c r="AE29" i="15"/>
  <c r="Y29" i="15"/>
  <c r="AG29" i="15"/>
  <c r="AF29" i="15"/>
  <c r="AC29" i="15"/>
  <c r="AD29" i="15"/>
  <c r="AB29" i="15"/>
  <c r="AA29" i="15"/>
  <c r="Z29" i="15"/>
  <c r="AE28" i="15"/>
  <c r="Y28" i="15"/>
  <c r="AG28" i="15"/>
  <c r="AF28" i="15"/>
  <c r="AC28" i="15"/>
  <c r="AD28" i="15"/>
  <c r="AB28" i="15"/>
  <c r="AA28" i="15"/>
  <c r="Z28" i="15"/>
  <c r="AA27" i="15"/>
  <c r="Z27" i="15"/>
  <c r="Y27" i="15"/>
  <c r="AE27" i="15"/>
  <c r="AG27" i="15"/>
  <c r="AF27" i="15"/>
  <c r="AD27" i="15"/>
  <c r="AB27" i="15"/>
  <c r="AB26" i="15"/>
  <c r="AA26" i="15"/>
  <c r="Y26" i="15"/>
  <c r="AE26" i="15"/>
  <c r="AG26" i="15"/>
  <c r="AF26" i="15"/>
  <c r="AC26" i="15"/>
  <c r="AD26" i="15"/>
  <c r="Z26" i="15"/>
  <c r="AB25" i="15"/>
  <c r="Y25" i="15"/>
  <c r="AE25" i="15"/>
  <c r="AG25" i="15"/>
  <c r="AF25" i="15"/>
  <c r="AD25" i="15"/>
  <c r="AA25" i="15"/>
  <c r="Z25" i="15"/>
  <c r="AB24" i="15"/>
  <c r="Y24" i="15"/>
  <c r="AE24" i="15"/>
  <c r="AG24" i="15"/>
  <c r="AF24" i="15"/>
  <c r="AD24" i="15"/>
  <c r="AA24" i="15"/>
  <c r="Z24" i="15"/>
  <c r="AF23" i="15"/>
  <c r="Y23" i="15"/>
  <c r="AE23" i="15"/>
  <c r="AG23" i="15"/>
  <c r="AC23" i="15"/>
  <c r="AD23" i="15"/>
  <c r="AB23" i="15"/>
  <c r="AA23" i="15"/>
  <c r="Z23" i="15"/>
  <c r="AF22" i="15"/>
  <c r="Z22" i="15"/>
  <c r="Y22" i="15"/>
  <c r="AE22" i="15"/>
  <c r="AG22" i="15"/>
  <c r="AC22" i="15"/>
  <c r="AD22" i="15"/>
  <c r="AB22" i="15"/>
  <c r="AA22" i="15"/>
  <c r="Y21" i="15"/>
  <c r="AE21" i="15"/>
  <c r="AG21" i="15"/>
  <c r="AF21" i="15"/>
  <c r="AD21" i="15"/>
  <c r="AB21" i="15"/>
  <c r="AA21" i="15"/>
  <c r="Z21" i="15"/>
  <c r="Y20" i="15"/>
  <c r="AE20" i="15"/>
  <c r="AG20" i="15"/>
  <c r="AF20" i="15"/>
  <c r="AD20" i="15"/>
  <c r="AB20" i="15"/>
  <c r="AA20" i="15"/>
  <c r="Z20" i="15"/>
  <c r="AG19" i="15"/>
  <c r="Y19" i="15"/>
  <c r="AE19" i="15"/>
  <c r="AF19" i="15"/>
  <c r="AD19" i="15"/>
  <c r="AB19" i="15"/>
  <c r="AA19" i="15"/>
  <c r="Z19" i="15"/>
  <c r="Y18" i="15"/>
  <c r="AE18" i="15"/>
  <c r="AG18" i="15"/>
  <c r="AF18" i="15"/>
  <c r="AD18" i="15"/>
  <c r="AB18" i="15"/>
  <c r="AA18" i="15"/>
  <c r="Z18" i="15"/>
  <c r="Y17" i="15"/>
  <c r="AE17" i="15"/>
  <c r="AG17" i="15"/>
  <c r="AF17" i="15"/>
  <c r="AC17" i="15"/>
  <c r="AD17" i="15"/>
  <c r="AB17" i="15"/>
  <c r="AA17" i="15"/>
  <c r="Z17" i="15"/>
  <c r="Z16" i="15"/>
  <c r="Y16" i="15"/>
  <c r="AE16" i="15"/>
  <c r="AG16" i="15"/>
  <c r="AF16" i="15"/>
  <c r="AC16" i="15"/>
  <c r="AD16" i="15"/>
  <c r="AB16" i="15"/>
  <c r="AA16" i="15"/>
  <c r="Y15" i="15"/>
  <c r="AE15" i="15"/>
  <c r="AG15" i="15"/>
  <c r="AF15" i="15"/>
  <c r="AD15" i="15"/>
  <c r="AB15" i="15"/>
  <c r="AA15" i="15"/>
  <c r="Z15" i="15"/>
  <c r="Y14" i="15"/>
  <c r="AE14" i="15"/>
  <c r="AG14" i="15"/>
  <c r="AF14" i="15"/>
  <c r="AD14" i="15"/>
  <c r="AB14" i="15"/>
  <c r="AA14" i="15"/>
  <c r="Z14" i="15"/>
  <c r="Y13" i="15"/>
  <c r="AE13" i="15"/>
  <c r="AG13" i="15"/>
  <c r="AF13" i="15"/>
  <c r="AC13" i="15"/>
  <c r="AD13" i="15"/>
  <c r="AB13" i="15"/>
  <c r="AA13" i="15"/>
  <c r="Z13" i="15"/>
  <c r="Y12" i="15"/>
  <c r="AE12" i="15"/>
  <c r="AG12" i="15"/>
  <c r="AF12" i="15"/>
  <c r="AC12" i="15"/>
  <c r="AD12" i="15"/>
  <c r="AB12" i="15"/>
  <c r="AA12" i="15"/>
  <c r="Z12" i="15"/>
  <c r="Y11" i="15"/>
  <c r="AE11" i="15"/>
  <c r="AG11" i="15"/>
  <c r="AF11" i="15"/>
  <c r="AC11" i="15"/>
  <c r="AD11" i="15"/>
  <c r="AB11" i="15"/>
  <c r="AA11" i="15"/>
  <c r="Z11" i="15"/>
  <c r="Y10" i="15"/>
  <c r="AE10" i="15"/>
  <c r="AG10" i="15"/>
  <c r="AF10" i="15"/>
  <c r="AC10" i="15"/>
  <c r="AD10" i="15"/>
  <c r="AB10" i="15"/>
  <c r="AA10" i="15"/>
  <c r="Z10" i="15"/>
  <c r="Y9" i="15"/>
  <c r="AE9" i="15"/>
  <c r="AG9" i="15"/>
  <c r="AF9" i="15"/>
  <c r="AC9" i="15"/>
  <c r="AD9" i="15"/>
  <c r="AB9" i="15"/>
  <c r="AA9" i="15"/>
  <c r="Z9" i="15"/>
  <c r="Y8" i="15"/>
  <c r="AE8" i="15"/>
  <c r="AG8" i="15"/>
  <c r="AF8" i="15"/>
  <c r="AC8" i="15"/>
  <c r="AD8" i="15"/>
  <c r="AB8" i="15"/>
  <c r="AA8" i="15"/>
  <c r="Z8" i="15"/>
  <c r="AA7" i="15"/>
  <c r="Y7" i="15"/>
  <c r="AE7" i="15"/>
  <c r="AG7" i="15"/>
  <c r="AF7" i="15"/>
  <c r="AD7" i="15"/>
  <c r="AB7" i="15"/>
  <c r="Z7" i="15"/>
  <c r="AE6" i="15"/>
  <c r="Y6" i="15"/>
  <c r="AG6" i="15"/>
  <c r="AF6" i="15"/>
  <c r="AC6" i="15"/>
  <c r="AD6" i="15"/>
  <c r="AB6" i="15"/>
  <c r="AA6" i="15"/>
  <c r="Z6" i="15"/>
  <c r="Y5" i="15"/>
  <c r="AE5" i="15"/>
  <c r="AG5" i="15"/>
  <c r="AF5" i="15"/>
  <c r="AD5" i="15"/>
  <c r="AB5" i="15"/>
  <c r="AA5" i="15"/>
  <c r="Z5" i="15"/>
  <c r="AF4" i="15"/>
  <c r="Y4" i="15"/>
  <c r="AE4" i="15"/>
  <c r="AG4" i="15"/>
  <c r="AD4" i="15"/>
  <c r="AB4" i="15"/>
  <c r="AA4" i="15"/>
  <c r="Z4" i="15"/>
  <c r="Y3" i="15"/>
  <c r="AE3" i="15"/>
  <c r="AG3" i="15"/>
  <c r="AF3" i="15"/>
  <c r="AD3" i="15"/>
  <c r="AB3" i="15"/>
  <c r="AA3" i="15"/>
  <c r="Z3" i="15"/>
  <c r="AB2" i="15"/>
  <c r="AA2" i="15"/>
  <c r="Y2" i="15"/>
  <c r="AE2" i="15"/>
  <c r="AG2" i="15"/>
  <c r="AF2" i="15"/>
  <c r="AC2" i="15"/>
  <c r="AD2" i="15"/>
  <c r="Z2" i="15"/>
  <c r="F259" i="14"/>
  <c r="E259" i="14"/>
  <c r="F258" i="14"/>
  <c r="F257" i="14"/>
  <c r="E257" i="14"/>
  <c r="F256" i="14"/>
  <c r="F255" i="14"/>
  <c r="E255" i="14"/>
  <c r="F254" i="14"/>
  <c r="F253" i="14"/>
  <c r="E253" i="14"/>
  <c r="F252" i="14"/>
  <c r="F251" i="14"/>
  <c r="E251" i="14"/>
  <c r="F250" i="14"/>
  <c r="F249" i="14"/>
  <c r="E249" i="14"/>
  <c r="F248" i="14"/>
  <c r="F247" i="14"/>
  <c r="E247" i="14"/>
  <c r="F246" i="14"/>
  <c r="F245" i="14"/>
  <c r="E245" i="14"/>
  <c r="F244" i="14"/>
  <c r="F243" i="14"/>
  <c r="E243" i="14"/>
  <c r="F242" i="14"/>
  <c r="F241" i="14"/>
  <c r="E241" i="14"/>
  <c r="F240" i="14"/>
  <c r="F239" i="14"/>
  <c r="E239" i="14"/>
  <c r="F238" i="14"/>
  <c r="F237" i="14"/>
  <c r="E237" i="14"/>
  <c r="F236" i="14"/>
  <c r="F235" i="14"/>
  <c r="E235" i="14"/>
  <c r="F234" i="14"/>
  <c r="F233" i="14"/>
  <c r="E233" i="14"/>
  <c r="F232" i="14"/>
  <c r="F231" i="14"/>
  <c r="E231" i="14"/>
  <c r="F230" i="14"/>
  <c r="F229" i="14"/>
  <c r="E229" i="14"/>
  <c r="F228" i="14"/>
  <c r="F227" i="14"/>
  <c r="F226" i="14"/>
  <c r="G225" i="14"/>
  <c r="F225" i="14"/>
  <c r="E225" i="14"/>
  <c r="E224" i="14"/>
  <c r="G223" i="14"/>
  <c r="F223" i="14"/>
  <c r="E223" i="14"/>
  <c r="E222" i="14"/>
  <c r="G221" i="14"/>
  <c r="F221" i="14"/>
  <c r="E221" i="14"/>
  <c r="E220" i="14"/>
  <c r="G219" i="14"/>
  <c r="F219" i="14"/>
  <c r="E219" i="14"/>
  <c r="E218" i="14"/>
  <c r="G217" i="14"/>
  <c r="F217" i="14"/>
  <c r="E217" i="14"/>
  <c r="E216" i="14"/>
  <c r="G215" i="14"/>
  <c r="F215" i="14"/>
  <c r="E215" i="14"/>
  <c r="E214" i="14"/>
  <c r="G213" i="14"/>
  <c r="F213" i="14"/>
  <c r="E213" i="14"/>
  <c r="E212" i="14"/>
  <c r="G211" i="14"/>
  <c r="F211" i="14"/>
  <c r="E211" i="14"/>
  <c r="E210" i="14"/>
  <c r="G209" i="14"/>
  <c r="F209" i="14"/>
  <c r="E209" i="14"/>
  <c r="E208" i="14"/>
  <c r="G207" i="14"/>
  <c r="F207" i="14"/>
  <c r="E207" i="14"/>
  <c r="E206" i="14"/>
  <c r="G205" i="14"/>
  <c r="F205" i="14"/>
  <c r="E205" i="14"/>
  <c r="E204" i="14"/>
  <c r="G203" i="14"/>
  <c r="F203" i="14"/>
  <c r="E203" i="14"/>
  <c r="E202" i="14"/>
  <c r="G201" i="14"/>
  <c r="F201" i="14"/>
  <c r="E201" i="14"/>
  <c r="E200" i="14"/>
  <c r="G199" i="14"/>
  <c r="F199" i="14"/>
  <c r="E199" i="14"/>
  <c r="E198" i="14"/>
  <c r="G197" i="14"/>
  <c r="F197" i="14"/>
  <c r="E197" i="14"/>
  <c r="E196" i="14"/>
  <c r="G195" i="14"/>
  <c r="F195" i="14"/>
  <c r="E195" i="14"/>
  <c r="E194" i="14"/>
  <c r="G193" i="14"/>
  <c r="F193" i="14"/>
  <c r="E193" i="14"/>
  <c r="E192" i="14"/>
  <c r="G191" i="14"/>
  <c r="F191" i="14"/>
  <c r="E191" i="14"/>
  <c r="E190" i="14"/>
  <c r="G189" i="14"/>
  <c r="F189" i="14"/>
  <c r="E189" i="14"/>
  <c r="E188" i="14"/>
  <c r="G187" i="14"/>
  <c r="F187" i="14"/>
  <c r="E187" i="14"/>
  <c r="E186" i="14"/>
  <c r="G185" i="14"/>
  <c r="F185" i="14"/>
  <c r="E185" i="14"/>
  <c r="E227" i="14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H41" i="15"/>
  <c r="AH83" i="15"/>
  <c r="AH109" i="15"/>
  <c r="AC5" i="15"/>
  <c r="AC24" i="15"/>
  <c r="AI24" i="15" s="1"/>
  <c r="AC36" i="15"/>
  <c r="AH58" i="15"/>
  <c r="AC67" i="15"/>
  <c r="AC101" i="15"/>
  <c r="AH12" i="15"/>
  <c r="AI12" i="15" s="1"/>
  <c r="AH3" i="15"/>
  <c r="AI3" i="15" s="1"/>
  <c r="AC15" i="15"/>
  <c r="AC18" i="15"/>
  <c r="AC51" i="15"/>
  <c r="AH69" i="15"/>
  <c r="AI69" i="15" s="1"/>
  <c r="AH76" i="15"/>
  <c r="AC4" i="15"/>
  <c r="AH27" i="15"/>
  <c r="AH35" i="15"/>
  <c r="AH57" i="15"/>
  <c r="AC61" i="15"/>
  <c r="AH91" i="15"/>
  <c r="AH115" i="15"/>
  <c r="AI115" i="15" s="1"/>
  <c r="AC116" i="15"/>
  <c r="AH121" i="15"/>
  <c r="AC123" i="15"/>
  <c r="AC3" i="15"/>
  <c r="AC7" i="15"/>
  <c r="AC14" i="15"/>
  <c r="AH18" i="15"/>
  <c r="AI18" i="15" s="1"/>
  <c r="AC41" i="15"/>
  <c r="AI41" i="15" s="1"/>
  <c r="AC46" i="15"/>
  <c r="AC56" i="15"/>
  <c r="AH65" i="15"/>
  <c r="AC70" i="15"/>
  <c r="AC74" i="15"/>
  <c r="AC77" i="15"/>
  <c r="AH101" i="15"/>
  <c r="AC114" i="15"/>
  <c r="AC115" i="15"/>
  <c r="AC119" i="15"/>
  <c r="AC120" i="15"/>
  <c r="AC122" i="15"/>
  <c r="AC129" i="15"/>
  <c r="AH4" i="15"/>
  <c r="AH102" i="15"/>
  <c r="AH7" i="15"/>
  <c r="AH8" i="15"/>
  <c r="AI8" i="15" s="1"/>
  <c r="AH63" i="15"/>
  <c r="AH6" i="15"/>
  <c r="AI6" i="15" s="1"/>
  <c r="AH9" i="15"/>
  <c r="AI9" i="15" s="1"/>
  <c r="AH13" i="15"/>
  <c r="AI13" i="15" s="1"/>
  <c r="AH14" i="15"/>
  <c r="AH15" i="15"/>
  <c r="AH28" i="15"/>
  <c r="AI28" i="15" s="1"/>
  <c r="AI35" i="15"/>
  <c r="AH48" i="15"/>
  <c r="AC52" i="15"/>
  <c r="AH72" i="15"/>
  <c r="AH96" i="15"/>
  <c r="AH10" i="15"/>
  <c r="AI10" i="15" s="1"/>
  <c r="AH16" i="15"/>
  <c r="AI16" i="15" s="1"/>
  <c r="AC37" i="15"/>
  <c r="AI83" i="15"/>
  <c r="AH119" i="15"/>
  <c r="AH131" i="15"/>
  <c r="AC131" i="15"/>
  <c r="AH2" i="15"/>
  <c r="AI2" i="15" s="1"/>
  <c r="AC19" i="15"/>
  <c r="AH19" i="15"/>
  <c r="AC21" i="15"/>
  <c r="AI21" i="15" s="1"/>
  <c r="AH24" i="15"/>
  <c r="AC44" i="15"/>
  <c r="AC45" i="15"/>
  <c r="AC57" i="15"/>
  <c r="AI57" i="15" s="1"/>
  <c r="AH64" i="15"/>
  <c r="AH70" i="15"/>
  <c r="AC98" i="15"/>
  <c r="AC27" i="15"/>
  <c r="AH37" i="15"/>
  <c r="AC73" i="15"/>
  <c r="AC79" i="15"/>
  <c r="AH85" i="15"/>
  <c r="AI85" i="15" s="1"/>
  <c r="AC89" i="15"/>
  <c r="AC113" i="15"/>
  <c r="AH122" i="15"/>
  <c r="AC127" i="15"/>
  <c r="AH20" i="15"/>
  <c r="AH34" i="15"/>
  <c r="AI34" i="15" s="1"/>
  <c r="AH38" i="15"/>
  <c r="AH43" i="15"/>
  <c r="AH49" i="15"/>
  <c r="AC64" i="15"/>
  <c r="AC76" i="15"/>
  <c r="AC82" i="15"/>
  <c r="AC85" i="15"/>
  <c r="AH89" i="15"/>
  <c r="AC92" i="15"/>
  <c r="AH98" i="15"/>
  <c r="AI98" i="15" s="1"/>
  <c r="AH99" i="15"/>
  <c r="AI99" i="15" s="1"/>
  <c r="AC107" i="15"/>
  <c r="AI107" i="15" s="1"/>
  <c r="AH114" i="15"/>
  <c r="AC126" i="15"/>
  <c r="AC128" i="15"/>
  <c r="AC20" i="15"/>
  <c r="AH21" i="15"/>
  <c r="AH22" i="15"/>
  <c r="AI22" i="15" s="1"/>
  <c r="AC43" i="15"/>
  <c r="AH44" i="15"/>
  <c r="AC48" i="15"/>
  <c r="AC49" i="15"/>
  <c r="AI49" i="15" s="1"/>
  <c r="AC58" i="15"/>
  <c r="AI58" i="15" s="1"/>
  <c r="AH66" i="15"/>
  <c r="AI66" i="15" s="1"/>
  <c r="AH71" i="15"/>
  <c r="AH78" i="15"/>
  <c r="AC81" i="15"/>
  <c r="AC103" i="15"/>
  <c r="AI103" i="15" s="1"/>
  <c r="AH107" i="15"/>
  <c r="AC110" i="15"/>
  <c r="AH125" i="15"/>
  <c r="AI125" i="15" s="1"/>
  <c r="AC25" i="15"/>
  <c r="AH25" i="15"/>
  <c r="AH26" i="15"/>
  <c r="AI26" i="15" s="1"/>
  <c r="AH32" i="15"/>
  <c r="AH47" i="15"/>
  <c r="AI47" i="15" s="1"/>
  <c r="AH55" i="15"/>
  <c r="AC60" i="15"/>
  <c r="AI60" i="15" s="1"/>
  <c r="AC63" i="15"/>
  <c r="AH67" i="15"/>
  <c r="AI67" i="15" s="1"/>
  <c r="AC71" i="15"/>
  <c r="AH75" i="15"/>
  <c r="AC75" i="15"/>
  <c r="AC78" i="15"/>
  <c r="AI78" i="15" s="1"/>
  <c r="AH79" i="15"/>
  <c r="AH81" i="15"/>
  <c r="AI81" i="15" s="1"/>
  <c r="AH84" i="15"/>
  <c r="AC84" i="15"/>
  <c r="AI84" i="15" s="1"/>
  <c r="AC96" i="15"/>
  <c r="AC102" i="15"/>
  <c r="AH117" i="15"/>
  <c r="AI117" i="15" s="1"/>
  <c r="AH128" i="15"/>
  <c r="AI128" i="15" s="1"/>
  <c r="AC132" i="15"/>
  <c r="AH130" i="15"/>
  <c r="AI130" i="15" s="1"/>
  <c r="AH126" i="15"/>
  <c r="AH59" i="15"/>
  <c r="AH5" i="15"/>
  <c r="AH11" i="15"/>
  <c r="AI11" i="15" s="1"/>
  <c r="AH17" i="15"/>
  <c r="AI17" i="15" s="1"/>
  <c r="AI25" i="15"/>
  <c r="AH42" i="15"/>
  <c r="AI42" i="15" s="1"/>
  <c r="AH61" i="15"/>
  <c r="AH31" i="15"/>
  <c r="AI31" i="15" s="1"/>
  <c r="AH62" i="15"/>
  <c r="AI62" i="15" s="1"/>
  <c r="AH68" i="15"/>
  <c r="AI68" i="15" s="1"/>
  <c r="AI59" i="15"/>
  <c r="AH23" i="15"/>
  <c r="AI23" i="15" s="1"/>
  <c r="AH29" i="15"/>
  <c r="AI29" i="15" s="1"/>
  <c r="AH30" i="15"/>
  <c r="AI30" i="15" s="1"/>
  <c r="AH36" i="15"/>
  <c r="AH77" i="15"/>
  <c r="AI77" i="15" s="1"/>
  <c r="AH45" i="15"/>
  <c r="AH53" i="15"/>
  <c r="AI53" i="15" s="1"/>
  <c r="AI101" i="15"/>
  <c r="AH113" i="15"/>
  <c r="AH80" i="15"/>
  <c r="AI80" i="15" s="1"/>
  <c r="AC32" i="15"/>
  <c r="AI32" i="15" s="1"/>
  <c r="AC38" i="15"/>
  <c r="AH39" i="15"/>
  <c r="AI39" i="15" s="1"/>
  <c r="AH88" i="15"/>
  <c r="AI88" i="15" s="1"/>
  <c r="AH94" i="15"/>
  <c r="AI94" i="15" s="1"/>
  <c r="AH97" i="15"/>
  <c r="AH120" i="15"/>
  <c r="AH40" i="15"/>
  <c r="AI40" i="15" s="1"/>
  <c r="AH50" i="15"/>
  <c r="AI50" i="15" s="1"/>
  <c r="AH52" i="15"/>
  <c r="AH82" i="15"/>
  <c r="E226" i="14"/>
  <c r="AH33" i="15"/>
  <c r="AI33" i="15" s="1"/>
  <c r="AH46" i="15"/>
  <c r="AI46" i="15" s="1"/>
  <c r="AH51" i="15"/>
  <c r="AI51" i="15" s="1"/>
  <c r="AH54" i="15"/>
  <c r="AI54" i="15" s="1"/>
  <c r="AC65" i="15"/>
  <c r="AC72" i="15"/>
  <c r="AI72" i="15" s="1"/>
  <c r="AH73" i="15"/>
  <c r="AH95" i="15"/>
  <c r="AI95" i="15" s="1"/>
  <c r="AC97" i="15"/>
  <c r="AH106" i="15"/>
  <c r="AI106" i="15" s="1"/>
  <c r="AH127" i="15"/>
  <c r="AC55" i="15"/>
  <c r="AH74" i="15"/>
  <c r="AI74" i="15" s="1"/>
  <c r="AH108" i="15"/>
  <c r="AI108" i="15" s="1"/>
  <c r="AH111" i="15"/>
  <c r="AI111" i="15" s="1"/>
  <c r="AC121" i="15"/>
  <c r="AI121" i="15" s="1"/>
  <c r="AH123" i="15"/>
  <c r="AI123" i="15" s="1"/>
  <c r="AH56" i="15"/>
  <c r="AH86" i="15"/>
  <c r="AI86" i="15" s="1"/>
  <c r="AH90" i="15"/>
  <c r="AI90" i="15" s="1"/>
  <c r="AH93" i="15"/>
  <c r="AI93" i="15" s="1"/>
  <c r="AH104" i="15"/>
  <c r="AI104" i="15" s="1"/>
  <c r="AH112" i="15"/>
  <c r="AI112" i="15" s="1"/>
  <c r="AH116" i="15"/>
  <c r="AH132" i="15"/>
  <c r="AH87" i="15"/>
  <c r="AI87" i="15" s="1"/>
  <c r="AH92" i="15"/>
  <c r="AI92" i="15" s="1"/>
  <c r="AH100" i="15"/>
  <c r="AI100" i="15" s="1"/>
  <c r="AH105" i="15"/>
  <c r="AI105" i="15" s="1"/>
  <c r="AH110" i="15"/>
  <c r="AH118" i="15"/>
  <c r="AI118" i="15" s="1"/>
  <c r="AI122" i="15"/>
  <c r="AH129" i="15"/>
  <c r="AI129" i="15" s="1"/>
  <c r="AC91" i="15"/>
  <c r="AC109" i="15"/>
  <c r="AH124" i="15"/>
  <c r="AI124" i="15" s="1"/>
  <c r="AI116" i="15" l="1"/>
  <c r="AI120" i="15"/>
  <c r="AI119" i="15"/>
  <c r="AI63" i="15"/>
  <c r="AI36" i="15"/>
  <c r="AI7" i="15"/>
  <c r="AI102" i="15"/>
  <c r="AI27" i="15"/>
  <c r="AI127" i="15"/>
  <c r="AI126" i="15"/>
  <c r="AI37" i="15"/>
  <c r="AI109" i="15"/>
  <c r="AI5" i="15"/>
  <c r="AI43" i="15"/>
  <c r="AI89" i="15"/>
  <c r="AI15" i="15"/>
  <c r="AI52" i="15"/>
  <c r="AI44" i="15"/>
  <c r="AI56" i="15"/>
  <c r="AI45" i="15"/>
  <c r="AI91" i="15"/>
  <c r="AI132" i="15"/>
  <c r="AI76" i="15"/>
  <c r="AI79" i="15"/>
  <c r="AI97" i="15"/>
  <c r="AI73" i="15"/>
  <c r="AI19" i="15"/>
  <c r="AI14" i="15"/>
  <c r="AI82" i="15"/>
  <c r="AI70" i="15"/>
  <c r="AI4" i="15"/>
  <c r="AI20" i="15"/>
  <c r="AI48" i="15"/>
  <c r="AI65" i="15"/>
  <c r="AI61" i="15"/>
  <c r="AI96" i="15"/>
  <c r="AI75" i="15"/>
  <c r="AI71" i="15"/>
  <c r="AI114" i="15"/>
  <c r="AI131" i="15"/>
  <c r="AI38" i="15"/>
  <c r="AI55" i="15"/>
  <c r="AI113" i="15"/>
  <c r="AI110" i="15"/>
  <c r="AI64" i="15"/>
</calcChain>
</file>

<file path=xl/sharedStrings.xml><?xml version="1.0" encoding="utf-8"?>
<sst xmlns="http://schemas.openxmlformats.org/spreadsheetml/2006/main" count="563" uniqueCount="230">
  <si>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</si>
  <si>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</si>
  <si>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</si>
  <si>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</si>
  <si>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</si>
  <si>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</si>
  <si>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</si>
  <si>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</si>
  <si>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</si>
  <si>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</si>
  <si>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</si>
  <si>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</si>
  <si>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</si>
  <si>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</si>
  <si>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</si>
  <si>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</si>
  <si>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</si>
  <si>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</si>
  <si>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</si>
  <si>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</si>
  <si>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</si>
  <si>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</si>
  <si>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</si>
  <si>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</si>
  <si>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</si>
  <si>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</si>
  <si>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</si>
  <si>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</si>
  <si>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</si>
  <si>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</si>
  <si>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</si>
  <si>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</si>
  <si>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</si>
  <si>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</si>
  <si>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</si>
  <si>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</si>
  <si>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</si>
  <si>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</si>
  <si>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</si>
  <si>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</si>
  <si>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</si>
  <si>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</si>
  <si>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</si>
  <si>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</si>
  <si>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</si>
  <si>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</si>
  <si>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</si>
  <si>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</si>
  <si>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</si>
  <si>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</si>
  <si>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</si>
  <si>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</si>
  <si>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</si>
  <si>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</si>
  <si>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</si>
  <si>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</si>
  <si>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</si>
  <si>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</si>
  <si>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</si>
  <si>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</si>
  <si>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</si>
  <si>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</si>
  <si>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</si>
  <si>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</si>
  <si>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</si>
  <si>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</si>
  <si>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</si>
  <si>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</si>
  <si>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</si>
  <si>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</si>
  <si>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</si>
  <si>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</si>
  <si>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</si>
  <si>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</si>
  <si>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</si>
  <si>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</si>
  <si>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</si>
  <si>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</si>
  <si>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</si>
  <si>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</si>
  <si>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</si>
  <si>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</si>
  <si>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</si>
  <si>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</si>
  <si>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</si>
  <si>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</si>
  <si>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</si>
  <si>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</si>
  <si>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</si>
  <si>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</si>
  <si>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</si>
  <si>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</si>
  <si>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</si>
  <si>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</si>
  <si>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</si>
  <si>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</si>
  <si>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</si>
  <si>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</si>
  <si>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</si>
  <si>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</si>
  <si>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</si>
  <si>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</si>
  <si>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</si>
  <si>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</si>
  <si>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</si>
  <si>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</si>
  <si>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</si>
  <si>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</si>
  <si>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</si>
  <si>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</si>
  <si>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</si>
  <si>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</si>
  <si>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</si>
  <si>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</si>
  <si>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</si>
  <si>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</si>
  <si>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</si>
  <si>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</si>
  <si>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</si>
  <si>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</si>
  <si>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</si>
  <si>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</si>
  <si>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</si>
  <si>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</si>
  <si>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</si>
  <si>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</si>
  <si>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</si>
  <si>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</si>
  <si>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</si>
  <si>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</si>
  <si>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</si>
  <si>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</si>
  <si>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</si>
  <si>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</si>
  <si>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</si>
  <si>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</si>
  <si>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</si>
  <si>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</si>
  <si>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</si>
  <si>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</si>
  <si>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</si>
  <si>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</si>
  <si>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</si>
  <si>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</si>
  <si>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</si>
  <si>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</si>
  <si>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</si>
  <si>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</si>
  <si>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</si>
  <si>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</si>
  <si>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</si>
  <si>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</si>
  <si>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</si>
  <si>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</si>
  <si>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</si>
  <si>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</si>
  <si>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</si>
  <si>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</si>
  <si>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</si>
  <si>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</si>
  <si>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</si>
  <si>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</si>
  <si>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</si>
  <si>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</si>
  <si>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</si>
  <si>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</si>
  <si>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</si>
  <si>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</si>
  <si>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</si>
  <si>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</si>
  <si>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</si>
  <si>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</si>
  <si>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</si>
  <si>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</si>
  <si>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</si>
  <si>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</si>
  <si>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</si>
  <si>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</si>
  <si>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</si>
  <si>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</si>
  <si>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</si>
  <si>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</si>
  <si>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</si>
  <si>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</si>
  <si>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</si>
  <si>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</si>
  <si>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</si>
  <si>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</si>
  <si>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</si>
  <si>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</si>
  <si>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</si>
  <si>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</si>
  <si>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</si>
  <si>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</si>
  <si>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</si>
  <si>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</si>
  <si>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</si>
  <si>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</si>
  <si>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</si>
  <si>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</si>
  <si>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</si>
  <si>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</si>
  <si>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</si>
  <si>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</si>
  <si>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</si>
  <si>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</si>
  <si>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</si>
  <si>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</si>
  <si>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</si>
  <si>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</si>
  <si>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</si>
  <si>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</si>
  <si>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</si>
  <si>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</si>
  <si>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</si>
  <si>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</si>
  <si>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</si>
  <si>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</si>
  <si>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</si>
  <si>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</si>
  <si>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</si>
  <si>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</si>
  <si>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</si>
  <si>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</si>
  <si>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</si>
  <si>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</si>
  <si>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</si>
  <si>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</si>
  <si>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</si>
  <si>
    <t>No policy shock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</si>
</sst>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6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6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EA_output!$AJ$1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06-4D51-9999-282BDB504485}"/>
            </c:ext>
          </c:extLst>
        </c:ser>
        <c:ser>
          <c:idx val="1"/>
          <c:order val="1"/>
          <c:tx>
            <c:strRef>
              <c:f>EA_output!$AK$1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EA_output!$A$2:$A$75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EA_output!$AK$2:$AK$75</c:f>
              <c:numCache>
                <c:formatCode>General</c:formatCode>
                <c:ptCount val="74"/>
                <c:pt idx="0">
                  <c:v>0.69492280716832822</c:v>
                </c:pt>
                <c:pt idx="1">
                  <c:v>0.83980881927683093</c:v>
                </c:pt>
                <c:pt idx="2">
                  <c:v>1.306689834983235</c:v>
                </c:pt>
                <c:pt idx="3">
                  <c:v>1.2736905881178711</c:v>
                </c:pt>
                <c:pt idx="4">
                  <c:v>0.76398896624881729</c:v>
                </c:pt>
                <c:pt idx="5">
                  <c:v>1.2011555936592839</c:v>
                </c:pt>
                <c:pt idx="6">
                  <c:v>1.4854799272297101</c:v>
                </c:pt>
                <c:pt idx="7">
                  <c:v>1.0930780863196383</c:v>
                </c:pt>
                <c:pt idx="8">
                  <c:v>0.20578233554254699</c:v>
                </c:pt>
                <c:pt idx="9">
                  <c:v>-0.4895451165997845</c:v>
                </c:pt>
                <c:pt idx="10">
                  <c:v>-1.0838622555491699</c:v>
                </c:pt>
                <c:pt idx="11">
                  <c:v>-1.0725801886206017</c:v>
                </c:pt>
                <c:pt idx="12">
                  <c:v>-1.8169639311059926</c:v>
                </c:pt>
                <c:pt idx="13">
                  <c:v>-2.4826144092816711</c:v>
                </c:pt>
                <c:pt idx="14">
                  <c:v>-2.206371826610765</c:v>
                </c:pt>
                <c:pt idx="15">
                  <c:v>-1.581712935871868</c:v>
                </c:pt>
                <c:pt idx="16">
                  <c:v>-0.33294863611052194</c:v>
                </c:pt>
                <c:pt idx="17">
                  <c:v>1.4286726418448343</c:v>
                </c:pt>
                <c:pt idx="18">
                  <c:v>0.49567433273763672</c:v>
                </c:pt>
                <c:pt idx="19">
                  <c:v>-1.1448858791890106</c:v>
                </c:pt>
                <c:pt idx="20">
                  <c:v>-2.5659328010443097</c:v>
                </c:pt>
                <c:pt idx="21">
                  <c:v>-2.8446048628103351</c:v>
                </c:pt>
                <c:pt idx="22">
                  <c:v>-3.3575557589926284</c:v>
                </c:pt>
                <c:pt idx="23">
                  <c:v>-3.3003323403828828</c:v>
                </c:pt>
                <c:pt idx="24">
                  <c:v>-2.4099273211034551</c:v>
                </c:pt>
                <c:pt idx="25">
                  <c:v>-2.2735402275652978</c:v>
                </c:pt>
                <c:pt idx="26">
                  <c:v>-2.2181757338890291</c:v>
                </c:pt>
                <c:pt idx="27">
                  <c:v>-2.0757051871947718</c:v>
                </c:pt>
                <c:pt idx="28">
                  <c:v>-1.2772520387057587</c:v>
                </c:pt>
                <c:pt idx="29">
                  <c:v>-1.2097803346042564</c:v>
                </c:pt>
                <c:pt idx="30">
                  <c:v>-1.6992841924772191</c:v>
                </c:pt>
                <c:pt idx="31">
                  <c:v>-1.8658779137201105</c:v>
                </c:pt>
                <c:pt idx="32">
                  <c:v>-1.5756526346794946</c:v>
                </c:pt>
                <c:pt idx="33">
                  <c:v>-1.9471911437162672</c:v>
                </c:pt>
                <c:pt idx="34">
                  <c:v>-2.1349771303452512</c:v>
                </c:pt>
                <c:pt idx="35">
                  <c:v>-2.4836260520720566</c:v>
                </c:pt>
                <c:pt idx="36">
                  <c:v>-2.9903622309344149</c:v>
                </c:pt>
                <c:pt idx="37">
                  <c:v>-3.3530873115570157</c:v>
                </c:pt>
                <c:pt idx="38">
                  <c:v>-3.4155328536710607</c:v>
                </c:pt>
                <c:pt idx="39">
                  <c:v>-3.767199347599715</c:v>
                </c:pt>
                <c:pt idx="40">
                  <c:v>-3.9481578178547898</c:v>
                </c:pt>
                <c:pt idx="41">
                  <c:v>-3.8688128182145958</c:v>
                </c:pt>
                <c:pt idx="42">
                  <c:v>-3.9986544870920167</c:v>
                </c:pt>
                <c:pt idx="43">
                  <c:v>-4.2825278115727894</c:v>
                </c:pt>
                <c:pt idx="44">
                  <c:v>-4.5861217918265575</c:v>
                </c:pt>
                <c:pt idx="45">
                  <c:v>-4.9560099730333489</c:v>
                </c:pt>
                <c:pt idx="46">
                  <c:v>-4.9473041525765256</c:v>
                </c:pt>
                <c:pt idx="47">
                  <c:v>-5.0389535645140073</c:v>
                </c:pt>
                <c:pt idx="48">
                  <c:v>-4.9495962298449792</c:v>
                </c:pt>
                <c:pt idx="49">
                  <c:v>-5.2150269818953179</c:v>
                </c:pt>
                <c:pt idx="50">
                  <c:v>-5.8523286830424466</c:v>
                </c:pt>
                <c:pt idx="51">
                  <c:v>-5.3214934212481202</c:v>
                </c:pt>
                <c:pt idx="52">
                  <c:v>-3.8244753327507102</c:v>
                </c:pt>
                <c:pt idx="53">
                  <c:v>-1.9526500110261846</c:v>
                </c:pt>
                <c:pt idx="54">
                  <c:v>-1.4023109524771282</c:v>
                </c:pt>
                <c:pt idx="55">
                  <c:v>0.91440310470966035</c:v>
                </c:pt>
                <c:pt idx="56">
                  <c:v>1.9378411422975674</c:v>
                </c:pt>
                <c:pt idx="57">
                  <c:v>-0.51923184497947394</c:v>
                </c:pt>
                <c:pt idx="58">
                  <c:v>-2.8556218925094119</c:v>
                </c:pt>
                <c:pt idx="59">
                  <c:v>-3.0308299084554653</c:v>
                </c:pt>
                <c:pt idx="60">
                  <c:v>-3.5396111021932661</c:v>
                </c:pt>
                <c:pt idx="61">
                  <c:v>-3.6739915909746768</c:v>
                </c:pt>
                <c:pt idx="62">
                  <c:v>-3.4163807842410838</c:v>
                </c:pt>
                <c:pt idx="63">
                  <c:v>-1.2915043544567544</c:v>
                </c:pt>
                <c:pt idx="64">
                  <c:v>0.42276880751680412</c:v>
                </c:pt>
                <c:pt idx="65">
                  <c:v>1.3867053807581029</c:v>
                </c:pt>
                <c:pt idx="66">
                  <c:v>2.0352891467458019</c:v>
                </c:pt>
                <c:pt idx="67">
                  <c:v>2.9431323439170294</c:v>
                </c:pt>
                <c:pt idx="68">
                  <c:v>2.5530976219444357</c:v>
                </c:pt>
                <c:pt idx="69">
                  <c:v>2.7312848648580434</c:v>
                </c:pt>
                <c:pt idx="70">
                  <c:v>2.4831245668343618</c:v>
                </c:pt>
                <c:pt idx="71">
                  <c:v>3.5338383518379506</c:v>
                </c:pt>
                <c:pt idx="72">
                  <c:v>3.1921437664864349</c:v>
                </c:pt>
                <c:pt idx="73">
                  <c:v>3.1976714803885016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06-4D51-9999-282BDB504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B9D05D-951F-4B70-A582-0260E0962E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 NA - DSGE Raw Data"/>
      <sheetName val="Chart 2 - Real rate gaps"/>
      <sheetName val="Chart 3 - rstar"/>
      <sheetName val="Decomposition"/>
      <sheetName val="DSGE HVD wFG"/>
      <sheetName val="DSGE HVD woFG"/>
      <sheetName val="US_output_withoutFG"/>
      <sheetName val="US_inflation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AJ1" t="str">
            <v>Policy rate</v>
          </cell>
          <cell r="AK1" t="str">
            <v>No policy shock</v>
          </cell>
        </row>
        <row r="2">
          <cell r="A2">
            <v>39172</v>
          </cell>
          <cell r="AJ2">
            <v>5.25</v>
          </cell>
          <cell r="AK2">
            <v>6.33792868159194</v>
          </cell>
        </row>
        <row r="3">
          <cell r="A3">
            <v>39263</v>
          </cell>
          <cell r="AJ3">
            <v>5.25</v>
          </cell>
          <cell r="AK3">
            <v>5.8211322565365577</v>
          </cell>
        </row>
        <row r="4">
          <cell r="A4">
            <v>39355</v>
          </cell>
          <cell r="AJ4">
            <v>5.07</v>
          </cell>
          <cell r="AK4">
            <v>5.7194350663183036</v>
          </cell>
        </row>
        <row r="5">
          <cell r="A5">
            <v>39447</v>
          </cell>
          <cell r="AJ5">
            <v>4.5</v>
          </cell>
          <cell r="AK5">
            <v>5.5906307914461602</v>
          </cell>
        </row>
        <row r="6">
          <cell r="A6">
            <v>39538</v>
          </cell>
          <cell r="AJ6">
            <v>3.18</v>
          </cell>
          <cell r="AK6">
            <v>4.51562287818673</v>
          </cell>
        </row>
        <row r="7">
          <cell r="A7">
            <v>39629</v>
          </cell>
          <cell r="AJ7">
            <v>2.08</v>
          </cell>
          <cell r="AK7">
            <v>3.5779970005566</v>
          </cell>
        </row>
        <row r="8">
          <cell r="A8">
            <v>39721</v>
          </cell>
          <cell r="AJ8">
            <v>1.94</v>
          </cell>
          <cell r="AK8">
            <v>1.8465779459063989</v>
          </cell>
        </row>
        <row r="9">
          <cell r="A9">
            <v>39813</v>
          </cell>
          <cell r="AJ9">
            <v>0.51</v>
          </cell>
          <cell r="AK9">
            <v>0.91516933718920468</v>
          </cell>
        </row>
        <row r="10">
          <cell r="A10">
            <v>39903</v>
          </cell>
          <cell r="AJ10">
            <v>0.18</v>
          </cell>
          <cell r="AK10">
            <v>0.60525414134732469</v>
          </cell>
        </row>
        <row r="11">
          <cell r="A11">
            <v>39994</v>
          </cell>
          <cell r="AJ11">
            <v>0.18</v>
          </cell>
          <cell r="AK11">
            <v>-0.2521015471097468</v>
          </cell>
        </row>
        <row r="12">
          <cell r="A12">
            <v>40086</v>
          </cell>
          <cell r="AJ12">
            <v>0.15</v>
          </cell>
          <cell r="AK12">
            <v>-0.67097388159626037</v>
          </cell>
        </row>
        <row r="13">
          <cell r="A13">
            <v>40178</v>
          </cell>
          <cell r="AJ13">
            <v>0.12</v>
          </cell>
          <cell r="AK13">
            <v>0.41833883202144279</v>
          </cell>
        </row>
        <row r="14">
          <cell r="A14">
            <v>40268</v>
          </cell>
          <cell r="AJ14">
            <v>0.13</v>
          </cell>
          <cell r="AK14">
            <v>0.45395973432293407</v>
          </cell>
        </row>
        <row r="15">
          <cell r="A15">
            <v>40359</v>
          </cell>
          <cell r="AJ15">
            <v>0.19</v>
          </cell>
          <cell r="AK15">
            <v>0.62043437481094699</v>
          </cell>
        </row>
        <row r="16">
          <cell r="A16">
            <v>40451</v>
          </cell>
          <cell r="AJ16">
            <v>0.19</v>
          </cell>
          <cell r="AK16">
            <v>0.6768219517657823</v>
          </cell>
        </row>
        <row r="17">
          <cell r="A17">
            <v>40543</v>
          </cell>
          <cell r="AJ17">
            <v>0.19</v>
          </cell>
          <cell r="AK17">
            <v>0.54928001871234922</v>
          </cell>
        </row>
        <row r="18">
          <cell r="A18">
            <v>40633</v>
          </cell>
          <cell r="AJ18">
            <v>0.15</v>
          </cell>
          <cell r="AK18">
            <v>0.54024282171038629</v>
          </cell>
        </row>
        <row r="19">
          <cell r="A19">
            <v>40724</v>
          </cell>
          <cell r="AJ19">
            <v>0.09</v>
          </cell>
          <cell r="AK19">
            <v>0.30702613472171131</v>
          </cell>
        </row>
        <row r="20">
          <cell r="A20">
            <v>40816</v>
          </cell>
          <cell r="AJ20">
            <v>0.08</v>
          </cell>
          <cell r="AK20">
            <v>0.29796459260107799</v>
          </cell>
        </row>
        <row r="21">
          <cell r="A21">
            <v>40908</v>
          </cell>
          <cell r="AJ21">
            <v>7.0000000000000007E-2</v>
          </cell>
          <cell r="AK21">
            <v>0.31414647240548221</v>
          </cell>
        </row>
        <row r="22">
          <cell r="A22">
            <v>40999</v>
          </cell>
          <cell r="AJ22">
            <v>0.1</v>
          </cell>
          <cell r="AK22">
            <v>0.12779244650199742</v>
          </cell>
        </row>
        <row r="23">
          <cell r="A23">
            <v>41090</v>
          </cell>
          <cell r="AJ23">
            <v>0.15</v>
          </cell>
          <cell r="AK23">
            <v>0.33868387774105391</v>
          </cell>
        </row>
        <row r="24">
          <cell r="A24">
            <v>41182</v>
          </cell>
          <cell r="AJ24">
            <v>0.14000000000000001</v>
          </cell>
          <cell r="AK24">
            <v>0.4863736875291822</v>
          </cell>
        </row>
        <row r="25">
          <cell r="A25">
            <v>41274</v>
          </cell>
          <cell r="AJ25">
            <v>0.16</v>
          </cell>
          <cell r="AK25">
            <v>0.4594547012728234</v>
          </cell>
        </row>
        <row r="26">
          <cell r="A26">
            <v>41364</v>
          </cell>
          <cell r="AJ26">
            <v>0.14000000000000001</v>
          </cell>
          <cell r="AK26">
            <v>0.33081360738405097</v>
          </cell>
        </row>
        <row r="27">
          <cell r="A27">
            <v>41455</v>
          </cell>
          <cell r="AJ27">
            <v>0.12</v>
          </cell>
          <cell r="AK27">
            <v>-0.21718050622167229</v>
          </cell>
        </row>
        <row r="28">
          <cell r="A28">
            <v>41547</v>
          </cell>
          <cell r="AJ28">
            <v>0.09</v>
          </cell>
          <cell r="AK28">
            <v>0.11542919066987969</v>
          </cell>
        </row>
        <row r="29">
          <cell r="A29">
            <v>41639</v>
          </cell>
          <cell r="AJ29">
            <v>0.09</v>
          </cell>
          <cell r="AK29">
            <v>-0.65996323186301431</v>
          </cell>
        </row>
        <row r="30">
          <cell r="A30">
            <v>41729</v>
          </cell>
          <cell r="AJ30">
            <v>7.0000000000000007E-2</v>
          </cell>
          <cell r="AK30">
            <v>0.38425678244572553</v>
          </cell>
        </row>
        <row r="31">
          <cell r="A31">
            <v>41820</v>
          </cell>
          <cell r="AJ31">
            <v>0.09</v>
          </cell>
          <cell r="AK31">
            <v>2.540802941118428E-2</v>
          </cell>
        </row>
        <row r="32">
          <cell r="A32">
            <v>41912</v>
          </cell>
          <cell r="AJ32">
            <v>0.09</v>
          </cell>
          <cell r="AK32">
            <v>0.2963015149677411</v>
          </cell>
        </row>
        <row r="33">
          <cell r="A33">
            <v>42004</v>
          </cell>
          <cell r="AJ33">
            <v>0.1</v>
          </cell>
          <cell r="AK33">
            <v>0.46129724452648158</v>
          </cell>
        </row>
        <row r="34">
          <cell r="A34">
            <v>42094</v>
          </cell>
          <cell r="AJ34">
            <v>0.11</v>
          </cell>
          <cell r="AK34">
            <v>0.58415183327837727</v>
          </cell>
        </row>
        <row r="35">
          <cell r="A35">
            <v>42185</v>
          </cell>
          <cell r="AJ35">
            <v>0.13</v>
          </cell>
          <cell r="AK35">
            <v>0.50617103221852688</v>
          </cell>
        </row>
        <row r="36">
          <cell r="A36">
            <v>42277</v>
          </cell>
          <cell r="AJ36">
            <v>0.13</v>
          </cell>
          <cell r="AK36">
            <v>2.8092331579878282E-2</v>
          </cell>
        </row>
        <row r="37">
          <cell r="A37">
            <v>42369</v>
          </cell>
          <cell r="AJ37">
            <v>0.16</v>
          </cell>
          <cell r="AK37">
            <v>0.21510346534798921</v>
          </cell>
        </row>
        <row r="38">
          <cell r="A38">
            <v>42460</v>
          </cell>
          <cell r="AJ38">
            <v>0.36</v>
          </cell>
          <cell r="AK38">
            <v>-3.6097161732245864E-3</v>
          </cell>
        </row>
        <row r="39">
          <cell r="A39">
            <v>42551</v>
          </cell>
          <cell r="AJ39">
            <v>0.37</v>
          </cell>
          <cell r="AK39">
            <v>0.46987455420073659</v>
          </cell>
        </row>
        <row r="40">
          <cell r="A40">
            <v>42643</v>
          </cell>
          <cell r="AJ40">
            <v>0.39</v>
          </cell>
          <cell r="AK40">
            <v>0.52627933115819925</v>
          </cell>
        </row>
        <row r="41">
          <cell r="A41">
            <v>42735</v>
          </cell>
          <cell r="AJ41">
            <v>0.45</v>
          </cell>
          <cell r="AK41">
            <v>0.72059302537775793</v>
          </cell>
        </row>
        <row r="42">
          <cell r="A42">
            <v>42825</v>
          </cell>
          <cell r="AJ42">
            <v>0.7</v>
          </cell>
          <cell r="AK42">
            <v>0.98084799048836335</v>
          </cell>
        </row>
        <row r="43">
          <cell r="A43">
            <v>42916</v>
          </cell>
          <cell r="AJ43">
            <v>0.95</v>
          </cell>
          <cell r="AK43">
            <v>1.1543746368168823</v>
          </cell>
        </row>
        <row r="44">
          <cell r="A44">
            <v>43008</v>
          </cell>
          <cell r="AJ44">
            <v>1.1499999999999999</v>
          </cell>
          <cell r="AK44">
            <v>1.2587827564684249</v>
          </cell>
        </row>
        <row r="45">
          <cell r="A45">
            <v>43100</v>
          </cell>
          <cell r="AJ45">
            <v>1.2</v>
          </cell>
          <cell r="AK45">
            <v>1.2341293625152143</v>
          </cell>
        </row>
        <row r="46">
          <cell r="A46">
            <v>43190</v>
          </cell>
          <cell r="AJ46">
            <v>1.45</v>
          </cell>
          <cell r="AK46">
            <v>1.7546395161148713</v>
          </cell>
        </row>
        <row r="47">
          <cell r="A47">
            <v>43281</v>
          </cell>
          <cell r="AJ47">
            <v>1.74</v>
          </cell>
          <cell r="AK47">
            <v>1.9426034826518659</v>
          </cell>
        </row>
        <row r="48">
          <cell r="A48">
            <v>43373</v>
          </cell>
          <cell r="AJ48">
            <v>1.93</v>
          </cell>
          <cell r="AK48">
            <v>2.1135175651036748</v>
          </cell>
        </row>
        <row r="49">
          <cell r="A49">
            <v>43465</v>
          </cell>
          <cell r="AJ49">
            <v>2.2200000000000002</v>
          </cell>
          <cell r="AK49">
            <v>2.049614857447736</v>
          </cell>
        </row>
        <row r="50">
          <cell r="A50">
            <v>43555</v>
          </cell>
          <cell r="AJ50">
            <v>2.4</v>
          </cell>
          <cell r="AK50">
            <v>2.2513084257395719</v>
          </cell>
        </row>
        <row r="51">
          <cell r="A51">
            <v>43646</v>
          </cell>
          <cell r="AJ51">
            <v>2.4</v>
          </cell>
          <cell r="AK51">
            <v>2.0384222158342418</v>
          </cell>
        </row>
        <row r="52">
          <cell r="A52">
            <v>43738</v>
          </cell>
          <cell r="AJ52">
            <v>2.19</v>
          </cell>
          <cell r="AK52">
            <v>1.9293294536163057</v>
          </cell>
        </row>
        <row r="53">
          <cell r="A53">
            <v>43830</v>
          </cell>
          <cell r="AJ53">
            <v>1.65</v>
          </cell>
          <cell r="AK53">
            <v>1.9921671108284797</v>
          </cell>
        </row>
        <row r="54">
          <cell r="A54">
            <v>43921</v>
          </cell>
          <cell r="AJ54">
            <v>1.25</v>
          </cell>
          <cell r="AK54">
            <v>1.1565704244917738</v>
          </cell>
        </row>
        <row r="55">
          <cell r="A55">
            <v>44012</v>
          </cell>
          <cell r="AJ55">
            <v>0.06</v>
          </cell>
          <cell r="AK55">
            <v>0.60480546083143172</v>
          </cell>
        </row>
        <row r="56">
          <cell r="A56">
            <v>44104</v>
          </cell>
          <cell r="AJ56">
            <v>0.09</v>
          </cell>
          <cell r="AK56">
            <v>0.14824469785570654</v>
          </cell>
        </row>
        <row r="57">
          <cell r="A57">
            <v>44196</v>
          </cell>
          <cell r="AJ57">
            <v>0.09</v>
          </cell>
          <cell r="AK57">
            <v>0.18985616436612307</v>
          </cell>
        </row>
        <row r="58">
          <cell r="A58">
            <v>44286</v>
          </cell>
          <cell r="AJ58">
            <v>0.08</v>
          </cell>
          <cell r="AK58">
            <v>0.31726866341698573</v>
          </cell>
        </row>
        <row r="59">
          <cell r="A59">
            <v>44377</v>
          </cell>
          <cell r="AJ59">
            <v>7.0000000000000007E-2</v>
          </cell>
          <cell r="AK59">
            <v>1.0852834333656725</v>
          </cell>
        </row>
        <row r="60">
          <cell r="A60">
            <v>44469</v>
          </cell>
          <cell r="AJ60">
            <v>0.09</v>
          </cell>
          <cell r="AK60">
            <v>1.1321513127577221</v>
          </cell>
        </row>
        <row r="61">
          <cell r="A61">
            <v>44561</v>
          </cell>
          <cell r="AJ61">
            <v>0.08</v>
          </cell>
          <cell r="AK61">
            <v>1.6767204038489472</v>
          </cell>
        </row>
        <row r="62">
          <cell r="A62">
            <v>44651</v>
          </cell>
          <cell r="AJ62">
            <v>0.12</v>
          </cell>
          <cell r="AK62">
            <v>2.2085664760819781</v>
          </cell>
        </row>
        <row r="63">
          <cell r="A63">
            <v>44742</v>
          </cell>
          <cell r="AJ63">
            <v>0.77</v>
          </cell>
          <cell r="AK63">
            <v>3.0086060852230343</v>
          </cell>
        </row>
        <row r="64">
          <cell r="A64">
            <v>44834</v>
          </cell>
          <cell r="AJ64">
            <v>2.1800000000000002</v>
          </cell>
          <cell r="AK64">
            <v>3.6974578247193906</v>
          </cell>
        </row>
        <row r="65">
          <cell r="A65">
            <v>44926</v>
          </cell>
          <cell r="AJ65">
            <v>3.65</v>
          </cell>
          <cell r="AK65">
            <v>4.9890721148925392</v>
          </cell>
        </row>
        <row r="66">
          <cell r="A66">
            <v>45016</v>
          </cell>
          <cell r="AJ66">
            <v>4.51</v>
          </cell>
          <cell r="AK66">
            <v>5.9858186811941838</v>
          </cell>
        </row>
        <row r="67">
          <cell r="A67">
            <v>45107</v>
          </cell>
          <cell r="AJ67">
            <v>4.99</v>
          </cell>
          <cell r="AK67">
            <v>6.0062379786144815</v>
          </cell>
        </row>
        <row r="68">
          <cell r="A68">
            <v>45199</v>
          </cell>
          <cell r="AJ68">
            <v>5.26</v>
          </cell>
          <cell r="AK68">
            <v>5.7427738684028924</v>
          </cell>
        </row>
        <row r="69">
          <cell r="A69">
            <v>45291</v>
          </cell>
          <cell r="AJ69">
            <v>5.33</v>
          </cell>
          <cell r="AK69">
            <v>5.4620465273925376</v>
          </cell>
        </row>
        <row r="70">
          <cell r="A70">
            <v>45382</v>
          </cell>
          <cell r="AJ70">
            <v>5.33</v>
          </cell>
          <cell r="AK70">
            <v>5.4807413044459201</v>
          </cell>
        </row>
        <row r="71">
          <cell r="A71">
            <v>45473</v>
          </cell>
          <cell r="AJ71">
            <v>5.33</v>
          </cell>
          <cell r="AK71">
            <v>4.7178488719479015</v>
          </cell>
        </row>
        <row r="72">
          <cell r="A72">
            <v>45565</v>
          </cell>
          <cell r="AJ72">
            <v>5.26</v>
          </cell>
          <cell r="AK72">
            <v>5.4370231414077557</v>
          </cell>
        </row>
        <row r="73">
          <cell r="A73">
            <v>45657</v>
          </cell>
          <cell r="AJ73">
            <v>4.6500000000000004</v>
          </cell>
          <cell r="AK73">
            <v>4.7434810151626969</v>
          </cell>
        </row>
        <row r="74">
          <cell r="A74">
            <v>45747</v>
          </cell>
          <cell r="AJ74">
            <v>4.33</v>
          </cell>
          <cell r="AK74">
            <v>4.428471534342429</v>
          </cell>
        </row>
        <row r="75">
          <cell r="A75">
            <v>45838</v>
          </cell>
          <cell r="AJ75">
            <v>4.33</v>
          </cell>
          <cell r="AK75">
            <v>4.4962708350826963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workbookViewId="0">
      <selection activeCell="C2" sqref="C2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RowHeight="15" x14ac:dyDescent="0.2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 x14ac:dyDescent="0.25">
      <c r="K1" t="s">
        <v>14</v>
      </c>
      <c r="L1" t="s">
        <v>15</v>
      </c>
      <c r="N1" s="17" t="s">
        <v>11</v>
      </c>
      <c r="O1" s="17"/>
      <c r="P1" s="17" t="s">
        <v>12</v>
      </c>
      <c r="Q1" s="17"/>
    </row>
    <row r="2" spans="1:17" x14ac:dyDescent="0.25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 x14ac:dyDescent="0.25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 x14ac:dyDescent="0.25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 x14ac:dyDescent="0.25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 x14ac:dyDescent="0.25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 x14ac:dyDescent="0.25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 x14ac:dyDescent="0.25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 x14ac:dyDescent="0.25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 x14ac:dyDescent="0.25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 x14ac:dyDescent="0.25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 x14ac:dyDescent="0.25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 x14ac:dyDescent="0.25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 x14ac:dyDescent="0.25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 x14ac:dyDescent="0.25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 x14ac:dyDescent="0.25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 x14ac:dyDescent="0.25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 x14ac:dyDescent="0.25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 x14ac:dyDescent="0.25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 x14ac:dyDescent="0.25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 x14ac:dyDescent="0.25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 x14ac:dyDescent="0.25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 x14ac:dyDescent="0.25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 x14ac:dyDescent="0.25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 x14ac:dyDescent="0.25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 x14ac:dyDescent="0.25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 x14ac:dyDescent="0.25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 x14ac:dyDescent="0.25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 x14ac:dyDescent="0.25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 x14ac:dyDescent="0.25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 x14ac:dyDescent="0.25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 x14ac:dyDescent="0.25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 x14ac:dyDescent="0.25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 x14ac:dyDescent="0.25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 x14ac:dyDescent="0.25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 x14ac:dyDescent="0.25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 x14ac:dyDescent="0.25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 x14ac:dyDescent="0.25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 x14ac:dyDescent="0.25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 x14ac:dyDescent="0.25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 x14ac:dyDescent="0.25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 x14ac:dyDescent="0.25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 x14ac:dyDescent="0.25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 x14ac:dyDescent="0.25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 x14ac:dyDescent="0.25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 x14ac:dyDescent="0.25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 x14ac:dyDescent="0.25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 x14ac:dyDescent="0.25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 x14ac:dyDescent="0.25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 x14ac:dyDescent="0.25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 x14ac:dyDescent="0.25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 x14ac:dyDescent="0.25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 x14ac:dyDescent="0.25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 x14ac:dyDescent="0.25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 x14ac:dyDescent="0.25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 x14ac:dyDescent="0.25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 x14ac:dyDescent="0.25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 x14ac:dyDescent="0.25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 x14ac:dyDescent="0.25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 x14ac:dyDescent="0.25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 x14ac:dyDescent="0.25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 x14ac:dyDescent="0.25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 x14ac:dyDescent="0.25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 x14ac:dyDescent="0.25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 x14ac:dyDescent="0.25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 x14ac:dyDescent="0.25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 x14ac:dyDescent="0.25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 x14ac:dyDescent="0.25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 x14ac:dyDescent="0.25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 x14ac:dyDescent="0.25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 x14ac:dyDescent="0.25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 x14ac:dyDescent="0.25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 x14ac:dyDescent="0.25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 x14ac:dyDescent="0.25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 x14ac:dyDescent="0.25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 x14ac:dyDescent="0.25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 x14ac:dyDescent="0.25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 x14ac:dyDescent="0.25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 x14ac:dyDescent="0.25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 x14ac:dyDescent="0.25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 x14ac:dyDescent="0.25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 x14ac:dyDescent="0.25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 x14ac:dyDescent="0.25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 x14ac:dyDescent="0.25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 x14ac:dyDescent="0.25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 x14ac:dyDescent="0.25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 x14ac:dyDescent="0.25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 x14ac:dyDescent="0.25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 x14ac:dyDescent="0.25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 x14ac:dyDescent="0.25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 x14ac:dyDescent="0.25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 x14ac:dyDescent="0.25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 x14ac:dyDescent="0.25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 x14ac:dyDescent="0.25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 x14ac:dyDescent="0.25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 x14ac:dyDescent="0.25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 x14ac:dyDescent="0.25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 x14ac:dyDescent="0.25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 x14ac:dyDescent="0.25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 x14ac:dyDescent="0.25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 x14ac:dyDescent="0.25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 x14ac:dyDescent="0.25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 x14ac:dyDescent="0.25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 x14ac:dyDescent="0.25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 x14ac:dyDescent="0.25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 x14ac:dyDescent="0.25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 x14ac:dyDescent="0.25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 x14ac:dyDescent="0.25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 x14ac:dyDescent="0.25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 x14ac:dyDescent="0.25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 x14ac:dyDescent="0.25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 x14ac:dyDescent="0.25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 x14ac:dyDescent="0.25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 x14ac:dyDescent="0.25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 x14ac:dyDescent="0.25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 x14ac:dyDescent="0.25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 x14ac:dyDescent="0.25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 x14ac:dyDescent="0.25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 x14ac:dyDescent="0.25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 x14ac:dyDescent="0.25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 x14ac:dyDescent="0.25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 x14ac:dyDescent="0.25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 x14ac:dyDescent="0.25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 x14ac:dyDescent="0.25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 x14ac:dyDescent="0.25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 x14ac:dyDescent="0.25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 x14ac:dyDescent="0.25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 x14ac:dyDescent="0.25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 x14ac:dyDescent="0.25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 x14ac:dyDescent="0.25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 x14ac:dyDescent="0.25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 x14ac:dyDescent="0.25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 x14ac:dyDescent="0.25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 x14ac:dyDescent="0.25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 x14ac:dyDescent="0.25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 x14ac:dyDescent="0.25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 x14ac:dyDescent="0.25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 x14ac:dyDescent="0.25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 x14ac:dyDescent="0.25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 x14ac:dyDescent="0.25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 x14ac:dyDescent="0.25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 x14ac:dyDescent="0.25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 x14ac:dyDescent="0.25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 x14ac:dyDescent="0.25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 x14ac:dyDescent="0.25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 x14ac:dyDescent="0.25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 x14ac:dyDescent="0.25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 x14ac:dyDescent="0.25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 x14ac:dyDescent="0.25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 x14ac:dyDescent="0.25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 x14ac:dyDescent="0.25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 x14ac:dyDescent="0.25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 x14ac:dyDescent="0.25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 x14ac:dyDescent="0.25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 x14ac:dyDescent="0.25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 x14ac:dyDescent="0.25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 x14ac:dyDescent="0.25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 x14ac:dyDescent="0.25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 x14ac:dyDescent="0.25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 x14ac:dyDescent="0.25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 x14ac:dyDescent="0.25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 x14ac:dyDescent="0.25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 x14ac:dyDescent="0.25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 x14ac:dyDescent="0.25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 x14ac:dyDescent="0.25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 x14ac:dyDescent="0.25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 x14ac:dyDescent="0.25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 x14ac:dyDescent="0.25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 x14ac:dyDescent="0.25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 x14ac:dyDescent="0.25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 x14ac:dyDescent="0.25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 x14ac:dyDescent="0.25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 x14ac:dyDescent="0.25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 x14ac:dyDescent="0.25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 x14ac:dyDescent="0.25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 x14ac:dyDescent="0.25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 x14ac:dyDescent="0.25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 x14ac:dyDescent="0.25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 x14ac:dyDescent="0.25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 x14ac:dyDescent="0.25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 x14ac:dyDescent="0.25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 x14ac:dyDescent="0.25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 x14ac:dyDescent="0.25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 x14ac:dyDescent="0.25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 x14ac:dyDescent="0.25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 x14ac:dyDescent="0.25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 x14ac:dyDescent="0.25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 x14ac:dyDescent="0.25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 x14ac:dyDescent="0.25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 x14ac:dyDescent="0.25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 x14ac:dyDescent="0.25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 x14ac:dyDescent="0.25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 x14ac:dyDescent="0.25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 x14ac:dyDescent="0.25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 x14ac:dyDescent="0.25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 x14ac:dyDescent="0.25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 x14ac:dyDescent="0.25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 x14ac:dyDescent="0.25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 x14ac:dyDescent="0.25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 x14ac:dyDescent="0.25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 x14ac:dyDescent="0.25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 x14ac:dyDescent="0.25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 x14ac:dyDescent="0.25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 x14ac:dyDescent="0.25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 x14ac:dyDescent="0.25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 x14ac:dyDescent="0.25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 x14ac:dyDescent="0.25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 x14ac:dyDescent="0.25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 x14ac:dyDescent="0.25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 x14ac:dyDescent="0.25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 x14ac:dyDescent="0.25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 x14ac:dyDescent="0.25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 x14ac:dyDescent="0.25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 x14ac:dyDescent="0.25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 x14ac:dyDescent="0.25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 x14ac:dyDescent="0.25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 x14ac:dyDescent="0.25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 x14ac:dyDescent="0.25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 x14ac:dyDescent="0.25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 x14ac:dyDescent="0.25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 x14ac:dyDescent="0.25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 x14ac:dyDescent="0.25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 x14ac:dyDescent="0.25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 x14ac:dyDescent="0.25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 x14ac:dyDescent="0.25">
      <c r="A225" s="1"/>
      <c r="B225" s="1"/>
      <c r="C225" s="1"/>
      <c r="D225" s="1"/>
      <c r="E225" s="1"/>
      <c r="F225" s="1"/>
      <c r="G225" s="1"/>
      <c r="N225" s="2"/>
      <c r="P225" s="2"/>
    </row>
    <row r="226" spans="1:16" x14ac:dyDescent="0.25">
      <c r="A226" s="1"/>
      <c r="B226" s="1"/>
      <c r="C226" s="1"/>
      <c r="D226" s="1"/>
      <c r="E226" s="1"/>
      <c r="F226" s="1"/>
      <c r="G226" s="1"/>
      <c r="N226" s="2"/>
      <c r="P226" s="2"/>
    </row>
    <row r="227" spans="1:16" x14ac:dyDescent="0.25">
      <c r="A227" s="1"/>
      <c r="B227" s="1"/>
      <c r="C227" s="1"/>
      <c r="D227" s="1"/>
      <c r="E227" s="1"/>
      <c r="F227" s="1"/>
      <c r="G227" s="1"/>
      <c r="N227" s="2"/>
      <c r="P227" s="2"/>
    </row>
    <row r="228" spans="1:16" x14ac:dyDescent="0.25">
      <c r="A228" s="1"/>
      <c r="B228" s="1"/>
      <c r="C228" s="1"/>
      <c r="D228" s="1"/>
      <c r="E228" s="1"/>
      <c r="F228" s="1"/>
      <c r="G228" s="1"/>
      <c r="N228" s="2"/>
      <c r="P228" s="2"/>
    </row>
    <row r="229" spans="1:16" x14ac:dyDescent="0.25">
      <c r="A229" s="1"/>
      <c r="B229" s="1"/>
      <c r="C229" s="1"/>
      <c r="D229" s="1"/>
      <c r="E229" s="1"/>
      <c r="F229" s="1"/>
      <c r="G229" s="1"/>
      <c r="N229" s="2"/>
      <c r="P229" s="2"/>
    </row>
    <row r="230" spans="1:16" x14ac:dyDescent="0.25">
      <c r="A230" s="1"/>
      <c r="B230" s="1"/>
      <c r="C230" s="1"/>
      <c r="D230" s="1"/>
      <c r="E230" s="1"/>
      <c r="F230" s="1"/>
      <c r="G230" s="1"/>
      <c r="N230" s="2"/>
      <c r="P230" s="2"/>
    </row>
    <row r="231" spans="1:16" x14ac:dyDescent="0.25">
      <c r="A231" s="1"/>
      <c r="B231" s="1"/>
      <c r="C231" s="1"/>
      <c r="D231" s="1"/>
      <c r="E231" s="1"/>
      <c r="F231" s="1"/>
      <c r="G231" s="1"/>
      <c r="N231" s="2"/>
      <c r="P231" s="2"/>
    </row>
    <row r="232" spans="1:16" x14ac:dyDescent="0.25">
      <c r="A232" s="1"/>
      <c r="B232" s="1"/>
      <c r="C232" s="1"/>
      <c r="D232" s="1"/>
      <c r="E232" s="1"/>
      <c r="F232" s="1"/>
      <c r="G232" s="1"/>
      <c r="N232" s="2"/>
      <c r="P232" s="2"/>
    </row>
    <row r="233" spans="1:16" x14ac:dyDescent="0.25">
      <c r="A233" s="1"/>
      <c r="B233" s="1"/>
      <c r="C233" s="1"/>
      <c r="D233" s="1"/>
      <c r="E233" s="1"/>
      <c r="F233" s="1"/>
      <c r="G233" s="1"/>
      <c r="N233" s="2"/>
      <c r="P233" s="2"/>
    </row>
    <row r="234" spans="1:16" x14ac:dyDescent="0.25">
      <c r="A234" s="1"/>
      <c r="B234" s="1"/>
      <c r="C234" s="1"/>
      <c r="D234" s="1"/>
      <c r="E234" s="1"/>
      <c r="F234" s="1"/>
      <c r="G234" s="1"/>
      <c r="N234" s="2"/>
      <c r="P234" s="2"/>
    </row>
    <row r="235" spans="1:16" x14ac:dyDescent="0.25">
      <c r="A235" s="1"/>
      <c r="B235" s="1"/>
      <c r="C235" s="1"/>
      <c r="D235" s="1"/>
      <c r="E235" s="1"/>
      <c r="F235" s="1"/>
      <c r="G235" s="1"/>
      <c r="N235" s="2"/>
      <c r="P235" s="2"/>
    </row>
    <row r="236" spans="1:16" x14ac:dyDescent="0.25">
      <c r="A236" s="1"/>
      <c r="B236" s="1"/>
      <c r="C236" s="1"/>
      <c r="D236" s="1"/>
      <c r="E236" s="1"/>
      <c r="F236" s="1"/>
      <c r="G236" s="1"/>
      <c r="N236" s="2"/>
      <c r="P236" s="2"/>
    </row>
    <row r="237" spans="1:16" x14ac:dyDescent="0.25">
      <c r="A237" s="1"/>
      <c r="B237" s="1"/>
      <c r="C237" s="1"/>
      <c r="D237" s="1"/>
      <c r="E237" s="1"/>
      <c r="F237" s="1"/>
      <c r="G237" s="1"/>
      <c r="N237" s="2"/>
      <c r="P237" s="2"/>
    </row>
    <row r="238" spans="1:16" x14ac:dyDescent="0.25">
      <c r="A238" s="1"/>
      <c r="B238" s="1"/>
      <c r="C238" s="1"/>
      <c r="D238" s="1"/>
      <c r="E238" s="1"/>
      <c r="F238" s="1"/>
      <c r="G238" s="1"/>
      <c r="N238" s="2"/>
      <c r="P238" s="2"/>
    </row>
    <row r="239" spans="1:16" x14ac:dyDescent="0.25">
      <c r="A239" s="1"/>
      <c r="B239" s="1"/>
      <c r="C239" s="1"/>
      <c r="D239" s="1"/>
      <c r="E239" s="1"/>
      <c r="F239" s="1"/>
      <c r="G239" s="1"/>
      <c r="N239" s="2"/>
      <c r="P239" s="2"/>
    </row>
    <row r="240" spans="1:16" x14ac:dyDescent="0.25">
      <c r="A240" s="1"/>
      <c r="B240" s="1"/>
      <c r="C240" s="1"/>
      <c r="D240" s="1"/>
      <c r="E240" s="1"/>
      <c r="F240" s="1"/>
      <c r="G240" s="1"/>
      <c r="N240" s="2"/>
      <c r="P240" s="2"/>
    </row>
    <row r="241" spans="1:16" x14ac:dyDescent="0.25">
      <c r="A241" s="1"/>
      <c r="B241" s="1"/>
      <c r="C241" s="1"/>
      <c r="D241" s="1"/>
      <c r="E241" s="1"/>
      <c r="F241" s="1"/>
      <c r="G241" s="1"/>
      <c r="N241" s="2"/>
      <c r="P241" s="2"/>
    </row>
    <row r="242" spans="1:16" x14ac:dyDescent="0.25">
      <c r="A242" s="1"/>
      <c r="B242" s="1"/>
      <c r="C242" s="1"/>
      <c r="D242" s="1"/>
      <c r="E242" s="1"/>
      <c r="F242" s="1"/>
      <c r="G242" s="1"/>
      <c r="N242" s="2"/>
      <c r="P242" s="2"/>
    </row>
    <row r="243" spans="1:16" x14ac:dyDescent="0.25">
      <c r="A243" s="1"/>
      <c r="B243" s="1"/>
      <c r="C243" s="1"/>
      <c r="D243" s="1"/>
      <c r="E243" s="1"/>
      <c r="F243" s="1"/>
      <c r="G243" s="1"/>
      <c r="N243" s="2"/>
      <c r="P243" s="2"/>
    </row>
    <row r="244" spans="1:16" x14ac:dyDescent="0.25">
      <c r="A244" s="1"/>
      <c r="B244" s="1"/>
      <c r="C244" s="1"/>
      <c r="D244" s="1"/>
      <c r="E244" s="1"/>
      <c r="F244" s="1"/>
      <c r="G244" s="1"/>
      <c r="N244" s="2"/>
      <c r="P244" s="2"/>
    </row>
    <row r="245" spans="1:16" x14ac:dyDescent="0.25">
      <c r="A245" s="1"/>
      <c r="B245" s="1"/>
      <c r="C245" s="1"/>
      <c r="D245" s="1"/>
      <c r="E245" s="1"/>
      <c r="F245" s="1"/>
      <c r="G245" s="1"/>
      <c r="N245" s="2"/>
      <c r="P245" s="2"/>
    </row>
    <row r="246" spans="1:16" x14ac:dyDescent="0.25">
      <c r="A246" s="1"/>
      <c r="B246" s="1"/>
      <c r="C246" s="1"/>
      <c r="D246" s="1"/>
      <c r="E246" s="1"/>
      <c r="F246" s="1"/>
      <c r="G246" s="1"/>
      <c r="N246" s="2"/>
      <c r="P246" s="2"/>
    </row>
    <row r="247" spans="1:16" x14ac:dyDescent="0.25">
      <c r="A247" s="1"/>
      <c r="B247" s="1"/>
      <c r="C247" s="1"/>
      <c r="D247" s="1"/>
      <c r="E247" s="1"/>
      <c r="F247" s="1"/>
      <c r="G247" s="1"/>
      <c r="N247" s="2"/>
      <c r="P247" s="2"/>
    </row>
    <row r="248" spans="1:16" x14ac:dyDescent="0.25">
      <c r="A248" s="1"/>
      <c r="B248" s="1"/>
      <c r="C248" s="1"/>
      <c r="D248" s="1"/>
      <c r="E248" s="1"/>
      <c r="F248" s="1"/>
      <c r="G248" s="1"/>
      <c r="N248" s="2"/>
      <c r="P248" s="2"/>
    </row>
    <row r="249" spans="1:16" x14ac:dyDescent="0.25">
      <c r="A249" s="1"/>
      <c r="B249" s="1"/>
      <c r="C249" s="1"/>
      <c r="D249" s="1"/>
      <c r="E249" s="1"/>
      <c r="F249" s="1"/>
      <c r="G249" s="1"/>
      <c r="N249" s="2"/>
      <c r="P249" s="2"/>
    </row>
    <row r="250" spans="1:16" x14ac:dyDescent="0.25">
      <c r="A250" s="1"/>
      <c r="B250" s="1"/>
      <c r="C250" s="1"/>
      <c r="D250" s="1"/>
      <c r="E250" s="1"/>
      <c r="F250" s="1"/>
      <c r="G250" s="1"/>
      <c r="N250" s="2"/>
      <c r="P250" s="2"/>
    </row>
    <row r="251" spans="1:16" x14ac:dyDescent="0.25">
      <c r="A251" s="1"/>
      <c r="B251" s="1"/>
      <c r="C251" s="1"/>
      <c r="D251" s="1"/>
      <c r="E251" s="1"/>
      <c r="F251" s="1"/>
      <c r="G251" s="1"/>
      <c r="N251" s="2"/>
      <c r="P251" s="2"/>
    </row>
    <row r="252" spans="1:16" x14ac:dyDescent="0.25">
      <c r="A252" s="1"/>
      <c r="B252" s="1"/>
      <c r="C252" s="1"/>
      <c r="D252" s="1"/>
      <c r="E252" s="1"/>
      <c r="F252" s="1"/>
      <c r="G252" s="1"/>
      <c r="N252" s="2"/>
      <c r="P252" s="2"/>
    </row>
    <row r="253" spans="1:16" x14ac:dyDescent="0.25">
      <c r="A253" s="1"/>
      <c r="B253" s="1"/>
      <c r="C253" s="1"/>
      <c r="D253" s="1"/>
      <c r="E253" s="1"/>
      <c r="F253" s="1"/>
      <c r="G253" s="1"/>
      <c r="N253" s="2"/>
      <c r="P253" s="2"/>
    </row>
    <row r="254" spans="1:16" x14ac:dyDescent="0.25">
      <c r="A254" s="1"/>
      <c r="B254" s="1"/>
      <c r="C254" s="1"/>
      <c r="D254" s="1"/>
      <c r="E254" s="1"/>
      <c r="F254" s="1"/>
      <c r="G254" s="1"/>
      <c r="N254" s="2"/>
      <c r="P254" s="2"/>
    </row>
    <row r="255" spans="1:16" x14ac:dyDescent="0.25">
      <c r="A255" s="1"/>
      <c r="B255" s="1"/>
      <c r="C255" s="1"/>
      <c r="D255" s="1"/>
      <c r="E255" s="1"/>
      <c r="F255" s="1"/>
      <c r="G255" s="1"/>
      <c r="N255" s="2"/>
      <c r="P255" s="2"/>
    </row>
    <row r="256" spans="1:16" x14ac:dyDescent="0.25">
      <c r="A256" s="1"/>
      <c r="B256" s="1"/>
      <c r="C256" s="1"/>
      <c r="D256" s="1"/>
      <c r="E256" s="1"/>
      <c r="F256" s="1"/>
      <c r="G256" s="1"/>
      <c r="N256" s="2"/>
      <c r="P256" s="2"/>
    </row>
    <row r="257" spans="1:16" x14ac:dyDescent="0.25">
      <c r="A257" s="1"/>
      <c r="B257" s="1"/>
      <c r="C257" s="1"/>
      <c r="D257" s="1"/>
      <c r="E257" s="1"/>
      <c r="F257" s="1"/>
      <c r="G257" s="1"/>
      <c r="N257" s="2"/>
      <c r="P257" s="2"/>
    </row>
    <row r="258" spans="1:16" x14ac:dyDescent="0.25">
      <c r="A258" s="1"/>
      <c r="B258" s="1"/>
      <c r="C258" s="1"/>
      <c r="D258" s="1"/>
      <c r="E258" s="1"/>
      <c r="F258" s="1"/>
      <c r="G258" s="1"/>
      <c r="N258" s="2"/>
      <c r="P258" s="2"/>
    </row>
    <row r="259" spans="1:16" x14ac:dyDescent="0.25">
      <c r="A259" s="1"/>
      <c r="B259" s="1"/>
      <c r="C259" s="1"/>
      <c r="D259" s="1"/>
      <c r="E259" s="1"/>
      <c r="F259" s="1"/>
      <c r="G259" s="1"/>
      <c r="N259" s="2"/>
      <c r="P259" s="2"/>
    </row>
    <row r="260" spans="1:16" x14ac:dyDescent="0.25">
      <c r="A260" s="1"/>
      <c r="B260" s="1"/>
      <c r="C260" s="1"/>
      <c r="D260" s="1"/>
      <c r="E260" s="1"/>
      <c r="F260" s="1"/>
      <c r="G260" s="1"/>
      <c r="N260" s="2"/>
      <c r="P260" s="2"/>
    </row>
    <row r="261" spans="1:16" x14ac:dyDescent="0.25">
      <c r="A261" s="1"/>
      <c r="B261" s="1"/>
      <c r="C261" s="1"/>
      <c r="D261" s="1"/>
      <c r="E261" s="1"/>
      <c r="F261" s="1"/>
      <c r="G261" s="1"/>
      <c r="N261" s="2"/>
      <c r="P261" s="2"/>
    </row>
    <row r="262" spans="1:16" x14ac:dyDescent="0.25">
      <c r="A262" s="1"/>
      <c r="B262" s="1"/>
      <c r="C262" s="1"/>
      <c r="D262" s="1"/>
      <c r="E262" s="1"/>
      <c r="F262" s="1"/>
      <c r="G262" s="1"/>
      <c r="N262" s="2"/>
      <c r="P262" s="2"/>
    </row>
    <row r="263" spans="1:16" x14ac:dyDescent="0.25">
      <c r="A263" s="1"/>
      <c r="B263" s="1"/>
      <c r="C263" s="1"/>
      <c r="D263" s="1"/>
      <c r="E263" s="1"/>
      <c r="F263" s="1"/>
      <c r="G263" s="1"/>
      <c r="N263" s="2"/>
      <c r="P263" s="2"/>
    </row>
    <row r="264" spans="1:16" x14ac:dyDescent="0.25">
      <c r="A264" s="1"/>
      <c r="B264" s="1"/>
      <c r="C264" s="1"/>
      <c r="D264" s="1"/>
      <c r="E264" s="1"/>
      <c r="F264" s="1"/>
      <c r="G264" s="1"/>
      <c r="N264" s="2"/>
      <c r="P264" s="2"/>
    </row>
    <row r="265" spans="1:16" x14ac:dyDescent="0.25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dimension ref="A1:G259"/>
  <sheetViews>
    <sheetView zoomScale="145" zoomScaleNormal="145" workbookViewId="0">
      <selection activeCell="AD14" sqref="AD14"/>
    </sheetView>
  </sheetViews>
  <sheetFormatPr defaultRowHeight="15" x14ac:dyDescent="0.25"/>
  <sheetData>
    <row r="1" spans="1:7" x14ac:dyDescent="0.25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 x14ac:dyDescent="0.25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 x14ac:dyDescent="0.25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 x14ac:dyDescent="0.25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 x14ac:dyDescent="0.25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 x14ac:dyDescent="0.25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 x14ac:dyDescent="0.25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 x14ac:dyDescent="0.25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 x14ac:dyDescent="0.25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 x14ac:dyDescent="0.25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 x14ac:dyDescent="0.25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 x14ac:dyDescent="0.25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 x14ac:dyDescent="0.25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 x14ac:dyDescent="0.25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 x14ac:dyDescent="0.25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 x14ac:dyDescent="0.25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 x14ac:dyDescent="0.25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 x14ac:dyDescent="0.25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 x14ac:dyDescent="0.25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 x14ac:dyDescent="0.25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 x14ac:dyDescent="0.25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 x14ac:dyDescent="0.25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 x14ac:dyDescent="0.25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 x14ac:dyDescent="0.25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 x14ac:dyDescent="0.25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 x14ac:dyDescent="0.25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 x14ac:dyDescent="0.25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 x14ac:dyDescent="0.25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 x14ac:dyDescent="0.25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 x14ac:dyDescent="0.25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 x14ac:dyDescent="0.25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 x14ac:dyDescent="0.25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 x14ac:dyDescent="0.25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 x14ac:dyDescent="0.25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 x14ac:dyDescent="0.25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 x14ac:dyDescent="0.25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 x14ac:dyDescent="0.25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 x14ac:dyDescent="0.25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 x14ac:dyDescent="0.25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 x14ac:dyDescent="0.25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 x14ac:dyDescent="0.25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 x14ac:dyDescent="0.25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 x14ac:dyDescent="0.25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 x14ac:dyDescent="0.25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 x14ac:dyDescent="0.25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 x14ac:dyDescent="0.25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 x14ac:dyDescent="0.25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 x14ac:dyDescent="0.25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 x14ac:dyDescent="0.25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 x14ac:dyDescent="0.25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 x14ac:dyDescent="0.25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 x14ac:dyDescent="0.25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 x14ac:dyDescent="0.25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 x14ac:dyDescent="0.25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 x14ac:dyDescent="0.25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 x14ac:dyDescent="0.25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 x14ac:dyDescent="0.25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 x14ac:dyDescent="0.25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 x14ac:dyDescent="0.25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 x14ac:dyDescent="0.25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 x14ac:dyDescent="0.25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 x14ac:dyDescent="0.25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 x14ac:dyDescent="0.25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 x14ac:dyDescent="0.25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 x14ac:dyDescent="0.25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 x14ac:dyDescent="0.25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 x14ac:dyDescent="0.25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 x14ac:dyDescent="0.25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 x14ac:dyDescent="0.25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 x14ac:dyDescent="0.25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 x14ac:dyDescent="0.25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 x14ac:dyDescent="0.25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 x14ac:dyDescent="0.25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 x14ac:dyDescent="0.25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 x14ac:dyDescent="0.25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 x14ac:dyDescent="0.25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 x14ac:dyDescent="0.25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 x14ac:dyDescent="0.25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 x14ac:dyDescent="0.25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 x14ac:dyDescent="0.25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 x14ac:dyDescent="0.25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 x14ac:dyDescent="0.25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 x14ac:dyDescent="0.25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 x14ac:dyDescent="0.25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 x14ac:dyDescent="0.25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 x14ac:dyDescent="0.25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 x14ac:dyDescent="0.25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 x14ac:dyDescent="0.25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 x14ac:dyDescent="0.25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 x14ac:dyDescent="0.25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 x14ac:dyDescent="0.25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 x14ac:dyDescent="0.25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 x14ac:dyDescent="0.25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 x14ac:dyDescent="0.25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 x14ac:dyDescent="0.25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 x14ac:dyDescent="0.25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 x14ac:dyDescent="0.25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 x14ac:dyDescent="0.25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 x14ac:dyDescent="0.25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 x14ac:dyDescent="0.25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 x14ac:dyDescent="0.25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 x14ac:dyDescent="0.25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 x14ac:dyDescent="0.25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 x14ac:dyDescent="0.25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 x14ac:dyDescent="0.25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 x14ac:dyDescent="0.25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 x14ac:dyDescent="0.25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 x14ac:dyDescent="0.25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 x14ac:dyDescent="0.25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 x14ac:dyDescent="0.25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 x14ac:dyDescent="0.25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 x14ac:dyDescent="0.25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 x14ac:dyDescent="0.25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 x14ac:dyDescent="0.25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 x14ac:dyDescent="0.25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 x14ac:dyDescent="0.25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 x14ac:dyDescent="0.25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 x14ac:dyDescent="0.25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 x14ac:dyDescent="0.25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 x14ac:dyDescent="0.25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 x14ac:dyDescent="0.25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 x14ac:dyDescent="0.25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 x14ac:dyDescent="0.25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 x14ac:dyDescent="0.25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 x14ac:dyDescent="0.25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 x14ac:dyDescent="0.25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 x14ac:dyDescent="0.25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 x14ac:dyDescent="0.25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 x14ac:dyDescent="0.25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 x14ac:dyDescent="0.25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 x14ac:dyDescent="0.25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 x14ac:dyDescent="0.25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 x14ac:dyDescent="0.25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 x14ac:dyDescent="0.25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 x14ac:dyDescent="0.25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 x14ac:dyDescent="0.25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 x14ac:dyDescent="0.25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 x14ac:dyDescent="0.25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 x14ac:dyDescent="0.25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 x14ac:dyDescent="0.25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 x14ac:dyDescent="0.25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 x14ac:dyDescent="0.25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 x14ac:dyDescent="0.25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 x14ac:dyDescent="0.25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 x14ac:dyDescent="0.25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 x14ac:dyDescent="0.25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 x14ac:dyDescent="0.25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 x14ac:dyDescent="0.25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 x14ac:dyDescent="0.25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 x14ac:dyDescent="0.25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 x14ac:dyDescent="0.25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 x14ac:dyDescent="0.25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 x14ac:dyDescent="0.25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 x14ac:dyDescent="0.25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 x14ac:dyDescent="0.25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 x14ac:dyDescent="0.25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 x14ac:dyDescent="0.25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 x14ac:dyDescent="0.25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 x14ac:dyDescent="0.25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 x14ac:dyDescent="0.25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 x14ac:dyDescent="0.25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 x14ac:dyDescent="0.25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 x14ac:dyDescent="0.25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 x14ac:dyDescent="0.25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 x14ac:dyDescent="0.25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 x14ac:dyDescent="0.25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 x14ac:dyDescent="0.25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 x14ac:dyDescent="0.25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 x14ac:dyDescent="0.25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 x14ac:dyDescent="0.25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 x14ac:dyDescent="0.25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 x14ac:dyDescent="0.25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 x14ac:dyDescent="0.25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 x14ac:dyDescent="0.25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 x14ac:dyDescent="0.25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 x14ac:dyDescent="0.25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 x14ac:dyDescent="0.25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 x14ac:dyDescent="0.25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 x14ac:dyDescent="0.25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 x14ac:dyDescent="0.25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 x14ac:dyDescent="0.25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 x14ac:dyDescent="0.25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 x14ac:dyDescent="0.25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 x14ac:dyDescent="0.25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 x14ac:dyDescent="0.25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 x14ac:dyDescent="0.25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 x14ac:dyDescent="0.25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 x14ac:dyDescent="0.25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 x14ac:dyDescent="0.25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 x14ac:dyDescent="0.25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 x14ac:dyDescent="0.25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 x14ac:dyDescent="0.25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 x14ac:dyDescent="0.25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 x14ac:dyDescent="0.25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 x14ac:dyDescent="0.25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 x14ac:dyDescent="0.25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 x14ac:dyDescent="0.25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 x14ac:dyDescent="0.25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 x14ac:dyDescent="0.25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 x14ac:dyDescent="0.25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 x14ac:dyDescent="0.25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 x14ac:dyDescent="0.25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 x14ac:dyDescent="0.25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 x14ac:dyDescent="0.25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 x14ac:dyDescent="0.25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 x14ac:dyDescent="0.25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 x14ac:dyDescent="0.25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 x14ac:dyDescent="0.25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 x14ac:dyDescent="0.25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 x14ac:dyDescent="0.25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 x14ac:dyDescent="0.25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 x14ac:dyDescent="0.25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 x14ac:dyDescent="0.25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 x14ac:dyDescent="0.25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 x14ac:dyDescent="0.25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 x14ac:dyDescent="0.25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 x14ac:dyDescent="0.25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 x14ac:dyDescent="0.25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 x14ac:dyDescent="0.25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 x14ac:dyDescent="0.25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 x14ac:dyDescent="0.25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 x14ac:dyDescent="0.25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 x14ac:dyDescent="0.25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 x14ac:dyDescent="0.25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 x14ac:dyDescent="0.25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 x14ac:dyDescent="0.25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 x14ac:dyDescent="0.25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 x14ac:dyDescent="0.25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 x14ac:dyDescent="0.25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 x14ac:dyDescent="0.25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 x14ac:dyDescent="0.25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 x14ac:dyDescent="0.25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 x14ac:dyDescent="0.25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 x14ac:dyDescent="0.25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 x14ac:dyDescent="0.25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 x14ac:dyDescent="0.25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 x14ac:dyDescent="0.25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 x14ac:dyDescent="0.25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 x14ac:dyDescent="0.25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 x14ac:dyDescent="0.25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 x14ac:dyDescent="0.25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 x14ac:dyDescent="0.25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 x14ac:dyDescent="0.25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 x14ac:dyDescent="0.25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 x14ac:dyDescent="0.25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 x14ac:dyDescent="0.25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 x14ac:dyDescent="0.25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 x14ac:dyDescent="0.25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 x14ac:dyDescent="0.25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 x14ac:dyDescent="0.25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 x14ac:dyDescent="0.25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 x14ac:dyDescent="0.25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 x14ac:dyDescent="0.25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 x14ac:dyDescent="0.25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 x14ac:dyDescent="0.25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 x14ac:dyDescent="0.25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 x14ac:dyDescent="0.25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 x14ac:dyDescent="0.25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 x14ac:dyDescent="0.25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dimension ref="A1:BV132"/>
  <sheetViews>
    <sheetView topLeftCell="G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 x14ac:dyDescent="0.2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02630-2BDF-4AB2-9824-440FD22C3ACD}">
  <dimension ref="A1:AK132"/>
  <sheetViews>
    <sheetView tabSelected="1" topLeftCell="F1" workbookViewId="0">
      <selection activeCell="AZ4" sqref="AZ4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229</v>
      </c>
    </row>
    <row r="2" spans="1:37" x14ac:dyDescent="0.25">
      <c r="A2" s="1">
        <v>39172</v>
      </c>
      <c r="B2">
        <v>2.53630823905555</v>
      </c>
      <c r="C2">
        <v>-0.18049422284584901</v>
      </c>
      <c r="D2">
        <v>-5.0265680420263203</v>
      </c>
      <c r="E2">
        <v>-5.1095037872067204E-4</v>
      </c>
      <c r="F2">
        <v>6.5669289187221302</v>
      </c>
      <c r="G2">
        <v>14.167348027233199</v>
      </c>
      <c r="H2">
        <v>-2.8136164971882101E-2</v>
      </c>
      <c r="I2">
        <v>0.24489409207482801</v>
      </c>
      <c r="J2">
        <v>-5.7575040114019801E-2</v>
      </c>
      <c r="K2">
        <v>2.5748891372568901</v>
      </c>
      <c r="L2">
        <v>0.26640204861601702</v>
      </c>
      <c r="M2">
        <v>0</v>
      </c>
      <c r="N2">
        <v>0</v>
      </c>
      <c r="O2">
        <v>0.43018805557478201</v>
      </c>
      <c r="P2">
        <v>0</v>
      </c>
      <c r="Q2">
        <v>-1.7234494942893499E-2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7.4683268734955401</v>
      </c>
      <c r="AF2">
        <v>28.944766476749599</v>
      </c>
      <c r="AG2">
        <v>0</v>
      </c>
      <c r="AH2">
        <f>AF2+AG2</f>
        <v>28.944766476749599</v>
      </c>
      <c r="AI2">
        <v>0.92500000000000004</v>
      </c>
      <c r="AJ2">
        <f>+AI2*4</f>
        <v>3.7</v>
      </c>
      <c r="AK2">
        <f>AJ2-SUM(Y2:AD2,K2,O2)</f>
        <v>0.69492280716832822</v>
      </c>
    </row>
    <row r="3" spans="1:37" x14ac:dyDescent="0.25">
      <c r="A3" s="1">
        <v>39263</v>
      </c>
      <c r="B3">
        <v>2.18883767026144</v>
      </c>
      <c r="C3">
        <v>-0.102014370936373</v>
      </c>
      <c r="D3">
        <v>-5.4151599012098304</v>
      </c>
      <c r="E3">
        <v>4.3291299929138302E-4</v>
      </c>
      <c r="F3">
        <v>7.4635098061922598</v>
      </c>
      <c r="G3">
        <v>14.096810475057</v>
      </c>
      <c r="H3">
        <v>-1.7718534005384499E-2</v>
      </c>
      <c r="I3">
        <v>0.23729293923779801</v>
      </c>
      <c r="J3">
        <v>-5.8482714973288601E-2</v>
      </c>
      <c r="K3">
        <v>2.6753131990213301</v>
      </c>
      <c r="L3">
        <v>0.30577422281893701</v>
      </c>
      <c r="M3">
        <v>0</v>
      </c>
      <c r="N3">
        <v>0</v>
      </c>
      <c r="O3">
        <v>0.44487798170183901</v>
      </c>
      <c r="P3">
        <v>0</v>
      </c>
      <c r="Q3">
        <v>-2.5392488129723698E-2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7.4451940470251001</v>
      </c>
      <c r="AF3">
        <v>29.2392752450607</v>
      </c>
      <c r="AG3">
        <v>0</v>
      </c>
      <c r="AH3">
        <f t="shared" ref="AH3:AH66" si="0">AF3+AG3</f>
        <v>29.2392752450607</v>
      </c>
      <c r="AI3">
        <v>0.99</v>
      </c>
      <c r="AJ3">
        <f t="shared" ref="AJ3:AJ66" si="1">+AI3*4</f>
        <v>3.96</v>
      </c>
      <c r="AK3">
        <f t="shared" ref="AK3:AK66" si="2">AJ3-SUM(Y3:AD3,K3,O3)</f>
        <v>0.83980881927683093</v>
      </c>
    </row>
    <row r="4" spans="1:37" x14ac:dyDescent="0.25">
      <c r="A4" s="1">
        <v>39355</v>
      </c>
      <c r="B4">
        <v>2.3018783920665302</v>
      </c>
      <c r="C4">
        <v>-0.18582521333365401</v>
      </c>
      <c r="D4">
        <v>-5.7797077510181802</v>
      </c>
      <c r="E4">
        <v>-2.4449341903938498E-4</v>
      </c>
      <c r="F4">
        <v>8.1065584879172192</v>
      </c>
      <c r="G4">
        <v>14.147299816699199</v>
      </c>
      <c r="H4">
        <v>9.9248504023507506E-3</v>
      </c>
      <c r="I4">
        <v>0.311531537084073</v>
      </c>
      <c r="J4">
        <v>-6.1960514929925999E-2</v>
      </c>
      <c r="K4">
        <v>2.5069939880985901</v>
      </c>
      <c r="L4">
        <v>0.300640039801022</v>
      </c>
      <c r="M4">
        <v>0</v>
      </c>
      <c r="N4">
        <v>0</v>
      </c>
      <c r="O4">
        <v>0.46631617691817501</v>
      </c>
      <c r="P4">
        <v>0</v>
      </c>
      <c r="Q4">
        <v>-4.0553602925540999E-2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7.4221486874528697</v>
      </c>
      <c r="AF4">
        <v>29.505000400814001</v>
      </c>
      <c r="AG4">
        <v>0</v>
      </c>
      <c r="AH4">
        <f t="shared" si="0"/>
        <v>29.505000400814001</v>
      </c>
      <c r="AI4">
        <v>1.07</v>
      </c>
      <c r="AJ4">
        <f t="shared" si="1"/>
        <v>4.28</v>
      </c>
      <c r="AK4">
        <f t="shared" si="2"/>
        <v>1.306689834983235</v>
      </c>
    </row>
    <row r="5" spans="1:37" x14ac:dyDescent="0.25">
      <c r="A5" s="1">
        <v>39447</v>
      </c>
      <c r="B5">
        <v>2.0031345478730098</v>
      </c>
      <c r="C5">
        <v>-5.9805901158355802E-2</v>
      </c>
      <c r="D5">
        <v>-6.0906698056146</v>
      </c>
      <c r="E5">
        <v>6.5881996133333905E-4</v>
      </c>
      <c r="F5">
        <v>8.5748649175229303</v>
      </c>
      <c r="G5">
        <v>14.2455873104881</v>
      </c>
      <c r="H5">
        <v>1.5467909719686E-2</v>
      </c>
      <c r="I5">
        <v>0.24896400444299099</v>
      </c>
      <c r="J5">
        <v>-6.33293878464085E-2</v>
      </c>
      <c r="K5">
        <v>2.6392114002299398</v>
      </c>
      <c r="L5">
        <v>0.34661215671060702</v>
      </c>
      <c r="M5">
        <v>0</v>
      </c>
      <c r="N5">
        <v>0</v>
      </c>
      <c r="O5">
        <v>0.47709801165218901</v>
      </c>
      <c r="P5">
        <v>0</v>
      </c>
      <c r="Q5">
        <v>-4.5182361154159197E-2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7.3991901929064898</v>
      </c>
      <c r="AF5">
        <v>29.691801815733999</v>
      </c>
      <c r="AG5">
        <v>0</v>
      </c>
      <c r="AH5">
        <f t="shared" si="0"/>
        <v>29.691801815733999</v>
      </c>
      <c r="AI5">
        <v>1.0974999999999999</v>
      </c>
      <c r="AJ5">
        <f t="shared" si="1"/>
        <v>4.3899999999999997</v>
      </c>
      <c r="AK5">
        <f t="shared" si="2"/>
        <v>1.2736905881178711</v>
      </c>
    </row>
    <row r="6" spans="1:37" x14ac:dyDescent="0.25">
      <c r="A6" s="1">
        <v>39538</v>
      </c>
      <c r="B6">
        <v>2.0564368337968402</v>
      </c>
      <c r="C6">
        <v>-0.17410701908977599</v>
      </c>
      <c r="D6">
        <v>-6.2409236510038602</v>
      </c>
      <c r="E6" s="16">
        <v>-8.14883314806636E-5</v>
      </c>
      <c r="F6">
        <v>8.7254233372779204</v>
      </c>
      <c r="G6">
        <v>14.47022493131</v>
      </c>
      <c r="H6">
        <v>-5.3129903993939499E-2</v>
      </c>
      <c r="I6">
        <v>0.30778976046645701</v>
      </c>
      <c r="J6">
        <v>-6.6874844845825301E-2</v>
      </c>
      <c r="K6">
        <v>2.9688717973471301</v>
      </c>
      <c r="L6">
        <v>0.14427824324691599</v>
      </c>
      <c r="M6">
        <v>0</v>
      </c>
      <c r="N6">
        <v>0</v>
      </c>
      <c r="O6">
        <v>0.497139236404053</v>
      </c>
      <c r="P6">
        <v>0</v>
      </c>
      <c r="Q6">
        <v>-5.0515250612021598E-2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7.3763179754639197</v>
      </c>
      <c r="AF6">
        <v>29.960849957436601</v>
      </c>
      <c r="AG6">
        <v>0</v>
      </c>
      <c r="AH6">
        <f t="shared" si="0"/>
        <v>29.960849957436601</v>
      </c>
      <c r="AI6">
        <v>1.0575000000000001</v>
      </c>
      <c r="AJ6">
        <f t="shared" si="1"/>
        <v>4.2300000000000004</v>
      </c>
      <c r="AK6">
        <f t="shared" si="2"/>
        <v>0.76398896624881729</v>
      </c>
    </row>
    <row r="7" spans="1:37" x14ac:dyDescent="0.25">
      <c r="A7" s="1">
        <v>39629</v>
      </c>
      <c r="B7">
        <v>1.9437085765589099</v>
      </c>
      <c r="C7">
        <v>-0.259683276133164</v>
      </c>
      <c r="D7">
        <v>-6.4409474409749903</v>
      </c>
      <c r="E7">
        <v>5.0280931411909196E-4</v>
      </c>
      <c r="F7">
        <v>9.1352305160961897</v>
      </c>
      <c r="G7">
        <v>14.6029959232603</v>
      </c>
      <c r="H7">
        <v>-2.8221986010449202E-3</v>
      </c>
      <c r="I7">
        <v>0.24610090160795101</v>
      </c>
      <c r="J7">
        <v>-6.3600815736029798E-2</v>
      </c>
      <c r="K7">
        <v>2.6992023286772402</v>
      </c>
      <c r="L7">
        <v>3.1560885220240899E-2</v>
      </c>
      <c r="M7">
        <v>0</v>
      </c>
      <c r="N7">
        <v>0</v>
      </c>
      <c r="O7">
        <v>0.50964207766347602</v>
      </c>
      <c r="P7">
        <v>0</v>
      </c>
      <c r="Q7">
        <v>-7.3570730125575398E-2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7.3535314605282602</v>
      </c>
      <c r="AF7">
        <v>29.681851017356099</v>
      </c>
      <c r="AG7">
        <v>0</v>
      </c>
      <c r="AH7">
        <f t="shared" si="0"/>
        <v>29.681851017356099</v>
      </c>
      <c r="AI7">
        <v>1.1025</v>
      </c>
      <c r="AJ7">
        <f t="shared" si="1"/>
        <v>4.41</v>
      </c>
      <c r="AK7">
        <f t="shared" si="2"/>
        <v>1.2011555936592839</v>
      </c>
    </row>
    <row r="8" spans="1:37" x14ac:dyDescent="0.25">
      <c r="A8" s="1">
        <v>39721</v>
      </c>
      <c r="B8">
        <v>1.5553724897719601</v>
      </c>
      <c r="C8">
        <v>-0.47264140679683098</v>
      </c>
      <c r="D8">
        <v>-6.5811779206041203</v>
      </c>
      <c r="E8">
        <v>4.5985531922392101E-4</v>
      </c>
      <c r="F8">
        <v>9.4802157151683897</v>
      </c>
      <c r="G8">
        <v>14.9277205908699</v>
      </c>
      <c r="H8">
        <v>2.7059604965328499E-2</v>
      </c>
      <c r="I8">
        <v>0.29587019151993499</v>
      </c>
      <c r="J8">
        <v>-6.8185466478176998E-2</v>
      </c>
      <c r="K8">
        <v>2.5210748872093101</v>
      </c>
      <c r="L8">
        <v>-0.16240356923483901</v>
      </c>
      <c r="M8">
        <v>0</v>
      </c>
      <c r="N8">
        <v>0</v>
      </c>
      <c r="O8">
        <v>0.53344518556097997</v>
      </c>
      <c r="P8">
        <v>0</v>
      </c>
      <c r="Q8">
        <v>-8.1467540503536995E-2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7.3308300862292102</v>
      </c>
      <c r="AF8">
        <v>29.306172702996999</v>
      </c>
      <c r="AG8">
        <v>0</v>
      </c>
      <c r="AH8">
        <f t="shared" si="0"/>
        <v>29.306172702996999</v>
      </c>
      <c r="AI8">
        <v>1.135</v>
      </c>
      <c r="AJ8">
        <f t="shared" si="1"/>
        <v>4.54</v>
      </c>
      <c r="AK8">
        <f t="shared" si="2"/>
        <v>1.4854799272297101</v>
      </c>
    </row>
    <row r="9" spans="1:37" x14ac:dyDescent="0.25">
      <c r="A9" s="1">
        <v>39813</v>
      </c>
      <c r="B9">
        <v>2.2206633938693998</v>
      </c>
      <c r="C9">
        <v>-0.98689402693851402</v>
      </c>
      <c r="D9">
        <v>-6.9466265888823804</v>
      </c>
      <c r="E9">
        <v>-2.8961149516071598E-4</v>
      </c>
      <c r="F9">
        <v>8.9449094619519602</v>
      </c>
      <c r="G9">
        <v>15.9444444252641</v>
      </c>
      <c r="H9">
        <v>0.11808668436684</v>
      </c>
      <c r="I9">
        <v>0.336957973765663</v>
      </c>
      <c r="J9">
        <v>-6.5994593939889407E-2</v>
      </c>
      <c r="K9">
        <v>2.2587813257151401</v>
      </c>
      <c r="L9">
        <v>-0.68091048788084896</v>
      </c>
      <c r="M9">
        <v>0</v>
      </c>
      <c r="N9">
        <v>0</v>
      </c>
      <c r="O9">
        <v>0.55671627307925298</v>
      </c>
      <c r="P9">
        <v>0</v>
      </c>
      <c r="Q9">
        <v>-7.3561543428765502E-2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7.3690920975854293E-2</v>
      </c>
      <c r="Z9">
        <v>-0.13359576600567</v>
      </c>
      <c r="AA9">
        <v>9.2384556253990793E-2</v>
      </c>
      <c r="AB9">
        <v>-7.1129062466962004E-3</v>
      </c>
      <c r="AC9">
        <v>-1.49690520168188E-2</v>
      </c>
      <c r="AD9">
        <v>-2.8973438074691001E-2</v>
      </c>
      <c r="AE9">
        <v>7.3082133028505902</v>
      </c>
      <c r="AF9">
        <v>28.915920303183601</v>
      </c>
      <c r="AG9">
        <v>0</v>
      </c>
      <c r="AH9">
        <f t="shared" si="0"/>
        <v>28.915920303183601</v>
      </c>
      <c r="AI9">
        <v>0.97250000000000003</v>
      </c>
      <c r="AJ9">
        <f t="shared" si="1"/>
        <v>3.89</v>
      </c>
      <c r="AK9">
        <f t="shared" si="2"/>
        <v>1.0930780863196383</v>
      </c>
    </row>
    <row r="10" spans="1:37" x14ac:dyDescent="0.25">
      <c r="A10" s="1">
        <v>39903</v>
      </c>
      <c r="B10">
        <v>2.4024060633230402</v>
      </c>
      <c r="C10">
        <v>-1.26067968007328</v>
      </c>
      <c r="D10">
        <v>-6.8199196937901601</v>
      </c>
      <c r="E10">
        <v>-1.73805903572382E-4</v>
      </c>
      <c r="F10">
        <v>8.6027343228496704</v>
      </c>
      <c r="G10">
        <v>16.652520759109201</v>
      </c>
      <c r="H10">
        <v>6.7492489836353295E-2</v>
      </c>
      <c r="I10">
        <v>0.27634317973655098</v>
      </c>
      <c r="J10">
        <v>-6.0941638717538403E-2</v>
      </c>
      <c r="K10">
        <v>2.7785998607438702</v>
      </c>
      <c r="L10">
        <v>-1.17981961048613</v>
      </c>
      <c r="M10">
        <v>0</v>
      </c>
      <c r="N10">
        <v>0</v>
      </c>
      <c r="O10">
        <v>0.57206768445192602</v>
      </c>
      <c r="P10">
        <v>0</v>
      </c>
      <c r="Q10">
        <v>-2.5279013584049399E-2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-1.7973575302804901</v>
      </c>
      <c r="Z10">
        <v>1.37214782021567E-2</v>
      </c>
      <c r="AA10">
        <v>0.125297894146912</v>
      </c>
      <c r="AB10">
        <v>-3.03958677033636E-2</v>
      </c>
      <c r="AC10">
        <v>-5.11088381828953E-2</v>
      </c>
      <c r="AD10">
        <v>-0.13660701692066299</v>
      </c>
      <c r="AE10">
        <v>7.2856805722836997</v>
      </c>
      <c r="AF10">
        <v>27.414581609041502</v>
      </c>
      <c r="AG10">
        <v>0</v>
      </c>
      <c r="AH10">
        <f t="shared" si="0"/>
        <v>27.414581609041502</v>
      </c>
      <c r="AI10">
        <v>0.42</v>
      </c>
      <c r="AJ10">
        <f t="shared" si="1"/>
        <v>1.68</v>
      </c>
      <c r="AK10">
        <f t="shared" si="2"/>
        <v>0.20578233554254699</v>
      </c>
    </row>
    <row r="11" spans="1:37" x14ac:dyDescent="0.25">
      <c r="A11" s="1">
        <v>39994</v>
      </c>
      <c r="B11">
        <v>2.4277615580208498</v>
      </c>
      <c r="C11">
        <v>-1.6490084653729999</v>
      </c>
      <c r="D11">
        <v>-6.3861467721369003</v>
      </c>
      <c r="E11">
        <v>-4.9595052275973296E-4</v>
      </c>
      <c r="F11">
        <v>7.9593532454160396</v>
      </c>
      <c r="G11">
        <v>17.059180860841199</v>
      </c>
      <c r="H11">
        <v>-8.99071654674959E-2</v>
      </c>
      <c r="I11">
        <v>0.257858193135863</v>
      </c>
      <c r="J11">
        <v>-5.9151638687286297E-2</v>
      </c>
      <c r="K11">
        <v>5.4069760323139997</v>
      </c>
      <c r="L11">
        <v>-1.41816064025192</v>
      </c>
      <c r="M11">
        <v>0</v>
      </c>
      <c r="N11">
        <v>0</v>
      </c>
      <c r="O11">
        <v>0.58667402520876899</v>
      </c>
      <c r="P11">
        <v>0</v>
      </c>
      <c r="Q11">
        <v>1.6546462253551501E-2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-4.5109296537208703</v>
      </c>
      <c r="Z11">
        <v>0.25520857646403</v>
      </c>
      <c r="AA11">
        <v>0.13462048627083301</v>
      </c>
      <c r="AB11">
        <v>-7.8483827507434101E-2</v>
      </c>
      <c r="AC11">
        <v>-6.7382708195324201E-2</v>
      </c>
      <c r="AD11">
        <v>-0.30713781423421899</v>
      </c>
      <c r="AE11">
        <v>7.2632313675058899</v>
      </c>
      <c r="AF11">
        <v>26.800606171334099</v>
      </c>
      <c r="AG11">
        <v>0</v>
      </c>
      <c r="AH11">
        <f t="shared" si="0"/>
        <v>26.800606171334099</v>
      </c>
      <c r="AI11">
        <v>0.23250000000000001</v>
      </c>
      <c r="AJ11">
        <f t="shared" si="1"/>
        <v>0.93</v>
      </c>
      <c r="AK11">
        <f t="shared" si="2"/>
        <v>-0.4895451165997845</v>
      </c>
    </row>
    <row r="12" spans="1:37" x14ac:dyDescent="0.25">
      <c r="A12" s="1">
        <v>40086</v>
      </c>
      <c r="B12">
        <v>2.4217084605560699</v>
      </c>
      <c r="C12">
        <v>-2.0203722445254302</v>
      </c>
      <c r="D12">
        <v>-5.5802493671650097</v>
      </c>
      <c r="E12">
        <v>-1.30064778174943E-3</v>
      </c>
      <c r="F12">
        <v>7.14175490442077</v>
      </c>
      <c r="G12">
        <v>17.135333258146801</v>
      </c>
      <c r="H12">
        <v>-4.2674400151896899E-2</v>
      </c>
      <c r="I12">
        <v>0.32245699683805701</v>
      </c>
      <c r="J12">
        <v>-5.65283720255415E-2</v>
      </c>
      <c r="K12">
        <v>7.9652820687273298</v>
      </c>
      <c r="L12">
        <v>-1.4766757099038299</v>
      </c>
      <c r="M12">
        <v>0</v>
      </c>
      <c r="N12">
        <v>0</v>
      </c>
      <c r="O12">
        <v>0.60460848351772201</v>
      </c>
      <c r="P12">
        <v>0</v>
      </c>
      <c r="Q12">
        <v>7.35099131643945E-4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-6.6481835091444799</v>
      </c>
      <c r="Z12">
        <v>0.43002849059688603</v>
      </c>
      <c r="AA12">
        <v>0.110923247486547</v>
      </c>
      <c r="AB12">
        <v>-0.165981992442858</v>
      </c>
      <c r="AC12">
        <v>-0.117963884623232</v>
      </c>
      <c r="AD12">
        <v>-0.56485064856874501</v>
      </c>
      <c r="AE12">
        <v>7.2408651720838897</v>
      </c>
      <c r="AF12">
        <v>26.6989154051731</v>
      </c>
      <c r="AG12">
        <v>0</v>
      </c>
      <c r="AH12">
        <f t="shared" si="0"/>
        <v>26.6989154051731</v>
      </c>
      <c r="AI12">
        <v>0.13250000000000001</v>
      </c>
      <c r="AJ12">
        <f t="shared" si="1"/>
        <v>0.53</v>
      </c>
      <c r="AK12">
        <f t="shared" si="2"/>
        <v>-1.0838622555491699</v>
      </c>
    </row>
    <row r="13" spans="1:37" x14ac:dyDescent="0.25">
      <c r="A13" s="1">
        <v>40178</v>
      </c>
      <c r="B13">
        <v>2.0701525204182598</v>
      </c>
      <c r="C13">
        <v>-1.96326765615888</v>
      </c>
      <c r="D13">
        <v>-4.9639270278353296</v>
      </c>
      <c r="E13">
        <v>-8.0920876310131397E-4</v>
      </c>
      <c r="F13">
        <v>6.7932403096328704</v>
      </c>
      <c r="G13">
        <v>17.165547270441799</v>
      </c>
      <c r="H13">
        <v>1.8838774243435798E-2</v>
      </c>
      <c r="I13">
        <v>0.252926995902792</v>
      </c>
      <c r="J13">
        <v>-4.67777764444069E-2</v>
      </c>
      <c r="K13">
        <v>9.6680861368480802</v>
      </c>
      <c r="L13">
        <v>-1.4944410681140801</v>
      </c>
      <c r="M13">
        <v>0</v>
      </c>
      <c r="N13">
        <v>0</v>
      </c>
      <c r="O13">
        <v>0.61475522409911698</v>
      </c>
      <c r="P13">
        <v>0</v>
      </c>
      <c r="Q13">
        <v>-1.7101425050101701E-2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-8.2298802105804203</v>
      </c>
      <c r="Z13">
        <v>0.64538339253854404</v>
      </c>
      <c r="AA13">
        <v>7.5587373391156606E-2</v>
      </c>
      <c r="AB13">
        <v>-0.243896146608968</v>
      </c>
      <c r="AC13">
        <v>-0.13783327192872799</v>
      </c>
      <c r="AD13">
        <v>-0.86962230913817995</v>
      </c>
      <c r="AE13">
        <v>7.2185814797010597</v>
      </c>
      <c r="AF13">
        <v>26.5555433765951</v>
      </c>
      <c r="AG13">
        <v>0</v>
      </c>
      <c r="AH13">
        <f t="shared" si="0"/>
        <v>26.5555433765951</v>
      </c>
      <c r="AI13">
        <v>0.1125</v>
      </c>
      <c r="AJ13">
        <f t="shared" si="1"/>
        <v>0.45</v>
      </c>
      <c r="AK13">
        <f t="shared" si="2"/>
        <v>-1.0725801886206017</v>
      </c>
    </row>
    <row r="14" spans="1:37" x14ac:dyDescent="0.25">
      <c r="A14" s="1">
        <v>40268</v>
      </c>
      <c r="B14">
        <v>1.9292618800469501</v>
      </c>
      <c r="C14">
        <v>-1.9152573591376301</v>
      </c>
      <c r="D14">
        <v>-4.6209408751502101</v>
      </c>
      <c r="E14" s="16">
        <v>-9.3285765123369405E-5</v>
      </c>
      <c r="F14">
        <v>6.2885872854381901</v>
      </c>
      <c r="G14">
        <v>17.194811255323501</v>
      </c>
      <c r="H14">
        <v>-9.7242431429084408E-3</v>
      </c>
      <c r="I14">
        <v>0.244685762894742</v>
      </c>
      <c r="J14">
        <v>-3.3630540605941603E-2</v>
      </c>
      <c r="K14">
        <v>11.391704855629101</v>
      </c>
      <c r="L14">
        <v>-1.5295777776872299</v>
      </c>
      <c r="M14">
        <v>0</v>
      </c>
      <c r="N14">
        <v>0</v>
      </c>
      <c r="O14">
        <v>0.62748076535153596</v>
      </c>
      <c r="P14">
        <v>0</v>
      </c>
      <c r="Q14">
        <v>-2.1055781739265901E-2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-9.28421985695344</v>
      </c>
      <c r="Z14">
        <v>0.93375032888764598</v>
      </c>
      <c r="AA14">
        <v>0.13528553355022499</v>
      </c>
      <c r="AB14">
        <v>-0.26251041109710299</v>
      </c>
      <c r="AC14">
        <v>-0.11896932543482</v>
      </c>
      <c r="AD14">
        <v>-1.1855579588271501</v>
      </c>
      <c r="AE14">
        <v>7.1963797937079903</v>
      </c>
      <c r="AF14">
        <v>26.960410045289301</v>
      </c>
      <c r="AG14">
        <v>0</v>
      </c>
      <c r="AH14">
        <f t="shared" si="0"/>
        <v>26.960410045289301</v>
      </c>
      <c r="AI14">
        <v>0.105</v>
      </c>
      <c r="AJ14">
        <f t="shared" si="1"/>
        <v>0.42</v>
      </c>
      <c r="AK14">
        <f t="shared" si="2"/>
        <v>-1.8169639311059926</v>
      </c>
    </row>
    <row r="15" spans="1:37" x14ac:dyDescent="0.25">
      <c r="A15" s="1">
        <v>40359</v>
      </c>
      <c r="B15">
        <v>1.7114593850772499</v>
      </c>
      <c r="C15">
        <v>-1.7910188959194999</v>
      </c>
      <c r="D15">
        <v>-4.4171119759714603</v>
      </c>
      <c r="E15">
        <v>-3.4034384567023398E-4</v>
      </c>
      <c r="F15">
        <v>5.5084959784089502</v>
      </c>
      <c r="G15">
        <v>17.284894564710701</v>
      </c>
      <c r="H15">
        <v>3.61250330904943E-2</v>
      </c>
      <c r="I15">
        <v>0.25452995273916201</v>
      </c>
      <c r="J15">
        <v>-2.5443457029563701E-2</v>
      </c>
      <c r="K15">
        <v>12.6242669779888</v>
      </c>
      <c r="L15">
        <v>-1.46308450515178</v>
      </c>
      <c r="M15">
        <v>0</v>
      </c>
      <c r="N15">
        <v>0</v>
      </c>
      <c r="O15">
        <v>0.64041986558546904</v>
      </c>
      <c r="P15">
        <v>0</v>
      </c>
      <c r="Q15">
        <v>-2.4373029012644699E-2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-10.235003512859601</v>
      </c>
      <c r="Z15">
        <v>1.2587611462749899</v>
      </c>
      <c r="AA15">
        <v>0.30474392172075698</v>
      </c>
      <c r="AB15">
        <v>-0.178695966786246</v>
      </c>
      <c r="AC15">
        <v>-3.9515870275057402E-2</v>
      </c>
      <c r="AD15">
        <v>-1.4723621523674399</v>
      </c>
      <c r="AE15">
        <v>7.1742596266957799</v>
      </c>
      <c r="AF15">
        <v>27.151006743073602</v>
      </c>
      <c r="AG15">
        <v>0</v>
      </c>
      <c r="AH15">
        <f t="shared" si="0"/>
        <v>27.151006743073602</v>
      </c>
      <c r="AI15">
        <v>0.105</v>
      </c>
      <c r="AJ15">
        <f t="shared" si="1"/>
        <v>0.42</v>
      </c>
      <c r="AK15">
        <f t="shared" si="2"/>
        <v>-2.4826144092816711</v>
      </c>
    </row>
    <row r="16" spans="1:37" x14ac:dyDescent="0.25">
      <c r="A16" s="1">
        <v>40451</v>
      </c>
      <c r="B16">
        <v>1.66892361766518</v>
      </c>
      <c r="C16">
        <v>-1.66928696594946</v>
      </c>
      <c r="D16">
        <v>-4.2631128421755804</v>
      </c>
      <c r="E16">
        <v>-4.7472157619914102E-4</v>
      </c>
      <c r="F16">
        <v>5.3252984871908398</v>
      </c>
      <c r="G16">
        <v>17.3345798631908</v>
      </c>
      <c r="H16">
        <v>5.6531455228965698E-3</v>
      </c>
      <c r="I16">
        <v>0.33959560270529598</v>
      </c>
      <c r="J16">
        <v>-1.5797659984864501E-2</v>
      </c>
      <c r="K16">
        <v>13.592728033140499</v>
      </c>
      <c r="L16">
        <v>-1.5563826348785501</v>
      </c>
      <c r="M16">
        <v>0</v>
      </c>
      <c r="N16">
        <v>0</v>
      </c>
      <c r="O16">
        <v>0.65967138592699004</v>
      </c>
      <c r="P16">
        <v>0</v>
      </c>
      <c r="Q16">
        <v>-1.7203496762647499E-2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-11.450591513162401</v>
      </c>
      <c r="Z16">
        <v>1.4891879159838499</v>
      </c>
      <c r="AA16">
        <v>0.38887175337638602</v>
      </c>
      <c r="AB16">
        <v>-0.132868606443099</v>
      </c>
      <c r="AC16">
        <v>1.92330667714893E-2</v>
      </c>
      <c r="AD16">
        <v>-1.74986020898295</v>
      </c>
      <c r="AE16">
        <v>7.1522205000909898</v>
      </c>
      <c r="AF16">
        <v>27.1203847216497</v>
      </c>
      <c r="AG16">
        <v>0</v>
      </c>
      <c r="AH16">
        <f t="shared" si="0"/>
        <v>27.1203847216497</v>
      </c>
      <c r="AI16">
        <v>0.1525</v>
      </c>
      <c r="AJ16">
        <f t="shared" si="1"/>
        <v>0.61</v>
      </c>
      <c r="AK16">
        <f t="shared" si="2"/>
        <v>-2.206371826610765</v>
      </c>
    </row>
    <row r="17" spans="1:37" x14ac:dyDescent="0.25">
      <c r="A17" s="1">
        <v>40543</v>
      </c>
      <c r="B17">
        <v>1.3754459161492001</v>
      </c>
      <c r="C17">
        <v>-1.47319840199445</v>
      </c>
      <c r="D17">
        <v>-4.3372803406989799</v>
      </c>
      <c r="E17">
        <v>-1.6910156114132899E-4</v>
      </c>
      <c r="F17">
        <v>6.02832427206185</v>
      </c>
      <c r="G17">
        <v>17.375537723597901</v>
      </c>
      <c r="H17">
        <v>-3.6956779526524E-2</v>
      </c>
      <c r="I17">
        <v>0.26961922895684798</v>
      </c>
      <c r="J17">
        <v>-8.40626758114244E-3</v>
      </c>
      <c r="K17">
        <v>14.9270380757638</v>
      </c>
      <c r="L17">
        <v>-1.55144642849359</v>
      </c>
      <c r="M17">
        <v>0</v>
      </c>
      <c r="N17">
        <v>0</v>
      </c>
      <c r="O17">
        <v>0.67296250369230304</v>
      </c>
      <c r="P17">
        <v>0</v>
      </c>
      <c r="Q17">
        <v>-1.0960892061115699E-2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-13.193122697194999</v>
      </c>
      <c r="Z17">
        <v>1.67287892077763</v>
      </c>
      <c r="AA17">
        <v>0.43419460449876901</v>
      </c>
      <c r="AB17">
        <v>-0.115124706883921</v>
      </c>
      <c r="AC17">
        <v>3.18828888300874E-2</v>
      </c>
      <c r="AD17">
        <v>-2.0389966536117998</v>
      </c>
      <c r="AE17">
        <v>7.1302619437716004</v>
      </c>
      <c r="AF17">
        <v>27.152483808492399</v>
      </c>
      <c r="AG17">
        <v>0</v>
      </c>
      <c r="AH17">
        <f t="shared" si="0"/>
        <v>27.152483808492399</v>
      </c>
      <c r="AI17">
        <v>0.20250000000000001</v>
      </c>
      <c r="AJ17">
        <f t="shared" si="1"/>
        <v>0.81</v>
      </c>
      <c r="AK17">
        <f t="shared" si="2"/>
        <v>-1.581712935871868</v>
      </c>
    </row>
    <row r="18" spans="1:37" x14ac:dyDescent="0.25">
      <c r="A18" s="1">
        <v>40633</v>
      </c>
      <c r="B18">
        <v>1.90430169484166</v>
      </c>
      <c r="C18">
        <v>-1.5433038156605901</v>
      </c>
      <c r="D18">
        <v>-4.5069512603227597</v>
      </c>
      <c r="E18">
        <v>-1.2869150583441999E-3</v>
      </c>
      <c r="F18">
        <v>7.4268885346222602</v>
      </c>
      <c r="G18">
        <v>17.454779890083302</v>
      </c>
      <c r="H18">
        <v>-3.6961388485043899E-2</v>
      </c>
      <c r="I18">
        <v>0.308137105273108</v>
      </c>
      <c r="J18">
        <v>-7.8414583309630807E-3</v>
      </c>
      <c r="K18">
        <v>16.6753646049164</v>
      </c>
      <c r="L18">
        <v>-1.4894906117164599</v>
      </c>
      <c r="M18">
        <v>0</v>
      </c>
      <c r="N18">
        <v>0</v>
      </c>
      <c r="O18">
        <v>0.69313122766132895</v>
      </c>
      <c r="P18">
        <v>0</v>
      </c>
      <c r="Q18">
        <v>-2.3400021264036199E-2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-15.5140048371796</v>
      </c>
      <c r="Z18">
        <v>1.6560903554873201</v>
      </c>
      <c r="AA18">
        <v>0.29727135675643701</v>
      </c>
      <c r="AB18">
        <v>-0.20292068942248001</v>
      </c>
      <c r="AC18">
        <v>-2.7254570694421301E-2</v>
      </c>
      <c r="AD18">
        <v>-2.38472881141446</v>
      </c>
      <c r="AE18">
        <v>7.1083834957030803</v>
      </c>
      <c r="AF18">
        <v>27.786203885795899</v>
      </c>
      <c r="AG18">
        <v>0</v>
      </c>
      <c r="AH18">
        <f t="shared" si="0"/>
        <v>27.786203885795899</v>
      </c>
      <c r="AI18">
        <v>0.215</v>
      </c>
      <c r="AJ18">
        <f t="shared" si="1"/>
        <v>0.86</v>
      </c>
      <c r="AK18">
        <f t="shared" si="2"/>
        <v>-0.33294863611052194</v>
      </c>
    </row>
    <row r="19" spans="1:37" x14ac:dyDescent="0.25">
      <c r="A19" s="1">
        <v>40724</v>
      </c>
      <c r="B19">
        <v>1.46780798403477</v>
      </c>
      <c r="C19">
        <v>-1.2043497424401</v>
      </c>
      <c r="D19">
        <v>-4.3924235234108604</v>
      </c>
      <c r="E19">
        <v>-1.0583469374447999E-3</v>
      </c>
      <c r="F19">
        <v>8.4062549644090296</v>
      </c>
      <c r="G19">
        <v>17.546426512778002</v>
      </c>
      <c r="H19">
        <v>7.3247419831505706E-2</v>
      </c>
      <c r="I19">
        <v>0.30268882988408502</v>
      </c>
      <c r="J19">
        <v>-5.1230817776732997E-3</v>
      </c>
      <c r="K19">
        <v>18.7292664523357</v>
      </c>
      <c r="L19">
        <v>-1.5556790380726</v>
      </c>
      <c r="M19">
        <v>0</v>
      </c>
      <c r="N19">
        <v>0</v>
      </c>
      <c r="O19">
        <v>0.71288760535690499</v>
      </c>
      <c r="P19">
        <v>0</v>
      </c>
      <c r="Q19">
        <v>-3.5226887975860502E-2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-18.615703712448301</v>
      </c>
      <c r="Z19">
        <v>1.7520007447770301</v>
      </c>
      <c r="AA19">
        <v>0.18453734051349799</v>
      </c>
      <c r="AB19">
        <v>-0.23254532670007499</v>
      </c>
      <c r="AC19">
        <v>-2.9947737468592799E-2</v>
      </c>
      <c r="AD19">
        <v>-2.7091680082109999</v>
      </c>
      <c r="AE19">
        <v>7.0865847015938304</v>
      </c>
      <c r="AF19">
        <v>27.480477150072101</v>
      </c>
      <c r="AG19">
        <v>0</v>
      </c>
      <c r="AH19">
        <f t="shared" si="0"/>
        <v>27.480477150072101</v>
      </c>
      <c r="AI19">
        <v>0.30499999999999999</v>
      </c>
      <c r="AJ19">
        <f t="shared" si="1"/>
        <v>1.22</v>
      </c>
      <c r="AK19">
        <f t="shared" si="2"/>
        <v>1.4286726418448343</v>
      </c>
    </row>
    <row r="20" spans="1:37" x14ac:dyDescent="0.25">
      <c r="A20" s="1">
        <v>40816</v>
      </c>
      <c r="B20">
        <v>1.8241285966793399</v>
      </c>
      <c r="C20">
        <v>-1.0959542128456901</v>
      </c>
      <c r="D20">
        <v>-4.2580248788041599</v>
      </c>
      <c r="E20">
        <v>-2.8471594758398301E-4</v>
      </c>
      <c r="F20">
        <v>6.5846466428789903</v>
      </c>
      <c r="G20">
        <v>17.671886113914798</v>
      </c>
      <c r="H20">
        <v>-4.7348454706175901E-2</v>
      </c>
      <c r="I20">
        <v>0.34776191552861802</v>
      </c>
      <c r="J20">
        <v>1.2598253735041499E-3</v>
      </c>
      <c r="K20">
        <v>21.6687945567189</v>
      </c>
      <c r="L20">
        <v>-1.62693074199378</v>
      </c>
      <c r="M20">
        <v>0</v>
      </c>
      <c r="N20">
        <v>0</v>
      </c>
      <c r="O20">
        <v>0.72603407980219004</v>
      </c>
      <c r="P20">
        <v>0</v>
      </c>
      <c r="Q20">
        <v>-2.1518546973866001E-2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-21.2940371809404</v>
      </c>
      <c r="Z20">
        <v>2.30875629440852</v>
      </c>
      <c r="AA20">
        <v>0.35473860941712099</v>
      </c>
      <c r="AB20">
        <v>-8.0751503755398801E-2</v>
      </c>
      <c r="AC20">
        <v>9.9261867776008594E-2</v>
      </c>
      <c r="AD20">
        <v>-2.8984710561645799</v>
      </c>
      <c r="AE20">
        <v>7.0648651145688799</v>
      </c>
      <c r="AF20">
        <v>27.328812324935299</v>
      </c>
      <c r="AG20">
        <v>0</v>
      </c>
      <c r="AH20">
        <f t="shared" si="0"/>
        <v>27.328812324935299</v>
      </c>
      <c r="AI20">
        <v>0.34499999999999997</v>
      </c>
      <c r="AJ20">
        <f t="shared" si="1"/>
        <v>1.38</v>
      </c>
      <c r="AK20">
        <f t="shared" si="2"/>
        <v>0.49567433273763672</v>
      </c>
    </row>
    <row r="21" spans="1:37" x14ac:dyDescent="0.25">
      <c r="A21" s="1">
        <v>40908</v>
      </c>
      <c r="B21">
        <v>1.7116468748119</v>
      </c>
      <c r="C21">
        <v>-1.19567614047177</v>
      </c>
      <c r="D21">
        <v>-4.0807577436529296</v>
      </c>
      <c r="E21">
        <v>-4.3868761079023002E-4</v>
      </c>
      <c r="F21">
        <v>4.67922050689344</v>
      </c>
      <c r="G21">
        <v>17.798756969830499</v>
      </c>
      <c r="H21">
        <v>3.9090861444632502E-2</v>
      </c>
      <c r="I21">
        <v>0.37943593743603099</v>
      </c>
      <c r="J21">
        <v>3.4267657342607299E-3</v>
      </c>
      <c r="K21">
        <v>24.313875439371699</v>
      </c>
      <c r="L21">
        <v>-1.71665281853925</v>
      </c>
      <c r="M21">
        <v>0</v>
      </c>
      <c r="N21">
        <v>0</v>
      </c>
      <c r="O21">
        <v>0.73748113694713202</v>
      </c>
      <c r="P21">
        <v>0</v>
      </c>
      <c r="Q21">
        <v>-3.3579428099786701E-2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-23.129957189468101</v>
      </c>
      <c r="Z21">
        <v>2.8174208525393598</v>
      </c>
      <c r="AA21">
        <v>0.45742311371089001</v>
      </c>
      <c r="AB21">
        <v>2.0213672144897801E-2</v>
      </c>
      <c r="AC21">
        <v>0.17302120510567101</v>
      </c>
      <c r="AD21">
        <v>-3.0045923511625401</v>
      </c>
      <c r="AE21">
        <v>7.04322429486131</v>
      </c>
      <c r="AF21">
        <v>27.0125832718266</v>
      </c>
      <c r="AG21">
        <v>0</v>
      </c>
      <c r="AH21">
        <f t="shared" si="0"/>
        <v>27.0125832718266</v>
      </c>
      <c r="AI21">
        <v>0.31</v>
      </c>
      <c r="AJ21">
        <f t="shared" si="1"/>
        <v>1.24</v>
      </c>
      <c r="AK21">
        <f t="shared" si="2"/>
        <v>-1.1448858791890106</v>
      </c>
    </row>
    <row r="22" spans="1:37" x14ac:dyDescent="0.25">
      <c r="A22" s="1">
        <v>40999</v>
      </c>
      <c r="B22">
        <v>1.7745152492390499</v>
      </c>
      <c r="C22">
        <v>-1.1512078128085099</v>
      </c>
      <c r="D22">
        <v>-3.6668970538686998</v>
      </c>
      <c r="E22">
        <v>-2.0259960409919699E-4</v>
      </c>
      <c r="F22">
        <v>3.1534811339203301</v>
      </c>
      <c r="G22">
        <v>17.781766248807202</v>
      </c>
      <c r="H22">
        <v>-1.52687215606351E-2</v>
      </c>
      <c r="I22">
        <v>0.39761095897126603</v>
      </c>
      <c r="J22">
        <v>6.0637123721003199E-3</v>
      </c>
      <c r="K22">
        <v>25.949502975784998</v>
      </c>
      <c r="L22">
        <v>-1.78285700959472</v>
      </c>
      <c r="M22">
        <v>0</v>
      </c>
      <c r="N22">
        <v>0</v>
      </c>
      <c r="O22">
        <v>0.74654144672910305</v>
      </c>
      <c r="P22">
        <v>0</v>
      </c>
      <c r="Q22">
        <v>-2.7867382670135599E-2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-24.355612153156901</v>
      </c>
      <c r="Z22">
        <v>3.1420473865260501</v>
      </c>
      <c r="AA22">
        <v>0.52224162464951696</v>
      </c>
      <c r="AB22">
        <v>7.2374178086460295E-2</v>
      </c>
      <c r="AC22">
        <v>0.21075443593257601</v>
      </c>
      <c r="AD22">
        <v>-3.0719170935074902</v>
      </c>
      <c r="AE22">
        <v>7.0216618095202801</v>
      </c>
      <c r="AF22">
        <v>26.706731333767799</v>
      </c>
      <c r="AG22">
        <v>0</v>
      </c>
      <c r="AH22">
        <f t="shared" si="0"/>
        <v>26.706731333767799</v>
      </c>
      <c r="AI22">
        <v>0.16250000000000001</v>
      </c>
      <c r="AJ22">
        <f t="shared" si="1"/>
        <v>0.65</v>
      </c>
      <c r="AK22">
        <f t="shared" si="2"/>
        <v>-2.5659328010443097</v>
      </c>
    </row>
    <row r="23" spans="1:37" x14ac:dyDescent="0.25">
      <c r="A23" s="1">
        <v>41090</v>
      </c>
      <c r="B23">
        <v>1.7273448727743399</v>
      </c>
      <c r="C23">
        <v>-1.0260260169334601</v>
      </c>
      <c r="D23">
        <v>-3.06860190963324</v>
      </c>
      <c r="E23">
        <v>-4.3545693397367599E-4</v>
      </c>
      <c r="F23">
        <v>1.83087895178664</v>
      </c>
      <c r="G23">
        <v>17.780729956156399</v>
      </c>
      <c r="H23">
        <v>-4.2989799299453296E-3</v>
      </c>
      <c r="I23">
        <v>0.40370725510275901</v>
      </c>
      <c r="J23">
        <v>5.8911014894153504E-3</v>
      </c>
      <c r="K23">
        <v>26.446453493174001</v>
      </c>
      <c r="L23">
        <v>-1.7374237963322601</v>
      </c>
      <c r="M23">
        <v>0</v>
      </c>
      <c r="N23">
        <v>0</v>
      </c>
      <c r="O23">
        <v>0.75547826792904504</v>
      </c>
      <c r="P23">
        <v>0</v>
      </c>
      <c r="Q23">
        <v>-2.91776677197766E-2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-25.1987091610394</v>
      </c>
      <c r="Z23">
        <v>3.3390778754202599</v>
      </c>
      <c r="AA23">
        <v>0.612477639193307</v>
      </c>
      <c r="AB23">
        <v>0.15466234429600501</v>
      </c>
      <c r="AC23">
        <v>0.24660536306417</v>
      </c>
      <c r="AD23">
        <v>-3.12144095922705</v>
      </c>
      <c r="AE23">
        <v>7.0001772321349902</v>
      </c>
      <c r="AF23">
        <v>26.117370404772299</v>
      </c>
      <c r="AG23">
        <v>0</v>
      </c>
      <c r="AH23">
        <f t="shared" si="0"/>
        <v>26.117370404772299</v>
      </c>
      <c r="AI23">
        <v>9.7500000000000003E-2</v>
      </c>
      <c r="AJ23">
        <f t="shared" si="1"/>
        <v>0.39</v>
      </c>
      <c r="AK23">
        <f t="shared" si="2"/>
        <v>-2.8446048628103351</v>
      </c>
    </row>
    <row r="24" spans="1:37" x14ac:dyDescent="0.25">
      <c r="A24" s="1">
        <v>41182</v>
      </c>
      <c r="B24">
        <v>1.90154954609281</v>
      </c>
      <c r="C24">
        <v>-0.956419012814827</v>
      </c>
      <c r="D24">
        <v>-2.6051424390638398</v>
      </c>
      <c r="E24">
        <v>-2.71271117381589E-4</v>
      </c>
      <c r="F24">
        <v>0.52588777919454299</v>
      </c>
      <c r="G24">
        <v>17.7034413902316</v>
      </c>
      <c r="H24">
        <v>1.92013819824568E-2</v>
      </c>
      <c r="I24">
        <v>0.41206090251639899</v>
      </c>
      <c r="J24">
        <v>7.5941220429796103E-3</v>
      </c>
      <c r="K24">
        <v>26.677077810480998</v>
      </c>
      <c r="L24">
        <v>-1.73292173158422</v>
      </c>
      <c r="M24">
        <v>0</v>
      </c>
      <c r="N24">
        <v>0</v>
      </c>
      <c r="O24">
        <v>0.76275138374797202</v>
      </c>
      <c r="P24">
        <v>0</v>
      </c>
      <c r="Q24">
        <v>-3.04673508042256E-2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-25.4297608165102</v>
      </c>
      <c r="Z24">
        <v>3.4081982937965898</v>
      </c>
      <c r="AA24">
        <v>0.66600289397063706</v>
      </c>
      <c r="AB24">
        <v>0.26644537319060202</v>
      </c>
      <c r="AC24">
        <v>0.31738985320353802</v>
      </c>
      <c r="AD24">
        <v>-3.1505490328875099</v>
      </c>
      <c r="AE24">
        <v>6.9787701425736701</v>
      </c>
      <c r="AF24">
        <v>25.740839218242701</v>
      </c>
      <c r="AG24">
        <v>0</v>
      </c>
      <c r="AH24">
        <f t="shared" si="0"/>
        <v>25.740839218242701</v>
      </c>
      <c r="AI24">
        <v>0.04</v>
      </c>
      <c r="AJ24">
        <f t="shared" si="1"/>
        <v>0.16</v>
      </c>
      <c r="AK24">
        <f t="shared" si="2"/>
        <v>-3.3575557589926284</v>
      </c>
    </row>
    <row r="25" spans="1:37" x14ac:dyDescent="0.25">
      <c r="A25" s="1">
        <v>41274</v>
      </c>
      <c r="B25">
        <v>1.68853550835584</v>
      </c>
      <c r="C25">
        <v>-0.80996321172394303</v>
      </c>
      <c r="D25">
        <v>-2.3226142623147199</v>
      </c>
      <c r="E25" s="16">
        <v>-9.3899547834162003E-5</v>
      </c>
      <c r="F25">
        <v>-0.128138593560679</v>
      </c>
      <c r="G25">
        <v>17.557532665901</v>
      </c>
      <c r="H25">
        <v>5.3122221570343102E-3</v>
      </c>
      <c r="I25">
        <v>0.407151212035058</v>
      </c>
      <c r="J25">
        <v>8.7861664947813806E-3</v>
      </c>
      <c r="K25">
        <v>26.2895845312616</v>
      </c>
      <c r="L25">
        <v>-1.6484045493603601</v>
      </c>
      <c r="M25">
        <v>0</v>
      </c>
      <c r="N25">
        <v>0</v>
      </c>
      <c r="O25">
        <v>0.77028908110739602</v>
      </c>
      <c r="P25">
        <v>0</v>
      </c>
      <c r="Q25">
        <v>-2.1151968916469199E-2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-25.318973453458</v>
      </c>
      <c r="Z25">
        <v>3.41025109297893</v>
      </c>
      <c r="AA25">
        <v>0.66484067177225703</v>
      </c>
      <c r="AB25">
        <v>0.33257312884005902</v>
      </c>
      <c r="AC25">
        <v>0.40025708850841701</v>
      </c>
      <c r="AD25">
        <v>-3.1384898006277799</v>
      </c>
      <c r="AE25">
        <v>6.9574401267368096</v>
      </c>
      <c r="AF25">
        <v>25.104723756639501</v>
      </c>
      <c r="AG25">
        <v>0</v>
      </c>
      <c r="AH25">
        <f t="shared" si="0"/>
        <v>25.104723756639501</v>
      </c>
      <c r="AI25">
        <v>2.75E-2</v>
      </c>
      <c r="AJ25">
        <f t="shared" si="1"/>
        <v>0.11</v>
      </c>
      <c r="AK25">
        <f t="shared" si="2"/>
        <v>-3.3003323403828828</v>
      </c>
    </row>
    <row r="26" spans="1:37" x14ac:dyDescent="0.25">
      <c r="A26" s="1">
        <v>41364</v>
      </c>
      <c r="B26">
        <v>1.9786437510478001</v>
      </c>
      <c r="C26">
        <v>-0.79178442491126899</v>
      </c>
      <c r="D26">
        <v>-2.14356086727468</v>
      </c>
      <c r="E26">
        <v>-3.0285695938721198E-4</v>
      </c>
      <c r="F26">
        <v>-0.20814263563907201</v>
      </c>
      <c r="G26">
        <v>17.392860355399002</v>
      </c>
      <c r="H26">
        <v>-1.0660212128721001E-3</v>
      </c>
      <c r="I26">
        <v>0.39270397728762702</v>
      </c>
      <c r="J26">
        <v>8.9714381156942805E-3</v>
      </c>
      <c r="K26">
        <v>25.346612750164599</v>
      </c>
      <c r="L26">
        <v>-1.58511867652674</v>
      </c>
      <c r="M26">
        <v>0</v>
      </c>
      <c r="N26">
        <v>0</v>
      </c>
      <c r="O26">
        <v>0.77587910859464204</v>
      </c>
      <c r="P26">
        <v>0</v>
      </c>
      <c r="Q26">
        <v>-1.4530158274751201E-2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-25.181368510595199</v>
      </c>
      <c r="Z26">
        <v>3.3031438179241199</v>
      </c>
      <c r="AA26">
        <v>0.60964110277982697</v>
      </c>
      <c r="AB26">
        <v>0.33269499989462697</v>
      </c>
      <c r="AC26">
        <v>0.43273254988352</v>
      </c>
      <c r="AD26">
        <v>-3.0894084975426801</v>
      </c>
      <c r="AE26">
        <v>6.9361867763238703</v>
      </c>
      <c r="AF26">
        <v>24.494787978478801</v>
      </c>
      <c r="AG26">
        <v>0</v>
      </c>
      <c r="AH26">
        <f t="shared" si="0"/>
        <v>24.494787978478801</v>
      </c>
      <c r="AI26">
        <v>0.03</v>
      </c>
      <c r="AJ26">
        <f t="shared" si="1"/>
        <v>0.12</v>
      </c>
      <c r="AK26">
        <f t="shared" si="2"/>
        <v>-2.4099273211034551</v>
      </c>
    </row>
    <row r="27" spans="1:37" x14ac:dyDescent="0.25">
      <c r="A27" s="1">
        <v>41455</v>
      </c>
      <c r="B27">
        <v>2.3158174430880001</v>
      </c>
      <c r="C27">
        <v>-0.83785725871482097</v>
      </c>
      <c r="D27">
        <v>-2.3233159389095301</v>
      </c>
      <c r="E27">
        <v>-3.7381298482556301E-4</v>
      </c>
      <c r="F27">
        <v>-0.113288690684524</v>
      </c>
      <c r="G27">
        <v>17.262847581181401</v>
      </c>
      <c r="H27">
        <v>-6.1443255364638197E-2</v>
      </c>
      <c r="I27">
        <v>0.37906184305992402</v>
      </c>
      <c r="J27">
        <v>1.0760175114783501E-2</v>
      </c>
      <c r="K27">
        <v>24.779326666313001</v>
      </c>
      <c r="L27">
        <v>-1.3657132052002601</v>
      </c>
      <c r="M27">
        <v>0</v>
      </c>
      <c r="N27">
        <v>0</v>
      </c>
      <c r="O27">
        <v>0.78297190769186098</v>
      </c>
      <c r="P27">
        <v>0</v>
      </c>
      <c r="Q27">
        <v>-1.12190983031307E-2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-24.8327313304559</v>
      </c>
      <c r="Z27">
        <v>3.2602455369069099</v>
      </c>
      <c r="AA27">
        <v>0.59993817350668099</v>
      </c>
      <c r="AB27">
        <v>0.35298904661994901</v>
      </c>
      <c r="AC27">
        <v>0.46621535108997197</v>
      </c>
      <c r="AD27">
        <v>-3.01541512410718</v>
      </c>
      <c r="AE27">
        <v>6.9150096886127503</v>
      </c>
      <c r="AF27">
        <v>24.563825698460398</v>
      </c>
      <c r="AG27">
        <v>0</v>
      </c>
      <c r="AH27">
        <f t="shared" si="0"/>
        <v>24.563825698460398</v>
      </c>
      <c r="AI27">
        <v>0.03</v>
      </c>
      <c r="AJ27">
        <f t="shared" si="1"/>
        <v>0.12</v>
      </c>
      <c r="AK27">
        <f t="shared" si="2"/>
        <v>-2.2735402275652978</v>
      </c>
    </row>
    <row r="28" spans="1:37" x14ac:dyDescent="0.25">
      <c r="A28" s="1">
        <v>41547</v>
      </c>
      <c r="B28">
        <v>2.02744599405007</v>
      </c>
      <c r="C28">
        <v>-0.87290481502888795</v>
      </c>
      <c r="D28">
        <v>-2.6922543536323298</v>
      </c>
      <c r="E28">
        <v>-2.3370726668001601E-4</v>
      </c>
      <c r="F28">
        <v>0.50599300179270901</v>
      </c>
      <c r="G28">
        <v>17.159645764878402</v>
      </c>
      <c r="H28">
        <v>6.2806821997660994E-2</v>
      </c>
      <c r="I28">
        <v>0.35864097316103499</v>
      </c>
      <c r="J28">
        <v>1.42879083074071E-2</v>
      </c>
      <c r="K28">
        <v>24.409367339651499</v>
      </c>
      <c r="L28">
        <v>-1.21912819818972</v>
      </c>
      <c r="M28">
        <v>0</v>
      </c>
      <c r="N28">
        <v>0</v>
      </c>
      <c r="O28">
        <v>0.79040221380942899</v>
      </c>
      <c r="P28">
        <v>0</v>
      </c>
      <c r="Q28">
        <v>-2.6064836155932702E-2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-24.4686791757712</v>
      </c>
      <c r="Z28">
        <v>3.2027039531231098</v>
      </c>
      <c r="AA28">
        <v>0.56129313336237896</v>
      </c>
      <c r="AB28">
        <v>0.335886853767983</v>
      </c>
      <c r="AC28">
        <v>0.46705887279988001</v>
      </c>
      <c r="AD28">
        <v>-2.9498574568540499</v>
      </c>
      <c r="AE28">
        <v>6.8939084662511503</v>
      </c>
      <c r="AF28">
        <v>24.560318754054101</v>
      </c>
      <c r="AG28">
        <v>0</v>
      </c>
      <c r="AH28">
        <f t="shared" si="0"/>
        <v>24.560318754054101</v>
      </c>
      <c r="AI28">
        <v>3.2500000000000001E-2</v>
      </c>
      <c r="AJ28">
        <f t="shared" si="1"/>
        <v>0.13</v>
      </c>
      <c r="AK28">
        <f t="shared" si="2"/>
        <v>-2.2181757338890291</v>
      </c>
    </row>
    <row r="29" spans="1:37" x14ac:dyDescent="0.25">
      <c r="A29" s="1">
        <v>41639</v>
      </c>
      <c r="B29">
        <v>2.3715318415572502</v>
      </c>
      <c r="C29">
        <v>-0.76416708516801102</v>
      </c>
      <c r="D29">
        <v>-2.8850404243878902</v>
      </c>
      <c r="E29">
        <v>1.15740278349697E-4</v>
      </c>
      <c r="F29">
        <v>0.70262591254997597</v>
      </c>
      <c r="G29">
        <v>16.991893537511402</v>
      </c>
      <c r="H29">
        <v>-5.1210865488299298E-3</v>
      </c>
      <c r="I29">
        <v>0.27310945559577299</v>
      </c>
      <c r="J29">
        <v>1.9331731772094601E-2</v>
      </c>
      <c r="K29">
        <v>23.921270807435199</v>
      </c>
      <c r="L29">
        <v>-1.02961628836434</v>
      </c>
      <c r="M29">
        <v>0</v>
      </c>
      <c r="N29">
        <v>0</v>
      </c>
      <c r="O29">
        <v>0.79056306338899496</v>
      </c>
      <c r="P29">
        <v>0</v>
      </c>
      <c r="Q29">
        <v>-1.0308078719763599E-2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-24.1845776938091</v>
      </c>
      <c r="Z29">
        <v>3.1979534477176799</v>
      </c>
      <c r="AA29">
        <v>0.55881616555736502</v>
      </c>
      <c r="AB29">
        <v>0.345050444365538</v>
      </c>
      <c r="AC29">
        <v>0.48544887869301601</v>
      </c>
      <c r="AD29">
        <v>-2.8788199261539198</v>
      </c>
      <c r="AE29">
        <v>6.8728827170593103</v>
      </c>
      <c r="AF29">
        <v>24.7729431603302</v>
      </c>
      <c r="AG29">
        <v>0</v>
      </c>
      <c r="AH29">
        <f t="shared" si="0"/>
        <v>24.7729431603302</v>
      </c>
      <c r="AI29">
        <v>0.04</v>
      </c>
      <c r="AJ29">
        <f t="shared" si="1"/>
        <v>0.16</v>
      </c>
      <c r="AK29">
        <f t="shared" si="2"/>
        <v>-2.0757051871947718</v>
      </c>
    </row>
    <row r="30" spans="1:37" x14ac:dyDescent="0.25">
      <c r="A30" s="1">
        <v>41729</v>
      </c>
      <c r="B30">
        <v>2.8242759860396198</v>
      </c>
      <c r="C30">
        <v>-0.65097384984537299</v>
      </c>
      <c r="D30">
        <v>-2.8309381844156598</v>
      </c>
      <c r="E30">
        <v>-3.0804098256098698E-4</v>
      </c>
      <c r="F30">
        <v>0.47585439198712198</v>
      </c>
      <c r="G30">
        <v>16.7680956062974</v>
      </c>
      <c r="H30">
        <v>-2.0237548638639E-2</v>
      </c>
      <c r="I30">
        <v>0.25658305968844403</v>
      </c>
      <c r="J30">
        <v>2.10014119285768E-2</v>
      </c>
      <c r="K30">
        <v>22.9772388458086</v>
      </c>
      <c r="L30">
        <v>-0.89563896091872697</v>
      </c>
      <c r="M30">
        <v>0</v>
      </c>
      <c r="N30">
        <v>0</v>
      </c>
      <c r="O30">
        <v>0.78879007501295695</v>
      </c>
      <c r="P30">
        <v>0</v>
      </c>
      <c r="Q30">
        <v>-3.6720940288296898E-3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-24.094430657101199</v>
      </c>
      <c r="Z30">
        <v>3.2001444691295302</v>
      </c>
      <c r="AA30">
        <v>0.56788120534983999</v>
      </c>
      <c r="AB30">
        <v>0.35796807469202802</v>
      </c>
      <c r="AC30">
        <v>0.50203007210152595</v>
      </c>
      <c r="AD30">
        <v>-2.8023700462875198</v>
      </c>
      <c r="AE30">
        <v>6.8519320538433304</v>
      </c>
      <c r="AF30">
        <v>24.293225869660599</v>
      </c>
      <c r="AG30">
        <v>0</v>
      </c>
      <c r="AH30">
        <f t="shared" si="0"/>
        <v>24.293225869660599</v>
      </c>
      <c r="AI30">
        <v>5.5E-2</v>
      </c>
      <c r="AJ30">
        <f t="shared" si="1"/>
        <v>0.22</v>
      </c>
      <c r="AK30">
        <f t="shared" si="2"/>
        <v>-1.2772520387057587</v>
      </c>
    </row>
    <row r="31" spans="1:37" x14ac:dyDescent="0.25">
      <c r="A31" s="1">
        <v>41820</v>
      </c>
      <c r="B31">
        <v>2.7910539466006301</v>
      </c>
      <c r="C31">
        <v>-0.410788901643029</v>
      </c>
      <c r="D31">
        <v>-2.6397176111205098</v>
      </c>
      <c r="E31">
        <v>1.2714426002324999E-4</v>
      </c>
      <c r="F31">
        <v>0.11658329905289801</v>
      </c>
      <c r="G31">
        <v>16.5503728846681</v>
      </c>
      <c r="H31">
        <v>2.6788525733596899E-2</v>
      </c>
      <c r="I31">
        <v>0.178652337930605</v>
      </c>
      <c r="J31">
        <v>2.4945790397281099E-2</v>
      </c>
      <c r="K31">
        <v>22.643803146167102</v>
      </c>
      <c r="L31">
        <v>-0.76092504342438705</v>
      </c>
      <c r="M31">
        <v>0</v>
      </c>
      <c r="N31">
        <v>0</v>
      </c>
      <c r="O31">
        <v>0.78436241654897298</v>
      </c>
      <c r="P31">
        <v>0</v>
      </c>
      <c r="Q31">
        <v>-5.1381608253529797E-3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-23.941400208460198</v>
      </c>
      <c r="Z31">
        <v>3.22683253774805</v>
      </c>
      <c r="AA31">
        <v>0.56597092417514905</v>
      </c>
      <c r="AB31">
        <v>0.36835268821057998</v>
      </c>
      <c r="AC31">
        <v>0.50790756440240803</v>
      </c>
      <c r="AD31">
        <v>-2.7260487341878101</v>
      </c>
      <c r="AE31">
        <v>6.8310560942185203</v>
      </c>
      <c r="AF31">
        <v>24.132790640452701</v>
      </c>
      <c r="AG31">
        <v>0</v>
      </c>
      <c r="AH31">
        <f t="shared" si="0"/>
        <v>24.132790640452701</v>
      </c>
      <c r="AI31">
        <v>5.5E-2</v>
      </c>
      <c r="AJ31">
        <f t="shared" si="1"/>
        <v>0.22</v>
      </c>
      <c r="AK31">
        <f t="shared" si="2"/>
        <v>-1.2097803346042564</v>
      </c>
    </row>
    <row r="32" spans="1:37" x14ac:dyDescent="0.25">
      <c r="A32" s="1">
        <v>41912</v>
      </c>
      <c r="B32">
        <v>2.80697279222619</v>
      </c>
      <c r="C32">
        <v>-0.35102860823257998</v>
      </c>
      <c r="D32">
        <v>-2.3311876689169799</v>
      </c>
      <c r="E32">
        <v>-3.31663955155672E-4</v>
      </c>
      <c r="F32">
        <v>-0.60200126724140601</v>
      </c>
      <c r="G32">
        <v>16.380845344236601</v>
      </c>
      <c r="H32">
        <v>1.2156573725941601E-2</v>
      </c>
      <c r="I32">
        <v>0.24770656802388299</v>
      </c>
      <c r="J32">
        <v>2.6840899733530401E-2</v>
      </c>
      <c r="K32">
        <v>22.531608953258001</v>
      </c>
      <c r="L32">
        <v>-0.58345891781967596</v>
      </c>
      <c r="M32">
        <v>0</v>
      </c>
      <c r="N32">
        <v>0</v>
      </c>
      <c r="O32">
        <v>0.78615621185723605</v>
      </c>
      <c r="P32">
        <v>0</v>
      </c>
      <c r="Q32">
        <v>1.06524975009931E-3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-23.566741821031201</v>
      </c>
      <c r="Z32">
        <v>3.1897340410650701</v>
      </c>
      <c r="AA32">
        <v>0.57689064148102298</v>
      </c>
      <c r="AB32">
        <v>0.38570359590042702</v>
      </c>
      <c r="AC32">
        <v>0.51522421622243397</v>
      </c>
      <c r="AD32">
        <v>-2.6492916462757701</v>
      </c>
      <c r="AE32">
        <v>6.8102544604421196</v>
      </c>
      <c r="AF32">
        <v>24.187117954449899</v>
      </c>
      <c r="AG32">
        <v>0</v>
      </c>
      <c r="AH32">
        <f t="shared" si="0"/>
        <v>24.187117954449899</v>
      </c>
      <c r="AI32">
        <v>1.7500000000000002E-2</v>
      </c>
      <c r="AJ32">
        <f t="shared" si="1"/>
        <v>7.0000000000000007E-2</v>
      </c>
      <c r="AK32">
        <f t="shared" si="2"/>
        <v>-1.6992841924772191</v>
      </c>
    </row>
    <row r="33" spans="1:37" x14ac:dyDescent="0.25">
      <c r="A33" s="1">
        <v>42004</v>
      </c>
      <c r="B33">
        <v>3.0935357002398298</v>
      </c>
      <c r="C33">
        <v>-0.14521558948221699</v>
      </c>
      <c r="D33">
        <v>-1.9575496930754901</v>
      </c>
      <c r="E33">
        <v>-1.07587070050907E-4</v>
      </c>
      <c r="F33">
        <v>-1.2940581196524199</v>
      </c>
      <c r="G33">
        <v>16.227998865828301</v>
      </c>
      <c r="H33">
        <v>-1.0892051320278E-2</v>
      </c>
      <c r="I33">
        <v>0.19469700481990401</v>
      </c>
      <c r="J33">
        <v>2.9710932777765799E-2</v>
      </c>
      <c r="K33">
        <v>22.0413258589947</v>
      </c>
      <c r="L33">
        <v>-0.46157466028531402</v>
      </c>
      <c r="M33">
        <v>0</v>
      </c>
      <c r="N33">
        <v>0</v>
      </c>
      <c r="O33">
        <v>0.77908095913942099</v>
      </c>
      <c r="P33">
        <v>0</v>
      </c>
      <c r="Q33">
        <v>1.0249599178768699E-2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-22.982527788309302</v>
      </c>
      <c r="Z33">
        <v>3.1188168576115101</v>
      </c>
      <c r="AA33">
        <v>0.575921057102183</v>
      </c>
      <c r="AB33">
        <v>0.40470661895564097</v>
      </c>
      <c r="AC33">
        <v>0.51071763646308199</v>
      </c>
      <c r="AD33">
        <v>-2.57216328623712</v>
      </c>
      <c r="AE33">
        <v>6.78952677925479</v>
      </c>
      <c r="AF33">
        <v>24.352199094933901</v>
      </c>
      <c r="AG33">
        <v>0</v>
      </c>
      <c r="AH33">
        <f t="shared" si="0"/>
        <v>24.352199094933901</v>
      </c>
      <c r="AI33">
        <v>2.5000000000000001E-3</v>
      </c>
      <c r="AJ33">
        <f t="shared" si="1"/>
        <v>0.01</v>
      </c>
      <c r="AK33">
        <f t="shared" si="2"/>
        <v>-1.8658779137201105</v>
      </c>
    </row>
    <row r="34" spans="1:37" x14ac:dyDescent="0.25">
      <c r="A34" s="1">
        <v>42094</v>
      </c>
      <c r="B34">
        <v>3.1898067810811401</v>
      </c>
      <c r="C34">
        <v>3.3711396675672897E-2</v>
      </c>
      <c r="D34">
        <v>-1.6048076504937301</v>
      </c>
      <c r="E34" s="16">
        <v>1.32594558273094E-5</v>
      </c>
      <c r="F34">
        <v>-2.0527150746729501</v>
      </c>
      <c r="G34">
        <v>16.048328633802701</v>
      </c>
      <c r="H34">
        <v>-2.1280224390714499E-2</v>
      </c>
      <c r="I34">
        <v>0.197421664216407</v>
      </c>
      <c r="J34">
        <v>3.1587354900196797E-2</v>
      </c>
      <c r="K34">
        <v>21.0587691787957</v>
      </c>
      <c r="L34">
        <v>-0.34785917052728799</v>
      </c>
      <c r="M34">
        <v>0</v>
      </c>
      <c r="N34">
        <v>0</v>
      </c>
      <c r="O34">
        <v>0.76991899005368403</v>
      </c>
      <c r="P34">
        <v>0</v>
      </c>
      <c r="Q34">
        <v>1.02384632887009E-2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-22.273439208153199</v>
      </c>
      <c r="Z34">
        <v>3.0283300753494302</v>
      </c>
      <c r="AA34">
        <v>0.56185230973922295</v>
      </c>
      <c r="AB34">
        <v>0.417172758308195</v>
      </c>
      <c r="AC34">
        <v>0.50784274511924399</v>
      </c>
      <c r="AD34">
        <v>-2.4947942145327802</v>
      </c>
      <c r="AE34">
        <v>6.7688726817304703</v>
      </c>
      <c r="AF34">
        <v>23.828970749746102</v>
      </c>
      <c r="AG34">
        <v>0</v>
      </c>
      <c r="AH34">
        <f t="shared" si="0"/>
        <v>23.828970749746102</v>
      </c>
      <c r="AI34">
        <v>0</v>
      </c>
      <c r="AJ34">
        <f t="shared" si="1"/>
        <v>0</v>
      </c>
      <c r="AK34">
        <f t="shared" si="2"/>
        <v>-1.5756526346794946</v>
      </c>
    </row>
    <row r="35" spans="1:37" x14ac:dyDescent="0.25">
      <c r="A35" s="1">
        <v>42185</v>
      </c>
      <c r="B35">
        <v>2.8698888658475501</v>
      </c>
      <c r="C35">
        <v>4.2326876623285097E-2</v>
      </c>
      <c r="D35">
        <v>-1.6682011531145</v>
      </c>
      <c r="E35">
        <v>-4.2622885034369001E-4</v>
      </c>
      <c r="F35">
        <v>-2.1082768744379301</v>
      </c>
      <c r="G35">
        <v>15.9570443762093</v>
      </c>
      <c r="H35">
        <v>8.5406070365359604E-3</v>
      </c>
      <c r="I35">
        <v>0.20325296715484201</v>
      </c>
      <c r="J35">
        <v>3.4043958865219603E-2</v>
      </c>
      <c r="K35">
        <v>20.5554234624747</v>
      </c>
      <c r="L35">
        <v>0.17503077864017799</v>
      </c>
      <c r="M35">
        <v>0</v>
      </c>
      <c r="N35">
        <v>0</v>
      </c>
      <c r="O35">
        <v>0.76360426509699797</v>
      </c>
      <c r="P35">
        <v>0</v>
      </c>
      <c r="Q35">
        <v>1.9712254993990998E-3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-21.325988738502801</v>
      </c>
      <c r="Z35">
        <v>2.9031878277369798</v>
      </c>
      <c r="AA35">
        <v>0.528441567953157</v>
      </c>
      <c r="AB35">
        <v>0.406634250371818</v>
      </c>
      <c r="AC35">
        <v>0.488398843125879</v>
      </c>
      <c r="AD35">
        <v>-2.4225103345404602</v>
      </c>
      <c r="AE35">
        <v>6.7482918031339496</v>
      </c>
      <c r="AF35">
        <v>24.160678346323699</v>
      </c>
      <c r="AG35">
        <v>0</v>
      </c>
      <c r="AH35">
        <f t="shared" si="0"/>
        <v>24.160678346323699</v>
      </c>
      <c r="AI35">
        <v>-1.2500000000000001E-2</v>
      </c>
      <c r="AJ35">
        <f t="shared" si="1"/>
        <v>-0.05</v>
      </c>
      <c r="AK35">
        <f t="shared" si="2"/>
        <v>-1.9471911437162672</v>
      </c>
    </row>
    <row r="36" spans="1:37" x14ac:dyDescent="0.25">
      <c r="A36" s="1">
        <v>42277</v>
      </c>
      <c r="B36">
        <v>3.5259089543978801</v>
      </c>
      <c r="C36">
        <v>1.2356277792392199E-2</v>
      </c>
      <c r="D36">
        <v>-1.7953127978888801</v>
      </c>
      <c r="E36">
        <v>6.6070168897515002E-4</v>
      </c>
      <c r="F36">
        <v>-2.0995334147488198</v>
      </c>
      <c r="G36">
        <v>15.7763437789385</v>
      </c>
      <c r="H36">
        <v>-4.2477570397110604E-3</v>
      </c>
      <c r="I36">
        <v>0.28887001840424698</v>
      </c>
      <c r="J36">
        <v>3.5677517473749101E-2</v>
      </c>
      <c r="K36">
        <v>19.544221270600602</v>
      </c>
      <c r="L36">
        <v>-0.13695603338821499</v>
      </c>
      <c r="M36">
        <v>0</v>
      </c>
      <c r="N36">
        <v>0</v>
      </c>
      <c r="O36">
        <v>0.76509540192737802</v>
      </c>
      <c r="P36">
        <v>0</v>
      </c>
      <c r="Q36">
        <v>4.3682157444931901E-3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-20.223944971928098</v>
      </c>
      <c r="Z36">
        <v>2.8187942692641799</v>
      </c>
      <c r="AA36">
        <v>0.54466719531850105</v>
      </c>
      <c r="AB36">
        <v>0.43512326901475001</v>
      </c>
      <c r="AC36">
        <v>0.49455257898051103</v>
      </c>
      <c r="AD36">
        <v>-2.33353188283257</v>
      </c>
      <c r="AE36">
        <v>6.7277837827857203</v>
      </c>
      <c r="AF36">
        <v>24.3808963745056</v>
      </c>
      <c r="AG36">
        <v>0</v>
      </c>
      <c r="AH36">
        <f t="shared" si="0"/>
        <v>24.3808963745056</v>
      </c>
      <c r="AI36">
        <v>-2.2499999999999999E-2</v>
      </c>
      <c r="AJ36">
        <f t="shared" si="1"/>
        <v>-0.09</v>
      </c>
      <c r="AK36">
        <f t="shared" si="2"/>
        <v>-2.1349771303452512</v>
      </c>
    </row>
    <row r="37" spans="1:37" x14ac:dyDescent="0.25">
      <c r="A37" s="1">
        <v>42369</v>
      </c>
      <c r="B37">
        <v>3.4784827533825902</v>
      </c>
      <c r="C37">
        <v>-4.5204655445949503E-2</v>
      </c>
      <c r="D37">
        <v>-1.7759449185391101</v>
      </c>
      <c r="E37">
        <v>-1.91405719494044E-4</v>
      </c>
      <c r="F37">
        <v>-2.5362496243449999</v>
      </c>
      <c r="G37">
        <v>15.7089178115331</v>
      </c>
      <c r="H37">
        <v>8.4574129823061991E-3</v>
      </c>
      <c r="I37">
        <v>0.31316083101731801</v>
      </c>
      <c r="J37">
        <v>3.2692837069818501E-2</v>
      </c>
      <c r="K37">
        <v>18.537113053056999</v>
      </c>
      <c r="L37">
        <v>0.18041669881139899</v>
      </c>
      <c r="M37">
        <v>0</v>
      </c>
      <c r="N37">
        <v>0</v>
      </c>
      <c r="O37">
        <v>0.76038374038045198</v>
      </c>
      <c r="P37">
        <v>0</v>
      </c>
      <c r="Q37">
        <v>2.7729340792018299E-3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-18.916082405079202</v>
      </c>
      <c r="Z37">
        <v>2.7137332085751802</v>
      </c>
      <c r="AA37">
        <v>0.54793816974602705</v>
      </c>
      <c r="AB37">
        <v>0.44512797757647798</v>
      </c>
      <c r="AC37">
        <v>0.48508075800417</v>
      </c>
      <c r="AD37">
        <v>-2.2396684501880499</v>
      </c>
      <c r="AE37">
        <v>6.7073482639337101</v>
      </c>
      <c r="AF37">
        <v>24.408284990831898</v>
      </c>
      <c r="AG37">
        <v>0</v>
      </c>
      <c r="AH37">
        <f t="shared" si="0"/>
        <v>24.408284990831898</v>
      </c>
      <c r="AI37">
        <v>-3.7499999999999999E-2</v>
      </c>
      <c r="AJ37">
        <f t="shared" si="1"/>
        <v>-0.15</v>
      </c>
      <c r="AK37">
        <f t="shared" si="2"/>
        <v>-2.4836260520720566</v>
      </c>
    </row>
    <row r="38" spans="1:37" x14ac:dyDescent="0.25">
      <c r="A38" s="1">
        <v>42460</v>
      </c>
      <c r="B38">
        <v>4.3093058542693896</v>
      </c>
      <c r="C38">
        <v>5.8106128186992401E-2</v>
      </c>
      <c r="D38">
        <v>-1.5573251327073201</v>
      </c>
      <c r="E38">
        <v>2.80709135429728E-4</v>
      </c>
      <c r="F38">
        <v>-3.26152847402855</v>
      </c>
      <c r="G38">
        <v>15.6210183869127</v>
      </c>
      <c r="H38">
        <v>-8.6329108024674195E-3</v>
      </c>
      <c r="I38">
        <v>0.24899108456566699</v>
      </c>
      <c r="J38">
        <v>3.2610229558701499E-2</v>
      </c>
      <c r="K38">
        <v>17.274174586154398</v>
      </c>
      <c r="L38">
        <v>0.16062284638484001</v>
      </c>
      <c r="M38">
        <v>0</v>
      </c>
      <c r="N38">
        <v>0</v>
      </c>
      <c r="O38">
        <v>0.747843120668501</v>
      </c>
      <c r="P38">
        <v>0</v>
      </c>
      <c r="Q38">
        <v>7.6277978422025199E-3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-17.316785705064</v>
      </c>
      <c r="Z38">
        <v>2.6201304981511999</v>
      </c>
      <c r="AA38">
        <v>0.58729040991637405</v>
      </c>
      <c r="AB38">
        <v>0.47433120097870402</v>
      </c>
      <c r="AC38">
        <v>0.48048579326908702</v>
      </c>
      <c r="AD38">
        <v>-2.13710767313985</v>
      </c>
      <c r="AE38">
        <v>6.6869848936313998</v>
      </c>
      <c r="AF38">
        <v>25.0284236438834</v>
      </c>
      <c r="AG38">
        <v>0</v>
      </c>
      <c r="AH38">
        <f t="shared" si="0"/>
        <v>25.0284236438834</v>
      </c>
      <c r="AI38">
        <v>-6.5000000000000002E-2</v>
      </c>
      <c r="AJ38">
        <f t="shared" si="1"/>
        <v>-0.26</v>
      </c>
      <c r="AK38">
        <f t="shared" si="2"/>
        <v>-2.9903622309344149</v>
      </c>
    </row>
    <row r="39" spans="1:37" x14ac:dyDescent="0.25">
      <c r="A39" s="1">
        <v>42551</v>
      </c>
      <c r="B39">
        <v>4.2364002851625697</v>
      </c>
      <c r="C39">
        <v>0.156338969375453</v>
      </c>
      <c r="D39">
        <v>-1.22846159705744</v>
      </c>
      <c r="E39">
        <v>3.6179751912595302E-4</v>
      </c>
      <c r="F39">
        <v>-3.7606564498135899</v>
      </c>
      <c r="G39">
        <v>15.465154953282401</v>
      </c>
      <c r="H39">
        <v>4.4185367360086499E-2</v>
      </c>
      <c r="I39">
        <v>0.23645336601815001</v>
      </c>
      <c r="J39">
        <v>3.2578961073455301E-2</v>
      </c>
      <c r="K39">
        <v>15.860859744674899</v>
      </c>
      <c r="L39">
        <v>0.25456811455626399</v>
      </c>
      <c r="M39">
        <v>0</v>
      </c>
      <c r="N39">
        <v>0</v>
      </c>
      <c r="O39">
        <v>0.73774740339659695</v>
      </c>
      <c r="P39">
        <v>0</v>
      </c>
      <c r="Q39">
        <v>7.4390909843263901E-3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-15.6002604125992</v>
      </c>
      <c r="Z39">
        <v>2.4511104815339602</v>
      </c>
      <c r="AA39">
        <v>0.60762385009425901</v>
      </c>
      <c r="AB39">
        <v>0.49722851101684901</v>
      </c>
      <c r="AC39">
        <v>0.47710317039559302</v>
      </c>
      <c r="AD39">
        <v>-2.02832543695594</v>
      </c>
      <c r="AE39">
        <v>6.6666933226219998</v>
      </c>
      <c r="AF39">
        <v>25.114143492639801</v>
      </c>
      <c r="AG39">
        <v>0</v>
      </c>
      <c r="AH39">
        <f t="shared" si="0"/>
        <v>25.114143492639801</v>
      </c>
      <c r="AI39">
        <v>-8.7499999999999994E-2</v>
      </c>
      <c r="AJ39">
        <f t="shared" si="1"/>
        <v>-0.35</v>
      </c>
      <c r="AK39">
        <f t="shared" si="2"/>
        <v>-3.3530873115570157</v>
      </c>
    </row>
    <row r="40" spans="1:37" x14ac:dyDescent="0.25">
      <c r="A40" s="1">
        <v>42643</v>
      </c>
      <c r="B40">
        <v>4.26030989784278</v>
      </c>
      <c r="C40">
        <v>0.25392783070284902</v>
      </c>
      <c r="D40">
        <v>-0.92696430105240402</v>
      </c>
      <c r="E40" s="16">
        <v>8.0105577593056601E-5</v>
      </c>
      <c r="F40">
        <v>-4.2094190046629603</v>
      </c>
      <c r="G40">
        <v>15.301603428889999</v>
      </c>
      <c r="H40">
        <v>-2.6028976207532899E-2</v>
      </c>
      <c r="I40">
        <v>0.23795677397919099</v>
      </c>
      <c r="J40">
        <v>3.0091138789140201E-2</v>
      </c>
      <c r="K40">
        <v>14.213972517318201</v>
      </c>
      <c r="L40">
        <v>0.39061561162706399</v>
      </c>
      <c r="M40">
        <v>0</v>
      </c>
      <c r="N40">
        <v>0</v>
      </c>
      <c r="O40">
        <v>0.72552251103715704</v>
      </c>
      <c r="P40">
        <v>0</v>
      </c>
      <c r="Q40">
        <v>2.31193370419242E-2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-13.8546389684141</v>
      </c>
      <c r="Z40">
        <v>2.2748465986351101</v>
      </c>
      <c r="AA40">
        <v>0.61438908850497198</v>
      </c>
      <c r="AB40">
        <v>0.514784423690411</v>
      </c>
      <c r="AC40">
        <v>0.472430495482631</v>
      </c>
      <c r="AD40">
        <v>-1.9157738125833199</v>
      </c>
      <c r="AE40">
        <v>6.6464732052282196</v>
      </c>
      <c r="AF40">
        <v>25.027297901426799</v>
      </c>
      <c r="AG40">
        <v>0</v>
      </c>
      <c r="AH40">
        <f t="shared" si="0"/>
        <v>25.027297901426799</v>
      </c>
      <c r="AI40">
        <v>-9.2499999999999999E-2</v>
      </c>
      <c r="AJ40">
        <f t="shared" si="1"/>
        <v>-0.37</v>
      </c>
      <c r="AK40">
        <f t="shared" si="2"/>
        <v>-3.4155328536710607</v>
      </c>
    </row>
    <row r="41" spans="1:37" x14ac:dyDescent="0.25">
      <c r="A41" s="1">
        <v>42735</v>
      </c>
      <c r="B41">
        <v>3.7364409060482</v>
      </c>
      <c r="C41">
        <v>0.26544596960515598</v>
      </c>
      <c r="D41">
        <v>-0.89129192658950096</v>
      </c>
      <c r="E41" s="16">
        <v>3.9082176225202097E-5</v>
      </c>
      <c r="F41">
        <v>-4.0065442024626003</v>
      </c>
      <c r="G41">
        <v>15.1694936597279</v>
      </c>
      <c r="H41">
        <v>1.78534037679903E-2</v>
      </c>
      <c r="I41">
        <v>0.231735321445317</v>
      </c>
      <c r="J41">
        <v>2.8152980084986699E-2</v>
      </c>
      <c r="K41">
        <v>12.9462800994348</v>
      </c>
      <c r="L41">
        <v>0.50969368952070104</v>
      </c>
      <c r="M41">
        <v>0</v>
      </c>
      <c r="N41">
        <v>0</v>
      </c>
      <c r="O41">
        <v>0.71392595010827598</v>
      </c>
      <c r="P41">
        <v>0</v>
      </c>
      <c r="Q41">
        <v>2.2779918784525101E-2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-12.064512826366901</v>
      </c>
      <c r="Z41">
        <v>2.0618215234467701</v>
      </c>
      <c r="AA41">
        <v>0.59679117648735103</v>
      </c>
      <c r="AB41">
        <v>0.50253293347024897</v>
      </c>
      <c r="AC41">
        <v>0.45472090219773897</v>
      </c>
      <c r="AD41">
        <v>-1.8143604111785701</v>
      </c>
      <c r="AE41">
        <v>6.6263241992474704</v>
      </c>
      <c r="AF41">
        <v>25.107322348956</v>
      </c>
      <c r="AG41">
        <v>0</v>
      </c>
      <c r="AH41">
        <f t="shared" si="0"/>
        <v>25.107322348956</v>
      </c>
      <c r="AI41">
        <v>-9.2499999999999999E-2</v>
      </c>
      <c r="AJ41">
        <f t="shared" si="1"/>
        <v>-0.37</v>
      </c>
      <c r="AK41">
        <f t="shared" si="2"/>
        <v>-3.767199347599715</v>
      </c>
    </row>
    <row r="42" spans="1:37" x14ac:dyDescent="0.25">
      <c r="A42" s="1">
        <v>42825</v>
      </c>
      <c r="B42">
        <v>4.0141404646512102</v>
      </c>
      <c r="C42">
        <v>0.25816525623320002</v>
      </c>
      <c r="D42">
        <v>-0.96198798251108697</v>
      </c>
      <c r="E42">
        <v>7.2387268573640903E-4</v>
      </c>
      <c r="F42">
        <v>-3.72559553805156</v>
      </c>
      <c r="G42">
        <v>14.9989255557124</v>
      </c>
      <c r="H42">
        <v>-1.2888892673212599E-2</v>
      </c>
      <c r="I42">
        <v>0.23211334849710299</v>
      </c>
      <c r="J42">
        <v>2.7284305654578799E-2</v>
      </c>
      <c r="K42">
        <v>11.514093606335001</v>
      </c>
      <c r="L42">
        <v>0.46261112362857798</v>
      </c>
      <c r="M42">
        <v>0</v>
      </c>
      <c r="N42">
        <v>0</v>
      </c>
      <c r="O42">
        <v>0.70188240301317295</v>
      </c>
      <c r="P42">
        <v>0</v>
      </c>
      <c r="Q42">
        <v>2.71866582175588E-2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-10.268616598926</v>
      </c>
      <c r="Z42">
        <v>1.8547187176997799</v>
      </c>
      <c r="AA42">
        <v>0.573070530776702</v>
      </c>
      <c r="AB42">
        <v>0.487881555189418</v>
      </c>
      <c r="AC42">
        <v>0.434880131091955</v>
      </c>
      <c r="AD42">
        <v>-1.7197525273252401</v>
      </c>
      <c r="AE42">
        <v>6.6062459658519197</v>
      </c>
      <c r="AF42">
        <v>25.505081955751098</v>
      </c>
      <c r="AG42">
        <v>0</v>
      </c>
      <c r="AH42">
        <f t="shared" si="0"/>
        <v>25.505081955751098</v>
      </c>
      <c r="AI42">
        <v>-9.2499999999999999E-2</v>
      </c>
      <c r="AJ42">
        <f t="shared" si="1"/>
        <v>-0.37</v>
      </c>
      <c r="AK42">
        <f t="shared" si="2"/>
        <v>-3.9481578178547898</v>
      </c>
    </row>
    <row r="43" spans="1:37" x14ac:dyDescent="0.25">
      <c r="A43" s="1">
        <v>42916</v>
      </c>
      <c r="B43">
        <v>3.9621422932021702</v>
      </c>
      <c r="C43">
        <v>0.24960215938684899</v>
      </c>
      <c r="D43">
        <v>-1.0074930093411301</v>
      </c>
      <c r="E43">
        <v>-1.0723134285054401E-4</v>
      </c>
      <c r="F43">
        <v>-3.6732677263512601</v>
      </c>
      <c r="G43">
        <v>14.911434431281799</v>
      </c>
      <c r="H43">
        <v>-1.4413922654416199E-2</v>
      </c>
      <c r="I43">
        <v>0.24258775081158401</v>
      </c>
      <c r="J43">
        <v>2.57469293221088E-2</v>
      </c>
      <c r="K43">
        <v>9.9924471707061304</v>
      </c>
      <c r="L43">
        <v>0.96915613550809698</v>
      </c>
      <c r="M43">
        <v>0</v>
      </c>
      <c r="N43">
        <v>0</v>
      </c>
      <c r="O43">
        <v>0.68626549793075498</v>
      </c>
      <c r="P43">
        <v>0</v>
      </c>
      <c r="Q43">
        <v>2.0797124748501601E-2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-8.5184680278901208</v>
      </c>
      <c r="Z43">
        <v>1.6163751096279899</v>
      </c>
      <c r="AA43">
        <v>0.52178139129755297</v>
      </c>
      <c r="AB43">
        <v>0.443828977159893</v>
      </c>
      <c r="AC43">
        <v>0.40110432135542501</v>
      </c>
      <c r="AD43">
        <v>-1.6445216219730301</v>
      </c>
      <c r="AE43">
        <v>6.5862381694933596</v>
      </c>
      <c r="AF43">
        <v>25.771235922279299</v>
      </c>
      <c r="AG43">
        <v>0</v>
      </c>
      <c r="AH43">
        <f t="shared" si="0"/>
        <v>25.771235922279299</v>
      </c>
      <c r="AI43">
        <v>-9.2499999999999999E-2</v>
      </c>
      <c r="AJ43">
        <f t="shared" si="1"/>
        <v>-0.37</v>
      </c>
      <c r="AK43">
        <f t="shared" si="2"/>
        <v>-3.8688128182145958</v>
      </c>
    </row>
    <row r="44" spans="1:37" x14ac:dyDescent="0.25">
      <c r="A44" s="1">
        <v>43008</v>
      </c>
      <c r="B44">
        <v>4.3599623595096801</v>
      </c>
      <c r="C44">
        <v>0.3236691232544</v>
      </c>
      <c r="D44">
        <v>-1.0218839874649099</v>
      </c>
      <c r="E44">
        <v>6.6198019689844997E-4</v>
      </c>
      <c r="F44">
        <v>-3.5626897754039999</v>
      </c>
      <c r="G44">
        <v>14.6758667623091</v>
      </c>
      <c r="H44">
        <v>-6.01165426789482E-3</v>
      </c>
      <c r="I44">
        <v>0.241688134785598</v>
      </c>
      <c r="J44">
        <v>2.1601802589640399E-2</v>
      </c>
      <c r="K44">
        <v>8.4415618295780099</v>
      </c>
      <c r="L44">
        <v>0.65056976128211597</v>
      </c>
      <c r="M44">
        <v>0</v>
      </c>
      <c r="N44">
        <v>0</v>
      </c>
      <c r="O44">
        <v>0.674245947061616</v>
      </c>
      <c r="P44">
        <v>0</v>
      </c>
      <c r="Q44">
        <v>1.6378401057063501E-2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-6.7294600815059997</v>
      </c>
      <c r="Z44">
        <v>1.4432709561271</v>
      </c>
      <c r="AA44">
        <v>0.52926342403295301</v>
      </c>
      <c r="AB44">
        <v>0.43835472087325</v>
      </c>
      <c r="AC44">
        <v>0.39731839633688698</v>
      </c>
      <c r="AD44">
        <v>-1.5659007054117999</v>
      </c>
      <c r="AE44">
        <v>6.5663004778124296</v>
      </c>
      <c r="AF44">
        <v>25.894767872751999</v>
      </c>
      <c r="AG44">
        <v>0</v>
      </c>
      <c r="AH44">
        <f t="shared" si="0"/>
        <v>25.894767872751999</v>
      </c>
      <c r="AI44">
        <v>-9.2499999999999999E-2</v>
      </c>
      <c r="AJ44">
        <f t="shared" si="1"/>
        <v>-0.37</v>
      </c>
      <c r="AK44">
        <f t="shared" si="2"/>
        <v>-3.9986544870920167</v>
      </c>
    </row>
    <row r="45" spans="1:37" x14ac:dyDescent="0.25">
      <c r="A45" s="1">
        <v>43100</v>
      </c>
      <c r="B45">
        <v>4.5442971187641996</v>
      </c>
      <c r="C45">
        <v>0.29789447272904901</v>
      </c>
      <c r="D45">
        <v>-0.99294856094550998</v>
      </c>
      <c r="E45">
        <v>1.1839135634316601E-4</v>
      </c>
      <c r="F45">
        <v>-3.6052604000450201</v>
      </c>
      <c r="G45">
        <v>14.525847992090799</v>
      </c>
      <c r="H45">
        <v>-2.5695207795042901E-2</v>
      </c>
      <c r="I45">
        <v>0.31874002908194798</v>
      </c>
      <c r="J45">
        <v>1.6299063309560699E-2</v>
      </c>
      <c r="K45">
        <v>7.1111638204573797</v>
      </c>
      <c r="L45">
        <v>0.76266987482100601</v>
      </c>
      <c r="M45">
        <v>0</v>
      </c>
      <c r="N45">
        <v>0</v>
      </c>
      <c r="O45">
        <v>0.66522039360159402</v>
      </c>
      <c r="P45">
        <v>0</v>
      </c>
      <c r="Q45">
        <v>6.1682172846094004E-3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-4.9739609809022696</v>
      </c>
      <c r="Z45">
        <v>1.2688292372487</v>
      </c>
      <c r="AA45">
        <v>0.52786686026048601</v>
      </c>
      <c r="AB45">
        <v>0.42151084965882701</v>
      </c>
      <c r="AC45">
        <v>0.385668524917473</v>
      </c>
      <c r="AD45">
        <v>-1.4937708936694001</v>
      </c>
      <c r="AE45">
        <v>6.54643256155203</v>
      </c>
      <c r="AF45">
        <v>26.307091363776699</v>
      </c>
      <c r="AG45">
        <v>0</v>
      </c>
      <c r="AH45">
        <f t="shared" si="0"/>
        <v>26.307091363776699</v>
      </c>
      <c r="AI45">
        <v>-9.2499999999999999E-2</v>
      </c>
      <c r="AJ45">
        <f t="shared" si="1"/>
        <v>-0.37</v>
      </c>
      <c r="AK45">
        <f t="shared" si="2"/>
        <v>-4.2825278115727894</v>
      </c>
    </row>
    <row r="46" spans="1:37" x14ac:dyDescent="0.25">
      <c r="A46" s="1">
        <v>43190</v>
      </c>
      <c r="B46">
        <v>4.1051925278799404</v>
      </c>
      <c r="C46">
        <v>0.344241732418822</v>
      </c>
      <c r="D46">
        <v>-1.01967389194373</v>
      </c>
      <c r="E46">
        <v>6.7193524952454797E-4</v>
      </c>
      <c r="F46">
        <v>-3.5175479442093698</v>
      </c>
      <c r="G46">
        <v>14.396297360659799</v>
      </c>
      <c r="H46">
        <v>4.2586954700018401E-2</v>
      </c>
      <c r="I46">
        <v>0.33787357599676499</v>
      </c>
      <c r="J46">
        <v>1.59690297285459E-2</v>
      </c>
      <c r="K46">
        <v>5.8976051089950801</v>
      </c>
      <c r="L46">
        <v>0.82579184424073904</v>
      </c>
      <c r="M46">
        <v>0</v>
      </c>
      <c r="N46">
        <v>0</v>
      </c>
      <c r="O46">
        <v>0.651233956948716</v>
      </c>
      <c r="P46">
        <v>0</v>
      </c>
      <c r="Q46">
        <v>-6.8010169029445004E-3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-3.2811805574167798</v>
      </c>
      <c r="Z46">
        <v>1.0997840542442601</v>
      </c>
      <c r="AA46">
        <v>0.52597911443571899</v>
      </c>
      <c r="AB46">
        <v>0.40476101762787597</v>
      </c>
      <c r="AC46">
        <v>0.36436501003856597</v>
      </c>
      <c r="AD46">
        <v>-1.44642591304688</v>
      </c>
      <c r="AE46">
        <v>6.5266340944746801</v>
      </c>
      <c r="AF46">
        <v>26.267357994119202</v>
      </c>
      <c r="AG46">
        <v>0</v>
      </c>
      <c r="AH46">
        <f t="shared" si="0"/>
        <v>26.267357994119202</v>
      </c>
      <c r="AI46">
        <v>-9.2499999999999999E-2</v>
      </c>
      <c r="AJ46">
        <f t="shared" si="1"/>
        <v>-0.37</v>
      </c>
      <c r="AK46">
        <f t="shared" si="2"/>
        <v>-4.5861217918265575</v>
      </c>
    </row>
    <row r="47" spans="1:37" x14ac:dyDescent="0.25">
      <c r="A47" s="1">
        <v>43281</v>
      </c>
      <c r="B47">
        <v>4.5500219197783904</v>
      </c>
      <c r="C47">
        <v>0.340773245162038</v>
      </c>
      <c r="D47">
        <v>-1.02832718289888</v>
      </c>
      <c r="E47">
        <v>3.7717199567211999E-4</v>
      </c>
      <c r="F47">
        <v>-3.5220660257015801</v>
      </c>
      <c r="G47">
        <v>14.3152189797754</v>
      </c>
      <c r="H47">
        <v>-1.8750530733100401E-2</v>
      </c>
      <c r="I47">
        <v>0.33401342267769701</v>
      </c>
      <c r="J47">
        <v>1.0631016700208501E-2</v>
      </c>
      <c r="K47">
        <v>4.7340066207270199</v>
      </c>
      <c r="L47">
        <v>0.93791139914956601</v>
      </c>
      <c r="M47">
        <v>0</v>
      </c>
      <c r="N47">
        <v>0</v>
      </c>
      <c r="O47">
        <v>0.63684907587778306</v>
      </c>
      <c r="P47">
        <v>0</v>
      </c>
      <c r="Q47">
        <v>1.9486260361562899E-3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-1.6036707285897001</v>
      </c>
      <c r="Z47">
        <v>0.93100496992645199</v>
      </c>
      <c r="AA47">
        <v>0.53701931233987499</v>
      </c>
      <c r="AB47">
        <v>0.401689216511189</v>
      </c>
      <c r="AC47">
        <v>0.36318560208466</v>
      </c>
      <c r="AD47">
        <v>-1.41407409584393</v>
      </c>
      <c r="AE47">
        <v>6.5069047532835</v>
      </c>
      <c r="AF47">
        <v>27.014666768258198</v>
      </c>
      <c r="AG47">
        <v>0</v>
      </c>
      <c r="AH47">
        <f t="shared" si="0"/>
        <v>27.014666768258198</v>
      </c>
      <c r="AI47">
        <v>-9.2499999999999999E-2</v>
      </c>
      <c r="AJ47">
        <f t="shared" si="1"/>
        <v>-0.37</v>
      </c>
      <c r="AK47">
        <f t="shared" si="2"/>
        <v>-4.9560099730333489</v>
      </c>
    </row>
    <row r="48" spans="1:37" x14ac:dyDescent="0.25">
      <c r="A48" s="1">
        <v>43373</v>
      </c>
      <c r="B48">
        <v>4.7019269984923602</v>
      </c>
      <c r="C48">
        <v>0.36269158448494798</v>
      </c>
      <c r="D48">
        <v>-0.97280136679210805</v>
      </c>
      <c r="E48">
        <v>3.4913914588466702E-4</v>
      </c>
      <c r="F48">
        <v>-3.6386852935018399</v>
      </c>
      <c r="G48">
        <v>14.2285193663506</v>
      </c>
      <c r="H48">
        <v>4.20517193774309E-2</v>
      </c>
      <c r="I48">
        <v>0.32863740604582697</v>
      </c>
      <c r="J48">
        <v>5.5000195170997104E-3</v>
      </c>
      <c r="K48">
        <v>3.2791401594182599</v>
      </c>
      <c r="L48">
        <v>0.94752895070158405</v>
      </c>
      <c r="M48">
        <v>0</v>
      </c>
      <c r="N48">
        <v>0</v>
      </c>
      <c r="O48">
        <v>0.61997568269597203</v>
      </c>
      <c r="P48">
        <v>0</v>
      </c>
      <c r="Q48">
        <v>1.5824978911138799E-3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-6.4807450244973499E-3</v>
      </c>
      <c r="Z48">
        <v>0.74914248125564997</v>
      </c>
      <c r="AA48">
        <v>0.54415984336630296</v>
      </c>
      <c r="AB48">
        <v>0.41409158578419297</v>
      </c>
      <c r="AC48">
        <v>0.37080726501404498</v>
      </c>
      <c r="AD48">
        <v>-1.3935321199334001</v>
      </c>
      <c r="AE48">
        <v>6.4872442175467704</v>
      </c>
      <c r="AF48">
        <v>27.071849391836</v>
      </c>
      <c r="AG48">
        <v>0</v>
      </c>
      <c r="AH48">
        <f t="shared" si="0"/>
        <v>27.071849391836</v>
      </c>
      <c r="AI48">
        <v>-9.2499999999999999E-2</v>
      </c>
      <c r="AJ48">
        <f t="shared" si="1"/>
        <v>-0.37</v>
      </c>
      <c r="AK48">
        <f t="shared" si="2"/>
        <v>-4.9473041525765256</v>
      </c>
    </row>
    <row r="49" spans="1:37" x14ac:dyDescent="0.25">
      <c r="A49" s="1">
        <v>43465</v>
      </c>
      <c r="B49">
        <v>4.6307917084293999</v>
      </c>
      <c r="C49">
        <v>0.37739327547078799</v>
      </c>
      <c r="D49">
        <v>-0.964281748519357</v>
      </c>
      <c r="E49">
        <v>1.0548722751233401E-4</v>
      </c>
      <c r="F49">
        <v>-3.6840792399178</v>
      </c>
      <c r="G49">
        <v>14.238266078715901</v>
      </c>
      <c r="H49">
        <v>-1.99372184449653E-2</v>
      </c>
      <c r="I49">
        <v>0.32785045916309402</v>
      </c>
      <c r="J49">
        <v>4.6657693497082903E-3</v>
      </c>
      <c r="K49">
        <v>2.05181858635647</v>
      </c>
      <c r="L49">
        <v>1.17576037790148</v>
      </c>
      <c r="M49">
        <v>0</v>
      </c>
      <c r="N49">
        <v>0</v>
      </c>
      <c r="O49">
        <v>0.60217888672216302</v>
      </c>
      <c r="P49">
        <v>0</v>
      </c>
      <c r="Q49">
        <v>1.34815498850659E-2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1.54361128736366</v>
      </c>
      <c r="Z49">
        <v>0.56233493620960895</v>
      </c>
      <c r="AA49">
        <v>0.52338725479814996</v>
      </c>
      <c r="AB49">
        <v>0.40479635289844201</v>
      </c>
      <c r="AC49">
        <v>0.373273384624983</v>
      </c>
      <c r="AD49">
        <v>-1.3924471244594701</v>
      </c>
      <c r="AE49">
        <v>6.4676521696257998</v>
      </c>
      <c r="AF49">
        <v>27.2366222334004</v>
      </c>
      <c r="AG49">
        <v>0</v>
      </c>
      <c r="AH49">
        <f t="shared" si="0"/>
        <v>27.2366222334004</v>
      </c>
      <c r="AI49">
        <v>-9.2499999999999999E-2</v>
      </c>
      <c r="AJ49">
        <f t="shared" si="1"/>
        <v>-0.37</v>
      </c>
      <c r="AK49">
        <f t="shared" si="2"/>
        <v>-5.0389535645140073</v>
      </c>
    </row>
    <row r="50" spans="1:37" x14ac:dyDescent="0.25">
      <c r="A50" s="1">
        <v>43555</v>
      </c>
      <c r="B50">
        <v>5.46635097187903</v>
      </c>
      <c r="C50">
        <v>0.54387796376647302</v>
      </c>
      <c r="D50">
        <v>-0.92738881419588903</v>
      </c>
      <c r="E50">
        <v>9.3018311742037204E-4</v>
      </c>
      <c r="F50">
        <v>-3.74313774744446</v>
      </c>
      <c r="G50">
        <v>14.1528236773194</v>
      </c>
      <c r="H50">
        <v>2.50110084139471E-2</v>
      </c>
      <c r="I50">
        <v>0.24757381400363501</v>
      </c>
      <c r="J50">
        <v>2.5520825317520701E-3</v>
      </c>
      <c r="K50">
        <v>0.6304911503167</v>
      </c>
      <c r="L50">
        <v>0.963011479370255</v>
      </c>
      <c r="M50">
        <v>0</v>
      </c>
      <c r="N50">
        <v>0</v>
      </c>
      <c r="O50">
        <v>0.58031273063440203</v>
      </c>
      <c r="P50">
        <v>0</v>
      </c>
      <c r="Q50">
        <v>1.74326192390649E-2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3.0295862881203699</v>
      </c>
      <c r="Z50">
        <v>0.39635770457490399</v>
      </c>
      <c r="AA50">
        <v>0.52021904893466597</v>
      </c>
      <c r="AB50">
        <v>0.41160838970737301</v>
      </c>
      <c r="AC50">
        <v>0.393877022063093</v>
      </c>
      <c r="AD50">
        <v>-1.38285610450653</v>
      </c>
      <c r="AE50">
        <v>6.4481282946058203</v>
      </c>
      <c r="AF50">
        <v>27.776761762451301</v>
      </c>
      <c r="AG50">
        <v>0</v>
      </c>
      <c r="AH50">
        <f t="shared" si="0"/>
        <v>27.776761762451301</v>
      </c>
      <c r="AI50">
        <v>-9.2499999999999999E-2</v>
      </c>
      <c r="AJ50">
        <f t="shared" si="1"/>
        <v>-0.37</v>
      </c>
      <c r="AK50">
        <f t="shared" si="2"/>
        <v>-4.9495962298449792</v>
      </c>
    </row>
    <row r="51" spans="1:37" x14ac:dyDescent="0.25">
      <c r="A51" s="1">
        <v>43646</v>
      </c>
      <c r="B51">
        <v>4.5914349482500096</v>
      </c>
      <c r="C51">
        <v>0.66160241879845405</v>
      </c>
      <c r="D51">
        <v>-0.73815971240865297</v>
      </c>
      <c r="E51">
        <v>-2.36067338819093E-4</v>
      </c>
      <c r="F51">
        <v>-4.1797184837783004</v>
      </c>
      <c r="G51">
        <v>14.1269650404007</v>
      </c>
      <c r="H51">
        <v>-3.1777891820047602E-2</v>
      </c>
      <c r="I51">
        <v>0.23156313400237999</v>
      </c>
      <c r="J51">
        <v>-1.79806840681369E-3</v>
      </c>
      <c r="K51">
        <v>-0.45141577331129901</v>
      </c>
      <c r="L51">
        <v>1.39092606657259</v>
      </c>
      <c r="M51">
        <v>0</v>
      </c>
      <c r="N51">
        <v>0</v>
      </c>
      <c r="O51">
        <v>0.55588123754131002</v>
      </c>
      <c r="P51">
        <v>0</v>
      </c>
      <c r="Q51">
        <v>2.3569076336639301E-2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4.5132165654304996</v>
      </c>
      <c r="Z51">
        <v>0.251594760278052</v>
      </c>
      <c r="AA51">
        <v>0.51669997528920397</v>
      </c>
      <c r="AB51">
        <v>0.41740114845376403</v>
      </c>
      <c r="AC51">
        <v>0.40830066953650801</v>
      </c>
      <c r="AD51">
        <v>-1.3666516013227199</v>
      </c>
      <c r="AE51">
        <v>6.4286722802299296</v>
      </c>
      <c r="AF51">
        <v>27.3480697227332</v>
      </c>
      <c r="AG51">
        <v>0</v>
      </c>
      <c r="AH51">
        <f t="shared" si="0"/>
        <v>27.3480697227332</v>
      </c>
      <c r="AI51">
        <v>-9.2499999999999999E-2</v>
      </c>
      <c r="AJ51">
        <f t="shared" si="1"/>
        <v>-0.37</v>
      </c>
      <c r="AK51">
        <f t="shared" si="2"/>
        <v>-5.2150269818953179</v>
      </c>
    </row>
    <row r="52" spans="1:37" x14ac:dyDescent="0.25">
      <c r="A52" s="1">
        <v>43738</v>
      </c>
      <c r="B52">
        <v>5.0605758796596803</v>
      </c>
      <c r="C52">
        <v>0.94467471780366197</v>
      </c>
      <c r="D52">
        <v>-0.50175822380198998</v>
      </c>
      <c r="E52">
        <v>1.4957633564654199E-3</v>
      </c>
      <c r="F52">
        <v>-4.9343238624743204</v>
      </c>
      <c r="G52">
        <v>13.932635491931199</v>
      </c>
      <c r="H52">
        <v>1.9066952658611198E-2</v>
      </c>
      <c r="I52">
        <v>0.16162047373613</v>
      </c>
      <c r="J52">
        <v>-3.0675492107325999E-3</v>
      </c>
      <c r="K52">
        <v>-1.7068414865541499</v>
      </c>
      <c r="L52">
        <v>0.97417816334604501</v>
      </c>
      <c r="M52">
        <v>0</v>
      </c>
      <c r="N52">
        <v>0</v>
      </c>
      <c r="O52">
        <v>0.52849962218542201</v>
      </c>
      <c r="P52">
        <v>0</v>
      </c>
      <c r="Q52">
        <v>1.8892045794176599E-2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6.1707205353392203</v>
      </c>
      <c r="Z52">
        <v>0.226846552382589</v>
      </c>
      <c r="AA52">
        <v>0.59344151331615302</v>
      </c>
      <c r="AB52">
        <v>0.47751579767376501</v>
      </c>
      <c r="AC52">
        <v>0.45937794008285798</v>
      </c>
      <c r="AD52">
        <v>-1.31723179138341</v>
      </c>
      <c r="AE52">
        <v>6.4092838168358597</v>
      </c>
      <c r="AF52">
        <v>27.515602352677</v>
      </c>
      <c r="AG52">
        <v>0</v>
      </c>
      <c r="AH52">
        <f t="shared" si="0"/>
        <v>27.515602352677</v>
      </c>
      <c r="AI52">
        <v>-0.105</v>
      </c>
      <c r="AJ52">
        <f t="shared" si="1"/>
        <v>-0.42</v>
      </c>
      <c r="AK52">
        <f t="shared" si="2"/>
        <v>-5.8523286830424466</v>
      </c>
    </row>
    <row r="53" spans="1:37" x14ac:dyDescent="0.25">
      <c r="A53" s="1">
        <v>43830</v>
      </c>
      <c r="B53">
        <v>4.6381826112158198</v>
      </c>
      <c r="C53">
        <v>0.97497288545424998</v>
      </c>
      <c r="D53">
        <v>-0.364415998338805</v>
      </c>
      <c r="E53">
        <v>1.0474310760908499E-3</v>
      </c>
      <c r="F53">
        <v>-5.1203691738708201</v>
      </c>
      <c r="G53">
        <v>13.952763749902299</v>
      </c>
      <c r="H53">
        <v>1.0227682038671001E-2</v>
      </c>
      <c r="I53">
        <v>0.16089121287140701</v>
      </c>
      <c r="J53">
        <v>-3.4649890022507399E-3</v>
      </c>
      <c r="K53">
        <v>-3.3418700376537398</v>
      </c>
      <c r="L53">
        <v>1.6399267332896601</v>
      </c>
      <c r="M53">
        <v>0</v>
      </c>
      <c r="N53">
        <v>0</v>
      </c>
      <c r="O53">
        <v>0.50051946734742303</v>
      </c>
      <c r="P53">
        <v>0</v>
      </c>
      <c r="Q53">
        <v>1.3614543753909501E-2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7.6216486794387297</v>
      </c>
      <c r="Z53">
        <v>-2.3047164719153999E-2</v>
      </c>
      <c r="AA53">
        <v>0.53419432546662404</v>
      </c>
      <c r="AB53">
        <v>0.43571463851851699</v>
      </c>
      <c r="AC53">
        <v>0.43237635067600999</v>
      </c>
      <c r="AD53">
        <v>-1.28804283782629</v>
      </c>
      <c r="AE53">
        <v>6.3899625972952903</v>
      </c>
      <c r="AF53">
        <v>27.164832706933499</v>
      </c>
      <c r="AG53">
        <v>0</v>
      </c>
      <c r="AH53">
        <f t="shared" si="0"/>
        <v>27.164832706933499</v>
      </c>
      <c r="AI53">
        <v>-0.1125</v>
      </c>
      <c r="AJ53">
        <f t="shared" si="1"/>
        <v>-0.45</v>
      </c>
      <c r="AK53">
        <f t="shared" si="2"/>
        <v>-5.3214934212481202</v>
      </c>
    </row>
    <row r="54" spans="1:37" x14ac:dyDescent="0.25">
      <c r="A54" s="1">
        <v>43921</v>
      </c>
      <c r="B54">
        <v>4.2821819643880801</v>
      </c>
      <c r="C54">
        <v>0.84198556148073</v>
      </c>
      <c r="D54">
        <v>-0.30970278991987499</v>
      </c>
      <c r="E54">
        <v>8.7804316179901799E-4</v>
      </c>
      <c r="F54">
        <v>-5.4474893846658397</v>
      </c>
      <c r="G54">
        <v>13.970820784167501</v>
      </c>
      <c r="H54">
        <v>3.39466441753416E-3</v>
      </c>
      <c r="I54">
        <v>0.18035028468277001</v>
      </c>
      <c r="J54">
        <v>-7.7564687259003701E-3</v>
      </c>
      <c r="K54">
        <v>-5.9138873468532998</v>
      </c>
      <c r="L54">
        <v>1.97346595430271</v>
      </c>
      <c r="M54">
        <v>0</v>
      </c>
      <c r="N54">
        <v>0</v>
      </c>
      <c r="O54">
        <v>0.476388444289775</v>
      </c>
      <c r="P54">
        <v>0</v>
      </c>
      <c r="Q54">
        <v>1.5713432298834401E-2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9.0264009854338507</v>
      </c>
      <c r="Z54">
        <v>-0.28489757525085702</v>
      </c>
      <c r="AA54">
        <v>0.49400142878594799</v>
      </c>
      <c r="AB54">
        <v>0.41358950307318798</v>
      </c>
      <c r="AC54">
        <v>0.40946086966988599</v>
      </c>
      <c r="AD54">
        <v>-1.26658097639778</v>
      </c>
      <c r="AE54">
        <v>6.3707083169557697</v>
      </c>
      <c r="AF54">
        <v>25.229025695294599</v>
      </c>
      <c r="AG54">
        <v>0</v>
      </c>
      <c r="AH54">
        <f t="shared" si="0"/>
        <v>25.229025695294599</v>
      </c>
      <c r="AI54">
        <v>-0.11749999999999999</v>
      </c>
      <c r="AJ54">
        <f t="shared" si="1"/>
        <v>-0.47</v>
      </c>
      <c r="AK54">
        <f t="shared" si="2"/>
        <v>-3.8244753327507102</v>
      </c>
    </row>
    <row r="55" spans="1:37" x14ac:dyDescent="0.25">
      <c r="A55" s="1">
        <v>44012</v>
      </c>
      <c r="B55">
        <v>3.9341749776106201</v>
      </c>
      <c r="C55">
        <v>0.70537366155159498</v>
      </c>
      <c r="D55">
        <v>-0.29021707768312299</v>
      </c>
      <c r="E55">
        <v>9.6358165086863799E-4</v>
      </c>
      <c r="F55">
        <v>-5.7966074924909101</v>
      </c>
      <c r="G55">
        <v>14.0835234843825</v>
      </c>
      <c r="H55">
        <v>8.62223173030927E-4</v>
      </c>
      <c r="I55">
        <v>0.203272479551276</v>
      </c>
      <c r="J55">
        <v>-1.1741492348644101E-2</v>
      </c>
      <c r="K55">
        <v>-8.7584865358256092</v>
      </c>
      <c r="L55">
        <v>2.2098362618437801</v>
      </c>
      <c r="M55">
        <v>0</v>
      </c>
      <c r="N55">
        <v>0</v>
      </c>
      <c r="O55">
        <v>0.44949399322489902</v>
      </c>
      <c r="P55">
        <v>0</v>
      </c>
      <c r="Q55">
        <v>1.8322903060530301E-2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10.3802524743466</v>
      </c>
      <c r="Z55">
        <v>-0.594741943446914</v>
      </c>
      <c r="AA55">
        <v>0.454491406506422</v>
      </c>
      <c r="AB55">
        <v>0.40171238728455899</v>
      </c>
      <c r="AC55">
        <v>0.39969222120743703</v>
      </c>
      <c r="AD55">
        <v>-1.23976399227121</v>
      </c>
      <c r="AE55">
        <v>6.3515206735850596</v>
      </c>
      <c r="AF55">
        <v>22.901934194912599</v>
      </c>
      <c r="AG55">
        <v>0</v>
      </c>
      <c r="AH55">
        <f t="shared" si="0"/>
        <v>22.901934194912599</v>
      </c>
      <c r="AI55">
        <v>-0.115</v>
      </c>
      <c r="AJ55">
        <f t="shared" si="1"/>
        <v>-0.46</v>
      </c>
      <c r="AK55">
        <f t="shared" si="2"/>
        <v>-1.9526500110261846</v>
      </c>
    </row>
    <row r="56" spans="1:37" x14ac:dyDescent="0.25">
      <c r="A56" s="1">
        <v>44104</v>
      </c>
      <c r="B56">
        <v>3.6002854518540501</v>
      </c>
      <c r="C56">
        <v>0.64657309442010902</v>
      </c>
      <c r="D56">
        <v>4.2699531257954601E-2</v>
      </c>
      <c r="E56">
        <v>1.2255463036010201E-3</v>
      </c>
      <c r="F56">
        <v>-6.0595400592990201</v>
      </c>
      <c r="G56">
        <v>14.080454185719001</v>
      </c>
      <c r="H56" s="16">
        <v>5.2423822752634301E-5</v>
      </c>
      <c r="I56">
        <v>0.120431841174894</v>
      </c>
      <c r="J56">
        <v>-1.6575466024673899E-2</v>
      </c>
      <c r="K56">
        <v>-10.536897345523601</v>
      </c>
      <c r="L56">
        <v>2.5223784265191398</v>
      </c>
      <c r="M56">
        <v>0</v>
      </c>
      <c r="N56">
        <v>0</v>
      </c>
      <c r="O56">
        <v>0.42965711445585297</v>
      </c>
      <c r="P56">
        <v>0</v>
      </c>
      <c r="Q56">
        <v>1.81634841608719E-2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11.835310853860699</v>
      </c>
      <c r="Z56">
        <v>-0.82969651712141301</v>
      </c>
      <c r="AA56">
        <v>0.40928669526613798</v>
      </c>
      <c r="AB56">
        <v>0.38986396273180002</v>
      </c>
      <c r="AC56">
        <v>0.38615100299848198</v>
      </c>
      <c r="AD56">
        <v>-1.20136481419083</v>
      </c>
      <c r="AE56">
        <v>6.3323993673177004</v>
      </c>
      <c r="AF56">
        <v>22.170858779703501</v>
      </c>
      <c r="AG56">
        <v>0</v>
      </c>
      <c r="AH56">
        <f t="shared" si="0"/>
        <v>22.170858779703501</v>
      </c>
      <c r="AI56">
        <v>-0.13</v>
      </c>
      <c r="AJ56">
        <f t="shared" si="1"/>
        <v>-0.52</v>
      </c>
      <c r="AK56">
        <f t="shared" si="2"/>
        <v>-1.4023109524771282</v>
      </c>
    </row>
    <row r="57" spans="1:37" x14ac:dyDescent="0.25">
      <c r="A57" s="1">
        <v>44196</v>
      </c>
      <c r="B57">
        <v>4.8665410432760501</v>
      </c>
      <c r="C57">
        <v>0.36717572289984202</v>
      </c>
      <c r="D57">
        <v>0.238775895424955</v>
      </c>
      <c r="E57">
        <v>-1.01097515648584E-3</v>
      </c>
      <c r="F57">
        <v>-6.5352891543927099</v>
      </c>
      <c r="G57">
        <v>14.0497987385575</v>
      </c>
      <c r="H57">
        <v>-1.5716244177310899E-2</v>
      </c>
      <c r="I57">
        <v>0.19022982410141301</v>
      </c>
      <c r="J57">
        <v>-2.4592251378363999E-2</v>
      </c>
      <c r="K57">
        <v>-13.6457533612083</v>
      </c>
      <c r="L57">
        <v>2.9163453276037901</v>
      </c>
      <c r="M57">
        <v>0</v>
      </c>
      <c r="N57">
        <v>0</v>
      </c>
      <c r="O57">
        <v>0.40786610706023302</v>
      </c>
      <c r="P57">
        <v>0</v>
      </c>
      <c r="Q57">
        <v>1.43100158295946E-2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13.0045382392577</v>
      </c>
      <c r="Z57">
        <v>-1.1337496602058399</v>
      </c>
      <c r="AA57">
        <v>0.34880735096291798</v>
      </c>
      <c r="AB57">
        <v>0.35051186598850698</v>
      </c>
      <c r="AC57">
        <v>0.36141438871759102</v>
      </c>
      <c r="AD57">
        <v>-1.15803803528247</v>
      </c>
      <c r="AE57">
        <v>6.3133441006037403</v>
      </c>
      <c r="AF57">
        <v>20.915508938482201</v>
      </c>
      <c r="AG57">
        <v>0</v>
      </c>
      <c r="AH57">
        <f t="shared" si="0"/>
        <v>20.915508938482201</v>
      </c>
      <c r="AI57">
        <v>-0.13750000000000001</v>
      </c>
      <c r="AJ57">
        <f t="shared" si="1"/>
        <v>-0.55000000000000004</v>
      </c>
      <c r="AK57">
        <f t="shared" si="2"/>
        <v>0.91440310470966035</v>
      </c>
    </row>
    <row r="58" spans="1:37" x14ac:dyDescent="0.25">
      <c r="A58" s="1">
        <v>44286</v>
      </c>
      <c r="B58">
        <v>6.0731057195820899</v>
      </c>
      <c r="C58">
        <v>0.34659890832093798</v>
      </c>
      <c r="D58">
        <v>0.20353348574868901</v>
      </c>
      <c r="E58">
        <v>-9.3366227413036503E-4</v>
      </c>
      <c r="F58">
        <v>-6.4220035172126302</v>
      </c>
      <c r="G58">
        <v>13.939597136176699</v>
      </c>
      <c r="H58">
        <v>4.0658209077063402E-3</v>
      </c>
      <c r="I58">
        <v>0.21209548011789001</v>
      </c>
      <c r="J58">
        <v>-1.58196080925713E-2</v>
      </c>
      <c r="K58">
        <v>-15.654139222775401</v>
      </c>
      <c r="L58">
        <v>2.89081929339426</v>
      </c>
      <c r="M58">
        <v>0</v>
      </c>
      <c r="N58">
        <v>0</v>
      </c>
      <c r="O58">
        <v>0.38272906132628698</v>
      </c>
      <c r="P58">
        <v>0</v>
      </c>
      <c r="Q58">
        <v>5.2890476505354301E-3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14.3139565866037</v>
      </c>
      <c r="Z58">
        <v>-1.3700698917560199</v>
      </c>
      <c r="AA58">
        <v>0.30241712216101901</v>
      </c>
      <c r="AB58">
        <v>0.32262187427155897</v>
      </c>
      <c r="AC58">
        <v>0.324555611011696</v>
      </c>
      <c r="AD58">
        <v>-1.10991228314041</v>
      </c>
      <c r="AE58">
        <v>6.2943545781595702</v>
      </c>
      <c r="AF58">
        <v>21.042861540181502</v>
      </c>
      <c r="AG58">
        <v>0</v>
      </c>
      <c r="AH58">
        <f t="shared" si="0"/>
        <v>21.042861540181502</v>
      </c>
      <c r="AI58">
        <v>-0.13750000000000001</v>
      </c>
      <c r="AJ58">
        <f t="shared" si="1"/>
        <v>-0.55000000000000004</v>
      </c>
      <c r="AK58">
        <f t="shared" si="2"/>
        <v>1.9378411422975674</v>
      </c>
    </row>
    <row r="59" spans="1:37" x14ac:dyDescent="0.25">
      <c r="A59" s="1">
        <v>44377</v>
      </c>
      <c r="B59">
        <v>5.8861036002124898</v>
      </c>
      <c r="C59">
        <v>0.53909374175355995</v>
      </c>
      <c r="D59">
        <v>6.7165594629750996E-2</v>
      </c>
      <c r="E59">
        <v>1.6692996414417201E-4</v>
      </c>
      <c r="F59">
        <v>-5.7956206362955296</v>
      </c>
      <c r="G59">
        <v>13.893657671695401</v>
      </c>
      <c r="H59">
        <v>2.4671797925081201E-2</v>
      </c>
      <c r="I59">
        <v>0.20686052685824799</v>
      </c>
      <c r="J59">
        <v>3.9536412791108897E-3</v>
      </c>
      <c r="K59">
        <v>-14.9214772555924</v>
      </c>
      <c r="L59">
        <v>2.9413456405074299</v>
      </c>
      <c r="M59">
        <v>0</v>
      </c>
      <c r="N59">
        <v>0</v>
      </c>
      <c r="O59">
        <v>0.36436079095573598</v>
      </c>
      <c r="P59">
        <v>0</v>
      </c>
      <c r="Q59">
        <v>-2.6196908413553001E-3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16.1000063875446</v>
      </c>
      <c r="Z59">
        <v>-1.4563904114746999</v>
      </c>
      <c r="AA59">
        <v>0.31991908041121297</v>
      </c>
      <c r="AB59">
        <v>0.32277940829089802</v>
      </c>
      <c r="AC59">
        <v>0.299182873581818</v>
      </c>
      <c r="AD59">
        <v>-1.0691490287376899</v>
      </c>
      <c r="AE59">
        <v>6.2754305069207801</v>
      </c>
      <c r="AF59">
        <v>23.9994411695886</v>
      </c>
      <c r="AG59">
        <v>0</v>
      </c>
      <c r="AH59">
        <f t="shared" si="0"/>
        <v>23.9994411695886</v>
      </c>
      <c r="AI59">
        <v>-0.14000000000000001</v>
      </c>
      <c r="AJ59">
        <f t="shared" si="1"/>
        <v>-0.56000000000000005</v>
      </c>
      <c r="AK59">
        <f t="shared" si="2"/>
        <v>-0.51923184497947394</v>
      </c>
    </row>
    <row r="60" spans="1:37" x14ac:dyDescent="0.25">
      <c r="A60" s="1">
        <v>44469</v>
      </c>
      <c r="B60">
        <v>4.5375450545966496</v>
      </c>
      <c r="C60">
        <v>0.80796832636424099</v>
      </c>
      <c r="D60">
        <v>-3.5647072966461399E-2</v>
      </c>
      <c r="E60">
        <v>1.252781417987E-3</v>
      </c>
      <c r="F60">
        <v>-5.4647350101363399</v>
      </c>
      <c r="G60">
        <v>13.8254439410684</v>
      </c>
      <c r="H60">
        <v>-3.06116267617801E-2</v>
      </c>
      <c r="I60">
        <v>0.28937153407906802</v>
      </c>
      <c r="J60">
        <v>1.8757711924288399E-2</v>
      </c>
      <c r="K60">
        <v>-14.371779236497501</v>
      </c>
      <c r="L60">
        <v>2.7659652045034901</v>
      </c>
      <c r="M60">
        <v>0</v>
      </c>
      <c r="N60">
        <v>0</v>
      </c>
      <c r="O60">
        <v>0.34345542125488498</v>
      </c>
      <c r="P60">
        <v>0</v>
      </c>
      <c r="Q60">
        <v>-2.52633491233824E-3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17.9009550174083</v>
      </c>
      <c r="Z60">
        <v>-1.5198698223090299</v>
      </c>
      <c r="AA60">
        <v>0.34496958128435901</v>
      </c>
      <c r="AB60">
        <v>0.33617556024668899</v>
      </c>
      <c r="AC60">
        <v>0.28692160405985601</v>
      </c>
      <c r="AD60">
        <v>-1.0252062329381499</v>
      </c>
      <c r="AE60">
        <v>6.2565715959967196</v>
      </c>
      <c r="AF60">
        <v>25.2649779976833</v>
      </c>
      <c r="AG60">
        <v>0</v>
      </c>
      <c r="AH60">
        <f t="shared" si="0"/>
        <v>25.2649779976833</v>
      </c>
      <c r="AI60">
        <v>-0.14000000000000001</v>
      </c>
      <c r="AJ60">
        <f t="shared" si="1"/>
        <v>-0.56000000000000005</v>
      </c>
      <c r="AK60">
        <f t="shared" si="2"/>
        <v>-2.8556218925094119</v>
      </c>
    </row>
    <row r="61" spans="1:37" x14ac:dyDescent="0.25">
      <c r="A61" s="1">
        <v>44561</v>
      </c>
      <c r="B61">
        <v>4.6659700589029098</v>
      </c>
      <c r="C61">
        <v>0.73922323142020396</v>
      </c>
      <c r="D61">
        <v>-0.31212726739893099</v>
      </c>
      <c r="E61">
        <v>1.18106619768772E-4</v>
      </c>
      <c r="F61">
        <v>-5.1454949883105403</v>
      </c>
      <c r="G61">
        <v>13.837045866417</v>
      </c>
      <c r="H61">
        <v>-1.8055896578590401E-3</v>
      </c>
      <c r="I61">
        <v>0.40026857235284302</v>
      </c>
      <c r="J61">
        <v>2.3873307510429199E-2</v>
      </c>
      <c r="K61">
        <v>-15.3993589424171</v>
      </c>
      <c r="L61">
        <v>2.9465150447427599</v>
      </c>
      <c r="M61">
        <v>0</v>
      </c>
      <c r="N61">
        <v>0</v>
      </c>
      <c r="O61">
        <v>0.32686764155666298</v>
      </c>
      <c r="P61">
        <v>0</v>
      </c>
      <c r="Q61">
        <v>-2.3247365481091999E-2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19.333268317929502</v>
      </c>
      <c r="Z61">
        <v>-1.6695161535781899</v>
      </c>
      <c r="AA61">
        <v>0.31957640042240298</v>
      </c>
      <c r="AB61">
        <v>0.31756999539773201</v>
      </c>
      <c r="AC61">
        <v>0.237071047662305</v>
      </c>
      <c r="AD61">
        <v>-1.01464839851785</v>
      </c>
      <c r="AE61">
        <v>6.2377775566270497</v>
      </c>
      <c r="AF61">
        <v>25.818946442200001</v>
      </c>
      <c r="AG61">
        <v>0</v>
      </c>
      <c r="AH61">
        <f t="shared" si="0"/>
        <v>25.818946442200001</v>
      </c>
      <c r="AI61">
        <v>-0.14499999999999999</v>
      </c>
      <c r="AJ61">
        <f t="shared" si="1"/>
        <v>-0.57999999999999996</v>
      </c>
      <c r="AK61">
        <f t="shared" si="2"/>
        <v>-3.0308299084554653</v>
      </c>
    </row>
    <row r="62" spans="1:37" x14ac:dyDescent="0.25">
      <c r="A62" s="1">
        <v>44651</v>
      </c>
      <c r="B62">
        <v>4.6845745472515103</v>
      </c>
      <c r="C62">
        <v>0.65665121931105297</v>
      </c>
      <c r="D62">
        <v>-0.86484313097139598</v>
      </c>
      <c r="E62">
        <v>3.9145918642108802E-4</v>
      </c>
      <c r="F62">
        <v>-4.2690900508306102</v>
      </c>
      <c r="G62">
        <v>13.8547905525151</v>
      </c>
      <c r="H62">
        <v>2.53340344144216E-2</v>
      </c>
      <c r="I62">
        <v>0.49749105356928103</v>
      </c>
      <c r="J62">
        <v>2.7228287103843701E-2</v>
      </c>
      <c r="K62">
        <v>-16.033135523456998</v>
      </c>
      <c r="L62">
        <v>2.80975965080138</v>
      </c>
      <c r="M62">
        <v>0</v>
      </c>
      <c r="N62">
        <v>0</v>
      </c>
      <c r="O62">
        <v>0.31337754857115102</v>
      </c>
      <c r="P62">
        <v>0</v>
      </c>
      <c r="Q62">
        <v>-3.6056155744326301E-2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20.781762643115002</v>
      </c>
      <c r="Z62">
        <v>-1.8332904201039799</v>
      </c>
      <c r="AA62">
        <v>0.26382888091439399</v>
      </c>
      <c r="AB62">
        <v>0.285991309517307</v>
      </c>
      <c r="AC62">
        <v>0.200188217090634</v>
      </c>
      <c r="AD62">
        <v>-0.98911155345424495</v>
      </c>
      <c r="AE62">
        <v>6.21904810213986</v>
      </c>
      <c r="AF62">
        <v>26.594890670939801</v>
      </c>
      <c r="AG62">
        <v>0</v>
      </c>
      <c r="AH62">
        <f t="shared" si="0"/>
        <v>26.594890670939801</v>
      </c>
      <c r="AI62">
        <v>-0.13750000000000001</v>
      </c>
      <c r="AJ62">
        <f t="shared" si="1"/>
        <v>-0.55000000000000004</v>
      </c>
      <c r="AK62">
        <f t="shared" si="2"/>
        <v>-3.5396111021932661</v>
      </c>
    </row>
    <row r="63" spans="1:37" x14ac:dyDescent="0.25">
      <c r="A63" s="1">
        <v>44742</v>
      </c>
      <c r="B63">
        <v>3.7146828543765702</v>
      </c>
      <c r="C63">
        <v>0.70351152742159195</v>
      </c>
      <c r="D63">
        <v>-1.6384253030078</v>
      </c>
      <c r="E63">
        <v>7.0944050621992599E-4</v>
      </c>
      <c r="F63">
        <v>-2.68190345845291</v>
      </c>
      <c r="G63">
        <v>13.9901640852884</v>
      </c>
      <c r="H63">
        <v>-1.6148189983404199E-2</v>
      </c>
      <c r="I63">
        <v>0.57458490011187502</v>
      </c>
      <c r="J63">
        <v>2.6581526757930098E-2</v>
      </c>
      <c r="K63">
        <v>-16.382158827437099</v>
      </c>
      <c r="L63">
        <v>2.8046364247715001</v>
      </c>
      <c r="M63">
        <v>0</v>
      </c>
      <c r="N63">
        <v>0</v>
      </c>
      <c r="O63">
        <v>0.30283278751425102</v>
      </c>
      <c r="P63">
        <v>0</v>
      </c>
      <c r="Q63">
        <v>-3.4613813796681797E-2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21.302465632655</v>
      </c>
      <c r="Z63">
        <v>-1.89674324747842</v>
      </c>
      <c r="AA63">
        <v>0.24840460374149601</v>
      </c>
      <c r="AB63">
        <v>0.29301162910119999</v>
      </c>
      <c r="AC63">
        <v>0.19860349608472</v>
      </c>
      <c r="AD63">
        <v>-0.93242448320646998</v>
      </c>
      <c r="AE63">
        <v>6.2003829479114998</v>
      </c>
      <c r="AF63">
        <v>26.778154532879402</v>
      </c>
      <c r="AG63">
        <v>0</v>
      </c>
      <c r="AH63">
        <f t="shared" si="0"/>
        <v>26.778154532879402</v>
      </c>
      <c r="AI63">
        <v>-0.13500000000000001</v>
      </c>
      <c r="AJ63">
        <f t="shared" si="1"/>
        <v>-0.54</v>
      </c>
      <c r="AK63">
        <f t="shared" si="2"/>
        <v>-3.6739915909746768</v>
      </c>
    </row>
    <row r="64" spans="1:37" x14ac:dyDescent="0.25">
      <c r="A64" s="1">
        <v>44834</v>
      </c>
      <c r="B64">
        <v>2.69725628054357</v>
      </c>
      <c r="C64">
        <v>0.77042160581707497</v>
      </c>
      <c r="D64">
        <v>-2.30279418744581</v>
      </c>
      <c r="E64">
        <v>4.6595993975316298E-4</v>
      </c>
      <c r="F64">
        <v>-1.3678690976552299</v>
      </c>
      <c r="G64">
        <v>14.1652141248123</v>
      </c>
      <c r="H64">
        <v>-4.29070867475645E-2</v>
      </c>
      <c r="I64">
        <v>0.63443703531505202</v>
      </c>
      <c r="J64">
        <v>1.67162369082429E-2</v>
      </c>
      <c r="K64">
        <v>-16.025961165497598</v>
      </c>
      <c r="L64">
        <v>2.6869141869962099</v>
      </c>
      <c r="M64">
        <v>0</v>
      </c>
      <c r="N64">
        <v>0</v>
      </c>
      <c r="O64">
        <v>0.29401537432823499</v>
      </c>
      <c r="P64">
        <v>0</v>
      </c>
      <c r="Q64">
        <v>-4.1994355540776102E-2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21.174260193719999</v>
      </c>
      <c r="Z64">
        <v>-1.87023991642766</v>
      </c>
      <c r="AA64">
        <v>0.253146674396444</v>
      </c>
      <c r="AB64">
        <v>0.31945634178418297</v>
      </c>
      <c r="AC64">
        <v>0.217098246373092</v>
      </c>
      <c r="AD64">
        <v>-0.85539496443560803</v>
      </c>
      <c r="AE64">
        <v>6.1817818113279301</v>
      </c>
      <c r="AF64">
        <v>26.904023298511799</v>
      </c>
      <c r="AG64">
        <v>0</v>
      </c>
      <c r="AH64">
        <f t="shared" si="0"/>
        <v>26.904023298511799</v>
      </c>
      <c r="AI64">
        <v>2.2499999999999999E-2</v>
      </c>
      <c r="AJ64">
        <f t="shared" si="1"/>
        <v>0.09</v>
      </c>
      <c r="AK64">
        <f t="shared" si="2"/>
        <v>-3.4163807842410838</v>
      </c>
    </row>
    <row r="65" spans="1:37" x14ac:dyDescent="0.25">
      <c r="A65" s="1">
        <v>44926</v>
      </c>
      <c r="B65">
        <v>3.1355796541904399</v>
      </c>
      <c r="C65">
        <v>0.85803252321411305</v>
      </c>
      <c r="D65">
        <v>-2.9140249275939198</v>
      </c>
      <c r="E65">
        <v>4.1426106216122199E-4</v>
      </c>
      <c r="F65">
        <v>-0.12687145496560401</v>
      </c>
      <c r="G65">
        <v>14.294926184086799</v>
      </c>
      <c r="H65">
        <v>5.6149253626072001E-3</v>
      </c>
      <c r="I65">
        <v>0.61672131720434098</v>
      </c>
      <c r="J65">
        <v>5.3837074332403496E-3</v>
      </c>
      <c r="K65">
        <v>-16.632138661383902</v>
      </c>
      <c r="L65">
        <v>2.5570314457442</v>
      </c>
      <c r="M65">
        <v>0</v>
      </c>
      <c r="N65">
        <v>0</v>
      </c>
      <c r="O65">
        <v>0.27840151440703798</v>
      </c>
      <c r="P65">
        <v>0</v>
      </c>
      <c r="Q65">
        <v>-6.2932390286541906E-2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20.710894813525499</v>
      </c>
      <c r="Z65">
        <v>-1.7946804118897901</v>
      </c>
      <c r="AA65">
        <v>0.26854444525791599</v>
      </c>
      <c r="AB65">
        <v>0.343551641063775</v>
      </c>
      <c r="AC65">
        <v>0.240729257764114</v>
      </c>
      <c r="AD65">
        <v>-0.77379824428789701</v>
      </c>
      <c r="AE65">
        <v>6.1632444117475398</v>
      </c>
      <c r="AF65">
        <v>27.174624011656</v>
      </c>
      <c r="AG65">
        <v>0</v>
      </c>
      <c r="AH65">
        <f t="shared" si="0"/>
        <v>27.174624011656</v>
      </c>
      <c r="AI65">
        <v>0.33750000000000002</v>
      </c>
      <c r="AJ65">
        <f t="shared" si="1"/>
        <v>1.35</v>
      </c>
      <c r="AK65">
        <f t="shared" si="2"/>
        <v>-1.2915043544567544</v>
      </c>
    </row>
    <row r="66" spans="1:37" x14ac:dyDescent="0.25">
      <c r="A66" s="1">
        <v>45016</v>
      </c>
      <c r="B66">
        <v>3.9380528723329999</v>
      </c>
      <c r="C66">
        <v>1.0538030172170101</v>
      </c>
      <c r="D66">
        <v>-3.2454966946727</v>
      </c>
      <c r="E66">
        <v>6.29824139590184E-4</v>
      </c>
      <c r="F66">
        <v>0.68385510878150302</v>
      </c>
      <c r="G66">
        <v>14.3628964858254</v>
      </c>
      <c r="H66">
        <v>4.4683251656223902E-2</v>
      </c>
      <c r="I66">
        <v>0.50508205108716497</v>
      </c>
      <c r="J66">
        <v>-4.8245957241080002E-3</v>
      </c>
      <c r="K66">
        <v>-17.1544980524165</v>
      </c>
      <c r="L66">
        <v>2.4867138628877901</v>
      </c>
      <c r="M66">
        <v>0</v>
      </c>
      <c r="N66">
        <v>0</v>
      </c>
      <c r="O66">
        <v>0.25650519414064499</v>
      </c>
      <c r="P66">
        <v>0</v>
      </c>
      <c r="Q66">
        <v>-7.2768497209110994E-2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20.268381948729601</v>
      </c>
      <c r="Z66">
        <v>-1.69601313561823</v>
      </c>
      <c r="AA66">
        <v>0.30013424484974299</v>
      </c>
      <c r="AB66">
        <v>0.37314146129786602</v>
      </c>
      <c r="AC66">
        <v>0.26541769410670002</v>
      </c>
      <c r="AD66">
        <v>-0.685838162606629</v>
      </c>
      <c r="AE66">
        <v>6.14477047046545</v>
      </c>
      <c r="AF66">
        <v>27.824628349270402</v>
      </c>
      <c r="AG66">
        <v>0</v>
      </c>
      <c r="AH66">
        <f t="shared" si="0"/>
        <v>27.824628349270402</v>
      </c>
      <c r="AI66">
        <v>0.58750000000000002</v>
      </c>
      <c r="AJ66">
        <f t="shared" si="1"/>
        <v>2.35</v>
      </c>
      <c r="AK66">
        <f t="shared" si="2"/>
        <v>0.42276880751680412</v>
      </c>
    </row>
    <row r="67" spans="1:37" x14ac:dyDescent="0.25">
      <c r="A67" s="1">
        <v>45107</v>
      </c>
      <c r="B67">
        <v>3.6289763036388698</v>
      </c>
      <c r="C67">
        <v>1.1453119803533101</v>
      </c>
      <c r="D67">
        <v>-3.4416593894428398</v>
      </c>
      <c r="E67">
        <v>8.7385628135882405E-4</v>
      </c>
      <c r="F67">
        <v>1.3694816949711599</v>
      </c>
      <c r="G67">
        <v>14.472960641536201</v>
      </c>
      <c r="H67">
        <v>5.9766308400406604E-3</v>
      </c>
      <c r="I67">
        <v>0.44669793165031202</v>
      </c>
      <c r="J67">
        <v>-1.4964507205327399E-2</v>
      </c>
      <c r="K67">
        <v>-17.382358371921899</v>
      </c>
      <c r="L67">
        <v>2.3514503785398402</v>
      </c>
      <c r="M67">
        <v>0</v>
      </c>
      <c r="N67">
        <v>0</v>
      </c>
      <c r="O67">
        <v>0.24538343254765499</v>
      </c>
      <c r="P67">
        <v>0</v>
      </c>
      <c r="Q67">
        <v>-6.4430464503201501E-2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19.997141250940199</v>
      </c>
      <c r="Z67">
        <v>-1.5853835422520901</v>
      </c>
      <c r="AA67">
        <v>0.34564039303573901</v>
      </c>
      <c r="AB67">
        <v>0.42120060604279203</v>
      </c>
      <c r="AC67">
        <v>0.31591023430719101</v>
      </c>
      <c r="AD67">
        <v>-0.59423938345769201</v>
      </c>
      <c r="AE67">
        <v>6.1263597106791297</v>
      </c>
      <c r="AF67">
        <v>27.790329386580702</v>
      </c>
      <c r="AG67">
        <v>0</v>
      </c>
      <c r="AH67">
        <f t="shared" ref="AH67:AH130" si="3">AF67+AG67</f>
        <v>27.790329386580702</v>
      </c>
      <c r="AI67">
        <v>0.78749999999999998</v>
      </c>
      <c r="AJ67">
        <f t="shared" ref="AJ67:AJ130" si="4">+AI67*4</f>
        <v>3.15</v>
      </c>
      <c r="AK67">
        <f t="shared" ref="AK67:AK130" si="5">AJ67-SUM(Y67:AD67,K67,O67)</f>
        <v>1.3867053807581029</v>
      </c>
    </row>
    <row r="68" spans="1:37" x14ac:dyDescent="0.25">
      <c r="A68" s="1">
        <v>45199</v>
      </c>
      <c r="B68">
        <v>3.6097240700734101</v>
      </c>
      <c r="C68">
        <v>1.1421874229531299</v>
      </c>
      <c r="D68">
        <v>-3.5171467141181401</v>
      </c>
      <c r="E68">
        <v>6.4345036462040098E-4</v>
      </c>
      <c r="F68">
        <v>1.9663814190672</v>
      </c>
      <c r="G68">
        <v>14.581221106947799</v>
      </c>
      <c r="H68">
        <v>1.6212927616117E-2</v>
      </c>
      <c r="I68">
        <v>0.39532760746907902</v>
      </c>
      <c r="J68">
        <v>-2.8922184034383298E-2</v>
      </c>
      <c r="K68">
        <v>-17.6681566721746</v>
      </c>
      <c r="L68">
        <v>2.2383800425810301</v>
      </c>
      <c r="M68">
        <v>0</v>
      </c>
      <c r="N68">
        <v>0</v>
      </c>
      <c r="O68">
        <v>0.23713704040081501</v>
      </c>
      <c r="P68">
        <v>0</v>
      </c>
      <c r="Q68">
        <v>-5.7440766589429301E-2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19.716524332422601</v>
      </c>
      <c r="Z68">
        <v>-1.46882228903366</v>
      </c>
      <c r="AA68">
        <v>0.39551648084570101</v>
      </c>
      <c r="AB68">
        <v>0.48384626403099901</v>
      </c>
      <c r="AC68">
        <v>0.37970180729977199</v>
      </c>
      <c r="AD68">
        <v>-0.49103611053742402</v>
      </c>
      <c r="AE68">
        <v>6.1080118574553204</v>
      </c>
      <c r="AF68">
        <v>28.0392910930399</v>
      </c>
      <c r="AG68">
        <v>0</v>
      </c>
      <c r="AH68">
        <f t="shared" si="3"/>
        <v>28.0392910930399</v>
      </c>
      <c r="AI68">
        <v>0.90500000000000003</v>
      </c>
      <c r="AJ68">
        <f t="shared" si="4"/>
        <v>3.62</v>
      </c>
      <c r="AK68">
        <f t="shared" si="5"/>
        <v>2.0352891467458019</v>
      </c>
    </row>
    <row r="69" spans="1:37" x14ac:dyDescent="0.25">
      <c r="A69" s="1">
        <v>45291</v>
      </c>
      <c r="B69">
        <v>4.01541453636528</v>
      </c>
      <c r="C69">
        <v>1.06528934935217</v>
      </c>
      <c r="D69">
        <v>-3.53001337443279</v>
      </c>
      <c r="E69">
        <v>-1.07172647549432E-4</v>
      </c>
      <c r="F69">
        <v>2.25482907274032</v>
      </c>
      <c r="G69">
        <v>14.709814110280499</v>
      </c>
      <c r="H69">
        <v>2.6616551560209398E-2</v>
      </c>
      <c r="I69">
        <v>0.35994705123314003</v>
      </c>
      <c r="J69">
        <v>-3.9792992711692697E-2</v>
      </c>
      <c r="K69">
        <v>-18.256110521224201</v>
      </c>
      <c r="L69">
        <v>2.2175188981870799</v>
      </c>
      <c r="M69">
        <v>0</v>
      </c>
      <c r="N69">
        <v>0</v>
      </c>
      <c r="O69">
        <v>0.22830041267986201</v>
      </c>
      <c r="P69">
        <v>0</v>
      </c>
      <c r="Q69">
        <v>-4.9374132222008101E-2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19.260356690293801</v>
      </c>
      <c r="Z69">
        <v>-1.3631367691815801</v>
      </c>
      <c r="AA69">
        <v>0.44789079047452601</v>
      </c>
      <c r="AB69">
        <v>0.53726616807372396</v>
      </c>
      <c r="AC69">
        <v>0.43843994333338698</v>
      </c>
      <c r="AD69">
        <v>-0.38613905836654899</v>
      </c>
      <c r="AE69">
        <v>6.0897266376982104</v>
      </c>
      <c r="AF69">
        <v>28.026736191485799</v>
      </c>
      <c r="AG69">
        <v>0</v>
      </c>
      <c r="AH69">
        <f t="shared" si="3"/>
        <v>28.026736191485799</v>
      </c>
      <c r="AI69">
        <v>0.96250000000000002</v>
      </c>
      <c r="AJ69">
        <f t="shared" si="4"/>
        <v>3.85</v>
      </c>
      <c r="AK69">
        <f t="shared" si="5"/>
        <v>2.9431323439170294</v>
      </c>
    </row>
    <row r="70" spans="1:37" x14ac:dyDescent="0.25">
      <c r="A70" s="1">
        <v>45382</v>
      </c>
      <c r="B70">
        <v>3.9381664699915899</v>
      </c>
      <c r="C70">
        <v>1.10036871608389</v>
      </c>
      <c r="D70">
        <v>-3.4607592923717898</v>
      </c>
      <c r="E70">
        <v>4.2326536130791499E-4</v>
      </c>
      <c r="F70">
        <v>2.3369419771486601</v>
      </c>
      <c r="G70">
        <v>14.731094644079301</v>
      </c>
      <c r="H70">
        <v>1.8948903500748699E-3</v>
      </c>
      <c r="I70">
        <v>0.25022263149616097</v>
      </c>
      <c r="J70">
        <v>-4.4132092706129201E-2</v>
      </c>
      <c r="K70">
        <v>-18.033667691356602</v>
      </c>
      <c r="L70">
        <v>1.9725985988171699</v>
      </c>
      <c r="M70">
        <v>0</v>
      </c>
      <c r="N70">
        <v>0</v>
      </c>
      <c r="O70">
        <v>0.21393596126475201</v>
      </c>
      <c r="P70">
        <v>0</v>
      </c>
      <c r="Q70">
        <v>-3.5354144861101597E-2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19.0859600969222</v>
      </c>
      <c r="Z70">
        <v>-1.2333724575631499</v>
      </c>
      <c r="AA70">
        <v>0.49495996178706497</v>
      </c>
      <c r="AB70">
        <v>0.580763191550564</v>
      </c>
      <c r="AC70">
        <v>0.48720325058035102</v>
      </c>
      <c r="AD70">
        <v>-0.28887993512961602</v>
      </c>
      <c r="AE70">
        <v>6.0715037801187401</v>
      </c>
      <c r="AF70">
        <v>28.169871821563401</v>
      </c>
      <c r="AG70">
        <v>0</v>
      </c>
      <c r="AH70">
        <f t="shared" si="3"/>
        <v>28.169871821563401</v>
      </c>
      <c r="AI70">
        <v>0.96499999999999997</v>
      </c>
      <c r="AJ70">
        <f t="shared" si="4"/>
        <v>3.86</v>
      </c>
      <c r="AK70">
        <f t="shared" si="5"/>
        <v>2.5530976219444357</v>
      </c>
    </row>
    <row r="71" spans="1:37" x14ac:dyDescent="0.25">
      <c r="A71" s="1">
        <v>45473</v>
      </c>
      <c r="B71">
        <v>4.2280540261814901</v>
      </c>
      <c r="C71">
        <v>0.97127335877093102</v>
      </c>
      <c r="D71">
        <v>-3.5272925102842798</v>
      </c>
      <c r="E71">
        <v>1.97145813987111E-4</v>
      </c>
      <c r="F71">
        <v>2.5609299332878401</v>
      </c>
      <c r="G71">
        <v>14.771994992103799</v>
      </c>
      <c r="H71">
        <v>1.10781538367671E-2</v>
      </c>
      <c r="I71">
        <v>0.21052024125857599</v>
      </c>
      <c r="J71">
        <v>-4.6666060266013602E-2</v>
      </c>
      <c r="K71">
        <v>-18.383662472419001</v>
      </c>
      <c r="L71">
        <v>1.80457969555808</v>
      </c>
      <c r="M71">
        <v>0</v>
      </c>
      <c r="N71">
        <v>0</v>
      </c>
      <c r="O71">
        <v>0.20332910638738999</v>
      </c>
      <c r="P71">
        <v>0</v>
      </c>
      <c r="Q71">
        <v>-3.0348224575077899E-2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18.907912829938301</v>
      </c>
      <c r="Z71">
        <v>-1.1379642960865799</v>
      </c>
      <c r="AA71">
        <v>0.52333106578757105</v>
      </c>
      <c r="AB71">
        <v>0.61004358200891695</v>
      </c>
      <c r="AC71">
        <v>0.52305723668799697</v>
      </c>
      <c r="AD71">
        <v>-0.20733191716263799</v>
      </c>
      <c r="AE71">
        <v>6.0533430152051801</v>
      </c>
      <c r="AF71">
        <v>28.046378902033101</v>
      </c>
      <c r="AG71">
        <v>0</v>
      </c>
      <c r="AH71">
        <f t="shared" si="3"/>
        <v>28.046378902033101</v>
      </c>
      <c r="AI71">
        <v>0.9425</v>
      </c>
      <c r="AJ71">
        <f t="shared" si="4"/>
        <v>3.77</v>
      </c>
      <c r="AK71">
        <f t="shared" si="5"/>
        <v>2.7312848648580434</v>
      </c>
    </row>
    <row r="72" spans="1:37" x14ac:dyDescent="0.25">
      <c r="A72" s="1">
        <v>45565</v>
      </c>
      <c r="B72">
        <v>4.1837043806758301</v>
      </c>
      <c r="C72">
        <v>0.84817040585994197</v>
      </c>
      <c r="D72">
        <v>-3.5345060017912</v>
      </c>
      <c r="E72">
        <v>1.35937348880877E-4</v>
      </c>
      <c r="F72">
        <v>2.6364753297336199</v>
      </c>
      <c r="G72">
        <v>14.815380752979999</v>
      </c>
      <c r="H72">
        <v>1.5601665107248101E-3</v>
      </c>
      <c r="I72">
        <v>0.193502393372501</v>
      </c>
      <c r="J72">
        <v>-4.5461847345928397E-2</v>
      </c>
      <c r="K72">
        <v>-18.1309553946218</v>
      </c>
      <c r="L72">
        <v>1.6450140957746699</v>
      </c>
      <c r="M72">
        <v>0</v>
      </c>
      <c r="N72">
        <v>0</v>
      </c>
      <c r="O72">
        <v>0.19288249488874601</v>
      </c>
      <c r="P72">
        <v>0</v>
      </c>
      <c r="Q72">
        <v>-2.6444829284153901E-2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18.507883007407202</v>
      </c>
      <c r="Z72">
        <v>-1.06965345440944</v>
      </c>
      <c r="AA72">
        <v>0.53532791861311502</v>
      </c>
      <c r="AB72">
        <v>0.62579520385343401</v>
      </c>
      <c r="AC72">
        <v>0.54753269018900297</v>
      </c>
      <c r="AD72">
        <v>-0.141937032754618</v>
      </c>
      <c r="AE72">
        <v>6.0352440751946101</v>
      </c>
      <c r="AF72">
        <v>27.819650292195099</v>
      </c>
      <c r="AG72">
        <v>0</v>
      </c>
      <c r="AH72">
        <f t="shared" si="3"/>
        <v>27.819650292195099</v>
      </c>
      <c r="AI72">
        <v>0.88749999999999996</v>
      </c>
      <c r="AJ72">
        <f t="shared" si="4"/>
        <v>3.55</v>
      </c>
      <c r="AK72">
        <f t="shared" si="5"/>
        <v>2.4831245668343618</v>
      </c>
    </row>
    <row r="73" spans="1:37" x14ac:dyDescent="0.25">
      <c r="A73" s="1">
        <v>45657</v>
      </c>
      <c r="B73">
        <v>4.1411954302576897</v>
      </c>
      <c r="C73">
        <v>0.73871115597940995</v>
      </c>
      <c r="D73">
        <v>-3.5228826471980299</v>
      </c>
      <c r="E73">
        <v>1.17399100179378E-4</v>
      </c>
      <c r="F73">
        <v>2.6647041928583399</v>
      </c>
      <c r="G73">
        <v>14.8541706822772</v>
      </c>
      <c r="H73">
        <v>-1.0856025001363E-3</v>
      </c>
      <c r="I73">
        <v>0.18118933279524199</v>
      </c>
      <c r="J73">
        <v>-4.29626612759813E-2</v>
      </c>
      <c r="K73">
        <v>-17.692007887312901</v>
      </c>
      <c r="L73">
        <v>1.49213099191182</v>
      </c>
      <c r="M73">
        <v>0</v>
      </c>
      <c r="N73">
        <v>0</v>
      </c>
      <c r="O73">
        <v>0.182744092503691</v>
      </c>
      <c r="P73">
        <v>0</v>
      </c>
      <c r="Q73">
        <v>-2.5604546657149899E-2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18.0100372182903</v>
      </c>
      <c r="Z73">
        <v>-1.0207842102767399</v>
      </c>
      <c r="AA73">
        <v>0.53620301353732602</v>
      </c>
      <c r="AB73">
        <v>0.62966841806513296</v>
      </c>
      <c r="AC73">
        <v>0.56085381876973495</v>
      </c>
      <c r="AD73">
        <v>-9.0552815414492699E-2</v>
      </c>
      <c r="AE73">
        <v>6.0172066940455897</v>
      </c>
      <c r="AF73">
        <v>27.613052069756101</v>
      </c>
      <c r="AG73">
        <v>0</v>
      </c>
      <c r="AH73">
        <f t="shared" si="3"/>
        <v>27.613052069756101</v>
      </c>
      <c r="AI73">
        <v>1.1625000000000001</v>
      </c>
      <c r="AJ73">
        <f t="shared" si="4"/>
        <v>4.6500000000000004</v>
      </c>
      <c r="AK73">
        <f t="shared" si="5"/>
        <v>3.5338383518379506</v>
      </c>
    </row>
    <row r="74" spans="1:37" x14ac:dyDescent="0.25">
      <c r="A74" s="1">
        <v>45747</v>
      </c>
      <c r="B74">
        <v>4.0992582600675904</v>
      </c>
      <c r="C74">
        <v>0.64340667284758701</v>
      </c>
      <c r="D74">
        <v>-3.50444769668171</v>
      </c>
      <c r="E74">
        <v>1.1023014062539699E-4</v>
      </c>
      <c r="F74">
        <v>2.6756282643017699</v>
      </c>
      <c r="G74">
        <v>14.8866764551173</v>
      </c>
      <c r="H74">
        <v>-1.6093096898337101E-3</v>
      </c>
      <c r="I74">
        <v>0.16980429623607601</v>
      </c>
      <c r="J74">
        <v>-4.0000748618213199E-2</v>
      </c>
      <c r="K74">
        <v>-17.202073806895399</v>
      </c>
      <c r="L74">
        <v>1.34627163230124</v>
      </c>
      <c r="M74">
        <v>0</v>
      </c>
      <c r="N74">
        <v>0</v>
      </c>
      <c r="O74">
        <v>0.172948600071889</v>
      </c>
      <c r="P74">
        <v>0</v>
      </c>
      <c r="Q74">
        <v>-2.7044936814508199E-2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17.486017101797799</v>
      </c>
      <c r="Z74">
        <v>-0.98236018972973604</v>
      </c>
      <c r="AA74">
        <v>0.52846599094816904</v>
      </c>
      <c r="AB74">
        <v>0.62454039552005702</v>
      </c>
      <c r="AC74">
        <v>0.563590248268386</v>
      </c>
      <c r="AD74">
        <v>-5.32721064676034E-2</v>
      </c>
      <c r="AE74">
        <v>5.9992306074117199</v>
      </c>
      <c r="AF74">
        <v>27.385139960133099</v>
      </c>
      <c r="AG74">
        <v>0</v>
      </c>
      <c r="AH74">
        <f t="shared" si="3"/>
        <v>27.385139960133099</v>
      </c>
      <c r="AI74">
        <v>1.0825</v>
      </c>
      <c r="AJ74">
        <f t="shared" si="4"/>
        <v>4.33</v>
      </c>
      <c r="AK74">
        <f t="shared" si="5"/>
        <v>3.1921437664864349</v>
      </c>
    </row>
    <row r="75" spans="1:37" x14ac:dyDescent="0.25">
      <c r="A75" s="1">
        <v>45838</v>
      </c>
      <c r="B75">
        <v>4.0574870161255596</v>
      </c>
      <c r="C75">
        <v>0.56094188690107405</v>
      </c>
      <c r="D75">
        <v>-3.4828916144393198</v>
      </c>
      <c r="E75">
        <v>1.05844205519887E-4</v>
      </c>
      <c r="F75">
        <v>2.6784309426327702</v>
      </c>
      <c r="G75">
        <v>14.9126893162844</v>
      </c>
      <c r="H75">
        <v>-1.5615643857022001E-3</v>
      </c>
      <c r="I75">
        <v>0.15879884618390699</v>
      </c>
      <c r="J75">
        <v>-3.6835435443092097E-2</v>
      </c>
      <c r="K75">
        <v>-16.703082769611399</v>
      </c>
      <c r="L75">
        <v>1.20818115746176</v>
      </c>
      <c r="M75">
        <v>0</v>
      </c>
      <c r="N75">
        <v>0</v>
      </c>
      <c r="O75">
        <v>0.16349770498821001</v>
      </c>
      <c r="P75">
        <v>0</v>
      </c>
      <c r="Q75">
        <v>-2.9727965012742202E-2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16.9618887070522</v>
      </c>
      <c r="Z75">
        <v>-0.94827616721966201</v>
      </c>
      <c r="AA75">
        <v>0.51624543115517396</v>
      </c>
      <c r="AB75">
        <v>0.61273184592329999</v>
      </c>
      <c r="AC75">
        <v>0.55843932009591002</v>
      </c>
      <c r="AD75">
        <v>-2.91155527722309E-2</v>
      </c>
      <c r="AE75">
        <v>5.9813155526162003</v>
      </c>
      <c r="AF75">
        <v>27.139262502741801</v>
      </c>
      <c r="AG75">
        <v>0</v>
      </c>
      <c r="AH75">
        <f t="shared" si="3"/>
        <v>27.139262502741801</v>
      </c>
      <c r="AI75">
        <v>1.0825</v>
      </c>
      <c r="AJ75">
        <f t="shared" si="4"/>
        <v>4.33</v>
      </c>
      <c r="AK75">
        <f t="shared" si="5"/>
        <v>3.1976714803885016</v>
      </c>
    </row>
    <row r="76" spans="1:37" x14ac:dyDescent="0.25">
      <c r="A76" s="1">
        <v>45930</v>
      </c>
      <c r="B76">
        <v>4.0157659216604502</v>
      </c>
      <c r="C76">
        <v>0.48968772089606599</v>
      </c>
      <c r="D76">
        <v>-3.4594536044027402</v>
      </c>
      <c r="E76">
        <v>1.01890129179457E-4</v>
      </c>
      <c r="F76">
        <v>2.6761726400949502</v>
      </c>
      <c r="G76">
        <v>14.9324226096183</v>
      </c>
      <c r="H76">
        <v>-1.4130573114811799E-3</v>
      </c>
      <c r="I76">
        <v>0.14821389904288601</v>
      </c>
      <c r="J76">
        <v>-3.3569329945609801E-2</v>
      </c>
      <c r="K76">
        <v>-16.208105141618699</v>
      </c>
      <c r="L76">
        <v>1.0785314691307399</v>
      </c>
      <c r="M76">
        <v>0</v>
      </c>
      <c r="N76">
        <v>0</v>
      </c>
      <c r="O76">
        <v>0.15438362716541701</v>
      </c>
      <c r="P76">
        <v>0</v>
      </c>
      <c r="Q76">
        <v>-3.2859875955216597E-2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16.446263082692301</v>
      </c>
      <c r="Z76">
        <v>-0.91628327861683301</v>
      </c>
      <c r="AA76">
        <v>0.50258699030215903</v>
      </c>
      <c r="AB76">
        <v>0.59742063405088097</v>
      </c>
      <c r="AC76">
        <v>0.54768940166568003</v>
      </c>
      <c r="AD76">
        <v>-1.47048709120252E-2</v>
      </c>
      <c r="AE76">
        <v>5.9634612686272801</v>
      </c>
      <c r="AF76">
        <v>26.886311996313498</v>
      </c>
      <c r="AG76">
        <v>0</v>
      </c>
      <c r="AH76">
        <f t="shared" si="3"/>
        <v>26.886311996313498</v>
      </c>
      <c r="AJ76">
        <f t="shared" si="4"/>
        <v>0</v>
      </c>
      <c r="AK76">
        <f t="shared" si="5"/>
        <v>-1.1092504447288802</v>
      </c>
    </row>
    <row r="77" spans="1:37" x14ac:dyDescent="0.25">
      <c r="A77" s="1">
        <v>46022</v>
      </c>
      <c r="B77">
        <v>3.9740808324421102</v>
      </c>
      <c r="C77">
        <v>0.42810900901309301</v>
      </c>
      <c r="D77">
        <v>-3.4346426575634301</v>
      </c>
      <c r="E77" s="16">
        <v>9.7784953318784696E-5</v>
      </c>
      <c r="F77">
        <v>2.6700932649257898</v>
      </c>
      <c r="G77">
        <v>14.946216531113199</v>
      </c>
      <c r="H77">
        <v>-1.2833931168948201E-3</v>
      </c>
      <c r="I77">
        <v>0.13812771613914801</v>
      </c>
      <c r="J77">
        <v>-3.0260911645197099E-2</v>
      </c>
      <c r="K77">
        <v>-15.7214801256043</v>
      </c>
      <c r="L77">
        <v>0.957804793353216</v>
      </c>
      <c r="M77">
        <v>0</v>
      </c>
      <c r="N77">
        <v>0</v>
      </c>
      <c r="O77">
        <v>0.14559604093745199</v>
      </c>
      <c r="P77">
        <v>0</v>
      </c>
      <c r="Q77">
        <v>-3.5914293280574702E-2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15.9420232800527</v>
      </c>
      <c r="Z77">
        <v>-0.88565917644417202</v>
      </c>
      <c r="AA77">
        <v>0.48863719836010699</v>
      </c>
      <c r="AB77">
        <v>0.58105399737318797</v>
      </c>
      <c r="AC77">
        <v>0.533950907915545</v>
      </c>
      <c r="AD77">
        <v>-7.1720926640174796E-3</v>
      </c>
      <c r="AE77">
        <v>5.9456674960345604</v>
      </c>
      <c r="AF77">
        <v>26.635046202294799</v>
      </c>
      <c r="AG77">
        <v>0</v>
      </c>
      <c r="AH77">
        <f t="shared" si="3"/>
        <v>26.635046202294799</v>
      </c>
      <c r="AJ77">
        <f t="shared" si="4"/>
        <v>0</v>
      </c>
      <c r="AK77">
        <f t="shared" si="5"/>
        <v>-1.0769500299265058</v>
      </c>
    </row>
    <row r="78" spans="1:37" x14ac:dyDescent="0.25">
      <c r="A78" s="1">
        <v>46112</v>
      </c>
      <c r="B78">
        <v>3.9324542349115799</v>
      </c>
      <c r="C78">
        <v>0.374855120565602</v>
      </c>
      <c r="D78">
        <v>-3.4087414473375999</v>
      </c>
      <c r="E78" s="16">
        <v>9.3444986555504494E-5</v>
      </c>
      <c r="F78">
        <v>2.6608720532474601</v>
      </c>
      <c r="G78">
        <v>14.954454577416699</v>
      </c>
      <c r="H78">
        <v>-1.18766760732955E-3</v>
      </c>
      <c r="I78">
        <v>0.128577904674083</v>
      </c>
      <c r="J78">
        <v>-2.6953906588467198E-2</v>
      </c>
      <c r="K78">
        <v>-15.2448779507636</v>
      </c>
      <c r="L78">
        <v>0.84628227066157702</v>
      </c>
      <c r="M78">
        <v>0</v>
      </c>
      <c r="N78">
        <v>0</v>
      </c>
      <c r="O78">
        <v>0.13712411597466001</v>
      </c>
      <c r="P78">
        <v>0</v>
      </c>
      <c r="Q78">
        <v>-3.8568499014466698E-2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15.4502290457242</v>
      </c>
      <c r="Z78">
        <v>-0.85617724366796799</v>
      </c>
      <c r="AA78">
        <v>0.47477415968779502</v>
      </c>
      <c r="AB78">
        <v>0.56456194910875301</v>
      </c>
      <c r="AC78">
        <v>0.51931550621744105</v>
      </c>
      <c r="AD78">
        <v>-3.6718823984142599E-3</v>
      </c>
      <c r="AE78">
        <v>5.9279339770261696</v>
      </c>
      <c r="AF78">
        <v>26.3913497628246</v>
      </c>
      <c r="AG78">
        <v>0</v>
      </c>
      <c r="AH78">
        <f t="shared" si="3"/>
        <v>26.3913497628246</v>
      </c>
      <c r="AJ78">
        <f t="shared" si="4"/>
        <v>0</v>
      </c>
      <c r="AK78">
        <f t="shared" si="5"/>
        <v>-1.0412776998828663</v>
      </c>
    </row>
    <row r="79" spans="1:37" x14ac:dyDescent="0.25">
      <c r="A79" s="1">
        <v>46203</v>
      </c>
      <c r="B79">
        <v>3.8909214929929701</v>
      </c>
      <c r="C79">
        <v>0.32876231837869901</v>
      </c>
      <c r="D79">
        <v>-3.3819542166739902</v>
      </c>
      <c r="E79" s="16">
        <v>8.8919716673333397E-5</v>
      </c>
      <c r="F79">
        <v>2.6489971466959998</v>
      </c>
      <c r="G79">
        <v>14.957537298345599</v>
      </c>
      <c r="H79">
        <v>-1.1162047518699901E-3</v>
      </c>
      <c r="I79">
        <v>0.11957036916455301</v>
      </c>
      <c r="J79">
        <v>-2.3684559223924699E-2</v>
      </c>
      <c r="K79">
        <v>-14.7791024910152</v>
      </c>
      <c r="L79">
        <v>0.74406216152907001</v>
      </c>
      <c r="M79">
        <v>0</v>
      </c>
      <c r="N79">
        <v>0</v>
      </c>
      <c r="O79">
        <v>0.12895712138072199</v>
      </c>
      <c r="P79">
        <v>0</v>
      </c>
      <c r="Q79">
        <v>-4.06419835139862E-2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14.9713285541921</v>
      </c>
      <c r="Z79">
        <v>-0.82775903301559906</v>
      </c>
      <c r="AA79">
        <v>0.461121730913157</v>
      </c>
      <c r="AB79">
        <v>0.54825473040872597</v>
      </c>
      <c r="AC79">
        <v>0.50458237264440597</v>
      </c>
      <c r="AD79">
        <v>-1.818287872394E-3</v>
      </c>
      <c r="AE79">
        <v>5.9102604553666298</v>
      </c>
      <c r="AF79">
        <v>26.158367895662199</v>
      </c>
      <c r="AG79">
        <v>0</v>
      </c>
      <c r="AH79">
        <f t="shared" si="3"/>
        <v>26.158367895662199</v>
      </c>
      <c r="AJ79">
        <f t="shared" si="4"/>
        <v>0</v>
      </c>
      <c r="AK79">
        <f t="shared" si="5"/>
        <v>-1.0055646976359165</v>
      </c>
    </row>
    <row r="80" spans="1:37" x14ac:dyDescent="0.25">
      <c r="A80" s="1">
        <v>46295</v>
      </c>
      <c r="B80">
        <v>3.8495215881189901</v>
      </c>
      <c r="C80">
        <v>0.28883407469157801</v>
      </c>
      <c r="D80">
        <v>-3.3544505312959401</v>
      </c>
      <c r="E80" s="16">
        <v>8.4286275359948804E-5</v>
      </c>
      <c r="F80">
        <v>2.6348746463414598</v>
      </c>
      <c r="G80">
        <v>14.955871177569</v>
      </c>
      <c r="H80">
        <v>-1.0577841096166801E-3</v>
      </c>
      <c r="I80">
        <v>0.11109408760518601</v>
      </c>
      <c r="J80">
        <v>-2.04833677437752E-2</v>
      </c>
      <c r="K80">
        <v>-14.3246287342348</v>
      </c>
      <c r="L80">
        <v>0.65108527170060704</v>
      </c>
      <c r="M80">
        <v>0</v>
      </c>
      <c r="N80">
        <v>0</v>
      </c>
      <c r="O80">
        <v>0.12108460465728001</v>
      </c>
      <c r="P80">
        <v>0</v>
      </c>
      <c r="Q80">
        <v>-4.2050997578279903E-2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14.5055282830991</v>
      </c>
      <c r="Z80">
        <v>-0.80036705093917604</v>
      </c>
      <c r="AA80">
        <v>0.44772443051204702</v>
      </c>
      <c r="AB80">
        <v>0.53223638467132806</v>
      </c>
      <c r="AC80">
        <v>0.49001865368388398</v>
      </c>
      <c r="AD80">
        <v>-6.7798019919116802E-4</v>
      </c>
      <c r="AE80">
        <v>5.8926466763756098</v>
      </c>
      <c r="AF80">
        <v>25.936887719200602</v>
      </c>
      <c r="AG80">
        <v>0</v>
      </c>
      <c r="AH80">
        <f t="shared" si="3"/>
        <v>25.936887719200602</v>
      </c>
      <c r="AJ80">
        <f t="shared" si="4"/>
        <v>0</v>
      </c>
      <c r="AK80">
        <f t="shared" si="5"/>
        <v>-0.97091859125047142</v>
      </c>
    </row>
    <row r="81" spans="1:37" x14ac:dyDescent="0.25">
      <c r="A81" s="1">
        <v>46387</v>
      </c>
      <c r="B81">
        <v>3.8082932617317198</v>
      </c>
      <c r="C81">
        <v>0.25421811671385802</v>
      </c>
      <c r="D81">
        <v>-3.3263786004999001</v>
      </c>
      <c r="E81" s="16">
        <v>7.9619672900122502E-5</v>
      </c>
      <c r="F81">
        <v>2.61886148655603</v>
      </c>
      <c r="G81">
        <v>14.9498616320012</v>
      </c>
      <c r="H81">
        <v>-1.0047217003304101E-3</v>
      </c>
      <c r="I81">
        <v>0.103130144615452</v>
      </c>
      <c r="J81">
        <v>-1.7375603678662001E-2</v>
      </c>
      <c r="K81">
        <v>-13.8817674717675</v>
      </c>
      <c r="L81">
        <v>0.56716087942495896</v>
      </c>
      <c r="M81">
        <v>0</v>
      </c>
      <c r="N81">
        <v>0</v>
      </c>
      <c r="O81">
        <v>0.113496443412271</v>
      </c>
      <c r="P81">
        <v>0</v>
      </c>
      <c r="Q81">
        <v>-4.27768160225524E-2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14.052909186769799</v>
      </c>
      <c r="Z81">
        <v>-0.77397318799493797</v>
      </c>
      <c r="AA81">
        <v>0.43460187878909401</v>
      </c>
      <c r="AB81">
        <v>0.51654594927449105</v>
      </c>
      <c r="AC81">
        <v>0.47571410295071398</v>
      </c>
      <c r="AD81" s="16">
        <v>7.8497944331441702E-5</v>
      </c>
      <c r="AE81">
        <v>5.87509238690728</v>
      </c>
      <c r="AF81">
        <v>25.726767185100201</v>
      </c>
      <c r="AG81">
        <v>0</v>
      </c>
      <c r="AH81">
        <f t="shared" si="3"/>
        <v>25.726767185100201</v>
      </c>
      <c r="AJ81">
        <f t="shared" si="4"/>
        <v>0</v>
      </c>
      <c r="AK81">
        <f t="shared" si="5"/>
        <v>-0.93760539937826248</v>
      </c>
    </row>
    <row r="82" spans="1:37" x14ac:dyDescent="0.25">
      <c r="A82" s="1">
        <v>46477</v>
      </c>
      <c r="B82">
        <v>3.7672733097975</v>
      </c>
      <c r="C82">
        <v>0.224185198635489</v>
      </c>
      <c r="D82">
        <v>-3.2978697370790502</v>
      </c>
      <c r="E82" s="16">
        <v>7.4985108114418799E-5</v>
      </c>
      <c r="F82">
        <v>2.6012761192949099</v>
      </c>
      <c r="G82">
        <v>14.939907479901199</v>
      </c>
      <c r="H82">
        <v>-9.5279490724730796E-4</v>
      </c>
      <c r="I82">
        <v>9.5656249314254593E-2</v>
      </c>
      <c r="J82">
        <v>-1.4381658931188901E-2</v>
      </c>
      <c r="K82">
        <v>-13.4507203468978</v>
      </c>
      <c r="L82">
        <v>0.49199113154559099</v>
      </c>
      <c r="M82">
        <v>0</v>
      </c>
      <c r="N82">
        <v>0</v>
      </c>
      <c r="O82">
        <v>0.106182857895571</v>
      </c>
      <c r="P82">
        <v>0</v>
      </c>
      <c r="Q82">
        <v>-4.2843662414785898E-2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13.6134673632094</v>
      </c>
      <c r="Z82">
        <v>-0.74854993563098404</v>
      </c>
      <c r="AA82">
        <v>0.42176518562759202</v>
      </c>
      <c r="AB82">
        <v>0.50120149854323803</v>
      </c>
      <c r="AC82">
        <v>0.46170249980329597</v>
      </c>
      <c r="AD82">
        <v>5.7768852675733895E-4</v>
      </c>
      <c r="AE82">
        <v>5.8575973353304303</v>
      </c>
      <c r="AF82">
        <v>25.5275407666721</v>
      </c>
      <c r="AG82">
        <v>0</v>
      </c>
      <c r="AH82">
        <f t="shared" si="3"/>
        <v>25.5275407666721</v>
      </c>
      <c r="AJ82">
        <f t="shared" si="4"/>
        <v>0</v>
      </c>
      <c r="AK82">
        <f t="shared" si="5"/>
        <v>-0.9056268110770711</v>
      </c>
    </row>
    <row r="83" spans="1:37" x14ac:dyDescent="0.25">
      <c r="A83" s="1">
        <v>46568</v>
      </c>
      <c r="B83">
        <v>3.7264957997643702</v>
      </c>
      <c r="C83">
        <v>0.19811064521433999</v>
      </c>
      <c r="D83">
        <v>-3.2690402660150002</v>
      </c>
      <c r="E83" s="16">
        <v>7.0436689001567498E-5</v>
      </c>
      <c r="F83">
        <v>2.5824028181508001</v>
      </c>
      <c r="G83">
        <v>14.9263963258645</v>
      </c>
      <c r="H83">
        <v>-9.0014542040541597E-4</v>
      </c>
      <c r="I83">
        <v>8.8648846056462394E-2</v>
      </c>
      <c r="J83">
        <v>-1.15174262454032E-2</v>
      </c>
      <c r="K83">
        <v>-13.0316024907025</v>
      </c>
      <c r="L83">
        <v>0.42519330605850197</v>
      </c>
      <c r="M83">
        <v>0</v>
      </c>
      <c r="N83">
        <v>0</v>
      </c>
      <c r="O83">
        <v>9.9134410651771504E-2</v>
      </c>
      <c r="P83">
        <v>0</v>
      </c>
      <c r="Q83">
        <v>-4.2303194588649798E-2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13.187132127949999</v>
      </c>
      <c r="Z83">
        <v>-0.72406830711461201</v>
      </c>
      <c r="AA83">
        <v>0.40922184466536798</v>
      </c>
      <c r="AB83">
        <v>0.48621345586398901</v>
      </c>
      <c r="AC83">
        <v>0.44799955836776101</v>
      </c>
      <c r="AD83">
        <v>8.8098974193799996E-4</v>
      </c>
      <c r="AE83">
        <v>5.8401612715092002</v>
      </c>
      <c r="AF83">
        <v>25.338630006461301</v>
      </c>
      <c r="AG83">
        <v>0</v>
      </c>
      <c r="AH83">
        <f t="shared" si="3"/>
        <v>25.338630006461301</v>
      </c>
      <c r="AJ83">
        <f t="shared" si="4"/>
        <v>0</v>
      </c>
      <c r="AK83">
        <f t="shared" si="5"/>
        <v>-0.87491158942371428</v>
      </c>
    </row>
    <row r="84" spans="1:37" x14ac:dyDescent="0.25">
      <c r="A84" s="1">
        <v>46660</v>
      </c>
      <c r="B84">
        <v>3.6859917167120599</v>
      </c>
      <c r="C84">
        <v>0.17545861967468401</v>
      </c>
      <c r="D84">
        <v>-3.2399927199468301</v>
      </c>
      <c r="E84" s="16">
        <v>6.6017982514970697E-5</v>
      </c>
      <c r="F84">
        <v>2.5624942164740401</v>
      </c>
      <c r="G84">
        <v>14.9097007657242</v>
      </c>
      <c r="H84">
        <v>-8.4630040815494205E-4</v>
      </c>
      <c r="I84">
        <v>8.2084098296754601E-2</v>
      </c>
      <c r="J84">
        <v>-8.7947249067795198E-3</v>
      </c>
      <c r="K84">
        <v>-12.624455355189101</v>
      </c>
      <c r="L84">
        <v>0.366319795926009</v>
      </c>
      <c r="M84">
        <v>0</v>
      </c>
      <c r="N84">
        <v>0</v>
      </c>
      <c r="O84">
        <v>9.2342001316808295E-2</v>
      </c>
      <c r="P84">
        <v>0</v>
      </c>
      <c r="Q84">
        <v>-4.1223490190320698E-2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12.773777063223701</v>
      </c>
      <c r="Z84">
        <v>-0.70049767739651003</v>
      </c>
      <c r="AA84">
        <v>0.39697722500059102</v>
      </c>
      <c r="AB84">
        <v>0.47158861880893599</v>
      </c>
      <c r="AC84">
        <v>0.434614385937935</v>
      </c>
      <c r="AD84">
        <v>1.0277896091923501E-3</v>
      </c>
      <c r="AE84">
        <v>5.82278394678446</v>
      </c>
      <c r="AF84">
        <v>25.159415993434202</v>
      </c>
      <c r="AG84">
        <v>0</v>
      </c>
      <c r="AH84">
        <f t="shared" si="3"/>
        <v>25.159415993434202</v>
      </c>
      <c r="AJ84">
        <f t="shared" si="4"/>
        <v>0</v>
      </c>
      <c r="AK84">
        <f t="shared" si="5"/>
        <v>-0.84537405131155186</v>
      </c>
    </row>
    <row r="85" spans="1:37" x14ac:dyDescent="0.25">
      <c r="A85" s="1">
        <v>46752</v>
      </c>
      <c r="B85">
        <v>3.64578882845111</v>
      </c>
      <c r="C85">
        <v>0.155768802742142</v>
      </c>
      <c r="D85">
        <v>-3.2108168484628199</v>
      </c>
      <c r="E85" s="16">
        <v>6.1763048406176594E-5</v>
      </c>
      <c r="F85">
        <v>2.5417734075357798</v>
      </c>
      <c r="G85">
        <v>14.890175375411101</v>
      </c>
      <c r="H85">
        <v>-7.9151019786767205E-4</v>
      </c>
      <c r="I85">
        <v>7.5938372148452796E-2</v>
      </c>
      <c r="J85">
        <v>-6.2217492549956899E-3</v>
      </c>
      <c r="K85">
        <v>-12.2292563455006</v>
      </c>
      <c r="L85">
        <v>0.31487582879753101</v>
      </c>
      <c r="M85">
        <v>0</v>
      </c>
      <c r="N85">
        <v>0</v>
      </c>
      <c r="O85">
        <v>8.5796859153945595E-2</v>
      </c>
      <c r="P85">
        <v>0</v>
      </c>
      <c r="Q85">
        <v>-3.96811918129246E-2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12.3732286009459</v>
      </c>
      <c r="Z85">
        <v>-0.67780613277934398</v>
      </c>
      <c r="AA85">
        <v>0.38503506803728099</v>
      </c>
      <c r="AB85">
        <v>0.45733143406800397</v>
      </c>
      <c r="AC85">
        <v>0.42155294501253299</v>
      </c>
      <c r="AD85">
        <v>1.0485802074091E-3</v>
      </c>
      <c r="AE85">
        <v>5.8054651139558198</v>
      </c>
      <c r="AF85">
        <v>24.989267201506799</v>
      </c>
      <c r="AG85">
        <v>0</v>
      </c>
      <c r="AH85">
        <f t="shared" si="3"/>
        <v>24.989267201506799</v>
      </c>
      <c r="AJ85">
        <f t="shared" si="4"/>
        <v>0</v>
      </c>
      <c r="AK85">
        <f t="shared" si="5"/>
        <v>-0.81693100914512862</v>
      </c>
    </row>
    <row r="86" spans="1:37" x14ac:dyDescent="0.25">
      <c r="A86" s="1">
        <v>46843</v>
      </c>
      <c r="B86">
        <v>3.6059116738071699</v>
      </c>
      <c r="C86">
        <v>0.138645137565649</v>
      </c>
      <c r="D86">
        <v>-3.1815905842339398</v>
      </c>
      <c r="E86" s="16">
        <v>5.7697559206626101E-5</v>
      </c>
      <c r="F86">
        <v>2.52043596965445</v>
      </c>
      <c r="G86">
        <v>14.8681544340622</v>
      </c>
      <c r="H86">
        <v>-7.3635016096696901E-4</v>
      </c>
      <c r="I86">
        <v>7.0188499038832106E-2</v>
      </c>
      <c r="J86">
        <v>-3.8035186100277099E-3</v>
      </c>
      <c r="K86">
        <v>-11.8459271669013</v>
      </c>
      <c r="L86">
        <v>0.27033500224339702</v>
      </c>
      <c r="M86">
        <v>0</v>
      </c>
      <c r="N86">
        <v>0</v>
      </c>
      <c r="O86">
        <v>7.9490534287328607E-2</v>
      </c>
      <c r="P86">
        <v>0</v>
      </c>
      <c r="Q86">
        <v>-3.7755922733653399E-2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11.985273470516701</v>
      </c>
      <c r="Z86">
        <v>-0.65596091884470398</v>
      </c>
      <c r="AA86">
        <v>0.37339769780944199</v>
      </c>
      <c r="AB86">
        <v>0.443444467083625</v>
      </c>
      <c r="AC86">
        <v>0.40881914797241597</v>
      </c>
      <c r="AD86">
        <v>9.6898993327961403E-4</v>
      </c>
      <c r="AE86">
        <v>5.7882045272641198</v>
      </c>
      <c r="AF86">
        <v>24.827552787313099</v>
      </c>
      <c r="AG86">
        <v>0</v>
      </c>
      <c r="AH86">
        <f t="shared" si="3"/>
        <v>24.827552787313099</v>
      </c>
      <c r="AJ86">
        <f t="shared" si="4"/>
        <v>0</v>
      </c>
      <c r="AK86">
        <f t="shared" si="5"/>
        <v>-0.78950622185678632</v>
      </c>
    </row>
    <row r="87" spans="1:37" x14ac:dyDescent="0.25">
      <c r="A87" s="1">
        <v>46934</v>
      </c>
      <c r="B87">
        <v>3.5663816268662401</v>
      </c>
      <c r="C87">
        <v>0.12374632490132099</v>
      </c>
      <c r="D87">
        <v>-3.1523809973069898</v>
      </c>
      <c r="E87" s="16">
        <v>5.3839886896534699E-5</v>
      </c>
      <c r="F87">
        <v>2.4986519970235501</v>
      </c>
      <c r="G87">
        <v>14.8439503149693</v>
      </c>
      <c r="H87">
        <v>-6.8149837567337099E-4</v>
      </c>
      <c r="I87">
        <v>6.4811936284830396E-2</v>
      </c>
      <c r="J87">
        <v>-1.5423134773882E-3</v>
      </c>
      <c r="K87">
        <v>-11.4743414335857</v>
      </c>
      <c r="L87">
        <v>0.23215274581322101</v>
      </c>
      <c r="M87">
        <v>0</v>
      </c>
      <c r="N87">
        <v>0</v>
      </c>
      <c r="O87">
        <v>7.3414888080618301E-2</v>
      </c>
      <c r="P87">
        <v>0</v>
      </c>
      <c r="Q87">
        <v>-3.5526364225037299E-2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11.609665401586501</v>
      </c>
      <c r="Z87">
        <v>-0.634928868805827</v>
      </c>
      <c r="AA87">
        <v>0.36206615132748399</v>
      </c>
      <c r="AB87">
        <v>0.42992863805135301</v>
      </c>
      <c r="AC87">
        <v>0.39641525941754902</v>
      </c>
      <c r="AD87">
        <v>8.1112415081670199E-4</v>
      </c>
      <c r="AE87">
        <v>5.7710019423745802</v>
      </c>
      <c r="AF87">
        <v>24.673650714957599</v>
      </c>
      <c r="AG87">
        <v>0</v>
      </c>
      <c r="AH87">
        <f t="shared" si="3"/>
        <v>24.673650714957599</v>
      </c>
      <c r="AJ87">
        <f t="shared" si="4"/>
        <v>0</v>
      </c>
      <c r="AK87">
        <f t="shared" si="5"/>
        <v>-0.7630311602227946</v>
      </c>
    </row>
    <row r="88" spans="1:37" x14ac:dyDescent="0.25">
      <c r="A88" s="1">
        <v>47026</v>
      </c>
      <c r="B88">
        <v>3.5272170114914201</v>
      </c>
      <c r="C88">
        <v>0.110777794851754</v>
      </c>
      <c r="D88">
        <v>-3.1232452373684199</v>
      </c>
      <c r="E88" s="16">
        <v>5.02021197247057E-5</v>
      </c>
      <c r="F88">
        <v>2.4765681363989001</v>
      </c>
      <c r="G88">
        <v>14.8178524693484</v>
      </c>
      <c r="H88">
        <v>-6.2761911593203702E-4</v>
      </c>
      <c r="I88">
        <v>5.97868751445692E-2</v>
      </c>
      <c r="J88">
        <v>5.6191170882187197E-4</v>
      </c>
      <c r="K88">
        <v>-11.114331689978</v>
      </c>
      <c r="L88">
        <v>0.19977783910650301</v>
      </c>
      <c r="M88">
        <v>0</v>
      </c>
      <c r="N88">
        <v>0</v>
      </c>
      <c r="O88">
        <v>6.7562082934659706E-2</v>
      </c>
      <c r="P88">
        <v>0</v>
      </c>
      <c r="Q88">
        <v>-3.3067563429573198E-2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11.246131201069</v>
      </c>
      <c r="Z88">
        <v>-0.61467678104103296</v>
      </c>
      <c r="AA88">
        <v>0.35104028812115801</v>
      </c>
      <c r="AB88">
        <v>0.41678339052697799</v>
      </c>
      <c r="AC88">
        <v>0.38434209836173999</v>
      </c>
      <c r="AD88">
        <v>5.9411581926098998E-4</v>
      </c>
      <c r="AE88">
        <v>5.75385711636038</v>
      </c>
      <c r="AF88">
        <v>24.5269536424303</v>
      </c>
      <c r="AG88">
        <v>0</v>
      </c>
      <c r="AH88">
        <f t="shared" si="3"/>
        <v>24.5269536424303</v>
      </c>
      <c r="AJ88">
        <f t="shared" si="4"/>
        <v>0</v>
      </c>
      <c r="AK88">
        <f t="shared" si="5"/>
        <v>-0.73744470581376564</v>
      </c>
    </row>
    <row r="89" spans="1:37" x14ac:dyDescent="0.25">
      <c r="A89" s="1">
        <v>47118</v>
      </c>
      <c r="B89">
        <v>3.48843325046828</v>
      </c>
      <c r="C89">
        <v>9.9484922015836003E-2</v>
      </c>
      <c r="D89">
        <v>-3.0942314559462298</v>
      </c>
      <c r="E89" s="16">
        <v>4.6790998166807101E-5</v>
      </c>
      <c r="F89">
        <v>2.4543096090232401</v>
      </c>
      <c r="G89">
        <v>14.7901269259514</v>
      </c>
      <c r="H89">
        <v>-5.7530652753632705E-4</v>
      </c>
      <c r="I89">
        <v>5.5092317235226597E-2</v>
      </c>
      <c r="J89">
        <v>2.51114517872513E-3</v>
      </c>
      <c r="K89">
        <v>-10.765695884003801</v>
      </c>
      <c r="L89">
        <v>0.17266212563349001</v>
      </c>
      <c r="M89">
        <v>0</v>
      </c>
      <c r="N89">
        <v>0</v>
      </c>
      <c r="O89">
        <v>6.1924571707037801E-2</v>
      </c>
      <c r="P89">
        <v>0</v>
      </c>
      <c r="Q89">
        <v>-3.0449158410375699E-2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10.894376248650699</v>
      </c>
      <c r="Z89">
        <v>-0.595171740231351</v>
      </c>
      <c r="AA89">
        <v>0.34031889502347101</v>
      </c>
      <c r="AB89">
        <v>0.4040068399317</v>
      </c>
      <c r="AC89">
        <v>0.372599183266557</v>
      </c>
      <c r="AD89">
        <v>3.3444451316029999E-4</v>
      </c>
      <c r="AE89">
        <v>5.7367698076867804</v>
      </c>
      <c r="AF89">
        <v>24.386873532164401</v>
      </c>
      <c r="AG89">
        <v>0</v>
      </c>
      <c r="AH89">
        <f t="shared" si="3"/>
        <v>24.386873532164401</v>
      </c>
      <c r="AJ89">
        <f t="shared" si="4"/>
        <v>0</v>
      </c>
      <c r="AK89">
        <f t="shared" si="5"/>
        <v>-0.71269255885747396</v>
      </c>
    </row>
    <row r="90" spans="1:37" x14ac:dyDescent="0.25">
      <c r="A90" s="1">
        <v>47208</v>
      </c>
      <c r="B90">
        <v>3.4500430386427201</v>
      </c>
      <c r="C90">
        <v>8.9647286810624505E-2</v>
      </c>
      <c r="D90">
        <v>-3.06537969963113</v>
      </c>
      <c r="E90" s="16">
        <v>4.3608767525563403E-5</v>
      </c>
      <c r="F90">
        <v>2.4319821941795201</v>
      </c>
      <c r="G90">
        <v>14.7610162315891</v>
      </c>
      <c r="H90">
        <v>-5.2506124582422703E-4</v>
      </c>
      <c r="I90">
        <v>5.0708128657654797E-2</v>
      </c>
      <c r="J90">
        <v>4.30896695109879E-3</v>
      </c>
      <c r="K90">
        <v>-10.428203304151101</v>
      </c>
      <c r="L90">
        <v>0.15026856806609501</v>
      </c>
      <c r="M90">
        <v>0</v>
      </c>
      <c r="N90">
        <v>0</v>
      </c>
      <c r="O90">
        <v>5.6495086917685497E-2</v>
      </c>
      <c r="P90">
        <v>0</v>
      </c>
      <c r="Q90">
        <v>-2.7734287813999101E-2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10.554089436811701</v>
      </c>
      <c r="Z90">
        <v>-0.57638138419215901</v>
      </c>
      <c r="AA90">
        <v>0.32989978971073303</v>
      </c>
      <c r="AB90">
        <v>0.391595914535943</v>
      </c>
      <c r="AC90">
        <v>0.361184860461225</v>
      </c>
      <c r="AD90" s="16">
        <v>4.6185753108186699E-5</v>
      </c>
      <c r="AE90">
        <v>5.7197397761957403</v>
      </c>
      <c r="AF90">
        <v>24.2528453370162</v>
      </c>
      <c r="AG90">
        <v>0</v>
      </c>
      <c r="AH90">
        <f t="shared" si="3"/>
        <v>24.2528453370162</v>
      </c>
      <c r="AJ90">
        <f t="shared" si="4"/>
        <v>0</v>
      </c>
      <c r="AK90">
        <f t="shared" si="5"/>
        <v>-0.68872658584713697</v>
      </c>
    </row>
    <row r="91" spans="1:37" x14ac:dyDescent="0.25">
      <c r="A91" s="1">
        <v>47299</v>
      </c>
      <c r="B91">
        <v>3.4120565321491201</v>
      </c>
      <c r="C91">
        <v>8.1073816619354394E-2</v>
      </c>
      <c r="D91">
        <v>-3.0367227664943699</v>
      </c>
      <c r="E91" s="16">
        <v>4.06539480098655E-5</v>
      </c>
      <c r="F91">
        <v>2.4096741529987402</v>
      </c>
      <c r="G91">
        <v>14.730739761838899</v>
      </c>
      <c r="H91">
        <v>-4.7728448612920402E-4</v>
      </c>
      <c r="I91">
        <v>4.6615076585012301E-2</v>
      </c>
      <c r="J91">
        <v>5.9602318306263202E-3</v>
      </c>
      <c r="K91">
        <v>-10.101599988643599</v>
      </c>
      <c r="L91">
        <v>0.13207779273325099</v>
      </c>
      <c r="M91">
        <v>0</v>
      </c>
      <c r="N91">
        <v>0</v>
      </c>
      <c r="O91">
        <v>5.12666298773388E-2</v>
      </c>
      <c r="P91">
        <v>0</v>
      </c>
      <c r="Q91">
        <v>-2.4979010025636902E-2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10.224947579172801</v>
      </c>
      <c r="Z91">
        <v>-0.55827412075961003</v>
      </c>
      <c r="AA91">
        <v>0.31977992297573599</v>
      </c>
      <c r="AB91">
        <v>0.37954649150429298</v>
      </c>
      <c r="AC91">
        <v>0.35009642662546397</v>
      </c>
      <c r="AD91">
        <v>-2.58763635303721E-4</v>
      </c>
      <c r="AE91">
        <v>5.7027667830909401</v>
      </c>
      <c r="AF91">
        <v>24.124329917904902</v>
      </c>
      <c r="AG91">
        <v>0</v>
      </c>
      <c r="AH91">
        <f t="shared" si="3"/>
        <v>24.124329917904902</v>
      </c>
      <c r="AJ91">
        <f t="shared" si="4"/>
        <v>0</v>
      </c>
      <c r="AK91">
        <f t="shared" si="5"/>
        <v>-0.6655041771171204</v>
      </c>
    </row>
    <row r="92" spans="1:37" x14ac:dyDescent="0.25">
      <c r="A92" s="1">
        <v>47391</v>
      </c>
      <c r="B92">
        <v>3.37448154750538</v>
      </c>
      <c r="C92">
        <v>7.3598666720799899E-2</v>
      </c>
      <c r="D92">
        <v>-3.0082870194559899</v>
      </c>
      <c r="E92" s="16">
        <v>3.7922024763300697E-5</v>
      </c>
      <c r="F92">
        <v>2.3874580747704299</v>
      </c>
      <c r="G92">
        <v>14.6994943364914</v>
      </c>
      <c r="H92">
        <v>-4.3228109272011898E-4</v>
      </c>
      <c r="I92">
        <v>4.2794851251919397E-2</v>
      </c>
      <c r="J92">
        <v>7.47078632928191E-3</v>
      </c>
      <c r="K92">
        <v>-9.78561361813723</v>
      </c>
      <c r="L92">
        <v>0.117593270639454</v>
      </c>
      <c r="M92">
        <v>0</v>
      </c>
      <c r="N92">
        <v>0</v>
      </c>
      <c r="O92">
        <v>4.62324598531774E-2</v>
      </c>
      <c r="P92">
        <v>0</v>
      </c>
      <c r="Q92">
        <v>-2.2232098621182601E-2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9.9066193128575595</v>
      </c>
      <c r="Z92">
        <v>-0.54081929969133002</v>
      </c>
      <c r="AA92">
        <v>0.30995547882170199</v>
      </c>
      <c r="AB92">
        <v>0.36785352783357</v>
      </c>
      <c r="AC92">
        <v>0.33933024742633699</v>
      </c>
      <c r="AD92">
        <v>-5.7047220926488204E-4</v>
      </c>
      <c r="AE92">
        <v>5.68585059092326</v>
      </c>
      <c r="AF92">
        <v>24.0008162842411</v>
      </c>
      <c r="AG92">
        <v>0</v>
      </c>
      <c r="AH92">
        <f t="shared" si="3"/>
        <v>24.0008162842411</v>
      </c>
      <c r="AJ92">
        <f t="shared" si="4"/>
        <v>0</v>
      </c>
      <c r="AK92">
        <f t="shared" si="5"/>
        <v>-0.64298763675452242</v>
      </c>
    </row>
    <row r="93" spans="1:37" x14ac:dyDescent="0.25">
      <c r="A93" s="1">
        <v>47483</v>
      </c>
      <c r="B93">
        <v>3.33732376551735</v>
      </c>
      <c r="C93">
        <v>6.7077723245333495E-2</v>
      </c>
      <c r="D93">
        <v>-2.9800931519523401</v>
      </c>
      <c r="E93" s="16">
        <v>3.5406061288757001E-5</v>
      </c>
      <c r="F93">
        <v>2.3653926318068601</v>
      </c>
      <c r="G93">
        <v>14.667455080046</v>
      </c>
      <c r="H93">
        <v>-3.90266950376988E-4</v>
      </c>
      <c r="I93">
        <v>3.9230075529024099E-2</v>
      </c>
      <c r="J93">
        <v>8.8472186684141006E-3</v>
      </c>
      <c r="K93">
        <v>-9.4799579077585694</v>
      </c>
      <c r="L93">
        <v>0.10634527942678899</v>
      </c>
      <c r="M93">
        <v>0</v>
      </c>
      <c r="N93">
        <v>0</v>
      </c>
      <c r="O93">
        <v>4.1386083366424499E-2</v>
      </c>
      <c r="P93">
        <v>0</v>
      </c>
      <c r="Q93">
        <v>-1.9535112132378098E-2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9.59876852300658</v>
      </c>
      <c r="Z93">
        <v>-0.52398734458287799</v>
      </c>
      <c r="AA93">
        <v>0.300421971356027</v>
      </c>
      <c r="AB93">
        <v>0.35651118538902399</v>
      </c>
      <c r="AC93">
        <v>0.32888187205319203</v>
      </c>
      <c r="AD93">
        <v>-8.8077035403720202E-4</v>
      </c>
      <c r="AE93">
        <v>5.66899096357667</v>
      </c>
      <c r="AF93">
        <v>23.8818232253183</v>
      </c>
      <c r="AG93">
        <v>0</v>
      </c>
      <c r="AH93">
        <f t="shared" si="3"/>
        <v>23.8818232253183</v>
      </c>
      <c r="AJ93">
        <f t="shared" si="4"/>
        <v>0</v>
      </c>
      <c r="AK93">
        <f t="shared" si="5"/>
        <v>-0.62114361247576289</v>
      </c>
    </row>
    <row r="94" spans="1:37" x14ac:dyDescent="0.25">
      <c r="A94" s="1">
        <v>47573</v>
      </c>
      <c r="B94">
        <v>3.3005869358351201</v>
      </c>
      <c r="C94">
        <v>6.1385629246621901E-2</v>
      </c>
      <c r="D94">
        <v>-2.9521569027203398</v>
      </c>
      <c r="E94" s="16">
        <v>3.3097240362015798E-5</v>
      </c>
      <c r="F94">
        <v>2.3435242324988201</v>
      </c>
      <c r="G94">
        <v>14.634776473461301</v>
      </c>
      <c r="H94">
        <v>-3.5137830639258899E-4</v>
      </c>
      <c r="I94">
        <v>3.5904303918844097E-2</v>
      </c>
      <c r="J94">
        <v>1.00966404064964E-2</v>
      </c>
      <c r="K94">
        <v>-9.1843365184793306</v>
      </c>
      <c r="L94">
        <v>9.7893786011705702E-2</v>
      </c>
      <c r="M94">
        <v>0</v>
      </c>
      <c r="N94">
        <v>0</v>
      </c>
      <c r="O94">
        <v>3.6721243699343799E-2</v>
      </c>
      <c r="P94">
        <v>0</v>
      </c>
      <c r="Q94">
        <v>-1.6922659723416798E-2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9.3010573196296296</v>
      </c>
      <c r="Z94">
        <v>-0.50774984963371195</v>
      </c>
      <c r="AA94">
        <v>0.29117433758005201</v>
      </c>
      <c r="AB94">
        <v>0.34551294923208697</v>
      </c>
      <c r="AC94">
        <v>0.318746142873292</v>
      </c>
      <c r="AD94">
        <v>-1.1830567650229101E-3</v>
      </c>
      <c r="AE94">
        <v>5.6521876662545498</v>
      </c>
      <c r="AF94">
        <v>23.766900392259899</v>
      </c>
      <c r="AG94">
        <v>0</v>
      </c>
      <c r="AH94">
        <f t="shared" si="3"/>
        <v>23.766900392259899</v>
      </c>
      <c r="AJ94">
        <f t="shared" si="4"/>
        <v>0</v>
      </c>
      <c r="AK94">
        <f t="shared" si="5"/>
        <v>-0.59994256813634061</v>
      </c>
    </row>
    <row r="95" spans="1:37" x14ac:dyDescent="0.25">
      <c r="A95" s="1">
        <v>47664</v>
      </c>
      <c r="B95">
        <v>3.2642730787483498</v>
      </c>
      <c r="C95">
        <v>5.6413250879752401E-2</v>
      </c>
      <c r="D95">
        <v>-2.92448971781524</v>
      </c>
      <c r="E95" s="16">
        <v>3.0985336959700399E-5</v>
      </c>
      <c r="F95">
        <v>2.32188856543709</v>
      </c>
      <c r="G95">
        <v>14.601593549197</v>
      </c>
      <c r="H95">
        <v>-3.1568170223055599E-4</v>
      </c>
      <c r="I95">
        <v>3.2802012605885202E-2</v>
      </c>
      <c r="J95">
        <v>1.12264978327012E-2</v>
      </c>
      <c r="K95">
        <v>-8.8984465112893396</v>
      </c>
      <c r="L95">
        <v>9.1830383497977397E-2</v>
      </c>
      <c r="M95">
        <v>0</v>
      </c>
      <c r="N95">
        <v>0</v>
      </c>
      <c r="O95">
        <v>3.2231910673672003E-2</v>
      </c>
      <c r="P95">
        <v>0</v>
      </c>
      <c r="Q95">
        <v>-1.44228023953241E-2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9.0131485983864597</v>
      </c>
      <c r="Z95">
        <v>-0.49207964583610397</v>
      </c>
      <c r="AA95">
        <v>0.28220702534591202</v>
      </c>
      <c r="AB95">
        <v>0.33485173859009998</v>
      </c>
      <c r="AC95">
        <v>0.30891729943655899</v>
      </c>
      <c r="AD95">
        <v>-1.4721157585058601E-3</v>
      </c>
      <c r="AE95">
        <v>5.6354404654663304</v>
      </c>
      <c r="AF95">
        <v>23.655628886637899</v>
      </c>
      <c r="AG95">
        <v>0</v>
      </c>
      <c r="AH95">
        <f t="shared" si="3"/>
        <v>23.655628886637899</v>
      </c>
      <c r="AJ95">
        <f t="shared" si="4"/>
        <v>0</v>
      </c>
      <c r="AK95">
        <f t="shared" si="5"/>
        <v>-0.57935829954875218</v>
      </c>
    </row>
    <row r="96" spans="1:37" x14ac:dyDescent="0.25">
      <c r="A96" s="1">
        <v>47756</v>
      </c>
      <c r="B96">
        <v>3.2283826814497698</v>
      </c>
      <c r="C96">
        <v>5.2065514076050097E-2</v>
      </c>
      <c r="D96">
        <v>-2.8970993590994198</v>
      </c>
      <c r="E96" s="16">
        <v>2.9059127997798501E-5</v>
      </c>
      <c r="F96">
        <v>2.3005120303187501</v>
      </c>
      <c r="G96">
        <v>14.5680231872447</v>
      </c>
      <c r="H96">
        <v>-2.8318382672564601E-4</v>
      </c>
      <c r="I96">
        <v>2.9908582041657701E-2</v>
      </c>
      <c r="J96">
        <v>1.224441101459E-2</v>
      </c>
      <c r="K96">
        <v>-8.6219813703106798</v>
      </c>
      <c r="L96">
        <v>8.7779408738287504E-2</v>
      </c>
      <c r="M96">
        <v>0</v>
      </c>
      <c r="N96">
        <v>0</v>
      </c>
      <c r="O96">
        <v>2.7912270748922399E-2</v>
      </c>
      <c r="P96">
        <v>0</v>
      </c>
      <c r="Q96">
        <v>-1.20575432225868E-2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8.7347082176477802</v>
      </c>
      <c r="Z96">
        <v>-0.47695084085381001</v>
      </c>
      <c r="AA96">
        <v>0.27351407593150501</v>
      </c>
      <c r="AB96">
        <v>0.32452001000967701</v>
      </c>
      <c r="AC96">
        <v>0.29938907620657901</v>
      </c>
      <c r="AD96">
        <v>-1.74394613244901E-3</v>
      </c>
      <c r="AE96">
        <v>5.6187491290145104</v>
      </c>
      <c r="AF96">
        <v>23.547621410125</v>
      </c>
      <c r="AG96">
        <v>0</v>
      </c>
      <c r="AH96">
        <f t="shared" si="3"/>
        <v>23.547621410125</v>
      </c>
      <c r="AJ96">
        <f t="shared" si="4"/>
        <v>0</v>
      </c>
      <c r="AK96">
        <f t="shared" si="5"/>
        <v>-0.55936749324752444</v>
      </c>
    </row>
    <row r="97" spans="1:37" x14ac:dyDescent="0.25">
      <c r="A97" s="1">
        <v>47848</v>
      </c>
      <c r="B97">
        <v>3.19291488655935</v>
      </c>
      <c r="C97">
        <v>4.8259553380275898E-2</v>
      </c>
      <c r="D97">
        <v>-2.8699904593875001</v>
      </c>
      <c r="E97" s="16">
        <v>2.7306743817729299E-5</v>
      </c>
      <c r="F97">
        <v>2.27941305380903</v>
      </c>
      <c r="G97">
        <v>14.534165475242601</v>
      </c>
      <c r="H97">
        <v>-2.5384092843279399E-4</v>
      </c>
      <c r="I97">
        <v>2.7210273409498699E-2</v>
      </c>
      <c r="J97">
        <v>1.31580382502636E-2</v>
      </c>
      <c r="K97">
        <v>-8.3546336229004403</v>
      </c>
      <c r="L97">
        <v>8.5398358888083906E-2</v>
      </c>
      <c r="M97">
        <v>0</v>
      </c>
      <c r="N97">
        <v>0</v>
      </c>
      <c r="O97">
        <v>2.37567174770398E-2</v>
      </c>
      <c r="P97">
        <v>0</v>
      </c>
      <c r="Q97">
        <v>-9.8433709085220308E-3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8.4654068243591798</v>
      </c>
      <c r="Z97">
        <v>-0.46233883652733399</v>
      </c>
      <c r="AA97">
        <v>0.26508920085251397</v>
      </c>
      <c r="AB97">
        <v>0.31450985241972701</v>
      </c>
      <c r="AC97">
        <v>0.29015479357132601</v>
      </c>
      <c r="AD97">
        <v>-1.99560207991736E-3</v>
      </c>
      <c r="AE97">
        <v>5.6021134259821004</v>
      </c>
      <c r="AF97">
        <v>23.442522028212501</v>
      </c>
      <c r="AG97">
        <v>0</v>
      </c>
      <c r="AH97">
        <f t="shared" si="3"/>
        <v>23.442522028212501</v>
      </c>
      <c r="AJ97">
        <f t="shared" si="4"/>
        <v>0</v>
      </c>
      <c r="AK97">
        <f t="shared" si="5"/>
        <v>-0.53994932717209532</v>
      </c>
    </row>
    <row r="98" spans="1:37" x14ac:dyDescent="0.25">
      <c r="A98" s="1">
        <v>47938</v>
      </c>
      <c r="B98">
        <v>3.1578676711984701</v>
      </c>
      <c r="C98">
        <v>4.4923124091576998E-2</v>
      </c>
      <c r="D98">
        <v>-2.84316502521808</v>
      </c>
      <c r="E98" s="16">
        <v>2.5715966391293398E-5</v>
      </c>
      <c r="F98">
        <v>2.2586032906020801</v>
      </c>
      <c r="G98">
        <v>14.500105100863101</v>
      </c>
      <c r="H98">
        <v>-2.2756759948563499E-4</v>
      </c>
      <c r="I98">
        <v>2.4694200184437399E-2</v>
      </c>
      <c r="J98">
        <v>1.39749636223281E-2</v>
      </c>
      <c r="K98">
        <v>-8.09609708598928</v>
      </c>
      <c r="L98">
        <v>8.4377716727702501E-2</v>
      </c>
      <c r="M98">
        <v>0</v>
      </c>
      <c r="N98">
        <v>0</v>
      </c>
      <c r="O98">
        <v>1.9759842339486602E-2</v>
      </c>
      <c r="P98">
        <v>0</v>
      </c>
      <c r="Q98">
        <v>-7.7918293670269402E-3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8.2049213608961704</v>
      </c>
      <c r="Z98">
        <v>-0.44822032760298602</v>
      </c>
      <c r="AA98">
        <v>0.25692585268052898</v>
      </c>
      <c r="AB98">
        <v>0.30481307399514102</v>
      </c>
      <c r="AC98">
        <v>0.28120744185588797</v>
      </c>
      <c r="AD98">
        <v>-2.2250464197598398E-3</v>
      </c>
      <c r="AE98">
        <v>5.5855331267202404</v>
      </c>
      <c r="AF98">
        <v>23.340005599546799</v>
      </c>
      <c r="AG98">
        <v>0</v>
      </c>
      <c r="AH98">
        <f t="shared" si="3"/>
        <v>23.340005599546799</v>
      </c>
      <c r="AJ98">
        <f t="shared" si="4"/>
        <v>0</v>
      </c>
      <c r="AK98">
        <f t="shared" si="5"/>
        <v>-0.52108511175519012</v>
      </c>
    </row>
    <row r="99" spans="1:37" x14ac:dyDescent="0.25">
      <c r="A99" s="1">
        <v>48029</v>
      </c>
      <c r="B99">
        <v>3.1232380153416002</v>
      </c>
      <c r="C99">
        <v>4.1993236802624699E-2</v>
      </c>
      <c r="D99">
        <v>-2.8166228888575402</v>
      </c>
      <c r="E99" s="16">
        <v>2.4274479163534901E-5</v>
      </c>
      <c r="F99">
        <v>2.2380887116424901</v>
      </c>
      <c r="G99">
        <v>14.4659127494179</v>
      </c>
      <c r="H99">
        <v>-2.0424483905501299E-4</v>
      </c>
      <c r="I99">
        <v>2.2348295877436301E-2</v>
      </c>
      <c r="J99">
        <v>1.4702605361207899E-2</v>
      </c>
      <c r="K99">
        <v>-7.8460687684772203</v>
      </c>
      <c r="L99">
        <v>8.4440285647877006E-2</v>
      </c>
      <c r="M99">
        <v>0</v>
      </c>
      <c r="N99">
        <v>0</v>
      </c>
      <c r="O99">
        <v>1.5916425983852001E-2</v>
      </c>
      <c r="P99">
        <v>0</v>
      </c>
      <c r="Q99">
        <v>-5.91009264899558E-3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7.9529362843409199</v>
      </c>
      <c r="Z99">
        <v>-0.43457328494317898</v>
      </c>
      <c r="AA99">
        <v>0.249017289766894</v>
      </c>
      <c r="AB99">
        <v>0.29542128085430602</v>
      </c>
      <c r="AC99">
        <v>0.27253975821023302</v>
      </c>
      <c r="AD99">
        <v>-2.4310161903534399E-3</v>
      </c>
      <c r="AE99">
        <v>5.5690080028362798</v>
      </c>
      <c r="AF99">
        <v>23.239776920606399</v>
      </c>
      <c r="AG99">
        <v>0</v>
      </c>
      <c r="AH99">
        <f t="shared" si="3"/>
        <v>23.239776920606399</v>
      </c>
      <c r="AJ99">
        <f t="shared" si="4"/>
        <v>0</v>
      </c>
      <c r="AK99">
        <f t="shared" si="5"/>
        <v>-0.50275796954545138</v>
      </c>
    </row>
    <row r="100" spans="1:37" x14ac:dyDescent="0.25">
      <c r="A100" s="1">
        <v>48121</v>
      </c>
      <c r="B100">
        <v>3.08902205855596</v>
      </c>
      <c r="C100">
        <v>3.9414980098184803E-2</v>
      </c>
      <c r="D100">
        <v>-2.7903621116422701</v>
      </c>
      <c r="E100" s="16">
        <v>2.2970073330625099E-5</v>
      </c>
      <c r="F100">
        <v>2.2178705828626799</v>
      </c>
      <c r="G100">
        <v>14.431646484015999</v>
      </c>
      <c r="H100">
        <v>-1.8372735872882999E-4</v>
      </c>
      <c r="I100">
        <v>2.0161278931623099E-2</v>
      </c>
      <c r="J100">
        <v>1.53481427819851E-2</v>
      </c>
      <c r="K100">
        <v>-7.6042504595440299</v>
      </c>
      <c r="L100">
        <v>8.53401261923699E-2</v>
      </c>
      <c r="M100">
        <v>0</v>
      </c>
      <c r="N100">
        <v>0</v>
      </c>
      <c r="O100">
        <v>1.2221429869407699E-2</v>
      </c>
      <c r="P100">
        <v>0</v>
      </c>
      <c r="Q100">
        <v>-4.2015297426104504E-3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7.7091445285093902</v>
      </c>
      <c r="Z100">
        <v>-0.42137692614230199</v>
      </c>
      <c r="AA100">
        <v>0.241356634883203</v>
      </c>
      <c r="AB100">
        <v>0.286325947742814</v>
      </c>
      <c r="AC100">
        <v>0.26414429637493902</v>
      </c>
      <c r="AD100">
        <v>-2.6129004630379002E-3</v>
      </c>
      <c r="AE100">
        <v>5.5525378271820598</v>
      </c>
      <c r="AF100">
        <v>23.1415696331809</v>
      </c>
      <c r="AG100">
        <v>0</v>
      </c>
      <c r="AH100">
        <f t="shared" si="3"/>
        <v>23.1415696331809</v>
      </c>
      <c r="AJ100">
        <f t="shared" si="4"/>
        <v>0</v>
      </c>
      <c r="AK100">
        <f t="shared" si="5"/>
        <v>-0.48495255123038367</v>
      </c>
    </row>
    <row r="101" spans="1:37" x14ac:dyDescent="0.25">
      <c r="A101" s="1">
        <v>48213</v>
      </c>
      <c r="B101">
        <v>3.0552152445725902</v>
      </c>
      <c r="C101">
        <v>3.7140502756184302E-2</v>
      </c>
      <c r="D101">
        <v>-2.7643793411453998</v>
      </c>
      <c r="E101" s="16">
        <v>2.1790815173209299E-5</v>
      </c>
      <c r="F101">
        <v>2.1979463388910698</v>
      </c>
      <c r="G101">
        <v>14.3973530896351</v>
      </c>
      <c r="H101">
        <v>-1.6585012425521101E-4</v>
      </c>
      <c r="I101">
        <v>1.8122615621705199E-2</v>
      </c>
      <c r="J101">
        <v>1.5918459649216999E-2</v>
      </c>
      <c r="K101">
        <v>-7.3703500323129498</v>
      </c>
      <c r="L101">
        <v>8.6861177092051295E-2</v>
      </c>
      <c r="M101">
        <v>0</v>
      </c>
      <c r="N101">
        <v>0</v>
      </c>
      <c r="O101">
        <v>8.66998832454767E-3</v>
      </c>
      <c r="P101">
        <v>0</v>
      </c>
      <c r="Q101">
        <v>-2.66624789711517E-3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7.4732482376859002</v>
      </c>
      <c r="Z101">
        <v>-0.408611676151166</v>
      </c>
      <c r="AA101">
        <v>0.23393692788201101</v>
      </c>
      <c r="AB101">
        <v>0.277518480953104</v>
      </c>
      <c r="AC101">
        <v>0.256013489436896</v>
      </c>
      <c r="AD101">
        <v>-2.7706300741021802E-3</v>
      </c>
      <c r="AE101">
        <v>5.5361223738426002</v>
      </c>
      <c r="AF101">
        <v>23.045144939452999</v>
      </c>
      <c r="AG101">
        <v>0</v>
      </c>
      <c r="AH101">
        <f t="shared" si="3"/>
        <v>23.045144939452999</v>
      </c>
      <c r="AJ101">
        <f t="shared" si="4"/>
        <v>0</v>
      </c>
      <c r="AK101">
        <f t="shared" si="5"/>
        <v>-0.46765478574424069</v>
      </c>
    </row>
    <row r="102" spans="1:37" x14ac:dyDescent="0.25">
      <c r="A102" s="1">
        <v>48304</v>
      </c>
      <c r="B102">
        <v>3.02181245341793</v>
      </c>
      <c r="C102">
        <v>3.5128131462257697E-2</v>
      </c>
      <c r="D102">
        <v>-2.7386701249293899</v>
      </c>
      <c r="E102" s="16">
        <v>2.0725178847164999E-5</v>
      </c>
      <c r="F102">
        <v>2.17831035702415</v>
      </c>
      <c r="G102">
        <v>14.363069366117999</v>
      </c>
      <c r="H102">
        <v>-1.5043414807581299E-4</v>
      </c>
      <c r="I102">
        <v>1.6222481697655399E-2</v>
      </c>
      <c r="J102">
        <v>1.6420101938050598E-2</v>
      </c>
      <c r="K102">
        <v>-7.14408249151424</v>
      </c>
      <c r="L102">
        <v>8.8815634942073798E-2</v>
      </c>
      <c r="M102">
        <v>0</v>
      </c>
      <c r="N102">
        <v>0</v>
      </c>
      <c r="O102">
        <v>5.2574010136523502E-3</v>
      </c>
      <c r="P102">
        <v>0</v>
      </c>
      <c r="Q102">
        <v>-1.30160638398907E-3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7.24495929944724</v>
      </c>
      <c r="Z102">
        <v>-0.39625912020696602</v>
      </c>
      <c r="AA102">
        <v>0.2267511725569</v>
      </c>
      <c r="AB102">
        <v>0.26899027380699198</v>
      </c>
      <c r="AC102">
        <v>0.248139705776319</v>
      </c>
      <c r="AD102">
        <v>-2.9045788465748702E-3</v>
      </c>
      <c r="AE102">
        <v>5.5197614181249</v>
      </c>
      <c r="AF102">
        <v>22.9502901664757</v>
      </c>
      <c r="AG102">
        <v>0</v>
      </c>
      <c r="AH102">
        <f t="shared" si="3"/>
        <v>22.9502901664757</v>
      </c>
      <c r="AJ102">
        <f t="shared" si="4"/>
        <v>0</v>
      </c>
      <c r="AK102">
        <f t="shared" si="5"/>
        <v>-0.45085166203332205</v>
      </c>
    </row>
    <row r="103" spans="1:37" x14ac:dyDescent="0.25">
      <c r="A103" s="1">
        <v>48395</v>
      </c>
      <c r="B103">
        <v>2.9888081210771098</v>
      </c>
      <c r="C103">
        <v>3.3341603948021499E-2</v>
      </c>
      <c r="D103">
        <v>-2.7132291838282301</v>
      </c>
      <c r="E103" s="16">
        <v>1.9762148784608299E-5</v>
      </c>
      <c r="F103">
        <v>2.1589546373637001</v>
      </c>
      <c r="G103">
        <v>14.328823358386</v>
      </c>
      <c r="H103">
        <v>-1.37291560068627E-4</v>
      </c>
      <c r="I103">
        <v>1.4451723410785201E-2</v>
      </c>
      <c r="J103">
        <v>1.6859248089592702E-2</v>
      </c>
      <c r="K103">
        <v>-6.9251707927034598</v>
      </c>
      <c r="L103">
        <v>9.1042158177356405E-2</v>
      </c>
      <c r="M103">
        <v>0</v>
      </c>
      <c r="N103">
        <v>0</v>
      </c>
      <c r="O103">
        <v>1.97912580648339E-3</v>
      </c>
      <c r="P103">
        <v>0</v>
      </c>
      <c r="Q103">
        <v>-1.02695196693741E-4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7.0239997022382701</v>
      </c>
      <c r="Z103">
        <v>-0.38430195107755699</v>
      </c>
      <c r="AA103">
        <v>0.21979237794082301</v>
      </c>
      <c r="AB103">
        <v>0.26073275508708699</v>
      </c>
      <c r="AC103">
        <v>0.240515298477567</v>
      </c>
      <c r="AD103">
        <v>-3.0154757732617902E-3</v>
      </c>
      <c r="AE103">
        <v>5.5034547365471198</v>
      </c>
      <c r="AF103">
        <v>22.856817218559399</v>
      </c>
      <c r="AG103">
        <v>0</v>
      </c>
      <c r="AH103">
        <f t="shared" si="3"/>
        <v>22.856817218559399</v>
      </c>
      <c r="AJ103">
        <f t="shared" si="4"/>
        <v>0</v>
      </c>
      <c r="AK103">
        <f t="shared" si="5"/>
        <v>-0.43453103999595166</v>
      </c>
    </row>
    <row r="104" spans="1:37" x14ac:dyDescent="0.25">
      <c r="A104" s="1">
        <v>48487</v>
      </c>
      <c r="B104">
        <v>2.95619634686265</v>
      </c>
      <c r="C104">
        <v>3.1749400717064398E-2</v>
      </c>
      <c r="D104">
        <v>-2.6880506478078301</v>
      </c>
      <c r="E104" s="16">
        <v>1.8891295587849701E-5</v>
      </c>
      <c r="F104">
        <v>2.1398693954285601</v>
      </c>
      <c r="G104">
        <v>14.2946355150839</v>
      </c>
      <c r="H104">
        <v>-1.26229992605135E-4</v>
      </c>
      <c r="I104">
        <v>1.2801818464992801E-2</v>
      </c>
      <c r="J104">
        <v>1.7241689997750501E-2</v>
      </c>
      <c r="K104">
        <v>-6.7133464592655496</v>
      </c>
      <c r="L104">
        <v>9.3403952878179E-2</v>
      </c>
      <c r="M104">
        <v>0</v>
      </c>
      <c r="N104">
        <v>0</v>
      </c>
      <c r="O104">
        <v>-1.1692279603475501E-3</v>
      </c>
      <c r="P104">
        <v>0</v>
      </c>
      <c r="Q104">
        <v>9.3722476197400403E-4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6.8101017415488299</v>
      </c>
      <c r="Z104">
        <v>-0.37272391236019298</v>
      </c>
      <c r="AA104">
        <v>0.21305359432739401</v>
      </c>
      <c r="AB104">
        <v>0.25273743084595302</v>
      </c>
      <c r="AC104">
        <v>0.233132648531021</v>
      </c>
      <c r="AD104">
        <v>-3.1043275576875399E-3</v>
      </c>
      <c r="AE104">
        <v>5.4872021068280201</v>
      </c>
      <c r="AF104">
        <v>22.764560952627601</v>
      </c>
      <c r="AG104">
        <v>0</v>
      </c>
      <c r="AH104">
        <f t="shared" si="3"/>
        <v>22.764560952627601</v>
      </c>
      <c r="AJ104">
        <f t="shared" si="4"/>
        <v>0</v>
      </c>
      <c r="AK104">
        <f t="shared" si="5"/>
        <v>-0.41868148810942063</v>
      </c>
    </row>
    <row r="105" spans="1:37" x14ac:dyDescent="0.25">
      <c r="A105" s="1">
        <v>48579</v>
      </c>
      <c r="B105">
        <v>2.9239709888277501</v>
      </c>
      <c r="C105">
        <v>3.03241612350869E-2</v>
      </c>
      <c r="D105">
        <v>-2.66312825749069</v>
      </c>
      <c r="E105" s="16">
        <v>1.8102829016030198E-5</v>
      </c>
      <c r="F105">
        <v>2.1210435737875302</v>
      </c>
      <c r="G105">
        <v>14.260519769451101</v>
      </c>
      <c r="H105">
        <v>-1.1705632184681E-4</v>
      </c>
      <c r="I105">
        <v>1.12648373485442E-2</v>
      </c>
      <c r="J105">
        <v>1.75728231088207E-2</v>
      </c>
      <c r="K105">
        <v>-6.50835002194074</v>
      </c>
      <c r="L105">
        <v>9.5786790253757095E-2</v>
      </c>
      <c r="M105">
        <v>0</v>
      </c>
      <c r="N105">
        <v>0</v>
      </c>
      <c r="O105">
        <v>-4.1919058430922801E-3</v>
      </c>
      <c r="P105">
        <v>0</v>
      </c>
      <c r="Q105">
        <v>1.8263218407028E-3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6.6030080966798401</v>
      </c>
      <c r="Z105">
        <v>-0.36150973932671199</v>
      </c>
      <c r="AA105">
        <v>0.20652794433313101</v>
      </c>
      <c r="AB105">
        <v>0.24499592005062301</v>
      </c>
      <c r="AC105">
        <v>0.22598420219344201</v>
      </c>
      <c r="AD105">
        <v>-3.1723508569355798E-3</v>
      </c>
      <c r="AE105">
        <v>5.4710033078765896</v>
      </c>
      <c r="AF105">
        <v>22.673377508035799</v>
      </c>
      <c r="AG105">
        <v>0</v>
      </c>
      <c r="AH105">
        <f t="shared" si="3"/>
        <v>22.673377508035799</v>
      </c>
      <c r="AJ105">
        <f t="shared" si="4"/>
        <v>0</v>
      </c>
      <c r="AK105">
        <f t="shared" si="5"/>
        <v>-0.40329214528955626</v>
      </c>
    </row>
    <row r="106" spans="1:37" x14ac:dyDescent="0.25">
      <c r="A106" s="1">
        <v>48669</v>
      </c>
      <c r="B106">
        <v>2.8921257476964302</v>
      </c>
      <c r="C106">
        <v>2.90421727198703E-2</v>
      </c>
      <c r="D106">
        <v>-2.6384555344143301</v>
      </c>
      <c r="E106" s="16">
        <v>1.7387631375216101E-5</v>
      </c>
      <c r="F106">
        <v>2.1024652793520202</v>
      </c>
      <c r="G106">
        <v>14.2264845384579</v>
      </c>
      <c r="H106">
        <v>-1.0957981097359199E-4</v>
      </c>
      <c r="I106">
        <v>9.8334054223017404E-3</v>
      </c>
      <c r="J106">
        <v>1.7857644160192199E-2</v>
      </c>
      <c r="K106">
        <v>-6.30993130399359</v>
      </c>
      <c r="L106">
        <v>9.8096998455678305E-2</v>
      </c>
      <c r="M106">
        <v>0</v>
      </c>
      <c r="N106">
        <v>0</v>
      </c>
      <c r="O106">
        <v>-7.0930142871431104E-3</v>
      </c>
      <c r="P106">
        <v>0</v>
      </c>
      <c r="Q106">
        <v>2.5738347185368798E-3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6.4024717982142301</v>
      </c>
      <c r="Z106">
        <v>-0.350645098579833</v>
      </c>
      <c r="AA106">
        <v>0.200208649341095</v>
      </c>
      <c r="AB106">
        <v>0.23749998453660701</v>
      </c>
      <c r="AC106">
        <v>0.21906250290167201</v>
      </c>
      <c r="AD106">
        <v>-3.2209135369791701E-3</v>
      </c>
      <c r="AE106">
        <v>5.4548581197818802</v>
      </c>
      <c r="AF106">
        <v>22.5831426187669</v>
      </c>
      <c r="AG106">
        <v>0</v>
      </c>
      <c r="AH106">
        <f t="shared" si="3"/>
        <v>22.5831426187669</v>
      </c>
      <c r="AJ106">
        <f t="shared" si="4"/>
        <v>0</v>
      </c>
      <c r="AK106">
        <f t="shared" si="5"/>
        <v>-0.38835260459605808</v>
      </c>
    </row>
    <row r="107" spans="1:37" x14ac:dyDescent="0.25">
      <c r="A107" s="1">
        <v>48760</v>
      </c>
      <c r="B107">
        <v>2.8606542398859101</v>
      </c>
      <c r="C107">
        <v>2.7882921547176202E-2</v>
      </c>
      <c r="D107">
        <v>-2.61402592302982</v>
      </c>
      <c r="E107" s="16">
        <v>1.6737274333529901E-5</v>
      </c>
      <c r="F107">
        <v>2.0841221529381699</v>
      </c>
      <c r="G107">
        <v>14.1925336381858</v>
      </c>
      <c r="H107">
        <v>-1.0361470324556E-4</v>
      </c>
      <c r="I107">
        <v>8.5006660687259993E-3</v>
      </c>
      <c r="J107">
        <v>1.8100755227739001E-2</v>
      </c>
      <c r="K107">
        <v>-6.1178495734597202</v>
      </c>
      <c r="L107">
        <v>0.10025946469772801</v>
      </c>
      <c r="M107">
        <v>0</v>
      </c>
      <c r="N107">
        <v>0</v>
      </c>
      <c r="O107">
        <v>-9.8765262767949499E-3</v>
      </c>
      <c r="P107">
        <v>0</v>
      </c>
      <c r="Q107">
        <v>3.1897539892864701E-3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6.2082561044550397</v>
      </c>
      <c r="Z107">
        <v>-0.34011652757871103</v>
      </c>
      <c r="AA107">
        <v>0.194089051679532</v>
      </c>
      <c r="AB107">
        <v>0.23024155375174099</v>
      </c>
      <c r="AC107">
        <v>0.21236021815092301</v>
      </c>
      <c r="AD107">
        <v>-3.2514842342053398E-3</v>
      </c>
      <c r="AE107">
        <v>5.4387663238032102</v>
      </c>
      <c r="AF107">
        <v>22.493749932372701</v>
      </c>
      <c r="AG107">
        <v>0</v>
      </c>
      <c r="AH107">
        <f t="shared" si="3"/>
        <v>22.493749932372701</v>
      </c>
      <c r="AJ107">
        <f t="shared" si="4"/>
        <v>0</v>
      </c>
      <c r="AK107">
        <f t="shared" si="5"/>
        <v>-0.37385281648780461</v>
      </c>
    </row>
    <row r="108" spans="1:37" x14ac:dyDescent="0.25">
      <c r="A108" s="1">
        <v>48852</v>
      </c>
      <c r="B108">
        <v>2.8295500602734101</v>
      </c>
      <c r="C108">
        <v>2.68286988529443E-2</v>
      </c>
      <c r="D108">
        <v>-2.5898329073490198</v>
      </c>
      <c r="E108" s="16">
        <v>1.61440218980933E-5</v>
      </c>
      <c r="F108">
        <v>2.06600167758126</v>
      </c>
      <c r="G108">
        <v>14.1586671150796</v>
      </c>
      <c r="H108" s="16">
        <v>-9.8982313777227707E-5</v>
      </c>
      <c r="I108">
        <v>7.2602451420481599E-3</v>
      </c>
      <c r="J108">
        <v>1.8306372890561799E-2</v>
      </c>
      <c r="K108">
        <v>-5.9318735821829804</v>
      </c>
      <c r="L108">
        <v>0.10221567752296</v>
      </c>
      <c r="M108">
        <v>0</v>
      </c>
      <c r="N108">
        <v>0</v>
      </c>
      <c r="O108">
        <v>-1.2546286656448399E-2</v>
      </c>
      <c r="P108">
        <v>0</v>
      </c>
      <c r="Q108">
        <v>3.6845430877462501E-3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6.0201343032858601</v>
      </c>
      <c r="Z108">
        <v>-0.32991137490577899</v>
      </c>
      <c r="AA108">
        <v>0.18816263289433</v>
      </c>
      <c r="AB108">
        <v>0.22321274476776901</v>
      </c>
      <c r="AC108">
        <v>0.205870161755982</v>
      </c>
      <c r="AD108">
        <v>-3.2655895138795602E-3</v>
      </c>
      <c r="AE108">
        <v>5.4227277023603797</v>
      </c>
      <c r="AF108">
        <v>22.405109356594799</v>
      </c>
      <c r="AG108">
        <v>0</v>
      </c>
      <c r="AH108">
        <f t="shared" si="3"/>
        <v>22.405109356594799</v>
      </c>
      <c r="AJ108">
        <f t="shared" si="4"/>
        <v>0</v>
      </c>
      <c r="AK108">
        <f t="shared" si="5"/>
        <v>-0.35978300944485386</v>
      </c>
    </row>
    <row r="109" spans="1:37" x14ac:dyDescent="0.25">
      <c r="A109" s="1">
        <v>48944</v>
      </c>
      <c r="B109">
        <v>2.7988068354137199</v>
      </c>
      <c r="C109">
        <v>2.5864253212999601E-2</v>
      </c>
      <c r="D109">
        <v>-2.5658701050219399</v>
      </c>
      <c r="E109" s="16">
        <v>1.56008220139106E-5</v>
      </c>
      <c r="F109">
        <v>2.0480914318779799</v>
      </c>
      <c r="G109">
        <v>14.1248819940805</v>
      </c>
      <c r="H109" s="16">
        <v>-9.5512668891666803E-5</v>
      </c>
      <c r="I109">
        <v>6.10621690339282E-3</v>
      </c>
      <c r="J109">
        <v>1.84783414550257E-2</v>
      </c>
      <c r="K109">
        <v>-5.7517815096339104</v>
      </c>
      <c r="L109">
        <v>0.10392183347021</v>
      </c>
      <c r="M109">
        <v>0</v>
      </c>
      <c r="N109">
        <v>0</v>
      </c>
      <c r="O109">
        <v>-1.51060171418135E-2</v>
      </c>
      <c r="P109">
        <v>0</v>
      </c>
      <c r="Q109">
        <v>4.06889683183534E-3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5.8378894541664703</v>
      </c>
      <c r="Z109">
        <v>-0.32001774198044097</v>
      </c>
      <c r="AA109">
        <v>0.18242302847276101</v>
      </c>
      <c r="AB109">
        <v>0.21640587802800501</v>
      </c>
      <c r="AC109">
        <v>0.19958531191283799</v>
      </c>
      <c r="AD109">
        <v>-3.26477792490524E-3</v>
      </c>
      <c r="AE109">
        <v>5.4067420390242402</v>
      </c>
      <c r="AF109">
        <v>22.317145451299901</v>
      </c>
      <c r="AG109">
        <v>0</v>
      </c>
      <c r="AH109">
        <f t="shared" si="3"/>
        <v>22.317145451299901</v>
      </c>
      <c r="AJ109">
        <f t="shared" si="4"/>
        <v>0</v>
      </c>
      <c r="AK109">
        <f t="shared" si="5"/>
        <v>-0.34613362589900387</v>
      </c>
    </row>
    <row r="110" spans="1:37" x14ac:dyDescent="0.25">
      <c r="A110" s="1">
        <v>49034</v>
      </c>
      <c r="B110">
        <v>2.76841826794728</v>
      </c>
      <c r="C110">
        <v>2.4976484363207801E-2</v>
      </c>
      <c r="D110">
        <v>-2.5421313414784201</v>
      </c>
      <c r="E110" s="16">
        <v>1.51012889792543E-5</v>
      </c>
      <c r="F110">
        <v>2.0303792943644998</v>
      </c>
      <c r="G110">
        <v>14.0911729457859</v>
      </c>
      <c r="H110" s="16">
        <v>-9.3045741108707403E-5</v>
      </c>
      <c r="I110">
        <v>5.0330715749586702E-3</v>
      </c>
      <c r="J110">
        <v>1.8620149306323198E-2</v>
      </c>
      <c r="K110">
        <v>-5.5773608278037798</v>
      </c>
      <c r="L110">
        <v>0.10534702734813101</v>
      </c>
      <c r="M110">
        <v>0</v>
      </c>
      <c r="N110">
        <v>0</v>
      </c>
      <c r="O110">
        <v>-1.75593210399126E-2</v>
      </c>
      <c r="P110">
        <v>0</v>
      </c>
      <c r="Q110">
        <v>4.3535354475098499E-3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5.6613140833155402</v>
      </c>
      <c r="Z110">
        <v>-0.31042442677758503</v>
      </c>
      <c r="AA110">
        <v>0.17686403936914799</v>
      </c>
      <c r="AB110">
        <v>0.20981348928419699</v>
      </c>
      <c r="AC110">
        <v>0.19349882547102901</v>
      </c>
      <c r="AD110">
        <v>-3.2505902682378402E-3</v>
      </c>
      <c r="AE110">
        <v>5.3908091185074198</v>
      </c>
      <c r="AF110">
        <v>22.229795880264898</v>
      </c>
      <c r="AG110">
        <v>0</v>
      </c>
      <c r="AH110">
        <f t="shared" si="3"/>
        <v>22.229795880264898</v>
      </c>
      <c r="AJ110">
        <f t="shared" si="4"/>
        <v>0</v>
      </c>
      <c r="AK110">
        <f t="shared" si="5"/>
        <v>-0.3328952715503985</v>
      </c>
    </row>
    <row r="111" spans="1:37" x14ac:dyDescent="0.25">
      <c r="A111" s="1">
        <v>49125</v>
      </c>
      <c r="B111">
        <v>2.7383781729551302</v>
      </c>
      <c r="C111">
        <v>2.4154172822770398E-2</v>
      </c>
      <c r="D111">
        <v>-2.5186107066055401</v>
      </c>
      <c r="E111" s="16">
        <v>1.46396786198483E-5</v>
      </c>
      <c r="F111">
        <v>2.0128536046230301</v>
      </c>
      <c r="G111">
        <v>14.0575328756989</v>
      </c>
      <c r="H111" s="16">
        <v>-9.1432326365597404E-5</v>
      </c>
      <c r="I111">
        <v>4.0356846041863202E-3</v>
      </c>
      <c r="J111">
        <v>1.8734947574218001E-2</v>
      </c>
      <c r="K111">
        <v>-5.40840810182016</v>
      </c>
      <c r="L111">
        <v>0.106471540814475</v>
      </c>
      <c r="M111">
        <v>0</v>
      </c>
      <c r="N111">
        <v>0</v>
      </c>
      <c r="O111">
        <v>-1.9909687696619899E-2</v>
      </c>
      <c r="P111">
        <v>0</v>
      </c>
      <c r="Q111">
        <v>4.5490316629139601E-3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5.4902098435639504</v>
      </c>
      <c r="Z111">
        <v>-0.30112086997899801</v>
      </c>
      <c r="AA111">
        <v>0.17147964067201199</v>
      </c>
      <c r="AB111">
        <v>0.20342833815601899</v>
      </c>
      <c r="AC111">
        <v>0.187604048814523</v>
      </c>
      <c r="AD111">
        <v>-3.22453542177963E-3</v>
      </c>
      <c r="AE111">
        <v>5.3749287266551899</v>
      </c>
      <c r="AF111">
        <v>22.143009934446301</v>
      </c>
      <c r="AG111">
        <v>0</v>
      </c>
      <c r="AH111">
        <f t="shared" si="3"/>
        <v>22.143009934446301</v>
      </c>
      <c r="AJ111">
        <f t="shared" si="4"/>
        <v>0</v>
      </c>
      <c r="AK111">
        <f t="shared" si="5"/>
        <v>-0.32005867628894785</v>
      </c>
    </row>
    <row r="112" spans="1:37" x14ac:dyDescent="0.25">
      <c r="A112" s="1">
        <v>49217</v>
      </c>
      <c r="B112">
        <v>2.7086805070187201</v>
      </c>
      <c r="C112">
        <v>2.3387741032231499E-2</v>
      </c>
      <c r="D112">
        <v>-2.4953025962600401</v>
      </c>
      <c r="E112" s="16">
        <v>1.42108579267768E-5</v>
      </c>
      <c r="F112">
        <v>1.99550328646219</v>
      </c>
      <c r="G112">
        <v>14.023953439342501</v>
      </c>
      <c r="H112" s="16">
        <v>-9.0534608105330194E-5</v>
      </c>
      <c r="I112">
        <v>3.1092876917003698E-3</v>
      </c>
      <c r="J112">
        <v>1.8825570409670402E-2</v>
      </c>
      <c r="K112">
        <v>-5.2447287393470798</v>
      </c>
      <c r="L112">
        <v>0.10728523996450599</v>
      </c>
      <c r="M112">
        <v>0</v>
      </c>
      <c r="N112">
        <v>0</v>
      </c>
      <c r="O112">
        <v>-2.2160496690163199E-2</v>
      </c>
      <c r="P112">
        <v>0</v>
      </c>
      <c r="Q112">
        <v>4.6656682815592598E-3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5.3243871488946901</v>
      </c>
      <c r="Z112">
        <v>-0.29209710387258397</v>
      </c>
      <c r="AA112">
        <v>0.16626398773769599</v>
      </c>
      <c r="AB112">
        <v>0.19724341372363099</v>
      </c>
      <c r="AC112">
        <v>0.18189452573250001</v>
      </c>
      <c r="AD112">
        <v>-3.18807109578462E-3</v>
      </c>
      <c r="AE112">
        <v>5.3591006504365897</v>
      </c>
      <c r="AF112">
        <v>22.0567471357122</v>
      </c>
      <c r="AG112">
        <v>0</v>
      </c>
      <c r="AH112">
        <f t="shared" si="3"/>
        <v>22.0567471357122</v>
      </c>
      <c r="AJ112">
        <f t="shared" si="4"/>
        <v>0</v>
      </c>
      <c r="AK112">
        <f t="shared" si="5"/>
        <v>-0.30761466508290436</v>
      </c>
    </row>
    <row r="113" spans="1:37" x14ac:dyDescent="0.25">
      <c r="A113" s="1">
        <v>49309</v>
      </c>
      <c r="B113">
        <v>2.6793193907320298</v>
      </c>
      <c r="C113">
        <v>2.2669042241750301E-2</v>
      </c>
      <c r="D113">
        <v>-2.4722017407376602</v>
      </c>
      <c r="E113" s="16">
        <v>1.3810270641662499E-5</v>
      </c>
      <c r="F113">
        <v>1.9783179381469</v>
      </c>
      <c r="G113">
        <v>13.9904254875541</v>
      </c>
      <c r="H113" s="16">
        <v>-9.0226450515282496E-5</v>
      </c>
      <c r="I113">
        <v>2.2494416052229E-3</v>
      </c>
      <c r="J113">
        <v>1.8894556270430699E-2</v>
      </c>
      <c r="K113">
        <v>-5.0861367003279598</v>
      </c>
      <c r="L113">
        <v>0.10778608913235201</v>
      </c>
      <c r="M113">
        <v>0</v>
      </c>
      <c r="N113">
        <v>0</v>
      </c>
      <c r="O113">
        <v>-2.4315021788502401E-2</v>
      </c>
      <c r="P113">
        <v>0</v>
      </c>
      <c r="Q113">
        <v>4.7133235520454304E-3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5.1636647923232699</v>
      </c>
      <c r="Z113">
        <v>-0.28334370421643701</v>
      </c>
      <c r="AA113">
        <v>0.16121142009837799</v>
      </c>
      <c r="AB113">
        <v>0.19125193753833</v>
      </c>
      <c r="AC113">
        <v>0.17636400264175101</v>
      </c>
      <c r="AD113">
        <v>-3.14258892823332E-3</v>
      </c>
      <c r="AE113">
        <v>5.3433246779356702</v>
      </c>
      <c r="AF113">
        <v>21.9709759275935</v>
      </c>
      <c r="AG113">
        <v>0</v>
      </c>
      <c r="AH113">
        <f t="shared" si="3"/>
        <v>21.9709759275935</v>
      </c>
      <c r="AJ113">
        <f t="shared" si="4"/>
        <v>0</v>
      </c>
      <c r="AK113">
        <f t="shared" si="5"/>
        <v>-0.29555413734059655</v>
      </c>
    </row>
    <row r="114" spans="1:37" x14ac:dyDescent="0.25">
      <c r="A114" s="1">
        <v>49399</v>
      </c>
      <c r="B114">
        <v>2.6502891253928502</v>
      </c>
      <c r="C114">
        <v>2.1991173905937599E-2</v>
      </c>
      <c r="D114">
        <v>-2.4493032221421802</v>
      </c>
      <c r="E114" s="16">
        <v>1.34339000678585E-5</v>
      </c>
      <c r="F114">
        <v>1.9612878942722101</v>
      </c>
      <c r="G114">
        <v>13.956939446655101</v>
      </c>
      <c r="H114" s="16">
        <v>-9.03934605600139E-5</v>
      </c>
      <c r="I114">
        <v>1.45201077513384E-3</v>
      </c>
      <c r="J114">
        <v>1.8944169706333398E-2</v>
      </c>
      <c r="K114">
        <v>-4.9324541772130903</v>
      </c>
      <c r="L114">
        <v>0.107978785076216</v>
      </c>
      <c r="M114">
        <v>0</v>
      </c>
      <c r="N114">
        <v>0</v>
      </c>
      <c r="O114">
        <v>-2.6376434687837499E-2</v>
      </c>
      <c r="P114">
        <v>0</v>
      </c>
      <c r="Q114">
        <v>4.7013816277574703E-3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5.0078695545188703</v>
      </c>
      <c r="Z114">
        <v>-0.27485174520126099</v>
      </c>
      <c r="AA114">
        <v>0.156316463433509</v>
      </c>
      <c r="AB114">
        <v>0.18544736440937701</v>
      </c>
      <c r="AC114">
        <v>0.171006431500621</v>
      </c>
      <c r="AD114">
        <v>-3.08940336797995E-3</v>
      </c>
      <c r="AE114">
        <v>5.3276005983429098</v>
      </c>
      <c r="AF114">
        <v>21.8856724574438</v>
      </c>
      <c r="AG114">
        <v>0</v>
      </c>
      <c r="AH114">
        <f t="shared" si="3"/>
        <v>21.8856724574438</v>
      </c>
      <c r="AJ114">
        <f t="shared" si="4"/>
        <v>0</v>
      </c>
      <c r="AK114">
        <f t="shared" si="5"/>
        <v>-0.28386805339220905</v>
      </c>
    </row>
    <row r="115" spans="1:37" x14ac:dyDescent="0.25">
      <c r="A115" s="1">
        <v>49490</v>
      </c>
      <c r="B115">
        <v>2.6215842045714699</v>
      </c>
      <c r="C115">
        <v>2.1348312777075801E-2</v>
      </c>
      <c r="D115">
        <v>-2.4266024824201202</v>
      </c>
      <c r="E115" s="16">
        <v>1.30782301984545E-5</v>
      </c>
      <c r="F115">
        <v>1.94440426349068</v>
      </c>
      <c r="G115">
        <v>13.9234856384331</v>
      </c>
      <c r="H115" s="16">
        <v>-9.0932855616897106E-5</v>
      </c>
      <c r="I115">
        <v>7.1313964541893401E-4</v>
      </c>
      <c r="J115">
        <v>1.89764232190162E-2</v>
      </c>
      <c r="K115">
        <v>-4.7835112544915104</v>
      </c>
      <c r="L115">
        <v>0.107873513123003</v>
      </c>
      <c r="M115">
        <v>0</v>
      </c>
      <c r="N115">
        <v>0</v>
      </c>
      <c r="O115">
        <v>-2.8347808548710201E-2</v>
      </c>
      <c r="P115">
        <v>0</v>
      </c>
      <c r="Q115">
        <v>4.6386654404322403E-3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4.8568358094212103</v>
      </c>
      <c r="Z115">
        <v>-0.26661275757396102</v>
      </c>
      <c r="AA115">
        <v>0.15157382987356499</v>
      </c>
      <c r="AB115">
        <v>0.17982338129731301</v>
      </c>
      <c r="AC115">
        <v>0.16581597073111601</v>
      </c>
      <c r="AD115">
        <v>-3.0297438336064201E-3</v>
      </c>
      <c r="AE115">
        <v>5.3119282019467997</v>
      </c>
      <c r="AF115">
        <v>21.800819452476802</v>
      </c>
      <c r="AG115">
        <v>0</v>
      </c>
      <c r="AH115">
        <f t="shared" si="3"/>
        <v>21.800819452476802</v>
      </c>
      <c r="AJ115">
        <f t="shared" si="4"/>
        <v>0</v>
      </c>
      <c r="AK115">
        <f t="shared" si="5"/>
        <v>-0.27254742687541678</v>
      </c>
    </row>
    <row r="116" spans="1:37" x14ac:dyDescent="0.25">
      <c r="A116" s="1">
        <v>49582</v>
      </c>
      <c r="B116">
        <v>2.5931993212198501</v>
      </c>
      <c r="C116">
        <v>2.0735569253805899E-2</v>
      </c>
      <c r="D116">
        <v>-2.4040953236534102</v>
      </c>
      <c r="E116" s="16">
        <v>1.2740206080719601E-5</v>
      </c>
      <c r="F116">
        <v>1.9276589459207201</v>
      </c>
      <c r="G116">
        <v>13.8900545450041</v>
      </c>
      <c r="H116" s="16">
        <v>-9.1753170569422099E-5</v>
      </c>
      <c r="I116" s="16">
        <v>2.9230735932633301E-5</v>
      </c>
      <c r="J116">
        <v>1.8993098846354001E-2</v>
      </c>
      <c r="K116">
        <v>-4.6391455551234202</v>
      </c>
      <c r="L116">
        <v>0.107484824658421</v>
      </c>
      <c r="M116">
        <v>0</v>
      </c>
      <c r="N116">
        <v>0</v>
      </c>
      <c r="O116">
        <v>-3.0232121345297899E-2</v>
      </c>
      <c r="P116">
        <v>0</v>
      </c>
      <c r="Q116">
        <v>4.5333893849199098E-3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4.7104051320697602</v>
      </c>
      <c r="Z116">
        <v>-0.25861868992632397</v>
      </c>
      <c r="AA116">
        <v>0.14697841688425001</v>
      </c>
      <c r="AB116">
        <v>0.17437390461600699</v>
      </c>
      <c r="AC116">
        <v>0.16078698444164599</v>
      </c>
      <c r="AD116">
        <v>-2.9647496768825401E-3</v>
      </c>
      <c r="AE116">
        <v>5.2963072801256104</v>
      </c>
      <c r="AF116">
        <v>21.716405190471399</v>
      </c>
      <c r="AG116">
        <v>0</v>
      </c>
      <c r="AH116">
        <f t="shared" si="3"/>
        <v>21.716405190471399</v>
      </c>
      <c r="AJ116">
        <f t="shared" si="4"/>
        <v>0</v>
      </c>
      <c r="AK116">
        <f t="shared" si="5"/>
        <v>-0.26158332193973804</v>
      </c>
    </row>
    <row r="117" spans="1:37" x14ac:dyDescent="0.25">
      <c r="A117" s="1">
        <v>49674</v>
      </c>
      <c r="B117">
        <v>2.5651293709451202</v>
      </c>
      <c r="C117">
        <v>2.0148858849750002E-2</v>
      </c>
      <c r="D117">
        <v>-2.3817779020360201</v>
      </c>
      <c r="E117" s="16">
        <v>1.2417194181883201E-5</v>
      </c>
      <c r="F117">
        <v>1.9110446336904301</v>
      </c>
      <c r="G117">
        <v>13.8566370236405</v>
      </c>
      <c r="H117" s="16">
        <v>-9.2773835207190004E-5</v>
      </c>
      <c r="I117">
        <v>-6.0307564224071602E-4</v>
      </c>
      <c r="J117">
        <v>1.8995769189337899E-2</v>
      </c>
      <c r="K117">
        <v>-4.4992018803457201</v>
      </c>
      <c r="L117">
        <v>0.106830633532307</v>
      </c>
      <c r="M117">
        <v>0</v>
      </c>
      <c r="N117">
        <v>0</v>
      </c>
      <c r="O117">
        <v>-3.2032259042570198E-2</v>
      </c>
      <c r="P117">
        <v>0</v>
      </c>
      <c r="Q117">
        <v>4.3931293190708097E-3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4.5684259129279301</v>
      </c>
      <c r="Z117">
        <v>-0.25086187310432301</v>
      </c>
      <c r="AA117">
        <v>0.14252530495829399</v>
      </c>
      <c r="AB117">
        <v>0.169093076217881</v>
      </c>
      <c r="AC117">
        <v>0.155914040218427</v>
      </c>
      <c r="AD117">
        <v>-2.89546752073481E-3</v>
      </c>
      <c r="AE117">
        <v>5.2807376253392402</v>
      </c>
      <c r="AF117">
        <v>21.632422564495599</v>
      </c>
      <c r="AG117">
        <v>0</v>
      </c>
      <c r="AH117">
        <f t="shared" si="3"/>
        <v>21.632422564495599</v>
      </c>
      <c r="AJ117">
        <f t="shared" si="4"/>
        <v>0</v>
      </c>
      <c r="AK117">
        <f t="shared" si="5"/>
        <v>-0.25096685430918469</v>
      </c>
    </row>
    <row r="118" spans="1:37" x14ac:dyDescent="0.25">
      <c r="A118" s="1">
        <v>49765</v>
      </c>
      <c r="B118">
        <v>2.5373694520278001</v>
      </c>
      <c r="C118">
        <v>1.9584788906284799E-2</v>
      </c>
      <c r="D118">
        <v>-2.3596467168006701</v>
      </c>
      <c r="E118" s="16">
        <v>1.2106943382355701E-5</v>
      </c>
      <c r="F118">
        <v>1.8945547977103601</v>
      </c>
      <c r="G118">
        <v>13.8232244765994</v>
      </c>
      <c r="H118" s="16">
        <v>-9.3924649780117195E-5</v>
      </c>
      <c r="I118">
        <v>-1.1869200874444099E-3</v>
      </c>
      <c r="J118">
        <v>1.8985817658850001E-2</v>
      </c>
      <c r="K118">
        <v>-4.3635318482994698</v>
      </c>
      <c r="L118">
        <v>0.105931327472439</v>
      </c>
      <c r="M118">
        <v>0</v>
      </c>
      <c r="N118">
        <v>0</v>
      </c>
      <c r="O118">
        <v>-3.3751018615021298E-2</v>
      </c>
      <c r="P118">
        <v>0</v>
      </c>
      <c r="Q118">
        <v>4.2248075141456103E-3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4.4307529821504499</v>
      </c>
      <c r="Z118">
        <v>-0.24333498765463499</v>
      </c>
      <c r="AA118">
        <v>0.13820975432116001</v>
      </c>
      <c r="AB118">
        <v>0.16397525830962001</v>
      </c>
      <c r="AC118">
        <v>0.15119190572924701</v>
      </c>
      <c r="AD118">
        <v>-2.82285058201261E-3</v>
      </c>
      <c r="AE118">
        <v>5.2652190311212701</v>
      </c>
      <c r="AF118">
        <v>21.548868239775299</v>
      </c>
      <c r="AG118">
        <v>0</v>
      </c>
      <c r="AH118">
        <f t="shared" si="3"/>
        <v>21.548868239775299</v>
      </c>
      <c r="AJ118">
        <f t="shared" si="4"/>
        <v>0</v>
      </c>
      <c r="AK118">
        <f t="shared" si="5"/>
        <v>-0.24068919535933717</v>
      </c>
    </row>
    <row r="119" spans="1:37" x14ac:dyDescent="0.25">
      <c r="A119" s="1">
        <v>49856</v>
      </c>
      <c r="B119">
        <v>2.5099148627207999</v>
      </c>
      <c r="C119">
        <v>1.9040558894215302E-2</v>
      </c>
      <c r="D119">
        <v>-2.3376985952117302</v>
      </c>
      <c r="E119" s="16">
        <v>1.1807547098940701E-5</v>
      </c>
      <c r="F119">
        <v>1.8781836634253</v>
      </c>
      <c r="G119">
        <v>13.7898089808506</v>
      </c>
      <c r="H119" s="16">
        <v>-9.5145183604209999E-5</v>
      </c>
      <c r="I119">
        <v>-1.7252413013028999E-3</v>
      </c>
      <c r="J119">
        <v>1.8964457772223001E-2</v>
      </c>
      <c r="K119">
        <v>-4.23199353600201</v>
      </c>
      <c r="L119">
        <v>0.104808989430487</v>
      </c>
      <c r="M119">
        <v>0</v>
      </c>
      <c r="N119">
        <v>0</v>
      </c>
      <c r="O119">
        <v>-3.5391110919717202E-2</v>
      </c>
      <c r="P119">
        <v>0</v>
      </c>
      <c r="Q119">
        <v>4.0346903404446296E-3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4.29724724650384</v>
      </c>
      <c r="Z119">
        <v>-0.23603103419430699</v>
      </c>
      <c r="AA119">
        <v>0.13402720083660699</v>
      </c>
      <c r="AB119">
        <v>0.159015027519394</v>
      </c>
      <c r="AC119">
        <v>0.14661554435947499</v>
      </c>
      <c r="AD119">
        <v>-2.7477596285823799E-3</v>
      </c>
      <c r="AE119">
        <v>5.2497512920711404</v>
      </c>
      <c r="AF119">
        <v>21.465741899830299</v>
      </c>
      <c r="AG119">
        <v>0</v>
      </c>
      <c r="AH119">
        <f t="shared" si="3"/>
        <v>21.465741899830299</v>
      </c>
      <c r="AJ119">
        <f t="shared" si="4"/>
        <v>0</v>
      </c>
      <c r="AK119">
        <f t="shared" si="5"/>
        <v>-0.23074157847469973</v>
      </c>
    </row>
    <row r="120" spans="1:37" x14ac:dyDescent="0.25">
      <c r="A120" s="1">
        <v>49948</v>
      </c>
      <c r="B120">
        <v>2.4827610963187898</v>
      </c>
      <c r="C120">
        <v>1.8513872837364401E-2</v>
      </c>
      <c r="D120">
        <v>-2.3159306745994099</v>
      </c>
      <c r="E120" s="16">
        <v>1.15174069314689E-5</v>
      </c>
      <c r="F120">
        <v>1.8619261779692</v>
      </c>
      <c r="G120">
        <v>13.756383382424501</v>
      </c>
      <c r="H120" s="16">
        <v>-9.6384118755783802E-5</v>
      </c>
      <c r="I120">
        <v>-2.2207918585437402E-3</v>
      </c>
      <c r="J120">
        <v>1.89327513751208E-2</v>
      </c>
      <c r="K120">
        <v>-4.1044511283554996</v>
      </c>
      <c r="L120">
        <v>0.10348672288847401</v>
      </c>
      <c r="M120">
        <v>0</v>
      </c>
      <c r="N120">
        <v>0</v>
      </c>
      <c r="O120">
        <v>-3.6955163435432398E-2</v>
      </c>
      <c r="P120">
        <v>0</v>
      </c>
      <c r="Q120">
        <v>3.8283966340478702E-3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4.1677753410001701</v>
      </c>
      <c r="Z120">
        <v>-0.228943306566152</v>
      </c>
      <c r="AA120">
        <v>0.129973251278382</v>
      </c>
      <c r="AB120">
        <v>0.15420716831166401</v>
      </c>
      <c r="AC120">
        <v>0.142180110077155</v>
      </c>
      <c r="AD120">
        <v>-2.6709652579652099E-3</v>
      </c>
      <c r="AE120">
        <v>5.2343342038463998</v>
      </c>
      <c r="AF120">
        <v>21.383045578176301</v>
      </c>
      <c r="AG120">
        <v>0</v>
      </c>
      <c r="AH120">
        <f t="shared" si="3"/>
        <v>21.383045578176301</v>
      </c>
      <c r="AJ120">
        <f t="shared" si="4"/>
        <v>0</v>
      </c>
      <c r="AK120">
        <f t="shared" si="5"/>
        <v>-0.22111530705232127</v>
      </c>
    </row>
    <row r="121" spans="1:37" x14ac:dyDescent="0.25">
      <c r="A121" s="1">
        <v>50040</v>
      </c>
      <c r="B121">
        <v>2.45590383444181</v>
      </c>
      <c r="C121">
        <v>1.8002862552758798E-2</v>
      </c>
      <c r="D121">
        <v>-2.29434038227941</v>
      </c>
      <c r="E121" s="16">
        <v>1.1235198130727301E-5</v>
      </c>
      <c r="F121">
        <v>1.8457779708431401</v>
      </c>
      <c r="G121">
        <v>13.722941359868599</v>
      </c>
      <c r="H121" s="16">
        <v>-9.7598558150861897E-5</v>
      </c>
      <c r="I121">
        <v>-2.6761526390383802E-3</v>
      </c>
      <c r="J121">
        <v>1.88916257036249E-2</v>
      </c>
      <c r="K121">
        <v>-3.9807745771435101</v>
      </c>
      <c r="L121">
        <v>0.10198807450183001</v>
      </c>
      <c r="M121">
        <v>0</v>
      </c>
      <c r="N121">
        <v>0</v>
      </c>
      <c r="O121">
        <v>-3.8445722878697297E-2</v>
      </c>
      <c r="P121">
        <v>0</v>
      </c>
      <c r="Q121">
        <v>3.61091485868074E-3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4.0422092967393599</v>
      </c>
      <c r="Z121">
        <v>-0.222065367625494</v>
      </c>
      <c r="AA121">
        <v>0.12604367811554501</v>
      </c>
      <c r="AB121">
        <v>0.14954666592196</v>
      </c>
      <c r="AC121">
        <v>0.13788094170200499</v>
      </c>
      <c r="AD121">
        <v>-2.59315122054395E-3</v>
      </c>
      <c r="AE121">
        <v>5.2189675631551804</v>
      </c>
      <c r="AF121">
        <v>21.300783071257701</v>
      </c>
      <c r="AG121">
        <v>0</v>
      </c>
      <c r="AH121">
        <f t="shared" si="3"/>
        <v>21.300783071257701</v>
      </c>
      <c r="AJ121">
        <f t="shared" si="4"/>
        <v>0</v>
      </c>
      <c r="AK121">
        <f t="shared" si="5"/>
        <v>-0.21180176361062519</v>
      </c>
    </row>
    <row r="122" spans="1:37" x14ac:dyDescent="0.25">
      <c r="A122" s="1">
        <v>50130</v>
      </c>
      <c r="B122">
        <v>2.42933893893131</v>
      </c>
      <c r="C122">
        <v>1.75060205418144E-2</v>
      </c>
      <c r="D122">
        <v>-2.27292541408216</v>
      </c>
      <c r="E122" s="16">
        <v>1.09598371026039E-5</v>
      </c>
      <c r="F122">
        <v>1.82973530995277</v>
      </c>
      <c r="G122">
        <v>13.6894774610436</v>
      </c>
      <c r="H122" s="16">
        <v>-9.8753314710339394E-5</v>
      </c>
      <c r="I122">
        <v>-3.0937460099902401E-3</v>
      </c>
      <c r="J122">
        <v>1.88418892349934E-2</v>
      </c>
      <c r="K122">
        <v>-3.8608392723131302</v>
      </c>
      <c r="L122">
        <v>0.10033654701579101</v>
      </c>
      <c r="M122">
        <v>0</v>
      </c>
      <c r="N122">
        <v>0</v>
      </c>
      <c r="O122">
        <v>-3.9865257706660003E-2</v>
      </c>
      <c r="P122">
        <v>0</v>
      </c>
      <c r="Q122">
        <v>3.3866273476340198E-3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3.9204262259673999</v>
      </c>
      <c r="Z122">
        <v>-0.21539102749230901</v>
      </c>
      <c r="AA122">
        <v>0.122234413941153</v>
      </c>
      <c r="AB122">
        <v>0.145028698961888</v>
      </c>
      <c r="AC122">
        <v>0.133713556732278</v>
      </c>
      <c r="AD122">
        <v>-2.51491854407689E-3</v>
      </c>
      <c r="AE122">
        <v>5.20365116774874</v>
      </c>
      <c r="AF122">
        <v>21.218959427793401</v>
      </c>
      <c r="AG122">
        <v>0</v>
      </c>
      <c r="AH122">
        <f t="shared" si="3"/>
        <v>21.218959427793401</v>
      </c>
      <c r="AJ122">
        <f t="shared" si="4"/>
        <v>0</v>
      </c>
      <c r="AK122">
        <f t="shared" si="5"/>
        <v>-0.20279241954654276</v>
      </c>
    </row>
    <row r="123" spans="1:37" x14ac:dyDescent="0.25">
      <c r="A123" s="1">
        <v>50221</v>
      </c>
      <c r="B123">
        <v>2.4030624427128502</v>
      </c>
      <c r="C123">
        <v>1.7022141488489101E-2</v>
      </c>
      <c r="D123">
        <v>-2.2516837121053599</v>
      </c>
      <c r="E123" s="16">
        <v>1.0690451092062E-5</v>
      </c>
      <c r="F123">
        <v>1.8137950545811199</v>
      </c>
      <c r="G123">
        <v>13.6559871172028</v>
      </c>
      <c r="H123" s="16">
        <v>-9.9820195876844194E-5</v>
      </c>
      <c r="I123">
        <v>-3.4758478463683398E-3</v>
      </c>
      <c r="J123">
        <v>1.8784246303865899E-2</v>
      </c>
      <c r="K123">
        <v>-3.7445257272675598</v>
      </c>
      <c r="L123">
        <v>9.8555195137159199E-2</v>
      </c>
      <c r="M123">
        <v>0</v>
      </c>
      <c r="N123">
        <v>0</v>
      </c>
      <c r="O123">
        <v>-4.12161605157816E-2</v>
      </c>
      <c r="P123">
        <v>0</v>
      </c>
      <c r="Q123">
        <v>3.1593400809656201E-3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3.8023080249413099</v>
      </c>
      <c r="Z123">
        <v>-0.20891432409598701</v>
      </c>
      <c r="AA123">
        <v>0.11854154565741799</v>
      </c>
      <c r="AB123">
        <v>0.14064863182408799</v>
      </c>
      <c r="AC123">
        <v>0.12967364486390101</v>
      </c>
      <c r="AD123">
        <v>-2.43679024770946E-3</v>
      </c>
      <c r="AE123">
        <v>5.1883848164140902</v>
      </c>
      <c r="AF123">
        <v>21.137580509384399</v>
      </c>
      <c r="AG123">
        <v>0</v>
      </c>
      <c r="AH123">
        <f t="shared" si="3"/>
        <v>21.137580509384399</v>
      </c>
      <c r="AJ123">
        <f t="shared" si="4"/>
        <v>0</v>
      </c>
      <c r="AK123">
        <f t="shared" si="5"/>
        <v>-0.19407884515967877</v>
      </c>
    </row>
    <row r="124" spans="1:37" x14ac:dyDescent="0.25">
      <c r="A124" s="1">
        <v>50313</v>
      </c>
      <c r="B124">
        <v>2.3770705399371699</v>
      </c>
      <c r="C124">
        <v>1.6550271426858301E-2</v>
      </c>
      <c r="D124">
        <v>-2.23061344220402</v>
      </c>
      <c r="E124" s="16">
        <v>1.04263501299092E-5</v>
      </c>
      <c r="F124">
        <v>1.79795460663393</v>
      </c>
      <c r="G124">
        <v>13.6224666380015</v>
      </c>
      <c r="H124">
        <v>-1.00777295488113E-4</v>
      </c>
      <c r="I124">
        <v>-3.8245984766060101E-3</v>
      </c>
      <c r="J124">
        <v>1.8719310484243998E-2</v>
      </c>
      <c r="K124">
        <v>-3.6317192793959499</v>
      </c>
      <c r="L124">
        <v>9.6666296946622404E-2</v>
      </c>
      <c r="M124">
        <v>0</v>
      </c>
      <c r="N124">
        <v>0</v>
      </c>
      <c r="O124">
        <v>-4.25007503445426E-2</v>
      </c>
      <c r="P124">
        <v>0</v>
      </c>
      <c r="Q124">
        <v>2.9323166201327402E-3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3.6877410948403102</v>
      </c>
      <c r="Z124">
        <v>-0.202629505836985</v>
      </c>
      <c r="AA124">
        <v>0.114961308514998</v>
      </c>
      <c r="AB124">
        <v>0.13640200699791399</v>
      </c>
      <c r="AC124">
        <v>0.12575706131812001</v>
      </c>
      <c r="AD124">
        <v>-2.3592164627861201E-3</v>
      </c>
      <c r="AE124">
        <v>5.1731683089668197</v>
      </c>
      <c r="AF124">
        <v>21.056652617022198</v>
      </c>
      <c r="AG124">
        <v>0</v>
      </c>
      <c r="AH124">
        <f t="shared" si="3"/>
        <v>21.056652617022198</v>
      </c>
      <c r="AJ124">
        <f t="shared" si="4"/>
        <v>0</v>
      </c>
      <c r="AK124">
        <f t="shared" si="5"/>
        <v>-0.18565271963107877</v>
      </c>
    </row>
    <row r="125" spans="1:37" x14ac:dyDescent="0.25">
      <c r="A125" s="1">
        <v>50405</v>
      </c>
      <c r="B125">
        <v>2.3513595756709398</v>
      </c>
      <c r="C125">
        <v>1.6089663734486399E-2</v>
      </c>
      <c r="D125">
        <v>-2.20971297164217</v>
      </c>
      <c r="E125" s="16">
        <v>1.01670012743725E-5</v>
      </c>
      <c r="F125">
        <v>1.7822118612785001</v>
      </c>
      <c r="G125">
        <v>13.5889131907769</v>
      </c>
      <c r="H125">
        <v>-1.0160830293145001E-4</v>
      </c>
      <c r="I125">
        <v>-4.1420126384937696E-3</v>
      </c>
      <c r="J125">
        <v>1.8647616756858498E-2</v>
      </c>
      <c r="K125">
        <v>-3.52230980664008</v>
      </c>
      <c r="L125">
        <v>9.4691093473343105E-2</v>
      </c>
      <c r="M125">
        <v>0</v>
      </c>
      <c r="N125">
        <v>0</v>
      </c>
      <c r="O125">
        <v>-4.3721274887549601E-2</v>
      </c>
      <c r="P125">
        <v>0</v>
      </c>
      <c r="Q125">
        <v>2.7083149835430901E-3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3.5766160806701102</v>
      </c>
      <c r="Z125">
        <v>-0.19653101618996199</v>
      </c>
      <c r="AA125">
        <v>0.111490080089829</v>
      </c>
      <c r="AB125">
        <v>0.132284537389323</v>
      </c>
      <c r="AC125">
        <v>0.121959820077102</v>
      </c>
      <c r="AD125">
        <v>-2.2825798044923298E-3</v>
      </c>
      <c r="AE125">
        <v>5.1580014462439703</v>
      </c>
      <c r="AF125">
        <v>20.976182178040499</v>
      </c>
      <c r="AG125">
        <v>0</v>
      </c>
      <c r="AH125">
        <f t="shared" si="3"/>
        <v>20.976182178040499</v>
      </c>
      <c r="AJ125">
        <f t="shared" si="4"/>
        <v>0</v>
      </c>
      <c r="AK125">
        <f t="shared" si="5"/>
        <v>-0.17750584070428013</v>
      </c>
    </row>
    <row r="126" spans="1:37" x14ac:dyDescent="0.25">
      <c r="A126" s="1">
        <v>50495</v>
      </c>
      <c r="B126">
        <v>2.3259260353706601</v>
      </c>
      <c r="C126">
        <v>1.5639741191333101E-2</v>
      </c>
      <c r="D126">
        <v>-2.1889808472502899</v>
      </c>
      <c r="E126" s="16">
        <v>9.9120051372730796E-6</v>
      </c>
      <c r="F126">
        <v>1.7665651579019299</v>
      </c>
      <c r="G126">
        <v>13.555324767127299</v>
      </c>
      <c r="H126">
        <v>-1.02301837607676E-4</v>
      </c>
      <c r="I126">
        <v>-4.4299885272998203E-3</v>
      </c>
      <c r="J126">
        <v>1.85696324970109E-2</v>
      </c>
      <c r="K126">
        <v>-3.41619146053287</v>
      </c>
      <c r="L126">
        <v>9.2649589200582305E-2</v>
      </c>
      <c r="M126">
        <v>0</v>
      </c>
      <c r="N126">
        <v>0</v>
      </c>
      <c r="O126">
        <v>-4.4879912627690997E-2</v>
      </c>
      <c r="P126">
        <v>0</v>
      </c>
      <c r="Q126">
        <v>2.4896264005589402E-3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3.4688276278672898</v>
      </c>
      <c r="Z126">
        <v>-0.19061348007599499</v>
      </c>
      <c r="AA126">
        <v>0.108124374267934</v>
      </c>
      <c r="AB126">
        <v>0.128292098722776</v>
      </c>
      <c r="AC126">
        <v>0.118278087111609</v>
      </c>
      <c r="AD126">
        <v>-2.2072008627104399E-3</v>
      </c>
      <c r="AE126">
        <v>5.1428840300970098</v>
      </c>
      <c r="AF126">
        <v>20.896175488046602</v>
      </c>
      <c r="AG126">
        <v>0</v>
      </c>
      <c r="AH126">
        <f t="shared" si="3"/>
        <v>20.896175488046602</v>
      </c>
      <c r="AJ126">
        <f t="shared" si="4"/>
        <v>0</v>
      </c>
      <c r="AK126">
        <f t="shared" si="5"/>
        <v>-0.16963013387034262</v>
      </c>
    </row>
    <row r="127" spans="1:37" x14ac:dyDescent="0.25">
      <c r="A127" s="1">
        <v>50586</v>
      </c>
      <c r="B127">
        <v>2.30076653433794</v>
      </c>
      <c r="C127">
        <v>1.5200063418393301E-2</v>
      </c>
      <c r="D127">
        <v>-2.1684157743613799</v>
      </c>
      <c r="E127" s="16">
        <v>9.6610746502066192E-6</v>
      </c>
      <c r="F127">
        <v>1.7510132321404299</v>
      </c>
      <c r="G127">
        <v>13.5217001395166</v>
      </c>
      <c r="H127">
        <v>-1.02850815020738E-4</v>
      </c>
      <c r="I127">
        <v>-4.69031601463628E-3</v>
      </c>
      <c r="J127">
        <v>1.84857673300984E-2</v>
      </c>
      <c r="K127">
        <v>-3.3132624158382402</v>
      </c>
      <c r="L127">
        <v>9.0560406508139596E-2</v>
      </c>
      <c r="M127">
        <v>0</v>
      </c>
      <c r="N127">
        <v>0</v>
      </c>
      <c r="O127">
        <v>-4.5978774892300303E-2</v>
      </c>
      <c r="P127">
        <v>0</v>
      </c>
      <c r="Q127">
        <v>2.2781150269504599E-3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3.36427415611832</v>
      </c>
      <c r="Z127">
        <v>-0.184871691836588</v>
      </c>
      <c r="AA127">
        <v>0.10486083529679301</v>
      </c>
      <c r="AB127">
        <v>0.124420722088838</v>
      </c>
      <c r="AC127">
        <v>0.11470817367094099</v>
      </c>
      <c r="AD127">
        <v>-2.1333437024972802E-3</v>
      </c>
      <c r="AE127">
        <v>5.12781586338496</v>
      </c>
      <c r="AF127">
        <v>20.8166385024523</v>
      </c>
      <c r="AG127">
        <v>0</v>
      </c>
      <c r="AH127">
        <f t="shared" si="3"/>
        <v>20.8166385024523</v>
      </c>
      <c r="AJ127">
        <f t="shared" si="4"/>
        <v>0</v>
      </c>
      <c r="AK127">
        <f t="shared" si="5"/>
        <v>-0.16201766090526626</v>
      </c>
    </row>
    <row r="128" spans="1:37" x14ac:dyDescent="0.25">
      <c r="A128" s="1">
        <v>50678</v>
      </c>
      <c r="B128">
        <v>2.2758778073217201</v>
      </c>
      <c r="C128">
        <v>1.47702990771411E-2</v>
      </c>
      <c r="D128">
        <v>-2.1480165967359302</v>
      </c>
      <c r="E128" s="16">
        <v>9.4140159986953308E-6</v>
      </c>
      <c r="F128">
        <v>1.7355551695770699</v>
      </c>
      <c r="G128">
        <v>13.4880388103334</v>
      </c>
      <c r="H128">
        <v>-1.03251849277683E-4</v>
      </c>
      <c r="I128">
        <v>-4.9246841126139801E-3</v>
      </c>
      <c r="J128">
        <v>1.8396381911208799E-2</v>
      </c>
      <c r="K128">
        <v>-3.2134246366680901</v>
      </c>
      <c r="L128">
        <v>8.8440687365627907E-2</v>
      </c>
      <c r="M128">
        <v>0</v>
      </c>
      <c r="N128">
        <v>0</v>
      </c>
      <c r="O128">
        <v>-4.7019907838658399E-2</v>
      </c>
      <c r="P128">
        <v>0</v>
      </c>
      <c r="Q128">
        <v>2.07525784075603E-3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3.2628576497563002</v>
      </c>
      <c r="Z128">
        <v>-0.17930060464900399</v>
      </c>
      <c r="AA128">
        <v>0.101696231951281</v>
      </c>
      <c r="AB128">
        <v>0.12066658668854401</v>
      </c>
      <c r="AC128">
        <v>0.111246529692741</v>
      </c>
      <c r="AD128">
        <v>-2.0612212843575599E-3</v>
      </c>
      <c r="AE128">
        <v>5.1127967499675897</v>
      </c>
      <c r="AF128">
        <v>20.7375766723613</v>
      </c>
      <c r="AG128">
        <v>0</v>
      </c>
      <c r="AH128">
        <f t="shared" si="3"/>
        <v>20.7375766723613</v>
      </c>
      <c r="AJ128">
        <f t="shared" si="4"/>
        <v>0</v>
      </c>
      <c r="AK128">
        <f t="shared" si="5"/>
        <v>-0.15466062764875654</v>
      </c>
    </row>
    <row r="129" spans="1:37" x14ac:dyDescent="0.25">
      <c r="A129" s="1">
        <v>50770</v>
      </c>
      <c r="B129">
        <v>2.2512566984031999</v>
      </c>
      <c r="C129">
        <v>1.43502022712052E-2</v>
      </c>
      <c r="D129">
        <v>-2.1277822776317299</v>
      </c>
      <c r="E129" s="16">
        <v>9.1707116309659896E-6</v>
      </c>
      <c r="F129">
        <v>1.7201903615691601</v>
      </c>
      <c r="G129">
        <v>13.4543409555446</v>
      </c>
      <c r="H129">
        <v>-1.03504695427668E-4</v>
      </c>
      <c r="I129">
        <v>-5.1346877535336901E-3</v>
      </c>
      <c r="J129">
        <v>1.8301795691792699E-2</v>
      </c>
      <c r="K129">
        <v>-3.1165836587456601</v>
      </c>
      <c r="L129">
        <v>8.6306035953413907E-2</v>
      </c>
      <c r="M129">
        <v>0</v>
      </c>
      <c r="N129">
        <v>0</v>
      </c>
      <c r="O129">
        <v>-4.8005294373580497E-2</v>
      </c>
      <c r="P129">
        <v>0</v>
      </c>
      <c r="Q129">
        <v>1.88218406336265E-3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3.1644834639844301</v>
      </c>
      <c r="Z129">
        <v>-0.173895321230501</v>
      </c>
      <c r="AA129">
        <v>9.8627451852648998E-2</v>
      </c>
      <c r="AB129">
        <v>0.117026012814478</v>
      </c>
      <c r="AC129">
        <v>0.10788973737908999</v>
      </c>
      <c r="AD129">
        <v>-1.99100073209251E-3</v>
      </c>
      <c r="AE129">
        <v>5.0978264946986602</v>
      </c>
      <c r="AF129">
        <v>20.658994819775099</v>
      </c>
      <c r="AG129">
        <v>0</v>
      </c>
      <c r="AH129">
        <f t="shared" si="3"/>
        <v>20.658994819775099</v>
      </c>
      <c r="AJ129">
        <f t="shared" si="4"/>
        <v>0</v>
      </c>
      <c r="AK129">
        <f t="shared" si="5"/>
        <v>-0.14755139094881328</v>
      </c>
    </row>
    <row r="130" spans="1:37" x14ac:dyDescent="0.25">
      <c r="A130" s="1">
        <v>50860</v>
      </c>
      <c r="B130">
        <v>2.2269001512722801</v>
      </c>
      <c r="C130">
        <v>1.39395926463985E-2</v>
      </c>
      <c r="D130">
        <v>-2.1077118821273402</v>
      </c>
      <c r="E130" s="16">
        <v>8.9311052320471393E-6</v>
      </c>
      <c r="F130">
        <v>1.70491846354817</v>
      </c>
      <c r="G130">
        <v>13.420607364814099</v>
      </c>
      <c r="H130">
        <v>-1.03611733880595E-4</v>
      </c>
      <c r="I130">
        <v>-5.3218339508650696E-3</v>
      </c>
      <c r="J130">
        <v>1.82022937408471E-2</v>
      </c>
      <c r="K130">
        <v>-3.0226483873200198</v>
      </c>
      <c r="L130">
        <v>8.4170496290637303E-2</v>
      </c>
      <c r="M130">
        <v>0</v>
      </c>
      <c r="N130">
        <v>0</v>
      </c>
      <c r="O130">
        <v>-4.8936856011309399E-2</v>
      </c>
      <c r="P130">
        <v>0</v>
      </c>
      <c r="Q130">
        <v>1.69971356603714E-3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3.0690601460921698</v>
      </c>
      <c r="Z130">
        <v>-0.16865108568800599</v>
      </c>
      <c r="AA130">
        <v>9.5651495970642098E-2</v>
      </c>
      <c r="AB130">
        <v>0.11349545509863</v>
      </c>
      <c r="AC130">
        <v>0.10463450497530701</v>
      </c>
      <c r="AD130">
        <v>-1.9228083915590101E-3</v>
      </c>
      <c r="AE130">
        <v>5.0829049034193998</v>
      </c>
      <c r="AF130">
        <v>20.5808970473167</v>
      </c>
      <c r="AG130">
        <v>0</v>
      </c>
      <c r="AH130">
        <f t="shared" si="3"/>
        <v>20.5808970473167</v>
      </c>
      <c r="AJ130">
        <f t="shared" si="4"/>
        <v>0</v>
      </c>
      <c r="AK130">
        <f t="shared" si="5"/>
        <v>-0.14068246472585408</v>
      </c>
    </row>
    <row r="131" spans="1:37" x14ac:dyDescent="0.25">
      <c r="A131" s="1">
        <v>50951</v>
      </c>
      <c r="B131">
        <v>2.2028051999801299</v>
      </c>
      <c r="C131">
        <v>1.3538338734978899E-2</v>
      </c>
      <c r="D131">
        <v>-2.0878045607676401</v>
      </c>
      <c r="E131" s="16">
        <v>8.6951885425528698E-6</v>
      </c>
      <c r="F131">
        <v>1.6897393560323699</v>
      </c>
      <c r="G131">
        <v>13.3868393796975</v>
      </c>
      <c r="H131">
        <v>-1.03577498117244E-4</v>
      </c>
      <c r="I131">
        <v>-5.4875474026694904E-3</v>
      </c>
      <c r="J131">
        <v>1.8098132690604601E-2</v>
      </c>
      <c r="K131">
        <v>-2.9315309101082399</v>
      </c>
      <c r="L131">
        <v>8.20465593791216E-2</v>
      </c>
      <c r="M131">
        <v>0</v>
      </c>
      <c r="N131">
        <v>0</v>
      </c>
      <c r="O131">
        <v>-4.9816454673457397E-2</v>
      </c>
      <c r="P131">
        <v>0</v>
      </c>
      <c r="Q131">
        <v>1.5283938270103301E-3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2.97649927077445</v>
      </c>
      <c r="Z131">
        <v>-0.163563276379349</v>
      </c>
      <c r="AA131">
        <v>9.2765473331440196E-2</v>
      </c>
      <c r="AB131">
        <v>0.110071496048628</v>
      </c>
      <c r="AC131">
        <v>0.101477660779128</v>
      </c>
      <c r="AD131">
        <v>-1.8567346373066201E-3</v>
      </c>
      <c r="AE131">
        <v>5.0680317829518797</v>
      </c>
      <c r="AF131">
        <v>20.5032866779489</v>
      </c>
      <c r="AG131">
        <v>0</v>
      </c>
      <c r="AH131">
        <f t="shared" ref="AH131:AH132" si="6">AF131+AG131</f>
        <v>20.5032866779489</v>
      </c>
      <c r="AJ131">
        <f t="shared" ref="AJ131:AJ132" si="7">+AI131*4</f>
        <v>0</v>
      </c>
      <c r="AK131">
        <f t="shared" ref="AK131:AK132" si="8">AJ131-SUM(Y131:AD131,K131,O131)</f>
        <v>-0.13404652513529314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9" t="s">
        <v>225</v>
      </c>
      <c r="G132" s="19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9" t="s">
        <v>227</v>
      </c>
      <c r="P132">
        <v>0</v>
      </c>
      <c r="Q132" s="19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dimension ref="A1:AK132"/>
  <sheetViews>
    <sheetView topLeftCell="AF1" workbookViewId="0">
      <selection activeCell="BA30" sqref="BA30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9" t="s">
        <v>225</v>
      </c>
      <c r="G132" s="19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9" t="s">
        <v>227</v>
      </c>
      <c r="P132">
        <v>0</v>
      </c>
      <c r="Q132" s="19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dimension ref="A1:AF131"/>
  <sheetViews>
    <sheetView topLeftCell="F122" workbookViewId="0">
      <selection sqref="A1:AF131"/>
    </sheetView>
  </sheetViews>
  <sheetFormatPr defaultRowHeight="15" x14ac:dyDescent="0.25"/>
  <sheetData>
    <row r="1" spans="1:32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dimension ref="A1:BV132"/>
  <sheetViews>
    <sheetView topLeftCell="AI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 x14ac:dyDescent="0.25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 x14ac:dyDescent="0.25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 x14ac:dyDescent="0.25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 x14ac:dyDescent="0.25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 x14ac:dyDescent="0.25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 x14ac:dyDescent="0.25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 x14ac:dyDescent="0.25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 x14ac:dyDescent="0.25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 x14ac:dyDescent="0.25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 x14ac:dyDescent="0.25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 x14ac:dyDescent="0.25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 x14ac:dyDescent="0.25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 x14ac:dyDescent="0.25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 x14ac:dyDescent="0.2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 x14ac:dyDescent="0.2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 x14ac:dyDescent="0.2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 x14ac:dyDescent="0.2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 x14ac:dyDescent="0.2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 x14ac:dyDescent="0.2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 x14ac:dyDescent="0.2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 x14ac:dyDescent="0.2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 x14ac:dyDescent="0.2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 x14ac:dyDescent="0.2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 x14ac:dyDescent="0.2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 x14ac:dyDescent="0.2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 x14ac:dyDescent="0.2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 x14ac:dyDescent="0.2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 x14ac:dyDescent="0.2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 x14ac:dyDescent="0.2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 x14ac:dyDescent="0.2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 x14ac:dyDescent="0.2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 x14ac:dyDescent="0.2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 x14ac:dyDescent="0.2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 x14ac:dyDescent="0.2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 x14ac:dyDescent="0.2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 x14ac:dyDescent="0.2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 x14ac:dyDescent="0.2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 x14ac:dyDescent="0.2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 x14ac:dyDescent="0.2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 x14ac:dyDescent="0.2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 x14ac:dyDescent="0.2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 x14ac:dyDescent="0.2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 x14ac:dyDescent="0.2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 x14ac:dyDescent="0.2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 x14ac:dyDescent="0.2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 x14ac:dyDescent="0.2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 x14ac:dyDescent="0.2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 x14ac:dyDescent="0.2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 x14ac:dyDescent="0.2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 x14ac:dyDescent="0.2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 x14ac:dyDescent="0.2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 x14ac:dyDescent="0.2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 x14ac:dyDescent="0.2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 x14ac:dyDescent="0.2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 x14ac:dyDescent="0.2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 x14ac:dyDescent="0.2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 x14ac:dyDescent="0.2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 x14ac:dyDescent="0.2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 x14ac:dyDescent="0.2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 x14ac:dyDescent="0.2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 x14ac:dyDescent="0.2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 x14ac:dyDescent="0.2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 x14ac:dyDescent="0.2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 x14ac:dyDescent="0.2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 x14ac:dyDescent="0.2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 x14ac:dyDescent="0.2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 x14ac:dyDescent="0.2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 x14ac:dyDescent="0.2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 x14ac:dyDescent="0.2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 x14ac:dyDescent="0.2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 x14ac:dyDescent="0.2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 x14ac:dyDescent="0.2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 x14ac:dyDescent="0.2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 x14ac:dyDescent="0.2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 x14ac:dyDescent="0.2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 x14ac:dyDescent="0.2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 x14ac:dyDescent="0.2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 x14ac:dyDescent="0.2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 x14ac:dyDescent="0.2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 x14ac:dyDescent="0.2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 x14ac:dyDescent="0.2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zoomScaleNormal="100" workbookViewId="0">
      <selection activeCell="Q21" sqref="Q21"/>
    </sheetView>
  </sheetViews>
  <sheetFormatPr defaultRowHeight="15" x14ac:dyDescent="0.25"/>
  <cols>
    <col min="1" max="1" width="11.140625" bestFit="1" customWidth="1"/>
  </cols>
  <sheetData>
    <row r="1" spans="1:12" x14ac:dyDescent="0.25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 x14ac:dyDescent="0.25">
      <c r="A2" s="1">
        <v>25841</v>
      </c>
      <c r="E2">
        <f>+'Chart NA - DSGE Raw Data'!D47</f>
        <v>1.6775</v>
      </c>
    </row>
    <row r="3" spans="1:12" x14ac:dyDescent="0.25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 x14ac:dyDescent="0.25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 x14ac:dyDescent="0.25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 x14ac:dyDescent="0.25">
      <c r="A6" s="1">
        <v>26206</v>
      </c>
      <c r="E6">
        <f>+'Chart NA - DSGE Raw Data'!D51</f>
        <v>1.37</v>
      </c>
    </row>
    <row r="7" spans="1:12" x14ac:dyDescent="0.25">
      <c r="A7" s="1">
        <v>26298</v>
      </c>
      <c r="E7">
        <f>+'Chart NA - DSGE Raw Data'!D52</f>
        <v>1.1875</v>
      </c>
    </row>
    <row r="8" spans="1:12" x14ac:dyDescent="0.25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 x14ac:dyDescent="0.25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 x14ac:dyDescent="0.25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 x14ac:dyDescent="0.25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 x14ac:dyDescent="0.25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 x14ac:dyDescent="0.25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 x14ac:dyDescent="0.25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 x14ac:dyDescent="0.25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 x14ac:dyDescent="0.25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 x14ac:dyDescent="0.2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 x14ac:dyDescent="0.2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 x14ac:dyDescent="0.2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 x14ac:dyDescent="0.2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 x14ac:dyDescent="0.2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 x14ac:dyDescent="0.2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 x14ac:dyDescent="0.2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 x14ac:dyDescent="0.2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 x14ac:dyDescent="0.2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 x14ac:dyDescent="0.2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 x14ac:dyDescent="0.2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 x14ac:dyDescent="0.2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 x14ac:dyDescent="0.2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 x14ac:dyDescent="0.2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 x14ac:dyDescent="0.2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 x14ac:dyDescent="0.2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 x14ac:dyDescent="0.2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 x14ac:dyDescent="0.2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 x14ac:dyDescent="0.2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 x14ac:dyDescent="0.2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 x14ac:dyDescent="0.2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 x14ac:dyDescent="0.2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 x14ac:dyDescent="0.2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 x14ac:dyDescent="0.2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 x14ac:dyDescent="0.2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 x14ac:dyDescent="0.2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 x14ac:dyDescent="0.2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 x14ac:dyDescent="0.2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 x14ac:dyDescent="0.2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 x14ac:dyDescent="0.2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 x14ac:dyDescent="0.2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 x14ac:dyDescent="0.2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 x14ac:dyDescent="0.2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 x14ac:dyDescent="0.2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 x14ac:dyDescent="0.2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 x14ac:dyDescent="0.2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 x14ac:dyDescent="0.2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 x14ac:dyDescent="0.2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 x14ac:dyDescent="0.2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 x14ac:dyDescent="0.2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 x14ac:dyDescent="0.2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 x14ac:dyDescent="0.2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 x14ac:dyDescent="0.2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 x14ac:dyDescent="0.2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 x14ac:dyDescent="0.2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 x14ac:dyDescent="0.2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 x14ac:dyDescent="0.2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 x14ac:dyDescent="0.2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 x14ac:dyDescent="0.2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 x14ac:dyDescent="0.2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 x14ac:dyDescent="0.2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 x14ac:dyDescent="0.2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 x14ac:dyDescent="0.2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 x14ac:dyDescent="0.2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 x14ac:dyDescent="0.2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 x14ac:dyDescent="0.2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 x14ac:dyDescent="0.2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 x14ac:dyDescent="0.2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 x14ac:dyDescent="0.2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 x14ac:dyDescent="0.2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 x14ac:dyDescent="0.2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 x14ac:dyDescent="0.2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 x14ac:dyDescent="0.2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 x14ac:dyDescent="0.2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 x14ac:dyDescent="0.2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 x14ac:dyDescent="0.2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 x14ac:dyDescent="0.2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 x14ac:dyDescent="0.2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 x14ac:dyDescent="0.2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 x14ac:dyDescent="0.2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 x14ac:dyDescent="0.2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 x14ac:dyDescent="0.2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 x14ac:dyDescent="0.2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 x14ac:dyDescent="0.2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 x14ac:dyDescent="0.2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 x14ac:dyDescent="0.2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 x14ac:dyDescent="0.2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 x14ac:dyDescent="0.2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 x14ac:dyDescent="0.2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 x14ac:dyDescent="0.2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 x14ac:dyDescent="0.2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 x14ac:dyDescent="0.2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 x14ac:dyDescent="0.2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 x14ac:dyDescent="0.2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 x14ac:dyDescent="0.2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 x14ac:dyDescent="0.2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 x14ac:dyDescent="0.2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 x14ac:dyDescent="0.2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 x14ac:dyDescent="0.2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 x14ac:dyDescent="0.2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 x14ac:dyDescent="0.2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 x14ac:dyDescent="0.2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 x14ac:dyDescent="0.2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 x14ac:dyDescent="0.2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 x14ac:dyDescent="0.2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 x14ac:dyDescent="0.2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 x14ac:dyDescent="0.2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 x14ac:dyDescent="0.2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 x14ac:dyDescent="0.2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 x14ac:dyDescent="0.2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 x14ac:dyDescent="0.2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 x14ac:dyDescent="0.2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 x14ac:dyDescent="0.2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 x14ac:dyDescent="0.2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 x14ac:dyDescent="0.2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 x14ac:dyDescent="0.2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 x14ac:dyDescent="0.2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 x14ac:dyDescent="0.2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 x14ac:dyDescent="0.2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 x14ac:dyDescent="0.2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 x14ac:dyDescent="0.2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 x14ac:dyDescent="0.2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 x14ac:dyDescent="0.2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 x14ac:dyDescent="0.2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 x14ac:dyDescent="0.2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 x14ac:dyDescent="0.2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 x14ac:dyDescent="0.2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 x14ac:dyDescent="0.2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 x14ac:dyDescent="0.2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 x14ac:dyDescent="0.2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 x14ac:dyDescent="0.2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 x14ac:dyDescent="0.2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 x14ac:dyDescent="0.2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 x14ac:dyDescent="0.2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 x14ac:dyDescent="0.2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 x14ac:dyDescent="0.2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 x14ac:dyDescent="0.2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 x14ac:dyDescent="0.2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 x14ac:dyDescent="0.2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 x14ac:dyDescent="0.2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 x14ac:dyDescent="0.2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 x14ac:dyDescent="0.2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 x14ac:dyDescent="0.2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 x14ac:dyDescent="0.2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 x14ac:dyDescent="0.2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 x14ac:dyDescent="0.2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 x14ac:dyDescent="0.2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 x14ac:dyDescent="0.2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 x14ac:dyDescent="0.2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 x14ac:dyDescent="0.2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 x14ac:dyDescent="0.2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 x14ac:dyDescent="0.2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 x14ac:dyDescent="0.2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 x14ac:dyDescent="0.2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 x14ac:dyDescent="0.2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 x14ac:dyDescent="0.2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 x14ac:dyDescent="0.2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 x14ac:dyDescent="0.2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 x14ac:dyDescent="0.2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 x14ac:dyDescent="0.2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 x14ac:dyDescent="0.2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 x14ac:dyDescent="0.2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 x14ac:dyDescent="0.2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 x14ac:dyDescent="0.2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 x14ac:dyDescent="0.2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 x14ac:dyDescent="0.2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 x14ac:dyDescent="0.2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 x14ac:dyDescent="0.2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 x14ac:dyDescent="0.2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 x14ac:dyDescent="0.2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 x14ac:dyDescent="0.2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 x14ac:dyDescent="0.2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 x14ac:dyDescent="0.2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 x14ac:dyDescent="0.2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 x14ac:dyDescent="0.2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 x14ac:dyDescent="0.2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 x14ac:dyDescent="0.2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 x14ac:dyDescent="0.2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 x14ac:dyDescent="0.2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 x14ac:dyDescent="0.2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 x14ac:dyDescent="0.2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 x14ac:dyDescent="0.2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 x14ac:dyDescent="0.2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 x14ac:dyDescent="0.2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 x14ac:dyDescent="0.2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 x14ac:dyDescent="0.2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 x14ac:dyDescent="0.2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 x14ac:dyDescent="0.2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 x14ac:dyDescent="0.2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 x14ac:dyDescent="0.2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 x14ac:dyDescent="0.2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 x14ac:dyDescent="0.2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 x14ac:dyDescent="0.2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 x14ac:dyDescent="0.2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 x14ac:dyDescent="0.2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 x14ac:dyDescent="0.2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 x14ac:dyDescent="0.2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 x14ac:dyDescent="0.2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 x14ac:dyDescent="0.2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 x14ac:dyDescent="0.2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 x14ac:dyDescent="0.2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 x14ac:dyDescent="0.2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 x14ac:dyDescent="0.2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 x14ac:dyDescent="0.2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 x14ac:dyDescent="0.2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 x14ac:dyDescent="0.2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 x14ac:dyDescent="0.2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 x14ac:dyDescent="0.2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 x14ac:dyDescent="0.2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 x14ac:dyDescent="0.2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 x14ac:dyDescent="0.2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 x14ac:dyDescent="0.25">
      <c r="A218" s="1"/>
      <c r="D218">
        <f>+'2025Q2'!M261</f>
        <v>0.20355209684499201</v>
      </c>
      <c r="E218">
        <f>+'Chart NA - DSGE Raw Data'!D263</f>
        <v>1.3149999999999999</v>
      </c>
    </row>
    <row r="219" spans="1:5" x14ac:dyDescent="0.25">
      <c r="A219" s="1"/>
      <c r="D219">
        <f>+'2025Q2'!M262</f>
        <v>0.117082182323117</v>
      </c>
      <c r="E219">
        <f>+'Chart NA - DSGE Raw Data'!D264</f>
        <v>1.1625000000000001</v>
      </c>
    </row>
    <row r="220" spans="1:5" x14ac:dyDescent="0.25">
      <c r="A220" s="1"/>
      <c r="D220">
        <f>+'2025Q2'!M263</f>
        <v>0.191652056806562</v>
      </c>
      <c r="E220">
        <f>+'Chart NA - DSGE Raw Data'!D265</f>
        <v>1.0825</v>
      </c>
    </row>
    <row r="221" spans="1:5" x14ac:dyDescent="0.25">
      <c r="A221" s="1"/>
      <c r="D221">
        <f>+'2025Q2'!M264</f>
        <v>0.20918164208349599</v>
      </c>
      <c r="E221">
        <f>+'Chart NA - DSGE Raw Data'!D266</f>
        <v>1.0825</v>
      </c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dimension ref="A1:Q264"/>
  <sheetViews>
    <sheetView workbookViewId="0"/>
  </sheetViews>
  <sheetFormatPr defaultRowHeight="15" x14ac:dyDescent="0.25"/>
  <cols>
    <col min="1" max="1" width="10.5703125" style="7" customWidth="1"/>
  </cols>
  <sheetData>
    <row r="1" spans="1:17" x14ac:dyDescent="0.25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 x14ac:dyDescent="0.25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 x14ac:dyDescent="0.25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 x14ac:dyDescent="0.25">
      <c r="C5" s="18" t="s">
        <v>146</v>
      </c>
      <c r="D5" s="18"/>
      <c r="E5" s="18"/>
      <c r="G5" s="18" t="s">
        <v>147</v>
      </c>
      <c r="H5" s="18"/>
      <c r="I5" s="18"/>
      <c r="K5" s="18" t="s">
        <v>148</v>
      </c>
      <c r="L5" s="18"/>
      <c r="M5" s="18"/>
      <c r="O5" s="18" t="s">
        <v>149</v>
      </c>
      <c r="P5" s="18"/>
      <c r="Q5" s="18"/>
    </row>
    <row r="6" spans="1:17" x14ac:dyDescent="0.25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 x14ac:dyDescent="0.25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 x14ac:dyDescent="0.25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 x14ac:dyDescent="0.25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 x14ac:dyDescent="0.25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 x14ac:dyDescent="0.25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 x14ac:dyDescent="0.25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 x14ac:dyDescent="0.25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 x14ac:dyDescent="0.25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 x14ac:dyDescent="0.25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 x14ac:dyDescent="0.25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 x14ac:dyDescent="0.25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 x14ac:dyDescent="0.25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 x14ac:dyDescent="0.25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 x14ac:dyDescent="0.25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 x14ac:dyDescent="0.25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 x14ac:dyDescent="0.25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 x14ac:dyDescent="0.25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 x14ac:dyDescent="0.25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 x14ac:dyDescent="0.25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 x14ac:dyDescent="0.25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 x14ac:dyDescent="0.25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 x14ac:dyDescent="0.25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 x14ac:dyDescent="0.25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 x14ac:dyDescent="0.25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 x14ac:dyDescent="0.25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 x14ac:dyDescent="0.25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 x14ac:dyDescent="0.25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 x14ac:dyDescent="0.25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 x14ac:dyDescent="0.25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 x14ac:dyDescent="0.25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 x14ac:dyDescent="0.25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 x14ac:dyDescent="0.25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 x14ac:dyDescent="0.25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 x14ac:dyDescent="0.25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 x14ac:dyDescent="0.25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 x14ac:dyDescent="0.25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 x14ac:dyDescent="0.25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 x14ac:dyDescent="0.25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 x14ac:dyDescent="0.25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 x14ac:dyDescent="0.25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 x14ac:dyDescent="0.25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 x14ac:dyDescent="0.25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 x14ac:dyDescent="0.25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 x14ac:dyDescent="0.25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 x14ac:dyDescent="0.25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1.66722605678708</v>
      </c>
      <c r="C2">
        <v>1.66722605678708</v>
      </c>
      <c r="D2">
        <v>1.66722605678708</v>
      </c>
    </row>
    <row r="3" spans="1:4" x14ac:dyDescent="0.25">
      <c r="A3" s="1">
        <v>26572</v>
      </c>
      <c r="B3">
        <v>1.68842281238362</v>
      </c>
      <c r="C3">
        <v>1.68842281238362</v>
      </c>
      <c r="D3">
        <v>1.68842281238362</v>
      </c>
    </row>
    <row r="4" spans="1:4" x14ac:dyDescent="0.25">
      <c r="A4" s="1">
        <v>26664</v>
      </c>
      <c r="B4">
        <v>3.14990557148298</v>
      </c>
      <c r="C4">
        <v>3.14990557148298</v>
      </c>
      <c r="D4">
        <v>3.14990557148298</v>
      </c>
    </row>
    <row r="5" spans="1:4" x14ac:dyDescent="0.25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 x14ac:dyDescent="0.25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 x14ac:dyDescent="0.25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 x14ac:dyDescent="0.25">
      <c r="A8" s="1">
        <v>27029</v>
      </c>
      <c r="B8">
        <v>7.24378131959456</v>
      </c>
      <c r="C8">
        <v>7.24378131959456</v>
      </c>
      <c r="D8">
        <v>7.24378131959456</v>
      </c>
    </row>
    <row r="9" spans="1:4" x14ac:dyDescent="0.25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 x14ac:dyDescent="0.25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 x14ac:dyDescent="0.25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 x14ac:dyDescent="0.25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 x14ac:dyDescent="0.25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 x14ac:dyDescent="0.25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 x14ac:dyDescent="0.25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 x14ac:dyDescent="0.25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 x14ac:dyDescent="0.25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 x14ac:dyDescent="0.25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 x14ac:dyDescent="0.25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 x14ac:dyDescent="0.25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 x14ac:dyDescent="0.25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 x14ac:dyDescent="0.25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 x14ac:dyDescent="0.25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 x14ac:dyDescent="0.25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 x14ac:dyDescent="0.25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 x14ac:dyDescent="0.25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 x14ac:dyDescent="0.25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 x14ac:dyDescent="0.25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 x14ac:dyDescent="0.25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 x14ac:dyDescent="0.25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 x14ac:dyDescent="0.25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 x14ac:dyDescent="0.25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 x14ac:dyDescent="0.25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 x14ac:dyDescent="0.25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 x14ac:dyDescent="0.25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 x14ac:dyDescent="0.25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 x14ac:dyDescent="0.25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 x14ac:dyDescent="0.25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 x14ac:dyDescent="0.25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 x14ac:dyDescent="0.25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 x14ac:dyDescent="0.25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 x14ac:dyDescent="0.25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 x14ac:dyDescent="0.25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 x14ac:dyDescent="0.25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 x14ac:dyDescent="0.25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 x14ac:dyDescent="0.25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 x14ac:dyDescent="0.25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 x14ac:dyDescent="0.25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 x14ac:dyDescent="0.25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 x14ac:dyDescent="0.25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 x14ac:dyDescent="0.25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 x14ac:dyDescent="0.25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 x14ac:dyDescent="0.25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 x14ac:dyDescent="0.25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 x14ac:dyDescent="0.25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 x14ac:dyDescent="0.25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 x14ac:dyDescent="0.25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 x14ac:dyDescent="0.25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 x14ac:dyDescent="0.25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 x14ac:dyDescent="0.25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 x14ac:dyDescent="0.25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 x14ac:dyDescent="0.25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 x14ac:dyDescent="0.25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 x14ac:dyDescent="0.25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 x14ac:dyDescent="0.25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 x14ac:dyDescent="0.25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 x14ac:dyDescent="0.25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 x14ac:dyDescent="0.25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 x14ac:dyDescent="0.25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 x14ac:dyDescent="0.25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 x14ac:dyDescent="0.25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 x14ac:dyDescent="0.25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 x14ac:dyDescent="0.25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 x14ac:dyDescent="0.25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 x14ac:dyDescent="0.25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 x14ac:dyDescent="0.25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 x14ac:dyDescent="0.25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 x14ac:dyDescent="0.25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 x14ac:dyDescent="0.25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 x14ac:dyDescent="0.25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 x14ac:dyDescent="0.25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 x14ac:dyDescent="0.25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 x14ac:dyDescent="0.25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 x14ac:dyDescent="0.25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 x14ac:dyDescent="0.25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 x14ac:dyDescent="0.25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 x14ac:dyDescent="0.25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 x14ac:dyDescent="0.25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 x14ac:dyDescent="0.25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 x14ac:dyDescent="0.25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 x14ac:dyDescent="0.25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 x14ac:dyDescent="0.25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 x14ac:dyDescent="0.25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 x14ac:dyDescent="0.25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 x14ac:dyDescent="0.25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 x14ac:dyDescent="0.25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 x14ac:dyDescent="0.25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 x14ac:dyDescent="0.25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 x14ac:dyDescent="0.25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 x14ac:dyDescent="0.25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 x14ac:dyDescent="0.25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 x14ac:dyDescent="0.25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 x14ac:dyDescent="0.25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 x14ac:dyDescent="0.25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 x14ac:dyDescent="0.25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 x14ac:dyDescent="0.25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 x14ac:dyDescent="0.25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 x14ac:dyDescent="0.25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 x14ac:dyDescent="0.25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 x14ac:dyDescent="0.25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 x14ac:dyDescent="0.25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 x14ac:dyDescent="0.25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 x14ac:dyDescent="0.25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 x14ac:dyDescent="0.25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 x14ac:dyDescent="0.25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 x14ac:dyDescent="0.25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 x14ac:dyDescent="0.25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 x14ac:dyDescent="0.25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 x14ac:dyDescent="0.25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 x14ac:dyDescent="0.25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 x14ac:dyDescent="0.25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 x14ac:dyDescent="0.25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 x14ac:dyDescent="0.25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 x14ac:dyDescent="0.25">
      <c r="A124" s="1">
        <v>37621</v>
      </c>
      <c r="B124">
        <v>1.408745879627</v>
      </c>
      <c r="C124">
        <v>1.408745879627</v>
      </c>
      <c r="D124">
        <v>1.408745879627</v>
      </c>
    </row>
    <row r="125" spans="1:4" x14ac:dyDescent="0.25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 x14ac:dyDescent="0.25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 x14ac:dyDescent="0.25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 x14ac:dyDescent="0.25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 x14ac:dyDescent="0.25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 x14ac:dyDescent="0.25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 x14ac:dyDescent="0.25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 x14ac:dyDescent="0.25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 x14ac:dyDescent="0.25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 x14ac:dyDescent="0.25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 x14ac:dyDescent="0.25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 x14ac:dyDescent="0.25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 x14ac:dyDescent="0.25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 x14ac:dyDescent="0.25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 x14ac:dyDescent="0.25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 x14ac:dyDescent="0.25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 x14ac:dyDescent="0.25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 x14ac:dyDescent="0.25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 x14ac:dyDescent="0.25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 x14ac:dyDescent="0.25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 x14ac:dyDescent="0.25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 x14ac:dyDescent="0.25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 x14ac:dyDescent="0.25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 x14ac:dyDescent="0.25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 x14ac:dyDescent="0.25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 x14ac:dyDescent="0.25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 x14ac:dyDescent="0.25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 x14ac:dyDescent="0.25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 x14ac:dyDescent="0.25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 x14ac:dyDescent="0.25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 x14ac:dyDescent="0.25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 x14ac:dyDescent="0.25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 x14ac:dyDescent="0.25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 x14ac:dyDescent="0.25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 x14ac:dyDescent="0.25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 x14ac:dyDescent="0.25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 x14ac:dyDescent="0.25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 x14ac:dyDescent="0.25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 x14ac:dyDescent="0.25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 x14ac:dyDescent="0.25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 x14ac:dyDescent="0.25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 x14ac:dyDescent="0.25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 x14ac:dyDescent="0.25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 x14ac:dyDescent="0.25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 x14ac:dyDescent="0.25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 x14ac:dyDescent="0.25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 x14ac:dyDescent="0.25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 x14ac:dyDescent="0.25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 x14ac:dyDescent="0.25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 x14ac:dyDescent="0.25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 x14ac:dyDescent="0.25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 x14ac:dyDescent="0.25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 x14ac:dyDescent="0.25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 x14ac:dyDescent="0.25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 x14ac:dyDescent="0.25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 x14ac:dyDescent="0.25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 x14ac:dyDescent="0.25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 x14ac:dyDescent="0.25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 x14ac:dyDescent="0.25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 x14ac:dyDescent="0.25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 x14ac:dyDescent="0.25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 x14ac:dyDescent="0.25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 x14ac:dyDescent="0.25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 x14ac:dyDescent="0.25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 x14ac:dyDescent="0.25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 x14ac:dyDescent="0.25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 x14ac:dyDescent="0.25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 x14ac:dyDescent="0.25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 x14ac:dyDescent="0.25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 x14ac:dyDescent="0.25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 x14ac:dyDescent="0.25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 x14ac:dyDescent="0.25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 x14ac:dyDescent="0.25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 x14ac:dyDescent="0.25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 x14ac:dyDescent="0.25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 x14ac:dyDescent="0.25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 x14ac:dyDescent="0.25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 x14ac:dyDescent="0.25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 x14ac:dyDescent="0.25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 x14ac:dyDescent="0.25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 x14ac:dyDescent="0.25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 x14ac:dyDescent="0.25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 x14ac:dyDescent="0.25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 x14ac:dyDescent="0.25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 x14ac:dyDescent="0.25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 x14ac:dyDescent="0.25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RowHeight="15" x14ac:dyDescent="0.25"/>
  <cols>
    <col min="1" max="1" width="9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2.03080099721346</v>
      </c>
      <c r="C2">
        <v>2.03080099721346</v>
      </c>
      <c r="D2">
        <v>2.03080099721346</v>
      </c>
    </row>
    <row r="3" spans="1:4" x14ac:dyDescent="0.25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 x14ac:dyDescent="0.25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 x14ac:dyDescent="0.25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 x14ac:dyDescent="0.25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 x14ac:dyDescent="0.25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 x14ac:dyDescent="0.25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 x14ac:dyDescent="0.25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 x14ac:dyDescent="0.25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 x14ac:dyDescent="0.25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 x14ac:dyDescent="0.25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 x14ac:dyDescent="0.25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 x14ac:dyDescent="0.25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 x14ac:dyDescent="0.25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 x14ac:dyDescent="0.25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 x14ac:dyDescent="0.25">
      <c r="A17" s="1">
        <v>27850</v>
      </c>
      <c r="B17">
        <v>4.9652780361149</v>
      </c>
      <c r="C17">
        <v>4.9652780361149</v>
      </c>
      <c r="D17">
        <v>4.9652780361149</v>
      </c>
    </row>
    <row r="18" spans="1:4" x14ac:dyDescent="0.25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 x14ac:dyDescent="0.25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 x14ac:dyDescent="0.25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 x14ac:dyDescent="0.25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 x14ac:dyDescent="0.25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 x14ac:dyDescent="0.25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 x14ac:dyDescent="0.25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 x14ac:dyDescent="0.25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 x14ac:dyDescent="0.25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 x14ac:dyDescent="0.25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 x14ac:dyDescent="0.25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 x14ac:dyDescent="0.25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 x14ac:dyDescent="0.25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 x14ac:dyDescent="0.25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 x14ac:dyDescent="0.25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 x14ac:dyDescent="0.25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 x14ac:dyDescent="0.25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 x14ac:dyDescent="0.25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 x14ac:dyDescent="0.25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 x14ac:dyDescent="0.25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 x14ac:dyDescent="0.25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 x14ac:dyDescent="0.25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 x14ac:dyDescent="0.25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 x14ac:dyDescent="0.25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 x14ac:dyDescent="0.25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 x14ac:dyDescent="0.25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 x14ac:dyDescent="0.25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 x14ac:dyDescent="0.25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 x14ac:dyDescent="0.25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 x14ac:dyDescent="0.25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 x14ac:dyDescent="0.25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 x14ac:dyDescent="0.25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 x14ac:dyDescent="0.25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 x14ac:dyDescent="0.25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 x14ac:dyDescent="0.25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 x14ac:dyDescent="0.25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 x14ac:dyDescent="0.25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 x14ac:dyDescent="0.25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 x14ac:dyDescent="0.25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 x14ac:dyDescent="0.25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 x14ac:dyDescent="0.25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 x14ac:dyDescent="0.25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 x14ac:dyDescent="0.25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 x14ac:dyDescent="0.25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 x14ac:dyDescent="0.25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 x14ac:dyDescent="0.25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 x14ac:dyDescent="0.25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 x14ac:dyDescent="0.25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 x14ac:dyDescent="0.25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 x14ac:dyDescent="0.25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 x14ac:dyDescent="0.25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 x14ac:dyDescent="0.25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 x14ac:dyDescent="0.25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 x14ac:dyDescent="0.25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 x14ac:dyDescent="0.25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 x14ac:dyDescent="0.25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 x14ac:dyDescent="0.25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 x14ac:dyDescent="0.25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 x14ac:dyDescent="0.25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 x14ac:dyDescent="0.25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 x14ac:dyDescent="0.25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 x14ac:dyDescent="0.25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 x14ac:dyDescent="0.25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 x14ac:dyDescent="0.25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 x14ac:dyDescent="0.25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 x14ac:dyDescent="0.25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 x14ac:dyDescent="0.25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 x14ac:dyDescent="0.25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 x14ac:dyDescent="0.25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 x14ac:dyDescent="0.25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 x14ac:dyDescent="0.25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 x14ac:dyDescent="0.25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 x14ac:dyDescent="0.25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 x14ac:dyDescent="0.25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 x14ac:dyDescent="0.25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 x14ac:dyDescent="0.25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 x14ac:dyDescent="0.25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 x14ac:dyDescent="0.25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 x14ac:dyDescent="0.25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 x14ac:dyDescent="0.25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 x14ac:dyDescent="0.25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 x14ac:dyDescent="0.25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 x14ac:dyDescent="0.25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 x14ac:dyDescent="0.25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 x14ac:dyDescent="0.25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 x14ac:dyDescent="0.25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 x14ac:dyDescent="0.25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 x14ac:dyDescent="0.25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 x14ac:dyDescent="0.25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 x14ac:dyDescent="0.25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 x14ac:dyDescent="0.25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 x14ac:dyDescent="0.25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 x14ac:dyDescent="0.25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 x14ac:dyDescent="0.25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 x14ac:dyDescent="0.25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 x14ac:dyDescent="0.25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 x14ac:dyDescent="0.25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 x14ac:dyDescent="0.25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 x14ac:dyDescent="0.25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 x14ac:dyDescent="0.25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 x14ac:dyDescent="0.25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 x14ac:dyDescent="0.25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 x14ac:dyDescent="0.25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 x14ac:dyDescent="0.25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 x14ac:dyDescent="0.25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 x14ac:dyDescent="0.25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 x14ac:dyDescent="0.25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 x14ac:dyDescent="0.25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 x14ac:dyDescent="0.25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 x14ac:dyDescent="0.25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 x14ac:dyDescent="0.25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 x14ac:dyDescent="0.25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 x14ac:dyDescent="0.25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 x14ac:dyDescent="0.25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 x14ac:dyDescent="0.25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 x14ac:dyDescent="0.25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 x14ac:dyDescent="0.25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 x14ac:dyDescent="0.25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 x14ac:dyDescent="0.25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 x14ac:dyDescent="0.25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 x14ac:dyDescent="0.25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 x14ac:dyDescent="0.25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 x14ac:dyDescent="0.25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 x14ac:dyDescent="0.25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 x14ac:dyDescent="0.25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 x14ac:dyDescent="0.25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 x14ac:dyDescent="0.25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 x14ac:dyDescent="0.25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 x14ac:dyDescent="0.25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 x14ac:dyDescent="0.25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 x14ac:dyDescent="0.25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 x14ac:dyDescent="0.25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 x14ac:dyDescent="0.25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 x14ac:dyDescent="0.25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 x14ac:dyDescent="0.25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 x14ac:dyDescent="0.25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 x14ac:dyDescent="0.25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 x14ac:dyDescent="0.25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 x14ac:dyDescent="0.25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 x14ac:dyDescent="0.25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 x14ac:dyDescent="0.25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 x14ac:dyDescent="0.25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 x14ac:dyDescent="0.25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 x14ac:dyDescent="0.25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 x14ac:dyDescent="0.25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 x14ac:dyDescent="0.25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 x14ac:dyDescent="0.25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 x14ac:dyDescent="0.25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 x14ac:dyDescent="0.25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 x14ac:dyDescent="0.25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 x14ac:dyDescent="0.25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 x14ac:dyDescent="0.25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 x14ac:dyDescent="0.25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 x14ac:dyDescent="0.25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 x14ac:dyDescent="0.25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 x14ac:dyDescent="0.25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 x14ac:dyDescent="0.25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 x14ac:dyDescent="0.25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 x14ac:dyDescent="0.25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 x14ac:dyDescent="0.25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 x14ac:dyDescent="0.25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 x14ac:dyDescent="0.25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 x14ac:dyDescent="0.25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 x14ac:dyDescent="0.25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 x14ac:dyDescent="0.25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 x14ac:dyDescent="0.25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 x14ac:dyDescent="0.25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 x14ac:dyDescent="0.25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 x14ac:dyDescent="0.25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 x14ac:dyDescent="0.25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 x14ac:dyDescent="0.25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 x14ac:dyDescent="0.25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 x14ac:dyDescent="0.25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 x14ac:dyDescent="0.25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 x14ac:dyDescent="0.25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 x14ac:dyDescent="0.25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 x14ac:dyDescent="0.25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 x14ac:dyDescent="0.25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 x14ac:dyDescent="0.25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 x14ac:dyDescent="0.25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 x14ac:dyDescent="0.25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 x14ac:dyDescent="0.25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 x14ac:dyDescent="0.25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 x14ac:dyDescent="0.25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 x14ac:dyDescent="0.25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 x14ac:dyDescent="0.25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 x14ac:dyDescent="0.25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 x14ac:dyDescent="0.25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 x14ac:dyDescent="0.25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 x14ac:dyDescent="0.25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 x14ac:dyDescent="0.25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 x14ac:dyDescent="0.25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 x14ac:dyDescent="0.25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RowHeight="15" x14ac:dyDescent="0.25"/>
  <cols>
    <col min="1" max="1" width="10.7109375" bestFit="1" customWidth="1"/>
    <col min="2" max="4" width="12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 x14ac:dyDescent="0.25">
      <c r="A3" s="1">
        <v>26572</v>
      </c>
      <c r="B3">
        <v>2.90958843066662</v>
      </c>
      <c r="C3">
        <v>2.90958843066662</v>
      </c>
      <c r="D3">
        <v>2.90958843066662</v>
      </c>
    </row>
    <row r="4" spans="1:4" x14ac:dyDescent="0.25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 x14ac:dyDescent="0.25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 x14ac:dyDescent="0.25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 x14ac:dyDescent="0.25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 x14ac:dyDescent="0.25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 x14ac:dyDescent="0.25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 x14ac:dyDescent="0.25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 x14ac:dyDescent="0.25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 x14ac:dyDescent="0.25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 x14ac:dyDescent="0.25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 x14ac:dyDescent="0.25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 x14ac:dyDescent="0.25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 x14ac:dyDescent="0.25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 x14ac:dyDescent="0.25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 x14ac:dyDescent="0.25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 x14ac:dyDescent="0.25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 x14ac:dyDescent="0.25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 x14ac:dyDescent="0.25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 x14ac:dyDescent="0.25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 x14ac:dyDescent="0.25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 x14ac:dyDescent="0.25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 x14ac:dyDescent="0.25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 x14ac:dyDescent="0.25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 x14ac:dyDescent="0.25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 x14ac:dyDescent="0.25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 x14ac:dyDescent="0.25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 x14ac:dyDescent="0.25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 x14ac:dyDescent="0.25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 x14ac:dyDescent="0.25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 x14ac:dyDescent="0.25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 x14ac:dyDescent="0.25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 x14ac:dyDescent="0.25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 x14ac:dyDescent="0.25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 x14ac:dyDescent="0.25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 x14ac:dyDescent="0.25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 x14ac:dyDescent="0.25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 x14ac:dyDescent="0.25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 x14ac:dyDescent="0.25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 x14ac:dyDescent="0.25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 x14ac:dyDescent="0.25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 x14ac:dyDescent="0.25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 x14ac:dyDescent="0.25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 x14ac:dyDescent="0.25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 x14ac:dyDescent="0.25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 x14ac:dyDescent="0.25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 x14ac:dyDescent="0.25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 x14ac:dyDescent="0.25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 x14ac:dyDescent="0.25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 x14ac:dyDescent="0.25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 x14ac:dyDescent="0.25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 x14ac:dyDescent="0.25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 x14ac:dyDescent="0.25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 x14ac:dyDescent="0.25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 x14ac:dyDescent="0.25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 x14ac:dyDescent="0.25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 x14ac:dyDescent="0.25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 x14ac:dyDescent="0.25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 x14ac:dyDescent="0.25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 x14ac:dyDescent="0.25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 x14ac:dyDescent="0.25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 x14ac:dyDescent="0.25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 x14ac:dyDescent="0.25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 x14ac:dyDescent="0.25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 x14ac:dyDescent="0.25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 x14ac:dyDescent="0.25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 x14ac:dyDescent="0.25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 x14ac:dyDescent="0.25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 x14ac:dyDescent="0.25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 x14ac:dyDescent="0.25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 x14ac:dyDescent="0.25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 x14ac:dyDescent="0.25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 x14ac:dyDescent="0.25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 x14ac:dyDescent="0.25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 x14ac:dyDescent="0.25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 x14ac:dyDescent="0.25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 x14ac:dyDescent="0.25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 x14ac:dyDescent="0.25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 x14ac:dyDescent="0.25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 x14ac:dyDescent="0.25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 x14ac:dyDescent="0.25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 x14ac:dyDescent="0.25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 x14ac:dyDescent="0.25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 x14ac:dyDescent="0.25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 x14ac:dyDescent="0.25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 x14ac:dyDescent="0.25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 x14ac:dyDescent="0.25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 x14ac:dyDescent="0.25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 x14ac:dyDescent="0.25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 x14ac:dyDescent="0.25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 x14ac:dyDescent="0.25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 x14ac:dyDescent="0.25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 x14ac:dyDescent="0.25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 x14ac:dyDescent="0.25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 x14ac:dyDescent="0.25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 x14ac:dyDescent="0.25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 x14ac:dyDescent="0.25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 x14ac:dyDescent="0.25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 x14ac:dyDescent="0.25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 x14ac:dyDescent="0.25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 x14ac:dyDescent="0.25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 x14ac:dyDescent="0.25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 x14ac:dyDescent="0.25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 x14ac:dyDescent="0.25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 x14ac:dyDescent="0.25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 x14ac:dyDescent="0.25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 x14ac:dyDescent="0.25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 x14ac:dyDescent="0.25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 x14ac:dyDescent="0.25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 x14ac:dyDescent="0.25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 x14ac:dyDescent="0.25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 x14ac:dyDescent="0.25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 x14ac:dyDescent="0.25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 x14ac:dyDescent="0.25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 x14ac:dyDescent="0.25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 x14ac:dyDescent="0.25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 x14ac:dyDescent="0.25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 x14ac:dyDescent="0.25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 x14ac:dyDescent="0.25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 x14ac:dyDescent="0.25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 x14ac:dyDescent="0.25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 x14ac:dyDescent="0.25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 x14ac:dyDescent="0.25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 x14ac:dyDescent="0.25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 x14ac:dyDescent="0.25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 x14ac:dyDescent="0.25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 x14ac:dyDescent="0.25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 x14ac:dyDescent="0.25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 x14ac:dyDescent="0.25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 x14ac:dyDescent="0.25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 x14ac:dyDescent="0.25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 x14ac:dyDescent="0.25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 x14ac:dyDescent="0.25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 x14ac:dyDescent="0.25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 x14ac:dyDescent="0.25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 x14ac:dyDescent="0.25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 x14ac:dyDescent="0.25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 x14ac:dyDescent="0.25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 x14ac:dyDescent="0.25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 x14ac:dyDescent="0.25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 x14ac:dyDescent="0.25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 x14ac:dyDescent="0.25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 x14ac:dyDescent="0.25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 x14ac:dyDescent="0.25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 x14ac:dyDescent="0.25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 x14ac:dyDescent="0.25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 x14ac:dyDescent="0.25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 x14ac:dyDescent="0.25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 x14ac:dyDescent="0.25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 x14ac:dyDescent="0.25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 x14ac:dyDescent="0.25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 x14ac:dyDescent="0.25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 x14ac:dyDescent="0.25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 x14ac:dyDescent="0.25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 x14ac:dyDescent="0.25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 x14ac:dyDescent="0.25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 x14ac:dyDescent="0.25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 x14ac:dyDescent="0.25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 x14ac:dyDescent="0.25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 x14ac:dyDescent="0.25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 x14ac:dyDescent="0.25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 x14ac:dyDescent="0.25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 x14ac:dyDescent="0.25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 x14ac:dyDescent="0.25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 x14ac:dyDescent="0.25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 x14ac:dyDescent="0.25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 x14ac:dyDescent="0.25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 x14ac:dyDescent="0.25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 x14ac:dyDescent="0.25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 x14ac:dyDescent="0.25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 x14ac:dyDescent="0.25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 x14ac:dyDescent="0.25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 x14ac:dyDescent="0.25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 x14ac:dyDescent="0.25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 x14ac:dyDescent="0.25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 x14ac:dyDescent="0.25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 x14ac:dyDescent="0.25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 x14ac:dyDescent="0.25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 x14ac:dyDescent="0.25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 x14ac:dyDescent="0.25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 x14ac:dyDescent="0.25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 x14ac:dyDescent="0.25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 x14ac:dyDescent="0.25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 x14ac:dyDescent="0.25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 x14ac:dyDescent="0.25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 x14ac:dyDescent="0.25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 x14ac:dyDescent="0.25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 x14ac:dyDescent="0.25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 x14ac:dyDescent="0.25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 x14ac:dyDescent="0.25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 x14ac:dyDescent="0.25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 x14ac:dyDescent="0.25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 x14ac:dyDescent="0.25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 x14ac:dyDescent="0.25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 x14ac:dyDescent="0.25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 x14ac:dyDescent="0.25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 x14ac:dyDescent="0.25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 x14ac:dyDescent="0.25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 x14ac:dyDescent="0.25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 x14ac:dyDescent="0.25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 x14ac:dyDescent="0.25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 x14ac:dyDescent="0.25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 x14ac:dyDescent="0.25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 x14ac:dyDescent="0.25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 x14ac:dyDescent="0.25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 x14ac:dyDescent="0.25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 x14ac:dyDescent="0.25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 x14ac:dyDescent="0.25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3.14761880805034</v>
      </c>
      <c r="C2">
        <v>3.14761880805034</v>
      </c>
      <c r="D2">
        <v>3.14761880805034</v>
      </c>
    </row>
    <row r="3" spans="1:4" x14ac:dyDescent="0.25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 x14ac:dyDescent="0.25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 x14ac:dyDescent="0.25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 x14ac:dyDescent="0.25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 x14ac:dyDescent="0.25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 x14ac:dyDescent="0.25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 x14ac:dyDescent="0.25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 x14ac:dyDescent="0.25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 x14ac:dyDescent="0.25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 x14ac:dyDescent="0.25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 x14ac:dyDescent="0.25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 x14ac:dyDescent="0.25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 x14ac:dyDescent="0.25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 x14ac:dyDescent="0.25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 x14ac:dyDescent="0.25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 x14ac:dyDescent="0.25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 x14ac:dyDescent="0.25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 x14ac:dyDescent="0.25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 x14ac:dyDescent="0.25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 x14ac:dyDescent="0.25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 x14ac:dyDescent="0.25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 x14ac:dyDescent="0.25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 x14ac:dyDescent="0.25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 x14ac:dyDescent="0.25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 x14ac:dyDescent="0.25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 x14ac:dyDescent="0.25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 x14ac:dyDescent="0.25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 x14ac:dyDescent="0.25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 x14ac:dyDescent="0.25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 x14ac:dyDescent="0.25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 x14ac:dyDescent="0.25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 x14ac:dyDescent="0.25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 x14ac:dyDescent="0.25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 x14ac:dyDescent="0.25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 x14ac:dyDescent="0.25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 x14ac:dyDescent="0.25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 x14ac:dyDescent="0.25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 x14ac:dyDescent="0.25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 x14ac:dyDescent="0.25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 x14ac:dyDescent="0.25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 x14ac:dyDescent="0.25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 x14ac:dyDescent="0.25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 x14ac:dyDescent="0.25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 x14ac:dyDescent="0.25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 x14ac:dyDescent="0.25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 x14ac:dyDescent="0.25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 x14ac:dyDescent="0.25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 x14ac:dyDescent="0.25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 x14ac:dyDescent="0.25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 x14ac:dyDescent="0.25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 x14ac:dyDescent="0.25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 x14ac:dyDescent="0.25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 x14ac:dyDescent="0.25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 x14ac:dyDescent="0.25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 x14ac:dyDescent="0.25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 x14ac:dyDescent="0.25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 x14ac:dyDescent="0.25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 x14ac:dyDescent="0.25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 x14ac:dyDescent="0.25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 x14ac:dyDescent="0.25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 x14ac:dyDescent="0.25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 x14ac:dyDescent="0.25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 x14ac:dyDescent="0.25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 x14ac:dyDescent="0.25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 x14ac:dyDescent="0.25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 x14ac:dyDescent="0.25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 x14ac:dyDescent="0.25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 x14ac:dyDescent="0.25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 x14ac:dyDescent="0.25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 x14ac:dyDescent="0.25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 x14ac:dyDescent="0.25">
      <c r="A73" s="1">
        <v>32963</v>
      </c>
      <c r="B73">
        <v>6.5599055946105</v>
      </c>
      <c r="C73">
        <v>6.5599055946105</v>
      </c>
      <c r="D73">
        <v>6.5599055946105</v>
      </c>
    </row>
    <row r="74" spans="1:4" x14ac:dyDescent="0.25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 x14ac:dyDescent="0.25">
      <c r="A75" s="1">
        <v>33146</v>
      </c>
      <c r="B75">
        <v>6.5094118512843</v>
      </c>
      <c r="C75">
        <v>6.5094118512843</v>
      </c>
      <c r="D75">
        <v>6.5094118512843</v>
      </c>
    </row>
    <row r="76" spans="1:4" x14ac:dyDescent="0.25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 x14ac:dyDescent="0.25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 x14ac:dyDescent="0.25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 x14ac:dyDescent="0.25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 x14ac:dyDescent="0.25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 x14ac:dyDescent="0.25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 x14ac:dyDescent="0.25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 x14ac:dyDescent="0.25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 x14ac:dyDescent="0.25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 x14ac:dyDescent="0.25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 x14ac:dyDescent="0.25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 x14ac:dyDescent="0.25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 x14ac:dyDescent="0.25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 x14ac:dyDescent="0.25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 x14ac:dyDescent="0.25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 x14ac:dyDescent="0.25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 x14ac:dyDescent="0.25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 x14ac:dyDescent="0.25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 x14ac:dyDescent="0.25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 x14ac:dyDescent="0.25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 x14ac:dyDescent="0.25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 x14ac:dyDescent="0.25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 x14ac:dyDescent="0.25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 x14ac:dyDescent="0.25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 x14ac:dyDescent="0.25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 x14ac:dyDescent="0.25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 x14ac:dyDescent="0.25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 x14ac:dyDescent="0.25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 x14ac:dyDescent="0.25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 x14ac:dyDescent="0.25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 x14ac:dyDescent="0.25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 x14ac:dyDescent="0.25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 x14ac:dyDescent="0.25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 x14ac:dyDescent="0.25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 x14ac:dyDescent="0.25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 x14ac:dyDescent="0.25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 x14ac:dyDescent="0.25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 x14ac:dyDescent="0.25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 x14ac:dyDescent="0.25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 x14ac:dyDescent="0.25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 x14ac:dyDescent="0.25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 x14ac:dyDescent="0.25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 x14ac:dyDescent="0.25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 x14ac:dyDescent="0.25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 x14ac:dyDescent="0.25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 x14ac:dyDescent="0.25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 x14ac:dyDescent="0.25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 x14ac:dyDescent="0.25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 x14ac:dyDescent="0.25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 x14ac:dyDescent="0.25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 x14ac:dyDescent="0.25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 x14ac:dyDescent="0.25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 x14ac:dyDescent="0.25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 x14ac:dyDescent="0.25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 x14ac:dyDescent="0.25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 x14ac:dyDescent="0.25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 x14ac:dyDescent="0.25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 x14ac:dyDescent="0.25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 x14ac:dyDescent="0.25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 x14ac:dyDescent="0.25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 x14ac:dyDescent="0.25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 x14ac:dyDescent="0.25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 x14ac:dyDescent="0.25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 x14ac:dyDescent="0.25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 x14ac:dyDescent="0.25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 x14ac:dyDescent="0.25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 x14ac:dyDescent="0.25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 x14ac:dyDescent="0.25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 x14ac:dyDescent="0.25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 x14ac:dyDescent="0.25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 x14ac:dyDescent="0.25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 x14ac:dyDescent="0.25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 x14ac:dyDescent="0.25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 x14ac:dyDescent="0.25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 x14ac:dyDescent="0.25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 x14ac:dyDescent="0.25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 x14ac:dyDescent="0.25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 x14ac:dyDescent="0.25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 x14ac:dyDescent="0.25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 x14ac:dyDescent="0.25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 x14ac:dyDescent="0.25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 x14ac:dyDescent="0.25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 x14ac:dyDescent="0.25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 x14ac:dyDescent="0.25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 x14ac:dyDescent="0.25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 x14ac:dyDescent="0.25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 x14ac:dyDescent="0.25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 x14ac:dyDescent="0.25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 x14ac:dyDescent="0.25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 x14ac:dyDescent="0.25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 x14ac:dyDescent="0.25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 x14ac:dyDescent="0.25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 x14ac:dyDescent="0.25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 x14ac:dyDescent="0.25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 x14ac:dyDescent="0.25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 x14ac:dyDescent="0.25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 x14ac:dyDescent="0.25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 x14ac:dyDescent="0.25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 x14ac:dyDescent="0.25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 x14ac:dyDescent="0.25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 x14ac:dyDescent="0.25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 x14ac:dyDescent="0.25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 x14ac:dyDescent="0.25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 x14ac:dyDescent="0.25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 x14ac:dyDescent="0.25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 x14ac:dyDescent="0.25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 x14ac:dyDescent="0.25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 x14ac:dyDescent="0.25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 x14ac:dyDescent="0.25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 x14ac:dyDescent="0.25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 x14ac:dyDescent="0.25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 x14ac:dyDescent="0.25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 x14ac:dyDescent="0.25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 x14ac:dyDescent="0.25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 x14ac:dyDescent="0.25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 x14ac:dyDescent="0.25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 x14ac:dyDescent="0.25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 x14ac:dyDescent="0.25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 x14ac:dyDescent="0.25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 x14ac:dyDescent="0.25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 x14ac:dyDescent="0.25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 x14ac:dyDescent="0.25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 x14ac:dyDescent="0.25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 x14ac:dyDescent="0.25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 x14ac:dyDescent="0.25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 x14ac:dyDescent="0.25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 x14ac:dyDescent="0.25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 x14ac:dyDescent="0.25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 x14ac:dyDescent="0.25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 x14ac:dyDescent="0.25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 x14ac:dyDescent="0.25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 x14ac:dyDescent="0.25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 x14ac:dyDescent="0.25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 x14ac:dyDescent="0.25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 x14ac:dyDescent="0.25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 x14ac:dyDescent="0.25">
      <c r="A3" s="1">
        <v>26572</v>
      </c>
      <c r="B3">
        <v>1.68916430533893</v>
      </c>
      <c r="C3">
        <v>1.68916430533893</v>
      </c>
      <c r="D3">
        <v>1.68916430533893</v>
      </c>
    </row>
    <row r="4" spans="1:4" x14ac:dyDescent="0.25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 x14ac:dyDescent="0.25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 x14ac:dyDescent="0.25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 x14ac:dyDescent="0.25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 x14ac:dyDescent="0.25">
      <c r="A8" s="1">
        <v>27029</v>
      </c>
      <c r="B8">
        <v>7.24452410756881</v>
      </c>
      <c r="C8">
        <v>7.24452410756881</v>
      </c>
      <c r="D8">
        <v>7.24452410756881</v>
      </c>
    </row>
    <row r="9" spans="1:4" x14ac:dyDescent="0.25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 x14ac:dyDescent="0.25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 x14ac:dyDescent="0.25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 x14ac:dyDescent="0.25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 x14ac:dyDescent="0.25">
      <c r="A13" s="1">
        <v>27484</v>
      </c>
      <c r="B13">
        <v>4.7180563378497</v>
      </c>
      <c r="C13">
        <v>4.7180563378497</v>
      </c>
      <c r="D13">
        <v>4.7180563378497</v>
      </c>
    </row>
    <row r="14" spans="1:4" x14ac:dyDescent="0.25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 x14ac:dyDescent="0.25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 x14ac:dyDescent="0.25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 x14ac:dyDescent="0.25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 x14ac:dyDescent="0.25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 x14ac:dyDescent="0.25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 x14ac:dyDescent="0.25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 x14ac:dyDescent="0.25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 x14ac:dyDescent="0.25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 x14ac:dyDescent="0.25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 x14ac:dyDescent="0.25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 x14ac:dyDescent="0.25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 x14ac:dyDescent="0.25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 x14ac:dyDescent="0.25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 x14ac:dyDescent="0.25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 x14ac:dyDescent="0.25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 x14ac:dyDescent="0.25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 x14ac:dyDescent="0.25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 x14ac:dyDescent="0.25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 x14ac:dyDescent="0.25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 x14ac:dyDescent="0.25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 x14ac:dyDescent="0.25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 x14ac:dyDescent="0.25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 x14ac:dyDescent="0.25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 x14ac:dyDescent="0.25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 x14ac:dyDescent="0.25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 x14ac:dyDescent="0.25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 x14ac:dyDescent="0.25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 x14ac:dyDescent="0.25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 x14ac:dyDescent="0.25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 x14ac:dyDescent="0.25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 x14ac:dyDescent="0.25">
      <c r="A45" s="1">
        <v>30406</v>
      </c>
      <c r="B45">
        <v>8.3730724551527</v>
      </c>
      <c r="C45">
        <v>8.3730724551527</v>
      </c>
      <c r="D45">
        <v>8.3730724551527</v>
      </c>
    </row>
    <row r="46" spans="1:4" x14ac:dyDescent="0.25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 x14ac:dyDescent="0.25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 x14ac:dyDescent="0.25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 x14ac:dyDescent="0.25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 x14ac:dyDescent="0.25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 x14ac:dyDescent="0.25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 x14ac:dyDescent="0.25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 x14ac:dyDescent="0.25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 x14ac:dyDescent="0.25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 x14ac:dyDescent="0.25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 x14ac:dyDescent="0.25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 x14ac:dyDescent="0.25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 x14ac:dyDescent="0.25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 x14ac:dyDescent="0.25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 x14ac:dyDescent="0.25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 x14ac:dyDescent="0.25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 x14ac:dyDescent="0.25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 x14ac:dyDescent="0.25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 x14ac:dyDescent="0.25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 x14ac:dyDescent="0.25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 x14ac:dyDescent="0.25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 x14ac:dyDescent="0.25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 x14ac:dyDescent="0.25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 x14ac:dyDescent="0.25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 x14ac:dyDescent="0.25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 x14ac:dyDescent="0.25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 x14ac:dyDescent="0.25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 x14ac:dyDescent="0.25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 x14ac:dyDescent="0.25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 x14ac:dyDescent="0.25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 x14ac:dyDescent="0.25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 x14ac:dyDescent="0.25">
      <c r="A77" s="1">
        <v>33328</v>
      </c>
      <c r="B77">
        <v>8.4781841093771</v>
      </c>
      <c r="C77">
        <v>8.4781841093771</v>
      </c>
      <c r="D77">
        <v>8.4781841093771</v>
      </c>
    </row>
    <row r="78" spans="1:4" x14ac:dyDescent="0.25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 x14ac:dyDescent="0.25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 x14ac:dyDescent="0.25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 x14ac:dyDescent="0.25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 x14ac:dyDescent="0.25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 x14ac:dyDescent="0.25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 x14ac:dyDescent="0.25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 x14ac:dyDescent="0.25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 x14ac:dyDescent="0.25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 x14ac:dyDescent="0.25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 x14ac:dyDescent="0.25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 x14ac:dyDescent="0.25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 x14ac:dyDescent="0.25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 x14ac:dyDescent="0.25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 x14ac:dyDescent="0.25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 x14ac:dyDescent="0.25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 x14ac:dyDescent="0.25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 x14ac:dyDescent="0.25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 x14ac:dyDescent="0.25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 x14ac:dyDescent="0.25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 x14ac:dyDescent="0.25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 x14ac:dyDescent="0.25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 x14ac:dyDescent="0.25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 x14ac:dyDescent="0.25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 x14ac:dyDescent="0.25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 x14ac:dyDescent="0.25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 x14ac:dyDescent="0.25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 x14ac:dyDescent="0.25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 x14ac:dyDescent="0.25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 x14ac:dyDescent="0.25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 x14ac:dyDescent="0.25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 x14ac:dyDescent="0.25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 x14ac:dyDescent="0.25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 x14ac:dyDescent="0.25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 x14ac:dyDescent="0.25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 x14ac:dyDescent="0.25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 x14ac:dyDescent="0.25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 x14ac:dyDescent="0.25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 x14ac:dyDescent="0.25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 x14ac:dyDescent="0.25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 x14ac:dyDescent="0.25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 x14ac:dyDescent="0.25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 x14ac:dyDescent="0.25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 x14ac:dyDescent="0.25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 x14ac:dyDescent="0.25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 x14ac:dyDescent="0.25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 x14ac:dyDescent="0.25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 x14ac:dyDescent="0.25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 x14ac:dyDescent="0.25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 x14ac:dyDescent="0.25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 x14ac:dyDescent="0.25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 x14ac:dyDescent="0.25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 x14ac:dyDescent="0.25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 x14ac:dyDescent="0.25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 x14ac:dyDescent="0.25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 x14ac:dyDescent="0.25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 x14ac:dyDescent="0.25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 x14ac:dyDescent="0.25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 x14ac:dyDescent="0.25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 x14ac:dyDescent="0.25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 x14ac:dyDescent="0.25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 x14ac:dyDescent="0.25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 x14ac:dyDescent="0.25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 x14ac:dyDescent="0.25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 x14ac:dyDescent="0.25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 x14ac:dyDescent="0.25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 x14ac:dyDescent="0.25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 x14ac:dyDescent="0.25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 x14ac:dyDescent="0.25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 x14ac:dyDescent="0.25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 x14ac:dyDescent="0.25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 x14ac:dyDescent="0.25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 x14ac:dyDescent="0.25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 x14ac:dyDescent="0.25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 x14ac:dyDescent="0.25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 x14ac:dyDescent="0.25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 x14ac:dyDescent="0.25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 x14ac:dyDescent="0.25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 x14ac:dyDescent="0.25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 x14ac:dyDescent="0.25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 x14ac:dyDescent="0.25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 x14ac:dyDescent="0.25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 x14ac:dyDescent="0.25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 x14ac:dyDescent="0.25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 x14ac:dyDescent="0.25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 x14ac:dyDescent="0.25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 x14ac:dyDescent="0.25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 x14ac:dyDescent="0.25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 x14ac:dyDescent="0.25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 x14ac:dyDescent="0.25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 x14ac:dyDescent="0.25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 x14ac:dyDescent="0.25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 x14ac:dyDescent="0.25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 x14ac:dyDescent="0.25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 x14ac:dyDescent="0.25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 x14ac:dyDescent="0.25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 x14ac:dyDescent="0.25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 x14ac:dyDescent="0.25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 x14ac:dyDescent="0.25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 x14ac:dyDescent="0.25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 x14ac:dyDescent="0.25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 x14ac:dyDescent="0.25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 x14ac:dyDescent="0.25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 x14ac:dyDescent="0.25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 x14ac:dyDescent="0.25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 x14ac:dyDescent="0.25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 x14ac:dyDescent="0.25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 x14ac:dyDescent="0.25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 x14ac:dyDescent="0.25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 x14ac:dyDescent="0.25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 x14ac:dyDescent="0.25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 x14ac:dyDescent="0.25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 x14ac:dyDescent="0.25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 x14ac:dyDescent="0.25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 x14ac:dyDescent="0.25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 x14ac:dyDescent="0.25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 x14ac:dyDescent="0.25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 x14ac:dyDescent="0.25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 x14ac:dyDescent="0.25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 x14ac:dyDescent="0.25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 x14ac:dyDescent="0.25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 x14ac:dyDescent="0.25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 x14ac:dyDescent="0.25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 x14ac:dyDescent="0.25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 x14ac:dyDescent="0.25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 x14ac:dyDescent="0.25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 x14ac:dyDescent="0.25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 x14ac:dyDescent="0.25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 x14ac:dyDescent="0.25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 x14ac:dyDescent="0.25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 x14ac:dyDescent="0.25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 x14ac:dyDescent="0.25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 x14ac:dyDescent="0.25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1.93427135436727</v>
      </c>
      <c r="C2">
        <v>1.93427135436727</v>
      </c>
      <c r="D2">
        <v>1.93427135436727</v>
      </c>
    </row>
    <row r="3" spans="1:4" x14ac:dyDescent="0.25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 x14ac:dyDescent="0.25">
      <c r="A4" s="1">
        <v>26664</v>
      </c>
      <c r="B4">
        <v>4.43865548032971</v>
      </c>
      <c r="C4">
        <v>4.43865548032971</v>
      </c>
      <c r="D4">
        <v>4.43865548032971</v>
      </c>
    </row>
    <row r="5" spans="1:4" x14ac:dyDescent="0.25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 x14ac:dyDescent="0.25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 x14ac:dyDescent="0.25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 x14ac:dyDescent="0.25">
      <c r="A8" s="1">
        <v>27029</v>
      </c>
      <c r="B8">
        <v>9.76882162030868</v>
      </c>
      <c r="C8">
        <v>9.76882162030868</v>
      </c>
      <c r="D8">
        <v>9.76882162030868</v>
      </c>
    </row>
    <row r="9" spans="1:4" x14ac:dyDescent="0.25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 x14ac:dyDescent="0.25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 x14ac:dyDescent="0.25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 x14ac:dyDescent="0.25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 x14ac:dyDescent="0.25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 x14ac:dyDescent="0.25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 x14ac:dyDescent="0.25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 x14ac:dyDescent="0.25">
      <c r="A16" s="1">
        <v>27759</v>
      </c>
      <c r="B16">
        <v>4.2435358725693</v>
      </c>
      <c r="C16">
        <v>4.2435358725693</v>
      </c>
      <c r="D16">
        <v>4.2435358725693</v>
      </c>
    </row>
    <row r="17" spans="1:4" x14ac:dyDescent="0.25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 x14ac:dyDescent="0.25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 x14ac:dyDescent="0.25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 x14ac:dyDescent="0.25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 x14ac:dyDescent="0.25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 x14ac:dyDescent="0.25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 x14ac:dyDescent="0.25">
      <c r="A23" s="1">
        <v>28398</v>
      </c>
      <c r="B23">
        <v>6.9794665174635</v>
      </c>
      <c r="C23">
        <v>6.9794665174635</v>
      </c>
      <c r="D23">
        <v>6.9794665174635</v>
      </c>
    </row>
    <row r="24" spans="1:4" x14ac:dyDescent="0.25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 x14ac:dyDescent="0.25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 x14ac:dyDescent="0.25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 x14ac:dyDescent="0.25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 x14ac:dyDescent="0.25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 x14ac:dyDescent="0.25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 x14ac:dyDescent="0.25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 x14ac:dyDescent="0.25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 x14ac:dyDescent="0.25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 x14ac:dyDescent="0.25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 x14ac:dyDescent="0.25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 x14ac:dyDescent="0.25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 x14ac:dyDescent="0.25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 x14ac:dyDescent="0.25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 x14ac:dyDescent="0.25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 x14ac:dyDescent="0.25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 x14ac:dyDescent="0.25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 x14ac:dyDescent="0.25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 x14ac:dyDescent="0.25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 x14ac:dyDescent="0.25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 x14ac:dyDescent="0.25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 x14ac:dyDescent="0.25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 x14ac:dyDescent="0.25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 x14ac:dyDescent="0.25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 x14ac:dyDescent="0.25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 x14ac:dyDescent="0.25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 x14ac:dyDescent="0.25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 x14ac:dyDescent="0.25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 x14ac:dyDescent="0.25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 x14ac:dyDescent="0.25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 x14ac:dyDescent="0.25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 x14ac:dyDescent="0.25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 x14ac:dyDescent="0.25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 x14ac:dyDescent="0.25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 x14ac:dyDescent="0.25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 x14ac:dyDescent="0.25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 x14ac:dyDescent="0.25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 x14ac:dyDescent="0.25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 x14ac:dyDescent="0.25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 x14ac:dyDescent="0.25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 x14ac:dyDescent="0.25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 x14ac:dyDescent="0.25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 x14ac:dyDescent="0.25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 x14ac:dyDescent="0.25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 x14ac:dyDescent="0.25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 x14ac:dyDescent="0.25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 x14ac:dyDescent="0.25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 x14ac:dyDescent="0.25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 x14ac:dyDescent="0.25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 x14ac:dyDescent="0.25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 x14ac:dyDescent="0.25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 x14ac:dyDescent="0.25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 x14ac:dyDescent="0.25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 x14ac:dyDescent="0.25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 x14ac:dyDescent="0.25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 x14ac:dyDescent="0.25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 x14ac:dyDescent="0.25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 x14ac:dyDescent="0.25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 x14ac:dyDescent="0.25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 x14ac:dyDescent="0.25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 x14ac:dyDescent="0.25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 x14ac:dyDescent="0.25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 x14ac:dyDescent="0.25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 x14ac:dyDescent="0.25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 x14ac:dyDescent="0.25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 x14ac:dyDescent="0.25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 x14ac:dyDescent="0.25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 x14ac:dyDescent="0.25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 x14ac:dyDescent="0.25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 x14ac:dyDescent="0.25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 x14ac:dyDescent="0.25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 x14ac:dyDescent="0.25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 x14ac:dyDescent="0.25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 x14ac:dyDescent="0.25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 x14ac:dyDescent="0.25">
      <c r="A98" s="1">
        <v>35246</v>
      </c>
      <c r="B98">
        <v>3.3010252231127</v>
      </c>
      <c r="C98">
        <v>3.3010252231127</v>
      </c>
      <c r="D98">
        <v>3.3010252231127</v>
      </c>
    </row>
    <row r="99" spans="1:4" x14ac:dyDescent="0.25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 x14ac:dyDescent="0.25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 x14ac:dyDescent="0.25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 x14ac:dyDescent="0.25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 x14ac:dyDescent="0.25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 x14ac:dyDescent="0.25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 x14ac:dyDescent="0.25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 x14ac:dyDescent="0.25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 x14ac:dyDescent="0.25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 x14ac:dyDescent="0.25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 x14ac:dyDescent="0.25">
      <c r="A109" s="1">
        <v>36250</v>
      </c>
      <c r="B109">
        <v>1.766936453102</v>
      </c>
      <c r="C109">
        <v>1.766936453102</v>
      </c>
      <c r="D109">
        <v>1.766936453102</v>
      </c>
    </row>
    <row r="110" spans="1:4" x14ac:dyDescent="0.25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 x14ac:dyDescent="0.25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 x14ac:dyDescent="0.25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 x14ac:dyDescent="0.25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 x14ac:dyDescent="0.25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 x14ac:dyDescent="0.25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 x14ac:dyDescent="0.25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 x14ac:dyDescent="0.25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 x14ac:dyDescent="0.25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 x14ac:dyDescent="0.25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 x14ac:dyDescent="0.25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 x14ac:dyDescent="0.25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 x14ac:dyDescent="0.25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 x14ac:dyDescent="0.25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 x14ac:dyDescent="0.25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 x14ac:dyDescent="0.25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 x14ac:dyDescent="0.25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 x14ac:dyDescent="0.25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 x14ac:dyDescent="0.25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 x14ac:dyDescent="0.25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 x14ac:dyDescent="0.25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 x14ac:dyDescent="0.25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 x14ac:dyDescent="0.25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 x14ac:dyDescent="0.25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 x14ac:dyDescent="0.25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 x14ac:dyDescent="0.25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 x14ac:dyDescent="0.25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 x14ac:dyDescent="0.25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 x14ac:dyDescent="0.25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 x14ac:dyDescent="0.25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 x14ac:dyDescent="0.25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 x14ac:dyDescent="0.25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 x14ac:dyDescent="0.25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 x14ac:dyDescent="0.25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 x14ac:dyDescent="0.25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 x14ac:dyDescent="0.25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 x14ac:dyDescent="0.25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 x14ac:dyDescent="0.25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 x14ac:dyDescent="0.25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 x14ac:dyDescent="0.25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 x14ac:dyDescent="0.25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 x14ac:dyDescent="0.25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 x14ac:dyDescent="0.25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 x14ac:dyDescent="0.25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 x14ac:dyDescent="0.25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 x14ac:dyDescent="0.25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 x14ac:dyDescent="0.25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 x14ac:dyDescent="0.25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 x14ac:dyDescent="0.25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 x14ac:dyDescent="0.25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 x14ac:dyDescent="0.25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 x14ac:dyDescent="0.25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 x14ac:dyDescent="0.25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 x14ac:dyDescent="0.25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 x14ac:dyDescent="0.25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 x14ac:dyDescent="0.25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 x14ac:dyDescent="0.25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 x14ac:dyDescent="0.25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 x14ac:dyDescent="0.25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 x14ac:dyDescent="0.25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 x14ac:dyDescent="0.25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 x14ac:dyDescent="0.25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 x14ac:dyDescent="0.25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 x14ac:dyDescent="0.25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 x14ac:dyDescent="0.25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 x14ac:dyDescent="0.25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 x14ac:dyDescent="0.25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 x14ac:dyDescent="0.25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 x14ac:dyDescent="0.25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 x14ac:dyDescent="0.25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 x14ac:dyDescent="0.25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 x14ac:dyDescent="0.25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 x14ac:dyDescent="0.25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 x14ac:dyDescent="0.25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 x14ac:dyDescent="0.25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 x14ac:dyDescent="0.25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 x14ac:dyDescent="0.25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 x14ac:dyDescent="0.25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 x14ac:dyDescent="0.25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 x14ac:dyDescent="0.25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 x14ac:dyDescent="0.25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 x14ac:dyDescent="0.25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 x14ac:dyDescent="0.25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 x14ac:dyDescent="0.25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 x14ac:dyDescent="0.25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 x14ac:dyDescent="0.25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 x14ac:dyDescent="0.25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 x14ac:dyDescent="0.25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 x14ac:dyDescent="0.25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 x14ac:dyDescent="0.25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 x14ac:dyDescent="0.25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 x14ac:dyDescent="0.25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 x14ac:dyDescent="0.25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 x14ac:dyDescent="0.25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 x14ac:dyDescent="0.25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 x14ac:dyDescent="0.25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 x14ac:dyDescent="0.25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 x14ac:dyDescent="0.25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 x14ac:dyDescent="0.25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 x14ac:dyDescent="0.25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 x14ac:dyDescent="0.25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 x14ac:dyDescent="0.25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 x14ac:dyDescent="0.25">
      <c r="A4" s="1">
        <v>26664</v>
      </c>
      <c r="B4">
        <v>3.52511189613403</v>
      </c>
      <c r="C4">
        <v>3.52511189613403</v>
      </c>
      <c r="D4">
        <v>3.52511189613403</v>
      </c>
    </row>
    <row r="5" spans="1:4" x14ac:dyDescent="0.25">
      <c r="A5" s="1">
        <v>26754</v>
      </c>
      <c r="B5">
        <v>3.51947361093328</v>
      </c>
      <c r="C5">
        <v>3.51947361093328</v>
      </c>
      <c r="D5">
        <v>3.51947361093328</v>
      </c>
    </row>
    <row r="6" spans="1:4" x14ac:dyDescent="0.25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 x14ac:dyDescent="0.25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 x14ac:dyDescent="0.25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 x14ac:dyDescent="0.25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 x14ac:dyDescent="0.25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 x14ac:dyDescent="0.25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 x14ac:dyDescent="0.25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 x14ac:dyDescent="0.25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 x14ac:dyDescent="0.25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 x14ac:dyDescent="0.25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 x14ac:dyDescent="0.25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 x14ac:dyDescent="0.25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 x14ac:dyDescent="0.25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 x14ac:dyDescent="0.25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 x14ac:dyDescent="0.25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 x14ac:dyDescent="0.25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 x14ac:dyDescent="0.25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 x14ac:dyDescent="0.25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 x14ac:dyDescent="0.25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 x14ac:dyDescent="0.25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 x14ac:dyDescent="0.25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 x14ac:dyDescent="0.25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 x14ac:dyDescent="0.25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 x14ac:dyDescent="0.25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 x14ac:dyDescent="0.25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 x14ac:dyDescent="0.25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 x14ac:dyDescent="0.25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 x14ac:dyDescent="0.25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 x14ac:dyDescent="0.25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 x14ac:dyDescent="0.25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 x14ac:dyDescent="0.25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 x14ac:dyDescent="0.25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 x14ac:dyDescent="0.25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 x14ac:dyDescent="0.25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 x14ac:dyDescent="0.25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 x14ac:dyDescent="0.25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 x14ac:dyDescent="0.25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 x14ac:dyDescent="0.25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 x14ac:dyDescent="0.25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 x14ac:dyDescent="0.25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 x14ac:dyDescent="0.25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 x14ac:dyDescent="0.25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 x14ac:dyDescent="0.25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 x14ac:dyDescent="0.25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 x14ac:dyDescent="0.25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 x14ac:dyDescent="0.25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 x14ac:dyDescent="0.25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 x14ac:dyDescent="0.25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 x14ac:dyDescent="0.25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 x14ac:dyDescent="0.25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 x14ac:dyDescent="0.25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 x14ac:dyDescent="0.25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 x14ac:dyDescent="0.25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 x14ac:dyDescent="0.25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 x14ac:dyDescent="0.25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 x14ac:dyDescent="0.25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 x14ac:dyDescent="0.25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 x14ac:dyDescent="0.25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 x14ac:dyDescent="0.25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 x14ac:dyDescent="0.25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 x14ac:dyDescent="0.25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 x14ac:dyDescent="0.25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 x14ac:dyDescent="0.25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 x14ac:dyDescent="0.25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 x14ac:dyDescent="0.25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 x14ac:dyDescent="0.25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 x14ac:dyDescent="0.25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 x14ac:dyDescent="0.25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 x14ac:dyDescent="0.25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 x14ac:dyDescent="0.25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 x14ac:dyDescent="0.25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 x14ac:dyDescent="0.25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 x14ac:dyDescent="0.25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 x14ac:dyDescent="0.25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 x14ac:dyDescent="0.25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 x14ac:dyDescent="0.25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 x14ac:dyDescent="0.25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 x14ac:dyDescent="0.25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 x14ac:dyDescent="0.25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 x14ac:dyDescent="0.25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 x14ac:dyDescent="0.25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 x14ac:dyDescent="0.25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 x14ac:dyDescent="0.25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 x14ac:dyDescent="0.25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 x14ac:dyDescent="0.25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 x14ac:dyDescent="0.25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 x14ac:dyDescent="0.25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 x14ac:dyDescent="0.25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 x14ac:dyDescent="0.25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 x14ac:dyDescent="0.25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 x14ac:dyDescent="0.25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 x14ac:dyDescent="0.25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 x14ac:dyDescent="0.25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 x14ac:dyDescent="0.25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 x14ac:dyDescent="0.25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 x14ac:dyDescent="0.25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 x14ac:dyDescent="0.25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 x14ac:dyDescent="0.25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 x14ac:dyDescent="0.25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 x14ac:dyDescent="0.25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 x14ac:dyDescent="0.25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 x14ac:dyDescent="0.25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 x14ac:dyDescent="0.25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 x14ac:dyDescent="0.25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 x14ac:dyDescent="0.25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 x14ac:dyDescent="0.25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 x14ac:dyDescent="0.25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 x14ac:dyDescent="0.25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 x14ac:dyDescent="0.25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 x14ac:dyDescent="0.25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 x14ac:dyDescent="0.25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 x14ac:dyDescent="0.25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 x14ac:dyDescent="0.25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 x14ac:dyDescent="0.25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 x14ac:dyDescent="0.25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 x14ac:dyDescent="0.25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 x14ac:dyDescent="0.25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 x14ac:dyDescent="0.25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 x14ac:dyDescent="0.25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 x14ac:dyDescent="0.25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 x14ac:dyDescent="0.25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 x14ac:dyDescent="0.25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 x14ac:dyDescent="0.25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 x14ac:dyDescent="0.25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 x14ac:dyDescent="0.25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 x14ac:dyDescent="0.25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 x14ac:dyDescent="0.25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 x14ac:dyDescent="0.25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 x14ac:dyDescent="0.25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 x14ac:dyDescent="0.25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 x14ac:dyDescent="0.25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 x14ac:dyDescent="0.25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 x14ac:dyDescent="0.25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 x14ac:dyDescent="0.25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 x14ac:dyDescent="0.25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 x14ac:dyDescent="0.25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 x14ac:dyDescent="0.25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 x14ac:dyDescent="0.25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 x14ac:dyDescent="0.25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 x14ac:dyDescent="0.25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 x14ac:dyDescent="0.25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 x14ac:dyDescent="0.25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 x14ac:dyDescent="0.25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 x14ac:dyDescent="0.25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 x14ac:dyDescent="0.25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 x14ac:dyDescent="0.25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 x14ac:dyDescent="0.25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 x14ac:dyDescent="0.25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 x14ac:dyDescent="0.25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 x14ac:dyDescent="0.25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 x14ac:dyDescent="0.25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 x14ac:dyDescent="0.25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 x14ac:dyDescent="0.25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 x14ac:dyDescent="0.25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 x14ac:dyDescent="0.25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 x14ac:dyDescent="0.25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 x14ac:dyDescent="0.25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 x14ac:dyDescent="0.25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 x14ac:dyDescent="0.25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 x14ac:dyDescent="0.25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 x14ac:dyDescent="0.25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 x14ac:dyDescent="0.25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 x14ac:dyDescent="0.25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 x14ac:dyDescent="0.25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 x14ac:dyDescent="0.25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 x14ac:dyDescent="0.25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 x14ac:dyDescent="0.25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 x14ac:dyDescent="0.25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 x14ac:dyDescent="0.25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 x14ac:dyDescent="0.25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 x14ac:dyDescent="0.25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 x14ac:dyDescent="0.25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 x14ac:dyDescent="0.25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 x14ac:dyDescent="0.25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 x14ac:dyDescent="0.25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 x14ac:dyDescent="0.25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 x14ac:dyDescent="0.25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 x14ac:dyDescent="0.25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 x14ac:dyDescent="0.25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 x14ac:dyDescent="0.25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 x14ac:dyDescent="0.25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 x14ac:dyDescent="0.25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 x14ac:dyDescent="0.25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 x14ac:dyDescent="0.25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 x14ac:dyDescent="0.25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 x14ac:dyDescent="0.25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 x14ac:dyDescent="0.25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 x14ac:dyDescent="0.25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 x14ac:dyDescent="0.25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 x14ac:dyDescent="0.25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 x14ac:dyDescent="0.25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 x14ac:dyDescent="0.25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 x14ac:dyDescent="0.25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 x14ac:dyDescent="0.25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 x14ac:dyDescent="0.25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 x14ac:dyDescent="0.25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 x14ac:dyDescent="0.25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 x14ac:dyDescent="0.25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 x14ac:dyDescent="0.25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 x14ac:dyDescent="0.25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 x14ac:dyDescent="0.25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 x14ac:dyDescent="0.25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 x14ac:dyDescent="0.25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 x14ac:dyDescent="0.25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 x14ac:dyDescent="0.25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 x14ac:dyDescent="0.25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 x14ac:dyDescent="0.25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 x14ac:dyDescent="0.25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 x14ac:dyDescent="0.25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 x14ac:dyDescent="0.25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 x14ac:dyDescent="0.25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 x14ac:dyDescent="0.25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 x14ac:dyDescent="0.25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 x14ac:dyDescent="0.25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 x14ac:dyDescent="0.25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 x14ac:dyDescent="0.25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 x14ac:dyDescent="0.25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 x14ac:dyDescent="0.25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 x14ac:dyDescent="0.25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 x14ac:dyDescent="0.25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 x14ac:dyDescent="0.25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 x14ac:dyDescent="0.25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 x14ac:dyDescent="0.25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 x14ac:dyDescent="0.25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 x14ac:dyDescent="0.25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 x14ac:dyDescent="0.25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 x14ac:dyDescent="0.25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 x14ac:dyDescent="0.25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 x14ac:dyDescent="0.25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 x14ac:dyDescent="0.25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 x14ac:dyDescent="0.25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 x14ac:dyDescent="0.25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 x14ac:dyDescent="0.25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 x14ac:dyDescent="0.25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 x14ac:dyDescent="0.25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 x14ac:dyDescent="0.25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 x14ac:dyDescent="0.25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 x14ac:dyDescent="0.25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 x14ac:dyDescent="0.25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 x14ac:dyDescent="0.25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 x14ac:dyDescent="0.25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 x14ac:dyDescent="0.25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 x14ac:dyDescent="0.25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 x14ac:dyDescent="0.25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 x14ac:dyDescent="0.25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 x14ac:dyDescent="0.25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 x14ac:dyDescent="0.25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 x14ac:dyDescent="0.25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 x14ac:dyDescent="0.25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 x14ac:dyDescent="0.25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 x14ac:dyDescent="0.25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 x14ac:dyDescent="0.25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 x14ac:dyDescent="0.25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 x14ac:dyDescent="0.25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 x14ac:dyDescent="0.25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 x14ac:dyDescent="0.25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 x14ac:dyDescent="0.25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 x14ac:dyDescent="0.25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 x14ac:dyDescent="0.25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 x14ac:dyDescent="0.25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 x14ac:dyDescent="0.25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 x14ac:dyDescent="0.25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 x14ac:dyDescent="0.25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 x14ac:dyDescent="0.25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 x14ac:dyDescent="0.25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 x14ac:dyDescent="0.25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 x14ac:dyDescent="0.25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 x14ac:dyDescent="0.25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 x14ac:dyDescent="0.25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 x14ac:dyDescent="0.25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 x14ac:dyDescent="0.25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 x14ac:dyDescent="0.25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 x14ac:dyDescent="0.25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 x14ac:dyDescent="0.25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 x14ac:dyDescent="0.25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 x14ac:dyDescent="0.25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 x14ac:dyDescent="0.25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 x14ac:dyDescent="0.25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 x14ac:dyDescent="0.25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 x14ac:dyDescent="0.25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 x14ac:dyDescent="0.25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 x14ac:dyDescent="0.25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 x14ac:dyDescent="0.25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 x14ac:dyDescent="0.25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 x14ac:dyDescent="0.25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 x14ac:dyDescent="0.25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 x14ac:dyDescent="0.25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 x14ac:dyDescent="0.25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 x14ac:dyDescent="0.25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 x14ac:dyDescent="0.25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 x14ac:dyDescent="0.25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 x14ac:dyDescent="0.25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 x14ac:dyDescent="0.25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 x14ac:dyDescent="0.25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 x14ac:dyDescent="0.25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 x14ac:dyDescent="0.25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 x14ac:dyDescent="0.25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 x14ac:dyDescent="0.25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 x14ac:dyDescent="0.25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 x14ac:dyDescent="0.25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 x14ac:dyDescent="0.25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 x14ac:dyDescent="0.25">
      <c r="A99" s="1">
        <v>35338</v>
      </c>
      <c r="B99">
        <v>2.9980981815123</v>
      </c>
      <c r="C99">
        <v>2.9980981815123</v>
      </c>
      <c r="D99">
        <v>2.9980981815123</v>
      </c>
    </row>
    <row r="100" spans="1:4" x14ac:dyDescent="0.25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 x14ac:dyDescent="0.25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 x14ac:dyDescent="0.25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 x14ac:dyDescent="0.25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 x14ac:dyDescent="0.25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 x14ac:dyDescent="0.25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 x14ac:dyDescent="0.25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 x14ac:dyDescent="0.25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 x14ac:dyDescent="0.25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 x14ac:dyDescent="0.25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 x14ac:dyDescent="0.25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 x14ac:dyDescent="0.25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 x14ac:dyDescent="0.25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 x14ac:dyDescent="0.25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 x14ac:dyDescent="0.25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 x14ac:dyDescent="0.25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 x14ac:dyDescent="0.25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 x14ac:dyDescent="0.25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 x14ac:dyDescent="0.25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 x14ac:dyDescent="0.25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 x14ac:dyDescent="0.25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 x14ac:dyDescent="0.25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 x14ac:dyDescent="0.25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 x14ac:dyDescent="0.25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 x14ac:dyDescent="0.25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 x14ac:dyDescent="0.25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 x14ac:dyDescent="0.25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 x14ac:dyDescent="0.25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 x14ac:dyDescent="0.25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 x14ac:dyDescent="0.25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 x14ac:dyDescent="0.25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 x14ac:dyDescent="0.25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 x14ac:dyDescent="0.25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 x14ac:dyDescent="0.25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 x14ac:dyDescent="0.25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 x14ac:dyDescent="0.25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 x14ac:dyDescent="0.25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 x14ac:dyDescent="0.25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 x14ac:dyDescent="0.25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 x14ac:dyDescent="0.25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 x14ac:dyDescent="0.25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 x14ac:dyDescent="0.25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 x14ac:dyDescent="0.25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 x14ac:dyDescent="0.25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 x14ac:dyDescent="0.25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 x14ac:dyDescent="0.25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 x14ac:dyDescent="0.25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 x14ac:dyDescent="0.25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 x14ac:dyDescent="0.25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 x14ac:dyDescent="0.25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 x14ac:dyDescent="0.25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 x14ac:dyDescent="0.25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 x14ac:dyDescent="0.25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 x14ac:dyDescent="0.25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 x14ac:dyDescent="0.25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 x14ac:dyDescent="0.25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 x14ac:dyDescent="0.25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 x14ac:dyDescent="0.25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 x14ac:dyDescent="0.25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 x14ac:dyDescent="0.25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 x14ac:dyDescent="0.25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 x14ac:dyDescent="0.25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 x14ac:dyDescent="0.25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 x14ac:dyDescent="0.25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 x14ac:dyDescent="0.25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 x14ac:dyDescent="0.25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 x14ac:dyDescent="0.25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 x14ac:dyDescent="0.25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 x14ac:dyDescent="0.25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 x14ac:dyDescent="0.25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 x14ac:dyDescent="0.25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 x14ac:dyDescent="0.25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 x14ac:dyDescent="0.25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 x14ac:dyDescent="0.25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 x14ac:dyDescent="0.25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 x14ac:dyDescent="0.25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 x14ac:dyDescent="0.25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 x14ac:dyDescent="0.25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 x14ac:dyDescent="0.25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 x14ac:dyDescent="0.25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 x14ac:dyDescent="0.25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 x14ac:dyDescent="0.25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 x14ac:dyDescent="0.25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 x14ac:dyDescent="0.25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 x14ac:dyDescent="0.25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 x14ac:dyDescent="0.25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 x14ac:dyDescent="0.25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 x14ac:dyDescent="0.25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 x14ac:dyDescent="0.25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 x14ac:dyDescent="0.25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 x14ac:dyDescent="0.25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 x14ac:dyDescent="0.25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 x14ac:dyDescent="0.25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 x14ac:dyDescent="0.25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 x14ac:dyDescent="0.25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 x14ac:dyDescent="0.25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 x14ac:dyDescent="0.25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 x14ac:dyDescent="0.25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 x14ac:dyDescent="0.25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 x14ac:dyDescent="0.25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 x14ac:dyDescent="0.25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 x14ac:dyDescent="0.25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 x14ac:dyDescent="0.25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 x14ac:dyDescent="0.25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 x14ac:dyDescent="0.25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 x14ac:dyDescent="0.25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 x14ac:dyDescent="0.25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 x14ac:dyDescent="0.25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 x14ac:dyDescent="0.25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 x14ac:dyDescent="0.25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 x14ac:dyDescent="0.25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Chart NA - DSGE Raw Data</vt:lpstr>
      <vt:lpstr>Chart 2 - Real rate gaps</vt:lpstr>
      <vt:lpstr>Decomposition</vt:lpstr>
      <vt:lpstr>DSGE HVD wFG</vt:lpstr>
      <vt:lpstr>EA_output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2025-09-17T21:46:25Z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