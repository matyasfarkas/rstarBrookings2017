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"/>
    </mc:Choice>
  </mc:AlternateContent>
  <xr:revisionPtr revIDLastSave="0" documentId="8_{1CA7B609-0B3D-461D-B498-A31BA9CDA273}" xr6:coauthVersionLast="47" xr6:coauthVersionMax="47" xr10:uidLastSave="{00000000-0000-0000-0000-000000000000}"/>
  <bookViews>
    <workbookView xWindow="-120" yWindow="-120" windowWidth="51840" windowHeight="21120" xr2:uid="{5EA4963C-5C86-4206-88EA-0617AA9F3A4A}"/>
  </bookViews>
  <sheets>
    <sheet name="US_raw_policy_innovations" sheetId="6" r:id="rId1"/>
    <sheet name="EA_raw_policy_innovations" sheetId="8" r:id="rId2"/>
  </sheets>
  <externalReferences>
    <externalReference r:id="rId3"/>
    <externalReference r:id="rId4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11" i="8" l="1"/>
  <c r="AG211" i="8"/>
  <c r="S211" i="8"/>
  <c r="AK211" i="8" s="1"/>
  <c r="R211" i="8"/>
  <c r="AJ211" i="8" s="1"/>
  <c r="Q211" i="8"/>
  <c r="AI211" i="8" s="1"/>
  <c r="P211" i="8"/>
  <c r="O211" i="8"/>
  <c r="N211" i="8"/>
  <c r="AF211" i="8" s="1"/>
  <c r="M211" i="8"/>
  <c r="AE211" i="8" s="1"/>
  <c r="L211" i="8"/>
  <c r="AD211" i="8" s="1"/>
  <c r="S210" i="8"/>
  <c r="AK210" i="8" s="1"/>
  <c r="R210" i="8"/>
  <c r="AJ210" i="8" s="1"/>
  <c r="Q210" i="8"/>
  <c r="AI210" i="8" s="1"/>
  <c r="P210" i="8"/>
  <c r="AH210" i="8" s="1"/>
  <c r="O210" i="8"/>
  <c r="AG210" i="8" s="1"/>
  <c r="N210" i="8"/>
  <c r="AF210" i="8" s="1"/>
  <c r="M210" i="8"/>
  <c r="AE210" i="8" s="1"/>
  <c r="L210" i="8"/>
  <c r="AD210" i="8" s="1"/>
  <c r="AI209" i="8"/>
  <c r="AE209" i="8"/>
  <c r="AD209" i="8"/>
  <c r="S209" i="8"/>
  <c r="AK209" i="8" s="1"/>
  <c r="R209" i="8"/>
  <c r="AJ209" i="8" s="1"/>
  <c r="Q209" i="8"/>
  <c r="P209" i="8"/>
  <c r="AH209" i="8" s="1"/>
  <c r="O209" i="8"/>
  <c r="AG209" i="8" s="1"/>
  <c r="N209" i="8"/>
  <c r="AF209" i="8" s="1"/>
  <c r="M209" i="8"/>
  <c r="L209" i="8"/>
  <c r="S208" i="8"/>
  <c r="AK208" i="8" s="1"/>
  <c r="R208" i="8"/>
  <c r="AJ208" i="8" s="1"/>
  <c r="Q208" i="8"/>
  <c r="AI208" i="8" s="1"/>
  <c r="P208" i="8"/>
  <c r="AH208" i="8" s="1"/>
  <c r="O208" i="8"/>
  <c r="AG208" i="8" s="1"/>
  <c r="N208" i="8"/>
  <c r="AF208" i="8" s="1"/>
  <c r="M208" i="8"/>
  <c r="AE208" i="8" s="1"/>
  <c r="L208" i="8"/>
  <c r="AD208" i="8" s="1"/>
  <c r="S207" i="8"/>
  <c r="AK207" i="8" s="1"/>
  <c r="R207" i="8"/>
  <c r="AJ207" i="8" s="1"/>
  <c r="Q207" i="8"/>
  <c r="AI207" i="8" s="1"/>
  <c r="P207" i="8"/>
  <c r="AH207" i="8" s="1"/>
  <c r="O207" i="8"/>
  <c r="AG207" i="8" s="1"/>
  <c r="N207" i="8"/>
  <c r="AF207" i="8" s="1"/>
  <c r="M207" i="8"/>
  <c r="AE207" i="8" s="1"/>
  <c r="L207" i="8"/>
  <c r="AD207" i="8" s="1"/>
  <c r="AD206" i="8"/>
  <c r="S206" i="8"/>
  <c r="AK206" i="8" s="1"/>
  <c r="R206" i="8"/>
  <c r="AJ206" i="8" s="1"/>
  <c r="Q206" i="8"/>
  <c r="AI206" i="8" s="1"/>
  <c r="P206" i="8"/>
  <c r="AH206" i="8" s="1"/>
  <c r="O206" i="8"/>
  <c r="AG206" i="8" s="1"/>
  <c r="N206" i="8"/>
  <c r="AF206" i="8" s="1"/>
  <c r="M206" i="8"/>
  <c r="AE206" i="8" s="1"/>
  <c r="L206" i="8"/>
  <c r="AD205" i="8"/>
  <c r="S205" i="8"/>
  <c r="AK205" i="8" s="1"/>
  <c r="R205" i="8"/>
  <c r="AJ205" i="8" s="1"/>
  <c r="Q205" i="8"/>
  <c r="AI205" i="8" s="1"/>
  <c r="P205" i="8"/>
  <c r="AH205" i="8" s="1"/>
  <c r="O205" i="8"/>
  <c r="AG205" i="8" s="1"/>
  <c r="N205" i="8"/>
  <c r="AF205" i="8" s="1"/>
  <c r="M205" i="8"/>
  <c r="AE205" i="8" s="1"/>
  <c r="L205" i="8"/>
  <c r="AK204" i="8"/>
  <c r="AE204" i="8"/>
  <c r="S204" i="8"/>
  <c r="R204" i="8"/>
  <c r="AJ204" i="8" s="1"/>
  <c r="Q204" i="8"/>
  <c r="AI204" i="8" s="1"/>
  <c r="P204" i="8"/>
  <c r="AH204" i="8" s="1"/>
  <c r="O204" i="8"/>
  <c r="AG204" i="8" s="1"/>
  <c r="N204" i="8"/>
  <c r="AF204" i="8" s="1"/>
  <c r="M204" i="8"/>
  <c r="L204" i="8"/>
  <c r="AD204" i="8" s="1"/>
  <c r="AJ203" i="8"/>
  <c r="AF203" i="8"/>
  <c r="AE203" i="8"/>
  <c r="AD203" i="8"/>
  <c r="S203" i="8"/>
  <c r="AK203" i="8" s="1"/>
  <c r="R203" i="8"/>
  <c r="Q203" i="8"/>
  <c r="AI203" i="8" s="1"/>
  <c r="P203" i="8"/>
  <c r="AH203" i="8" s="1"/>
  <c r="O203" i="8"/>
  <c r="AG203" i="8" s="1"/>
  <c r="N203" i="8"/>
  <c r="M203" i="8"/>
  <c r="L203" i="8"/>
  <c r="AI202" i="8"/>
  <c r="AH202" i="8"/>
  <c r="AG202" i="8"/>
  <c r="S202" i="8"/>
  <c r="AK202" i="8" s="1"/>
  <c r="R202" i="8"/>
  <c r="AJ202" i="8" s="1"/>
  <c r="Q202" i="8"/>
  <c r="P202" i="8"/>
  <c r="O202" i="8"/>
  <c r="N202" i="8"/>
  <c r="AF202" i="8" s="1"/>
  <c r="M202" i="8"/>
  <c r="AE202" i="8" s="1"/>
  <c r="L202" i="8"/>
  <c r="AD202" i="8" s="1"/>
  <c r="AH201" i="8"/>
  <c r="AE201" i="8"/>
  <c r="S201" i="8"/>
  <c r="AK201" i="8" s="1"/>
  <c r="R201" i="8"/>
  <c r="AJ201" i="8" s="1"/>
  <c r="Q201" i="8"/>
  <c r="AI201" i="8" s="1"/>
  <c r="P201" i="8"/>
  <c r="O201" i="8"/>
  <c r="AG201" i="8" s="1"/>
  <c r="N201" i="8"/>
  <c r="AF201" i="8" s="1"/>
  <c r="M201" i="8"/>
  <c r="L201" i="8"/>
  <c r="AD201" i="8" s="1"/>
  <c r="AE200" i="8"/>
  <c r="AD200" i="8"/>
  <c r="S200" i="8"/>
  <c r="AK200" i="8" s="1"/>
  <c r="R200" i="8"/>
  <c r="AJ200" i="8" s="1"/>
  <c r="Q200" i="8"/>
  <c r="AI200" i="8" s="1"/>
  <c r="P200" i="8"/>
  <c r="AH200" i="8" s="1"/>
  <c r="O200" i="8"/>
  <c r="AG200" i="8" s="1"/>
  <c r="N200" i="8"/>
  <c r="AF200" i="8" s="1"/>
  <c r="M200" i="8"/>
  <c r="L200" i="8"/>
  <c r="AH199" i="8"/>
  <c r="AG199" i="8"/>
  <c r="S199" i="8"/>
  <c r="AK199" i="8" s="1"/>
  <c r="R199" i="8"/>
  <c r="AJ199" i="8" s="1"/>
  <c r="Q199" i="8"/>
  <c r="AI199" i="8" s="1"/>
  <c r="P199" i="8"/>
  <c r="O199" i="8"/>
  <c r="N199" i="8"/>
  <c r="AF199" i="8" s="1"/>
  <c r="M199" i="8"/>
  <c r="AE199" i="8" s="1"/>
  <c r="L199" i="8"/>
  <c r="AD199" i="8" s="1"/>
  <c r="AK198" i="8"/>
  <c r="AF198" i="8"/>
  <c r="AE198" i="8"/>
  <c r="S198" i="8"/>
  <c r="R198" i="8"/>
  <c r="AJ198" i="8" s="1"/>
  <c r="Q198" i="8"/>
  <c r="AI198" i="8" s="1"/>
  <c r="P198" i="8"/>
  <c r="AH198" i="8" s="1"/>
  <c r="O198" i="8"/>
  <c r="AG198" i="8" s="1"/>
  <c r="N198" i="8"/>
  <c r="M198" i="8"/>
  <c r="L198" i="8"/>
  <c r="AD198" i="8" s="1"/>
  <c r="AJ197" i="8"/>
  <c r="AI197" i="8"/>
  <c r="AD197" i="8"/>
  <c r="S197" i="8"/>
  <c r="AK197" i="8" s="1"/>
  <c r="R197" i="8"/>
  <c r="Q197" i="8"/>
  <c r="P197" i="8"/>
  <c r="AH197" i="8" s="1"/>
  <c r="O197" i="8"/>
  <c r="AG197" i="8" s="1"/>
  <c r="N197" i="8"/>
  <c r="AF197" i="8" s="1"/>
  <c r="M197" i="8"/>
  <c r="AE197" i="8" s="1"/>
  <c r="L197" i="8"/>
  <c r="AH196" i="8"/>
  <c r="AD196" i="8"/>
  <c r="S196" i="8"/>
  <c r="AK196" i="8" s="1"/>
  <c r="R196" i="8"/>
  <c r="AJ196" i="8" s="1"/>
  <c r="Q196" i="8"/>
  <c r="AI196" i="8" s="1"/>
  <c r="P196" i="8"/>
  <c r="O196" i="8"/>
  <c r="AG196" i="8" s="1"/>
  <c r="N196" i="8"/>
  <c r="AF196" i="8" s="1"/>
  <c r="M196" i="8"/>
  <c r="AE196" i="8" s="1"/>
  <c r="L196" i="8"/>
  <c r="AK195" i="8"/>
  <c r="S195" i="8"/>
  <c r="R195" i="8"/>
  <c r="AJ195" i="8" s="1"/>
  <c r="Q195" i="8"/>
  <c r="AI195" i="8" s="1"/>
  <c r="P195" i="8"/>
  <c r="AH195" i="8" s="1"/>
  <c r="O195" i="8"/>
  <c r="AG195" i="8" s="1"/>
  <c r="N195" i="8"/>
  <c r="AF195" i="8" s="1"/>
  <c r="M195" i="8"/>
  <c r="AE195" i="8" s="1"/>
  <c r="L195" i="8"/>
  <c r="AD195" i="8" s="1"/>
  <c r="AJ194" i="8"/>
  <c r="AI194" i="8"/>
  <c r="AD194" i="8"/>
  <c r="S194" i="8"/>
  <c r="AK194" i="8" s="1"/>
  <c r="R194" i="8"/>
  <c r="Q194" i="8"/>
  <c r="P194" i="8"/>
  <c r="AH194" i="8" s="1"/>
  <c r="O194" i="8"/>
  <c r="AG194" i="8" s="1"/>
  <c r="N194" i="8"/>
  <c r="AF194" i="8" s="1"/>
  <c r="M194" i="8"/>
  <c r="AE194" i="8" s="1"/>
  <c r="L194" i="8"/>
  <c r="AI193" i="8"/>
  <c r="AH193" i="8"/>
  <c r="AG193" i="8"/>
  <c r="S193" i="8"/>
  <c r="AK193" i="8" s="1"/>
  <c r="R193" i="8"/>
  <c r="AJ193" i="8" s="1"/>
  <c r="Q193" i="8"/>
  <c r="P193" i="8"/>
  <c r="O193" i="8"/>
  <c r="N193" i="8"/>
  <c r="AF193" i="8" s="1"/>
  <c r="M193" i="8"/>
  <c r="AE193" i="8" s="1"/>
  <c r="L193" i="8"/>
  <c r="AD193" i="8" s="1"/>
  <c r="AH192" i="8"/>
  <c r="S192" i="8"/>
  <c r="AK192" i="8" s="1"/>
  <c r="R192" i="8"/>
  <c r="AJ192" i="8" s="1"/>
  <c r="Q192" i="8"/>
  <c r="AI192" i="8" s="1"/>
  <c r="P192" i="8"/>
  <c r="O192" i="8"/>
  <c r="AG192" i="8" s="1"/>
  <c r="N192" i="8"/>
  <c r="AF192" i="8" s="1"/>
  <c r="M192" i="8"/>
  <c r="AE192" i="8" s="1"/>
  <c r="L192" i="8"/>
  <c r="AD192" i="8" s="1"/>
  <c r="AJ191" i="8"/>
  <c r="AI191" i="8"/>
  <c r="AE191" i="8"/>
  <c r="AD191" i="8"/>
  <c r="S191" i="8"/>
  <c r="AK191" i="8" s="1"/>
  <c r="R191" i="8"/>
  <c r="Q191" i="8"/>
  <c r="P191" i="8"/>
  <c r="AH191" i="8" s="1"/>
  <c r="O191" i="8"/>
  <c r="AG191" i="8" s="1"/>
  <c r="N191" i="8"/>
  <c r="AF191" i="8" s="1"/>
  <c r="M191" i="8"/>
  <c r="L191" i="8"/>
  <c r="S190" i="8"/>
  <c r="AK190" i="8" s="1"/>
  <c r="R190" i="8"/>
  <c r="AJ190" i="8" s="1"/>
  <c r="Q190" i="8"/>
  <c r="AI190" i="8" s="1"/>
  <c r="P190" i="8"/>
  <c r="AH190" i="8" s="1"/>
  <c r="O190" i="8"/>
  <c r="AG190" i="8" s="1"/>
  <c r="N190" i="8"/>
  <c r="AF190" i="8" s="1"/>
  <c r="M190" i="8"/>
  <c r="AE190" i="8" s="1"/>
  <c r="L190" i="8"/>
  <c r="AD190" i="8" s="1"/>
  <c r="AF189" i="8"/>
  <c r="AE189" i="8"/>
  <c r="S189" i="8"/>
  <c r="AK189" i="8" s="1"/>
  <c r="R189" i="8"/>
  <c r="AJ189" i="8" s="1"/>
  <c r="Q189" i="8"/>
  <c r="AI189" i="8" s="1"/>
  <c r="P189" i="8"/>
  <c r="AH189" i="8" s="1"/>
  <c r="O189" i="8"/>
  <c r="AG189" i="8" s="1"/>
  <c r="N189" i="8"/>
  <c r="M189" i="8"/>
  <c r="L189" i="8"/>
  <c r="AD189" i="8" s="1"/>
  <c r="AD188" i="8"/>
  <c r="S188" i="8"/>
  <c r="AK188" i="8" s="1"/>
  <c r="R188" i="8"/>
  <c r="AJ188" i="8" s="1"/>
  <c r="Q188" i="8"/>
  <c r="AI188" i="8" s="1"/>
  <c r="P188" i="8"/>
  <c r="AH188" i="8" s="1"/>
  <c r="O188" i="8"/>
  <c r="AG188" i="8" s="1"/>
  <c r="N188" i="8"/>
  <c r="AF188" i="8" s="1"/>
  <c r="M188" i="8"/>
  <c r="AE188" i="8" s="1"/>
  <c r="L188" i="8"/>
  <c r="AD187" i="8"/>
  <c r="S187" i="8"/>
  <c r="AK187" i="8" s="1"/>
  <c r="R187" i="8"/>
  <c r="AJ187" i="8" s="1"/>
  <c r="Q187" i="8"/>
  <c r="AI187" i="8" s="1"/>
  <c r="P187" i="8"/>
  <c r="AH187" i="8" s="1"/>
  <c r="O187" i="8"/>
  <c r="AG187" i="8" s="1"/>
  <c r="N187" i="8"/>
  <c r="AF187" i="8" s="1"/>
  <c r="M187" i="8"/>
  <c r="AE187" i="8" s="1"/>
  <c r="L187" i="8"/>
  <c r="AK186" i="8"/>
  <c r="AE186" i="8"/>
  <c r="S186" i="8"/>
  <c r="R186" i="8"/>
  <c r="AJ186" i="8" s="1"/>
  <c r="Q186" i="8"/>
  <c r="AI186" i="8" s="1"/>
  <c r="P186" i="8"/>
  <c r="AH186" i="8" s="1"/>
  <c r="O186" i="8"/>
  <c r="AG186" i="8" s="1"/>
  <c r="N186" i="8"/>
  <c r="AF186" i="8" s="1"/>
  <c r="M186" i="8"/>
  <c r="L186" i="8"/>
  <c r="AD186" i="8" s="1"/>
  <c r="AD185" i="8"/>
  <c r="S185" i="8"/>
  <c r="AK185" i="8" s="1"/>
  <c r="R185" i="8"/>
  <c r="AJ185" i="8" s="1"/>
  <c r="Q185" i="8"/>
  <c r="AI185" i="8" s="1"/>
  <c r="P185" i="8"/>
  <c r="AH185" i="8" s="1"/>
  <c r="O185" i="8"/>
  <c r="AG185" i="8" s="1"/>
  <c r="N185" i="8"/>
  <c r="AF185" i="8" s="1"/>
  <c r="M185" i="8"/>
  <c r="AE185" i="8" s="1"/>
  <c r="L185" i="8"/>
  <c r="AG184" i="8"/>
  <c r="S184" i="8"/>
  <c r="AK184" i="8" s="1"/>
  <c r="R184" i="8"/>
  <c r="AJ184" i="8" s="1"/>
  <c r="Q184" i="8"/>
  <c r="AI184" i="8" s="1"/>
  <c r="P184" i="8"/>
  <c r="AH184" i="8" s="1"/>
  <c r="O184" i="8"/>
  <c r="N184" i="8"/>
  <c r="AF184" i="8" s="1"/>
  <c r="M184" i="8"/>
  <c r="AE184" i="8" s="1"/>
  <c r="L184" i="8"/>
  <c r="AD184" i="8" s="1"/>
  <c r="AH183" i="8"/>
  <c r="S183" i="8"/>
  <c r="AK183" i="8" s="1"/>
  <c r="R183" i="8"/>
  <c r="AJ183" i="8" s="1"/>
  <c r="Q183" i="8"/>
  <c r="AI183" i="8" s="1"/>
  <c r="P183" i="8"/>
  <c r="O183" i="8"/>
  <c r="AG183" i="8" s="1"/>
  <c r="N183" i="8"/>
  <c r="AF183" i="8" s="1"/>
  <c r="M183" i="8"/>
  <c r="AE183" i="8" s="1"/>
  <c r="L183" i="8"/>
  <c r="AD183" i="8" s="1"/>
  <c r="AK182" i="8"/>
  <c r="AF182" i="8"/>
  <c r="S182" i="8"/>
  <c r="R182" i="8"/>
  <c r="AJ182" i="8" s="1"/>
  <c r="Q182" i="8"/>
  <c r="AI182" i="8" s="1"/>
  <c r="P182" i="8"/>
  <c r="AH182" i="8" s="1"/>
  <c r="O182" i="8"/>
  <c r="AG182" i="8" s="1"/>
  <c r="N182" i="8"/>
  <c r="M182" i="8"/>
  <c r="AE182" i="8" s="1"/>
  <c r="L182" i="8"/>
  <c r="AD182" i="8" s="1"/>
  <c r="AG181" i="8"/>
  <c r="S181" i="8"/>
  <c r="AK181" i="8" s="1"/>
  <c r="R181" i="8"/>
  <c r="AJ181" i="8" s="1"/>
  <c r="Q181" i="8"/>
  <c r="AI181" i="8" s="1"/>
  <c r="P181" i="8"/>
  <c r="AH181" i="8" s="1"/>
  <c r="O181" i="8"/>
  <c r="N181" i="8"/>
  <c r="AF181" i="8" s="1"/>
  <c r="M181" i="8"/>
  <c r="AE181" i="8" s="1"/>
  <c r="L181" i="8"/>
  <c r="AD181" i="8" s="1"/>
  <c r="AE180" i="8"/>
  <c r="AD180" i="8"/>
  <c r="S180" i="8"/>
  <c r="AK180" i="8" s="1"/>
  <c r="R180" i="8"/>
  <c r="AJ180" i="8" s="1"/>
  <c r="Q180" i="8"/>
  <c r="AI180" i="8" s="1"/>
  <c r="P180" i="8"/>
  <c r="AH180" i="8" s="1"/>
  <c r="O180" i="8"/>
  <c r="AG180" i="8" s="1"/>
  <c r="N180" i="8"/>
  <c r="AF180" i="8" s="1"/>
  <c r="M180" i="8"/>
  <c r="L180" i="8"/>
  <c r="S179" i="8"/>
  <c r="AK179" i="8" s="1"/>
  <c r="R179" i="8"/>
  <c r="AJ179" i="8" s="1"/>
  <c r="Q179" i="8"/>
  <c r="AI179" i="8" s="1"/>
  <c r="P179" i="8"/>
  <c r="AH179" i="8" s="1"/>
  <c r="O179" i="8"/>
  <c r="AG179" i="8" s="1"/>
  <c r="N179" i="8"/>
  <c r="AF179" i="8" s="1"/>
  <c r="M179" i="8"/>
  <c r="AE179" i="8" s="1"/>
  <c r="L179" i="8"/>
  <c r="AD179" i="8" s="1"/>
  <c r="AI178" i="8"/>
  <c r="AD178" i="8"/>
  <c r="S178" i="8"/>
  <c r="AK178" i="8" s="1"/>
  <c r="R178" i="8"/>
  <c r="AJ178" i="8" s="1"/>
  <c r="Q178" i="8"/>
  <c r="P178" i="8"/>
  <c r="AH178" i="8" s="1"/>
  <c r="O178" i="8"/>
  <c r="AG178" i="8" s="1"/>
  <c r="N178" i="8"/>
  <c r="AF178" i="8" s="1"/>
  <c r="M178" i="8"/>
  <c r="AE178" i="8" s="1"/>
  <c r="L178" i="8"/>
  <c r="AF177" i="8"/>
  <c r="AE177" i="8"/>
  <c r="S177" i="8"/>
  <c r="AK177" i="8" s="1"/>
  <c r="R177" i="8"/>
  <c r="AJ177" i="8" s="1"/>
  <c r="Q177" i="8"/>
  <c r="AI177" i="8" s="1"/>
  <c r="P177" i="8"/>
  <c r="AH177" i="8" s="1"/>
  <c r="O177" i="8"/>
  <c r="AG177" i="8" s="1"/>
  <c r="N177" i="8"/>
  <c r="M177" i="8"/>
  <c r="L177" i="8"/>
  <c r="AD177" i="8" s="1"/>
  <c r="AI176" i="8"/>
  <c r="AD176" i="8"/>
  <c r="S176" i="8"/>
  <c r="AK176" i="8" s="1"/>
  <c r="R176" i="8"/>
  <c r="AJ176" i="8" s="1"/>
  <c r="Q176" i="8"/>
  <c r="P176" i="8"/>
  <c r="AH176" i="8" s="1"/>
  <c r="O176" i="8"/>
  <c r="AG176" i="8" s="1"/>
  <c r="N176" i="8"/>
  <c r="AF176" i="8" s="1"/>
  <c r="M176" i="8"/>
  <c r="AE176" i="8" s="1"/>
  <c r="L176" i="8"/>
  <c r="AG175" i="8"/>
  <c r="S175" i="8"/>
  <c r="AK175" i="8" s="1"/>
  <c r="R175" i="8"/>
  <c r="AJ175" i="8" s="1"/>
  <c r="Q175" i="8"/>
  <c r="AI175" i="8" s="1"/>
  <c r="P175" i="8"/>
  <c r="AH175" i="8" s="1"/>
  <c r="O175" i="8"/>
  <c r="N175" i="8"/>
  <c r="AF175" i="8" s="1"/>
  <c r="M175" i="8"/>
  <c r="AE175" i="8" s="1"/>
  <c r="L175" i="8"/>
  <c r="AD175" i="8" s="1"/>
  <c r="AH174" i="8"/>
  <c r="AE174" i="8"/>
  <c r="S174" i="8"/>
  <c r="AK174" i="8" s="1"/>
  <c r="R174" i="8"/>
  <c r="AJ174" i="8" s="1"/>
  <c r="Q174" i="8"/>
  <c r="AI174" i="8" s="1"/>
  <c r="P174" i="8"/>
  <c r="O174" i="8"/>
  <c r="AG174" i="8" s="1"/>
  <c r="N174" i="8"/>
  <c r="AF174" i="8" s="1"/>
  <c r="M174" i="8"/>
  <c r="L174" i="8"/>
  <c r="AD174" i="8" s="1"/>
  <c r="AI173" i="8"/>
  <c r="S173" i="8"/>
  <c r="AK173" i="8" s="1"/>
  <c r="R173" i="8"/>
  <c r="AJ173" i="8" s="1"/>
  <c r="Q173" i="8"/>
  <c r="P173" i="8"/>
  <c r="AH173" i="8" s="1"/>
  <c r="O173" i="8"/>
  <c r="AG173" i="8" s="1"/>
  <c r="N173" i="8"/>
  <c r="AF173" i="8" s="1"/>
  <c r="M173" i="8"/>
  <c r="AE173" i="8" s="1"/>
  <c r="L173" i="8"/>
  <c r="AD173" i="8" s="1"/>
  <c r="AH172" i="8"/>
  <c r="AG172" i="8"/>
  <c r="S172" i="8"/>
  <c r="AK172" i="8" s="1"/>
  <c r="R172" i="8"/>
  <c r="AJ172" i="8" s="1"/>
  <c r="Q172" i="8"/>
  <c r="AI172" i="8" s="1"/>
  <c r="P172" i="8"/>
  <c r="O172" i="8"/>
  <c r="N172" i="8"/>
  <c r="AF172" i="8" s="1"/>
  <c r="M172" i="8"/>
  <c r="AE172" i="8" s="1"/>
  <c r="L172" i="8"/>
  <c r="AD172" i="8" s="1"/>
  <c r="AK171" i="8"/>
  <c r="AD171" i="8"/>
  <c r="S171" i="8"/>
  <c r="R171" i="8"/>
  <c r="AJ171" i="8" s="1"/>
  <c r="Q171" i="8"/>
  <c r="AI171" i="8" s="1"/>
  <c r="P171" i="8"/>
  <c r="AH171" i="8" s="1"/>
  <c r="O171" i="8"/>
  <c r="AG171" i="8" s="1"/>
  <c r="N171" i="8"/>
  <c r="AF171" i="8" s="1"/>
  <c r="M171" i="8"/>
  <c r="AE171" i="8" s="1"/>
  <c r="L171" i="8"/>
  <c r="AH170" i="8"/>
  <c r="S170" i="8"/>
  <c r="AK170" i="8" s="1"/>
  <c r="R170" i="8"/>
  <c r="AJ170" i="8" s="1"/>
  <c r="Q170" i="8"/>
  <c r="AI170" i="8" s="1"/>
  <c r="P170" i="8"/>
  <c r="O170" i="8"/>
  <c r="AG170" i="8" s="1"/>
  <c r="N170" i="8"/>
  <c r="AF170" i="8" s="1"/>
  <c r="M170" i="8"/>
  <c r="AE170" i="8" s="1"/>
  <c r="L170" i="8"/>
  <c r="AD170" i="8" s="1"/>
  <c r="AJ169" i="8"/>
  <c r="AD169" i="8"/>
  <c r="S169" i="8"/>
  <c r="AK169" i="8" s="1"/>
  <c r="R169" i="8"/>
  <c r="Q169" i="8"/>
  <c r="AI169" i="8" s="1"/>
  <c r="P169" i="8"/>
  <c r="AH169" i="8" s="1"/>
  <c r="O169" i="8"/>
  <c r="AG169" i="8" s="1"/>
  <c r="N169" i="8"/>
  <c r="AF169" i="8" s="1"/>
  <c r="M169" i="8"/>
  <c r="AE169" i="8" s="1"/>
  <c r="L169" i="8"/>
  <c r="AK168" i="8"/>
  <c r="AG168" i="8"/>
  <c r="S168" i="8"/>
  <c r="R168" i="8"/>
  <c r="AJ168" i="8" s="1"/>
  <c r="Q168" i="8"/>
  <c r="AI168" i="8" s="1"/>
  <c r="P168" i="8"/>
  <c r="AH168" i="8" s="1"/>
  <c r="O168" i="8"/>
  <c r="N168" i="8"/>
  <c r="AF168" i="8" s="1"/>
  <c r="M168" i="8"/>
  <c r="AE168" i="8" s="1"/>
  <c r="L168" i="8"/>
  <c r="AD168" i="8" s="1"/>
  <c r="AI167" i="8"/>
  <c r="AD167" i="8"/>
  <c r="S167" i="8"/>
  <c r="AK167" i="8" s="1"/>
  <c r="R167" i="8"/>
  <c r="AJ167" i="8" s="1"/>
  <c r="Q167" i="8"/>
  <c r="P167" i="8"/>
  <c r="AH167" i="8" s="1"/>
  <c r="O167" i="8"/>
  <c r="AG167" i="8" s="1"/>
  <c r="N167" i="8"/>
  <c r="AF167" i="8" s="1"/>
  <c r="M167" i="8"/>
  <c r="AE167" i="8" s="1"/>
  <c r="L167" i="8"/>
  <c r="AG166" i="8"/>
  <c r="S166" i="8"/>
  <c r="AK166" i="8" s="1"/>
  <c r="R166" i="8"/>
  <c r="AJ166" i="8" s="1"/>
  <c r="Q166" i="8"/>
  <c r="AI166" i="8" s="1"/>
  <c r="P166" i="8"/>
  <c r="AH166" i="8" s="1"/>
  <c r="O166" i="8"/>
  <c r="N166" i="8"/>
  <c r="AF166" i="8" s="1"/>
  <c r="M166" i="8"/>
  <c r="AE166" i="8" s="1"/>
  <c r="L166" i="8"/>
  <c r="AD166" i="8" s="1"/>
  <c r="AK165" i="8"/>
  <c r="AH165" i="8"/>
  <c r="S165" i="8"/>
  <c r="R165" i="8"/>
  <c r="AJ165" i="8" s="1"/>
  <c r="Q165" i="8"/>
  <c r="AI165" i="8" s="1"/>
  <c r="P165" i="8"/>
  <c r="O165" i="8"/>
  <c r="AG165" i="8" s="1"/>
  <c r="N165" i="8"/>
  <c r="AF165" i="8" s="1"/>
  <c r="M165" i="8"/>
  <c r="AE165" i="8" s="1"/>
  <c r="L165" i="8"/>
  <c r="AD165" i="8" s="1"/>
  <c r="AE164" i="8"/>
  <c r="S164" i="8"/>
  <c r="AK164" i="8" s="1"/>
  <c r="R164" i="8"/>
  <c r="AJ164" i="8" s="1"/>
  <c r="Q164" i="8"/>
  <c r="AI164" i="8" s="1"/>
  <c r="P164" i="8"/>
  <c r="AH164" i="8" s="1"/>
  <c r="O164" i="8"/>
  <c r="AG164" i="8" s="1"/>
  <c r="N164" i="8"/>
  <c r="AF164" i="8" s="1"/>
  <c r="M164" i="8"/>
  <c r="L164" i="8"/>
  <c r="AD164" i="8" s="1"/>
  <c r="AH163" i="8"/>
  <c r="AG163" i="8"/>
  <c r="S163" i="8"/>
  <c r="AK163" i="8" s="1"/>
  <c r="R163" i="8"/>
  <c r="AJ163" i="8" s="1"/>
  <c r="Q163" i="8"/>
  <c r="AI163" i="8" s="1"/>
  <c r="P163" i="8"/>
  <c r="O163" i="8"/>
  <c r="N163" i="8"/>
  <c r="AF163" i="8" s="1"/>
  <c r="M163" i="8"/>
  <c r="AE163" i="8" s="1"/>
  <c r="L163" i="8"/>
  <c r="AD163" i="8" s="1"/>
  <c r="AK162" i="8"/>
  <c r="AE162" i="8"/>
  <c r="AD162" i="8"/>
  <c r="S162" i="8"/>
  <c r="R162" i="8"/>
  <c r="AJ162" i="8" s="1"/>
  <c r="Q162" i="8"/>
  <c r="AI162" i="8" s="1"/>
  <c r="P162" i="8"/>
  <c r="AH162" i="8" s="1"/>
  <c r="O162" i="8"/>
  <c r="AG162" i="8" s="1"/>
  <c r="N162" i="8"/>
  <c r="AF162" i="8" s="1"/>
  <c r="M162" i="8"/>
  <c r="L162" i="8"/>
  <c r="AI161" i="8"/>
  <c r="AH161" i="8"/>
  <c r="S161" i="8"/>
  <c r="AK161" i="8" s="1"/>
  <c r="R161" i="8"/>
  <c r="AJ161" i="8" s="1"/>
  <c r="Q161" i="8"/>
  <c r="P161" i="8"/>
  <c r="O161" i="8"/>
  <c r="AG161" i="8" s="1"/>
  <c r="N161" i="8"/>
  <c r="AF161" i="8" s="1"/>
  <c r="M161" i="8"/>
  <c r="AE161" i="8" s="1"/>
  <c r="L161" i="8"/>
  <c r="AD161" i="8" s="1"/>
  <c r="AJ160" i="8"/>
  <c r="AD160" i="8"/>
  <c r="S160" i="8"/>
  <c r="AK160" i="8" s="1"/>
  <c r="R160" i="8"/>
  <c r="Q160" i="8"/>
  <c r="AI160" i="8" s="1"/>
  <c r="P160" i="8"/>
  <c r="AH160" i="8" s="1"/>
  <c r="O160" i="8"/>
  <c r="AG160" i="8" s="1"/>
  <c r="N160" i="8"/>
  <c r="AF160" i="8" s="1"/>
  <c r="M160" i="8"/>
  <c r="AE160" i="8" s="1"/>
  <c r="L160" i="8"/>
  <c r="AK159" i="8"/>
  <c r="AE159" i="8"/>
  <c r="S159" i="8"/>
  <c r="R159" i="8"/>
  <c r="AJ159" i="8" s="1"/>
  <c r="Q159" i="8"/>
  <c r="AI159" i="8" s="1"/>
  <c r="P159" i="8"/>
  <c r="AH159" i="8" s="1"/>
  <c r="O159" i="8"/>
  <c r="AG159" i="8" s="1"/>
  <c r="N159" i="8"/>
  <c r="AF159" i="8" s="1"/>
  <c r="M159" i="8"/>
  <c r="L159" i="8"/>
  <c r="AD159" i="8" s="1"/>
  <c r="AI158" i="8"/>
  <c r="AD158" i="8"/>
  <c r="S158" i="8"/>
  <c r="AK158" i="8" s="1"/>
  <c r="R158" i="8"/>
  <c r="AJ158" i="8" s="1"/>
  <c r="Q158" i="8"/>
  <c r="P158" i="8"/>
  <c r="AH158" i="8" s="1"/>
  <c r="O158" i="8"/>
  <c r="AG158" i="8" s="1"/>
  <c r="N158" i="8"/>
  <c r="AF158" i="8" s="1"/>
  <c r="M158" i="8"/>
  <c r="AE158" i="8" s="1"/>
  <c r="L158" i="8"/>
  <c r="AG157" i="8"/>
  <c r="S157" i="8"/>
  <c r="AK157" i="8" s="1"/>
  <c r="R157" i="8"/>
  <c r="AJ157" i="8" s="1"/>
  <c r="Q157" i="8"/>
  <c r="AI157" i="8" s="1"/>
  <c r="P157" i="8"/>
  <c r="AH157" i="8" s="1"/>
  <c r="O157" i="8"/>
  <c r="N157" i="8"/>
  <c r="AF157" i="8" s="1"/>
  <c r="M157" i="8"/>
  <c r="AE157" i="8" s="1"/>
  <c r="L157" i="8"/>
  <c r="AD157" i="8" s="1"/>
  <c r="AK156" i="8"/>
  <c r="AH156" i="8"/>
  <c r="S156" i="8"/>
  <c r="R156" i="8"/>
  <c r="AJ156" i="8" s="1"/>
  <c r="Q156" i="8"/>
  <c r="AI156" i="8" s="1"/>
  <c r="P156" i="8"/>
  <c r="O156" i="8"/>
  <c r="AG156" i="8" s="1"/>
  <c r="N156" i="8"/>
  <c r="AF156" i="8" s="1"/>
  <c r="M156" i="8"/>
  <c r="AE156" i="8" s="1"/>
  <c r="L156" i="8"/>
  <c r="AD156" i="8" s="1"/>
  <c r="AJ155" i="8"/>
  <c r="AI155" i="8"/>
  <c r="S155" i="8"/>
  <c r="AK155" i="8" s="1"/>
  <c r="R155" i="8"/>
  <c r="Q155" i="8"/>
  <c r="P155" i="8"/>
  <c r="AH155" i="8" s="1"/>
  <c r="O155" i="8"/>
  <c r="AG155" i="8" s="1"/>
  <c r="N155" i="8"/>
  <c r="AF155" i="8" s="1"/>
  <c r="M155" i="8"/>
  <c r="AE155" i="8" s="1"/>
  <c r="L155" i="8"/>
  <c r="AD155" i="8" s="1"/>
  <c r="AG154" i="8"/>
  <c r="S154" i="8"/>
  <c r="AK154" i="8" s="1"/>
  <c r="R154" i="8"/>
  <c r="AJ154" i="8" s="1"/>
  <c r="Q154" i="8"/>
  <c r="AI154" i="8" s="1"/>
  <c r="P154" i="8"/>
  <c r="AH154" i="8" s="1"/>
  <c r="O154" i="8"/>
  <c r="N154" i="8"/>
  <c r="AF154" i="8" s="1"/>
  <c r="M154" i="8"/>
  <c r="AE154" i="8" s="1"/>
  <c r="L154" i="8"/>
  <c r="AD154" i="8" s="1"/>
  <c r="AD153" i="8"/>
  <c r="S153" i="8"/>
  <c r="AK153" i="8" s="1"/>
  <c r="R153" i="8"/>
  <c r="AJ153" i="8" s="1"/>
  <c r="Q153" i="8"/>
  <c r="AI153" i="8" s="1"/>
  <c r="P153" i="8"/>
  <c r="AH153" i="8" s="1"/>
  <c r="O153" i="8"/>
  <c r="AG153" i="8" s="1"/>
  <c r="N153" i="8"/>
  <c r="AF153" i="8" s="1"/>
  <c r="M153" i="8"/>
  <c r="AE153" i="8" s="1"/>
  <c r="L153" i="8"/>
  <c r="AH152" i="8"/>
  <c r="S152" i="8"/>
  <c r="AK152" i="8" s="1"/>
  <c r="R152" i="8"/>
  <c r="AJ152" i="8" s="1"/>
  <c r="Q152" i="8"/>
  <c r="AI152" i="8" s="1"/>
  <c r="P152" i="8"/>
  <c r="O152" i="8"/>
  <c r="AG152" i="8" s="1"/>
  <c r="N152" i="8"/>
  <c r="AF152" i="8" s="1"/>
  <c r="M152" i="8"/>
  <c r="AE152" i="8" s="1"/>
  <c r="L152" i="8"/>
  <c r="AD152" i="8" s="1"/>
  <c r="AD151" i="8"/>
  <c r="S151" i="8"/>
  <c r="AK151" i="8" s="1"/>
  <c r="R151" i="8"/>
  <c r="AJ151" i="8" s="1"/>
  <c r="Q151" i="8"/>
  <c r="AI151" i="8" s="1"/>
  <c r="P151" i="8"/>
  <c r="AH151" i="8" s="1"/>
  <c r="O151" i="8"/>
  <c r="AG151" i="8" s="1"/>
  <c r="N151" i="8"/>
  <c r="AF151" i="8" s="1"/>
  <c r="M151" i="8"/>
  <c r="AE151" i="8" s="1"/>
  <c r="L151" i="8"/>
  <c r="AK150" i="8"/>
  <c r="AE150" i="8"/>
  <c r="S150" i="8"/>
  <c r="R150" i="8"/>
  <c r="AJ150" i="8" s="1"/>
  <c r="Q150" i="8"/>
  <c r="AI150" i="8" s="1"/>
  <c r="P150" i="8"/>
  <c r="AH150" i="8" s="1"/>
  <c r="O150" i="8"/>
  <c r="AG150" i="8" s="1"/>
  <c r="N150" i="8"/>
  <c r="AF150" i="8" s="1"/>
  <c r="M150" i="8"/>
  <c r="L150" i="8"/>
  <c r="AD150" i="8" s="1"/>
  <c r="AJ149" i="8"/>
  <c r="AI149" i="8"/>
  <c r="AD149" i="8"/>
  <c r="S149" i="8"/>
  <c r="AK149" i="8" s="1"/>
  <c r="R149" i="8"/>
  <c r="Q149" i="8"/>
  <c r="P149" i="8"/>
  <c r="AH149" i="8" s="1"/>
  <c r="O149" i="8"/>
  <c r="AG149" i="8" s="1"/>
  <c r="N149" i="8"/>
  <c r="AF149" i="8" s="1"/>
  <c r="M149" i="8"/>
  <c r="AE149" i="8" s="1"/>
  <c r="L149" i="8"/>
  <c r="AG148" i="8"/>
  <c r="S148" i="8"/>
  <c r="AK148" i="8" s="1"/>
  <c r="R148" i="8"/>
  <c r="AJ148" i="8" s="1"/>
  <c r="Q148" i="8"/>
  <c r="AI148" i="8" s="1"/>
  <c r="P148" i="8"/>
  <c r="AH148" i="8" s="1"/>
  <c r="O148" i="8"/>
  <c r="N148" i="8"/>
  <c r="AF148" i="8" s="1"/>
  <c r="M148" i="8"/>
  <c r="AE148" i="8" s="1"/>
  <c r="L148" i="8"/>
  <c r="AD148" i="8" s="1"/>
  <c r="AE147" i="8"/>
  <c r="AD147" i="8"/>
  <c r="S147" i="8"/>
  <c r="AK147" i="8" s="1"/>
  <c r="R147" i="8"/>
  <c r="AJ147" i="8" s="1"/>
  <c r="Q147" i="8"/>
  <c r="AI147" i="8" s="1"/>
  <c r="P147" i="8"/>
  <c r="AH147" i="8" s="1"/>
  <c r="O147" i="8"/>
  <c r="AG147" i="8" s="1"/>
  <c r="N147" i="8"/>
  <c r="AF147" i="8" s="1"/>
  <c r="M147" i="8"/>
  <c r="L147" i="8"/>
  <c r="AI146" i="8"/>
  <c r="S146" i="8"/>
  <c r="AK146" i="8" s="1"/>
  <c r="R146" i="8"/>
  <c r="AJ146" i="8" s="1"/>
  <c r="Q146" i="8"/>
  <c r="P146" i="8"/>
  <c r="AH146" i="8" s="1"/>
  <c r="O146" i="8"/>
  <c r="AG146" i="8" s="1"/>
  <c r="N146" i="8"/>
  <c r="AF146" i="8" s="1"/>
  <c r="M146" i="8"/>
  <c r="AE146" i="8" s="1"/>
  <c r="L146" i="8"/>
  <c r="AD146" i="8" s="1"/>
  <c r="S145" i="8"/>
  <c r="AK145" i="8" s="1"/>
  <c r="R145" i="8"/>
  <c r="AJ145" i="8" s="1"/>
  <c r="Q145" i="8"/>
  <c r="AI145" i="8" s="1"/>
  <c r="P145" i="8"/>
  <c r="AH145" i="8" s="1"/>
  <c r="O145" i="8"/>
  <c r="AG145" i="8" s="1"/>
  <c r="N145" i="8"/>
  <c r="AF145" i="8" s="1"/>
  <c r="M145" i="8"/>
  <c r="AE145" i="8" s="1"/>
  <c r="L145" i="8"/>
  <c r="AD145" i="8" s="1"/>
  <c r="AK144" i="8"/>
  <c r="AJ144" i="8"/>
  <c r="AD144" i="8"/>
  <c r="S144" i="8"/>
  <c r="R144" i="8"/>
  <c r="Q144" i="8"/>
  <c r="AI144" i="8" s="1"/>
  <c r="P144" i="8"/>
  <c r="AH144" i="8" s="1"/>
  <c r="O144" i="8"/>
  <c r="AG144" i="8" s="1"/>
  <c r="N144" i="8"/>
  <c r="AF144" i="8" s="1"/>
  <c r="M144" i="8"/>
  <c r="AE144" i="8" s="1"/>
  <c r="L144" i="8"/>
  <c r="AH143" i="8"/>
  <c r="S143" i="8"/>
  <c r="AK143" i="8" s="1"/>
  <c r="R143" i="8"/>
  <c r="AJ143" i="8" s="1"/>
  <c r="Q143" i="8"/>
  <c r="AI143" i="8" s="1"/>
  <c r="P143" i="8"/>
  <c r="O143" i="8"/>
  <c r="AG143" i="8" s="1"/>
  <c r="N143" i="8"/>
  <c r="AF143" i="8" s="1"/>
  <c r="M143" i="8"/>
  <c r="AE143" i="8" s="1"/>
  <c r="L143" i="8"/>
  <c r="AK142" i="8"/>
  <c r="S142" i="8"/>
  <c r="R142" i="8"/>
  <c r="AJ142" i="8" s="1"/>
  <c r="Q142" i="8"/>
  <c r="AI142" i="8" s="1"/>
  <c r="P142" i="8"/>
  <c r="AH142" i="8" s="1"/>
  <c r="O142" i="8"/>
  <c r="AG142" i="8" s="1"/>
  <c r="N142" i="8"/>
  <c r="AF142" i="8" s="1"/>
  <c r="M142" i="8"/>
  <c r="AE142" i="8" s="1"/>
  <c r="L142" i="8"/>
  <c r="AH141" i="8"/>
  <c r="S141" i="8"/>
  <c r="AK141" i="8" s="1"/>
  <c r="R141" i="8"/>
  <c r="AJ141" i="8" s="1"/>
  <c r="Q141" i="8"/>
  <c r="AI141" i="8" s="1"/>
  <c r="P141" i="8"/>
  <c r="O141" i="8"/>
  <c r="AG141" i="8" s="1"/>
  <c r="N141" i="8"/>
  <c r="AF141" i="8" s="1"/>
  <c r="M141" i="8"/>
  <c r="AE141" i="8" s="1"/>
  <c r="L141" i="8"/>
  <c r="S140" i="8"/>
  <c r="R140" i="8"/>
  <c r="Q140" i="8"/>
  <c r="P140" i="8"/>
  <c r="O140" i="8"/>
  <c r="N140" i="8"/>
  <c r="M140" i="8"/>
  <c r="S139" i="8"/>
  <c r="R139" i="8"/>
  <c r="Q139" i="8"/>
  <c r="P139" i="8"/>
  <c r="O139" i="8"/>
  <c r="N139" i="8"/>
  <c r="M139" i="8"/>
  <c r="S138" i="8"/>
  <c r="R138" i="8"/>
  <c r="Q138" i="8"/>
  <c r="P138" i="8"/>
  <c r="O138" i="8"/>
  <c r="N138" i="8"/>
  <c r="M138" i="8"/>
  <c r="S137" i="8"/>
  <c r="R137" i="8"/>
  <c r="Q137" i="8"/>
  <c r="P137" i="8"/>
  <c r="O137" i="8"/>
  <c r="N137" i="8"/>
  <c r="M137" i="8"/>
  <c r="S136" i="8"/>
  <c r="R136" i="8"/>
  <c r="Q136" i="8"/>
  <c r="P136" i="8"/>
  <c r="O136" i="8"/>
  <c r="N136" i="8"/>
  <c r="M136" i="8"/>
  <c r="S135" i="8"/>
  <c r="R135" i="8"/>
  <c r="Q135" i="8"/>
  <c r="P135" i="8"/>
  <c r="O135" i="8"/>
  <c r="N135" i="8"/>
  <c r="M135" i="8"/>
  <c r="S134" i="8"/>
  <c r="R134" i="8"/>
  <c r="Q134" i="8"/>
  <c r="P134" i="8"/>
  <c r="O134" i="8"/>
  <c r="N134" i="8"/>
  <c r="M134" i="8"/>
  <c r="S133" i="8"/>
  <c r="R133" i="8"/>
  <c r="Q133" i="8"/>
  <c r="P133" i="8"/>
  <c r="O133" i="8"/>
  <c r="N133" i="8"/>
  <c r="M133" i="8"/>
  <c r="S132" i="8"/>
  <c r="R132" i="8"/>
  <c r="Q132" i="8"/>
  <c r="P132" i="8"/>
  <c r="O132" i="8"/>
  <c r="N132" i="8"/>
  <c r="M132" i="8"/>
  <c r="S131" i="8"/>
  <c r="R131" i="8"/>
  <c r="Q131" i="8"/>
  <c r="P131" i="8"/>
  <c r="O131" i="8"/>
  <c r="N131" i="8"/>
  <c r="M131" i="8"/>
  <c r="S130" i="8"/>
  <c r="R130" i="8"/>
  <c r="Q130" i="8"/>
  <c r="P130" i="8"/>
  <c r="O130" i="8"/>
  <c r="N130" i="8"/>
  <c r="M130" i="8"/>
  <c r="S129" i="8"/>
  <c r="R129" i="8"/>
  <c r="Q129" i="8"/>
  <c r="P129" i="8"/>
  <c r="O129" i="8"/>
  <c r="N129" i="8"/>
  <c r="M129" i="8"/>
  <c r="S128" i="8"/>
  <c r="R128" i="8"/>
  <c r="Q128" i="8"/>
  <c r="P128" i="8"/>
  <c r="O128" i="8"/>
  <c r="N128" i="8"/>
  <c r="M128" i="8"/>
  <c r="S127" i="8"/>
  <c r="R127" i="8"/>
  <c r="Q127" i="8"/>
  <c r="P127" i="8"/>
  <c r="O127" i="8"/>
  <c r="N127" i="8"/>
  <c r="M127" i="8"/>
  <c r="S126" i="8"/>
  <c r="R126" i="8"/>
  <c r="Q126" i="8"/>
  <c r="P126" i="8"/>
  <c r="O126" i="8"/>
  <c r="N126" i="8"/>
  <c r="M126" i="8"/>
  <c r="S125" i="8"/>
  <c r="R125" i="8"/>
  <c r="Q125" i="8"/>
  <c r="P125" i="8"/>
  <c r="O125" i="8"/>
  <c r="N125" i="8"/>
  <c r="M125" i="8"/>
  <c r="S124" i="8"/>
  <c r="R124" i="8"/>
  <c r="Q124" i="8"/>
  <c r="P124" i="8"/>
  <c r="O124" i="8"/>
  <c r="N124" i="8"/>
  <c r="M124" i="8"/>
  <c r="S123" i="8"/>
  <c r="R123" i="8"/>
  <c r="Q123" i="8"/>
  <c r="P123" i="8"/>
  <c r="O123" i="8"/>
  <c r="N123" i="8"/>
  <c r="M123" i="8"/>
  <c r="S122" i="8"/>
  <c r="R122" i="8"/>
  <c r="Q122" i="8"/>
  <c r="P122" i="8"/>
  <c r="O122" i="8"/>
  <c r="N122" i="8"/>
  <c r="M122" i="8"/>
  <c r="S121" i="8"/>
  <c r="R121" i="8"/>
  <c r="Q121" i="8"/>
  <c r="P121" i="8"/>
  <c r="O121" i="8"/>
  <c r="N121" i="8"/>
  <c r="M121" i="8"/>
  <c r="S120" i="8"/>
  <c r="R120" i="8"/>
  <c r="Q120" i="8"/>
  <c r="P120" i="8"/>
  <c r="O120" i="8"/>
  <c r="N120" i="8"/>
  <c r="M120" i="8"/>
  <c r="S119" i="8"/>
  <c r="R119" i="8"/>
  <c r="Q119" i="8"/>
  <c r="P119" i="8"/>
  <c r="O119" i="8"/>
  <c r="N119" i="8"/>
  <c r="M119" i="8"/>
  <c r="S118" i="8"/>
  <c r="R118" i="8"/>
  <c r="Q118" i="8"/>
  <c r="P118" i="8"/>
  <c r="O118" i="8"/>
  <c r="N118" i="8"/>
  <c r="M118" i="8"/>
  <c r="S117" i="8"/>
  <c r="R117" i="8"/>
  <c r="Q117" i="8"/>
  <c r="P117" i="8"/>
  <c r="O117" i="8"/>
  <c r="N117" i="8"/>
  <c r="M117" i="8"/>
  <c r="S116" i="8"/>
  <c r="R116" i="8"/>
  <c r="Q116" i="8"/>
  <c r="P116" i="8"/>
  <c r="O116" i="8"/>
  <c r="N116" i="8"/>
  <c r="M116" i="8"/>
  <c r="S115" i="8"/>
  <c r="R115" i="8"/>
  <c r="Q115" i="8"/>
  <c r="P115" i="8"/>
  <c r="O115" i="8"/>
  <c r="N115" i="8"/>
  <c r="M115" i="8"/>
  <c r="S114" i="8"/>
  <c r="R114" i="8"/>
  <c r="Q114" i="8"/>
  <c r="P114" i="8"/>
  <c r="O114" i="8"/>
  <c r="N114" i="8"/>
  <c r="M114" i="8"/>
  <c r="S113" i="8"/>
  <c r="R113" i="8"/>
  <c r="Q113" i="8"/>
  <c r="P113" i="8"/>
  <c r="O113" i="8"/>
  <c r="N113" i="8"/>
  <c r="M113" i="8"/>
  <c r="S112" i="8"/>
  <c r="R112" i="8"/>
  <c r="Q112" i="8"/>
  <c r="P112" i="8"/>
  <c r="O112" i="8"/>
  <c r="N112" i="8"/>
  <c r="M112" i="8"/>
  <c r="S111" i="8"/>
  <c r="R111" i="8"/>
  <c r="Q111" i="8"/>
  <c r="P111" i="8"/>
  <c r="O111" i="8"/>
  <c r="N111" i="8"/>
  <c r="M111" i="8"/>
  <c r="S110" i="8"/>
  <c r="R110" i="8"/>
  <c r="Q110" i="8"/>
  <c r="P110" i="8"/>
  <c r="O110" i="8"/>
  <c r="N110" i="8"/>
  <c r="M110" i="8"/>
  <c r="S109" i="8"/>
  <c r="R109" i="8"/>
  <c r="Q109" i="8"/>
  <c r="P109" i="8"/>
  <c r="O109" i="8"/>
  <c r="N109" i="8"/>
  <c r="M109" i="8"/>
  <c r="S108" i="8"/>
  <c r="R108" i="8"/>
  <c r="Q108" i="8"/>
  <c r="P108" i="8"/>
  <c r="O108" i="8"/>
  <c r="N108" i="8"/>
  <c r="M108" i="8"/>
  <c r="S107" i="8"/>
  <c r="R107" i="8"/>
  <c r="Q107" i="8"/>
  <c r="P107" i="8"/>
  <c r="O107" i="8"/>
  <c r="N107" i="8"/>
  <c r="M107" i="8"/>
  <c r="S106" i="8"/>
  <c r="R106" i="8"/>
  <c r="Q106" i="8"/>
  <c r="P106" i="8"/>
  <c r="O106" i="8"/>
  <c r="N106" i="8"/>
  <c r="M106" i="8"/>
  <c r="S105" i="8"/>
  <c r="R105" i="8"/>
  <c r="Q105" i="8"/>
  <c r="P105" i="8"/>
  <c r="O105" i="8"/>
  <c r="N105" i="8"/>
  <c r="M105" i="8"/>
  <c r="S104" i="8"/>
  <c r="R104" i="8"/>
  <c r="Q104" i="8"/>
  <c r="P104" i="8"/>
  <c r="O104" i="8"/>
  <c r="N104" i="8"/>
  <c r="M104" i="8"/>
  <c r="S103" i="8"/>
  <c r="R103" i="8"/>
  <c r="Q103" i="8"/>
  <c r="P103" i="8"/>
  <c r="O103" i="8"/>
  <c r="N103" i="8"/>
  <c r="M103" i="8"/>
  <c r="S102" i="8"/>
  <c r="R102" i="8"/>
  <c r="Q102" i="8"/>
  <c r="P102" i="8"/>
  <c r="O102" i="8"/>
  <c r="N102" i="8"/>
  <c r="M102" i="8"/>
  <c r="S101" i="8"/>
  <c r="R101" i="8"/>
  <c r="Q101" i="8"/>
  <c r="P101" i="8"/>
  <c r="O101" i="8"/>
  <c r="N101" i="8"/>
  <c r="M101" i="8"/>
  <c r="S100" i="8"/>
  <c r="R100" i="8"/>
  <c r="Q100" i="8"/>
  <c r="P100" i="8"/>
  <c r="O100" i="8"/>
  <c r="N100" i="8"/>
  <c r="M100" i="8"/>
  <c r="S99" i="8"/>
  <c r="R99" i="8"/>
  <c r="Q99" i="8"/>
  <c r="P99" i="8"/>
  <c r="O99" i="8"/>
  <c r="N99" i="8"/>
  <c r="M99" i="8"/>
  <c r="S98" i="8"/>
  <c r="R98" i="8"/>
  <c r="Q98" i="8"/>
  <c r="P98" i="8"/>
  <c r="O98" i="8"/>
  <c r="N98" i="8"/>
  <c r="M98" i="8"/>
  <c r="S97" i="8"/>
  <c r="R97" i="8"/>
  <c r="Q97" i="8"/>
  <c r="P97" i="8"/>
  <c r="O97" i="8"/>
  <c r="N97" i="8"/>
  <c r="M97" i="8"/>
  <c r="S96" i="8"/>
  <c r="R96" i="8"/>
  <c r="Q96" i="8"/>
  <c r="P96" i="8"/>
  <c r="O96" i="8"/>
  <c r="N96" i="8"/>
  <c r="M96" i="8"/>
  <c r="S95" i="8"/>
  <c r="R95" i="8"/>
  <c r="Q95" i="8"/>
  <c r="P95" i="8"/>
  <c r="O95" i="8"/>
  <c r="N95" i="8"/>
  <c r="M95" i="8"/>
  <c r="S94" i="8"/>
  <c r="R94" i="8"/>
  <c r="Q94" i="8"/>
  <c r="P94" i="8"/>
  <c r="O94" i="8"/>
  <c r="N94" i="8"/>
  <c r="M94" i="8"/>
  <c r="S93" i="8"/>
  <c r="R93" i="8"/>
  <c r="Q93" i="8"/>
  <c r="P93" i="8"/>
  <c r="O93" i="8"/>
  <c r="N93" i="8"/>
  <c r="M93" i="8"/>
  <c r="S92" i="8"/>
  <c r="R92" i="8"/>
  <c r="Q92" i="8"/>
  <c r="P92" i="8"/>
  <c r="O92" i="8"/>
  <c r="N92" i="8"/>
  <c r="M92" i="8"/>
  <c r="S91" i="8"/>
  <c r="R91" i="8"/>
  <c r="Q91" i="8"/>
  <c r="P91" i="8"/>
  <c r="O91" i="8"/>
  <c r="N91" i="8"/>
  <c r="M91" i="8"/>
  <c r="S90" i="8"/>
  <c r="R90" i="8"/>
  <c r="Q90" i="8"/>
  <c r="P90" i="8"/>
  <c r="O90" i="8"/>
  <c r="N90" i="8"/>
  <c r="M90" i="8"/>
  <c r="S89" i="8"/>
  <c r="R89" i="8"/>
  <c r="Q89" i="8"/>
  <c r="P89" i="8"/>
  <c r="O89" i="8"/>
  <c r="N89" i="8"/>
  <c r="M89" i="8"/>
  <c r="S88" i="8"/>
  <c r="R88" i="8"/>
  <c r="Q88" i="8"/>
  <c r="P88" i="8"/>
  <c r="O88" i="8"/>
  <c r="N88" i="8"/>
  <c r="M88" i="8"/>
  <c r="S87" i="8"/>
  <c r="R87" i="8"/>
  <c r="Q87" i="8"/>
  <c r="P87" i="8"/>
  <c r="O87" i="8"/>
  <c r="N87" i="8"/>
  <c r="M87" i="8"/>
  <c r="S86" i="8"/>
  <c r="R86" i="8"/>
  <c r="Q86" i="8"/>
  <c r="P86" i="8"/>
  <c r="O86" i="8"/>
  <c r="N86" i="8"/>
  <c r="M86" i="8"/>
  <c r="S85" i="8"/>
  <c r="R85" i="8"/>
  <c r="Q85" i="8"/>
  <c r="P85" i="8"/>
  <c r="O85" i="8"/>
  <c r="N85" i="8"/>
  <c r="M85" i="8"/>
  <c r="S84" i="8"/>
  <c r="R84" i="8"/>
  <c r="Q84" i="8"/>
  <c r="P84" i="8"/>
  <c r="O84" i="8"/>
  <c r="N84" i="8"/>
  <c r="M84" i="8"/>
  <c r="S83" i="8"/>
  <c r="R83" i="8"/>
  <c r="Q83" i="8"/>
  <c r="P83" i="8"/>
  <c r="O83" i="8"/>
  <c r="N83" i="8"/>
  <c r="M83" i="8"/>
  <c r="S82" i="8"/>
  <c r="R82" i="8"/>
  <c r="Q82" i="8"/>
  <c r="P82" i="8"/>
  <c r="O82" i="8"/>
  <c r="N82" i="8"/>
  <c r="M82" i="8"/>
  <c r="S81" i="8"/>
  <c r="R81" i="8"/>
  <c r="Q81" i="8"/>
  <c r="P81" i="8"/>
  <c r="O81" i="8"/>
  <c r="N81" i="8"/>
  <c r="M81" i="8"/>
  <c r="S80" i="8"/>
  <c r="R80" i="8"/>
  <c r="Q80" i="8"/>
  <c r="P80" i="8"/>
  <c r="O80" i="8"/>
  <c r="N80" i="8"/>
  <c r="M80" i="8"/>
  <c r="S79" i="8"/>
  <c r="R79" i="8"/>
  <c r="Q79" i="8"/>
  <c r="P79" i="8"/>
  <c r="O79" i="8"/>
  <c r="N79" i="8"/>
  <c r="M79" i="8"/>
  <c r="S78" i="8"/>
  <c r="R78" i="8"/>
  <c r="Q78" i="8"/>
  <c r="P78" i="8"/>
  <c r="O78" i="8"/>
  <c r="N78" i="8"/>
  <c r="M78" i="8"/>
  <c r="S77" i="8"/>
  <c r="R77" i="8"/>
  <c r="Q77" i="8"/>
  <c r="P77" i="8"/>
  <c r="O77" i="8"/>
  <c r="N77" i="8"/>
  <c r="M77" i="8"/>
  <c r="S76" i="8"/>
  <c r="R76" i="8"/>
  <c r="Q76" i="8"/>
  <c r="P76" i="8"/>
  <c r="O76" i="8"/>
  <c r="N76" i="8"/>
  <c r="M76" i="8"/>
  <c r="S75" i="8"/>
  <c r="R75" i="8"/>
  <c r="Q75" i="8"/>
  <c r="P75" i="8"/>
  <c r="O75" i="8"/>
  <c r="N75" i="8"/>
  <c r="M75" i="8"/>
  <c r="S74" i="8"/>
  <c r="R74" i="8"/>
  <c r="Q74" i="8"/>
  <c r="P74" i="8"/>
  <c r="O74" i="8"/>
  <c r="N74" i="8"/>
  <c r="M74" i="8"/>
  <c r="S73" i="8"/>
  <c r="R73" i="8"/>
  <c r="Q73" i="8"/>
  <c r="P73" i="8"/>
  <c r="O73" i="8"/>
  <c r="N73" i="8"/>
  <c r="M73" i="8"/>
  <c r="S72" i="8"/>
  <c r="R72" i="8"/>
  <c r="Q72" i="8"/>
  <c r="P72" i="8"/>
  <c r="O72" i="8"/>
  <c r="N72" i="8"/>
  <c r="M72" i="8"/>
  <c r="S71" i="8"/>
  <c r="R71" i="8"/>
  <c r="Q71" i="8"/>
  <c r="P71" i="8"/>
  <c r="O71" i="8"/>
  <c r="N71" i="8"/>
  <c r="M71" i="8"/>
  <c r="S70" i="8"/>
  <c r="R70" i="8"/>
  <c r="Q70" i="8"/>
  <c r="P70" i="8"/>
  <c r="O70" i="8"/>
  <c r="N70" i="8"/>
  <c r="M70" i="8"/>
  <c r="S69" i="8"/>
  <c r="R69" i="8"/>
  <c r="Q69" i="8"/>
  <c r="P69" i="8"/>
  <c r="O69" i="8"/>
  <c r="N69" i="8"/>
  <c r="M69" i="8"/>
  <c r="S68" i="8"/>
  <c r="R68" i="8"/>
  <c r="Q68" i="8"/>
  <c r="P68" i="8"/>
  <c r="O68" i="8"/>
  <c r="N68" i="8"/>
  <c r="M68" i="8"/>
  <c r="S67" i="8"/>
  <c r="R67" i="8"/>
  <c r="Q67" i="8"/>
  <c r="P67" i="8"/>
  <c r="O67" i="8"/>
  <c r="N67" i="8"/>
  <c r="M67" i="8"/>
  <c r="S66" i="8"/>
  <c r="R66" i="8"/>
  <c r="Q66" i="8"/>
  <c r="P66" i="8"/>
  <c r="O66" i="8"/>
  <c r="N66" i="8"/>
  <c r="M66" i="8"/>
  <c r="S65" i="8"/>
  <c r="R65" i="8"/>
  <c r="Q65" i="8"/>
  <c r="P65" i="8"/>
  <c r="O65" i="8"/>
  <c r="N65" i="8"/>
  <c r="M65" i="8"/>
  <c r="S64" i="8"/>
  <c r="R64" i="8"/>
  <c r="Q64" i="8"/>
  <c r="P64" i="8"/>
  <c r="O64" i="8"/>
  <c r="N64" i="8"/>
  <c r="M64" i="8"/>
  <c r="S63" i="8"/>
  <c r="R63" i="8"/>
  <c r="Q63" i="8"/>
  <c r="P63" i="8"/>
  <c r="O63" i="8"/>
  <c r="N63" i="8"/>
  <c r="M63" i="8"/>
  <c r="S62" i="8"/>
  <c r="R62" i="8"/>
  <c r="Q62" i="8"/>
  <c r="P62" i="8"/>
  <c r="O62" i="8"/>
  <c r="N62" i="8"/>
  <c r="M62" i="8"/>
  <c r="S61" i="8"/>
  <c r="R61" i="8"/>
  <c r="Q61" i="8"/>
  <c r="P61" i="8"/>
  <c r="O61" i="8"/>
  <c r="N61" i="8"/>
  <c r="M61" i="8"/>
  <c r="S60" i="8"/>
  <c r="R60" i="8"/>
  <c r="Q60" i="8"/>
  <c r="P60" i="8"/>
  <c r="O60" i="8"/>
  <c r="N60" i="8"/>
  <c r="M60" i="8"/>
  <c r="S59" i="8"/>
  <c r="R59" i="8"/>
  <c r="Q59" i="8"/>
  <c r="P59" i="8"/>
  <c r="O59" i="8"/>
  <c r="N59" i="8"/>
  <c r="M59" i="8"/>
  <c r="S58" i="8"/>
  <c r="R58" i="8"/>
  <c r="Q58" i="8"/>
  <c r="P58" i="8"/>
  <c r="O58" i="8"/>
  <c r="N58" i="8"/>
  <c r="M58" i="8"/>
  <c r="S57" i="8"/>
  <c r="R57" i="8"/>
  <c r="Q57" i="8"/>
  <c r="P57" i="8"/>
  <c r="O57" i="8"/>
  <c r="N57" i="8"/>
  <c r="M57" i="8"/>
  <c r="S56" i="8"/>
  <c r="R56" i="8"/>
  <c r="Q56" i="8"/>
  <c r="P56" i="8"/>
  <c r="O56" i="8"/>
  <c r="N56" i="8"/>
  <c r="M56" i="8"/>
  <c r="S55" i="8"/>
  <c r="R55" i="8"/>
  <c r="Q55" i="8"/>
  <c r="P55" i="8"/>
  <c r="O55" i="8"/>
  <c r="N55" i="8"/>
  <c r="M55" i="8"/>
  <c r="S54" i="8"/>
  <c r="R54" i="8"/>
  <c r="Q54" i="8"/>
  <c r="P54" i="8"/>
  <c r="O54" i="8"/>
  <c r="N54" i="8"/>
  <c r="M54" i="8"/>
  <c r="S53" i="8"/>
  <c r="R53" i="8"/>
  <c r="Q53" i="8"/>
  <c r="P53" i="8"/>
  <c r="O53" i="8"/>
  <c r="N53" i="8"/>
  <c r="M53" i="8"/>
  <c r="S52" i="8"/>
  <c r="R52" i="8"/>
  <c r="Q52" i="8"/>
  <c r="P52" i="8"/>
  <c r="O52" i="8"/>
  <c r="N52" i="8"/>
  <c r="M52" i="8"/>
  <c r="S51" i="8"/>
  <c r="R51" i="8"/>
  <c r="Q51" i="8"/>
  <c r="P51" i="8"/>
  <c r="O51" i="8"/>
  <c r="N51" i="8"/>
  <c r="M51" i="8"/>
  <c r="S50" i="8"/>
  <c r="R50" i="8"/>
  <c r="Q50" i="8"/>
  <c r="P50" i="8"/>
  <c r="O50" i="8"/>
  <c r="N50" i="8"/>
  <c r="M50" i="8"/>
  <c r="S49" i="8"/>
  <c r="R49" i="8"/>
  <c r="Q49" i="8"/>
  <c r="P49" i="8"/>
  <c r="O49" i="8"/>
  <c r="N49" i="8"/>
  <c r="M49" i="8"/>
  <c r="S48" i="8"/>
  <c r="R48" i="8"/>
  <c r="Q48" i="8"/>
  <c r="P48" i="8"/>
  <c r="O48" i="8"/>
  <c r="N48" i="8"/>
  <c r="M48" i="8"/>
  <c r="S47" i="8"/>
  <c r="R47" i="8"/>
  <c r="Q47" i="8"/>
  <c r="P47" i="8"/>
  <c r="O47" i="8"/>
  <c r="N47" i="8"/>
  <c r="M47" i="8"/>
  <c r="S46" i="8"/>
  <c r="R46" i="8"/>
  <c r="Q46" i="8"/>
  <c r="P46" i="8"/>
  <c r="O46" i="8"/>
  <c r="N46" i="8"/>
  <c r="M46" i="8"/>
  <c r="S45" i="8"/>
  <c r="R45" i="8"/>
  <c r="Q45" i="8"/>
  <c r="P45" i="8"/>
  <c r="O45" i="8"/>
  <c r="N45" i="8"/>
  <c r="M45" i="8"/>
  <c r="S44" i="8"/>
  <c r="R44" i="8"/>
  <c r="Q44" i="8"/>
  <c r="P44" i="8"/>
  <c r="O44" i="8"/>
  <c r="N44" i="8"/>
  <c r="M44" i="8"/>
  <c r="S43" i="8"/>
  <c r="R43" i="8"/>
  <c r="Q43" i="8"/>
  <c r="P43" i="8"/>
  <c r="O43" i="8"/>
  <c r="N43" i="8"/>
  <c r="M43" i="8"/>
  <c r="S42" i="8"/>
  <c r="R42" i="8"/>
  <c r="Q42" i="8"/>
  <c r="P42" i="8"/>
  <c r="O42" i="8"/>
  <c r="N42" i="8"/>
  <c r="M42" i="8"/>
  <c r="S41" i="8"/>
  <c r="R41" i="8"/>
  <c r="Q41" i="8"/>
  <c r="P41" i="8"/>
  <c r="O41" i="8"/>
  <c r="N41" i="8"/>
  <c r="M41" i="8"/>
  <c r="S40" i="8"/>
  <c r="R40" i="8"/>
  <c r="Q40" i="8"/>
  <c r="P40" i="8"/>
  <c r="O40" i="8"/>
  <c r="N40" i="8"/>
  <c r="M40" i="8"/>
  <c r="S39" i="8"/>
  <c r="R39" i="8"/>
  <c r="Q39" i="8"/>
  <c r="P39" i="8"/>
  <c r="O39" i="8"/>
  <c r="N39" i="8"/>
  <c r="M39" i="8"/>
  <c r="S38" i="8"/>
  <c r="R38" i="8"/>
  <c r="Q38" i="8"/>
  <c r="P38" i="8"/>
  <c r="O38" i="8"/>
  <c r="N38" i="8"/>
  <c r="M38" i="8"/>
  <c r="S37" i="8"/>
  <c r="R37" i="8"/>
  <c r="Q37" i="8"/>
  <c r="P37" i="8"/>
  <c r="O37" i="8"/>
  <c r="N37" i="8"/>
  <c r="M37" i="8"/>
  <c r="S36" i="8"/>
  <c r="R36" i="8"/>
  <c r="Q36" i="8"/>
  <c r="P36" i="8"/>
  <c r="O36" i="8"/>
  <c r="N36" i="8"/>
  <c r="M36" i="8"/>
  <c r="S35" i="8"/>
  <c r="R35" i="8"/>
  <c r="Q35" i="8"/>
  <c r="P35" i="8"/>
  <c r="O35" i="8"/>
  <c r="N35" i="8"/>
  <c r="M35" i="8"/>
  <c r="S34" i="8"/>
  <c r="R34" i="8"/>
  <c r="Q34" i="8"/>
  <c r="P34" i="8"/>
  <c r="O34" i="8"/>
  <c r="N34" i="8"/>
  <c r="M34" i="8"/>
  <c r="S33" i="8"/>
  <c r="R33" i="8"/>
  <c r="Q33" i="8"/>
  <c r="P33" i="8"/>
  <c r="O33" i="8"/>
  <c r="N33" i="8"/>
  <c r="M33" i="8"/>
  <c r="S32" i="8"/>
  <c r="R32" i="8"/>
  <c r="Q32" i="8"/>
  <c r="P32" i="8"/>
  <c r="O32" i="8"/>
  <c r="N32" i="8"/>
  <c r="M32" i="8"/>
  <c r="S31" i="8"/>
  <c r="R31" i="8"/>
  <c r="Q31" i="8"/>
  <c r="P31" i="8"/>
  <c r="O31" i="8"/>
  <c r="N31" i="8"/>
  <c r="M31" i="8"/>
  <c r="S30" i="8"/>
  <c r="R30" i="8"/>
  <c r="Q30" i="8"/>
  <c r="P30" i="8"/>
  <c r="O30" i="8"/>
  <c r="N30" i="8"/>
  <c r="M30" i="8"/>
  <c r="S29" i="8"/>
  <c r="R29" i="8"/>
  <c r="Q29" i="8"/>
  <c r="P29" i="8"/>
  <c r="O29" i="8"/>
  <c r="N29" i="8"/>
  <c r="M29" i="8"/>
  <c r="S28" i="8"/>
  <c r="R28" i="8"/>
  <c r="Q28" i="8"/>
  <c r="P28" i="8"/>
  <c r="O28" i="8"/>
  <c r="N28" i="8"/>
  <c r="M28" i="8"/>
  <c r="S27" i="8"/>
  <c r="R27" i="8"/>
  <c r="Q27" i="8"/>
  <c r="P27" i="8"/>
  <c r="O27" i="8"/>
  <c r="N27" i="8"/>
  <c r="M27" i="8"/>
  <c r="S26" i="8"/>
  <c r="R26" i="8"/>
  <c r="Q26" i="8"/>
  <c r="P26" i="8"/>
  <c r="O26" i="8"/>
  <c r="N26" i="8"/>
  <c r="M26" i="8"/>
  <c r="S25" i="8"/>
  <c r="R25" i="8"/>
  <c r="Q25" i="8"/>
  <c r="P25" i="8"/>
  <c r="O25" i="8"/>
  <c r="N25" i="8"/>
  <c r="M25" i="8"/>
  <c r="S24" i="8"/>
  <c r="R24" i="8"/>
  <c r="Q24" i="8"/>
  <c r="P24" i="8"/>
  <c r="O24" i="8"/>
  <c r="N24" i="8"/>
  <c r="M24" i="8"/>
  <c r="S23" i="8"/>
  <c r="R23" i="8"/>
  <c r="Q23" i="8"/>
  <c r="P23" i="8"/>
  <c r="O23" i="8"/>
  <c r="N23" i="8"/>
  <c r="M23" i="8"/>
  <c r="S22" i="8"/>
  <c r="R22" i="8"/>
  <c r="Q22" i="8"/>
  <c r="P22" i="8"/>
  <c r="O22" i="8"/>
  <c r="N22" i="8"/>
  <c r="M22" i="8"/>
  <c r="S21" i="8"/>
  <c r="R21" i="8"/>
  <c r="Q21" i="8"/>
  <c r="P21" i="8"/>
  <c r="O21" i="8"/>
  <c r="N21" i="8"/>
  <c r="M21" i="8"/>
  <c r="S20" i="8"/>
  <c r="R20" i="8"/>
  <c r="Q20" i="8"/>
  <c r="P20" i="8"/>
  <c r="O20" i="8"/>
  <c r="N20" i="8"/>
  <c r="M20" i="8"/>
  <c r="S19" i="8"/>
  <c r="R19" i="8"/>
  <c r="Q19" i="8"/>
  <c r="P19" i="8"/>
  <c r="O19" i="8"/>
  <c r="N19" i="8"/>
  <c r="M19" i="8"/>
  <c r="S18" i="8"/>
  <c r="R18" i="8"/>
  <c r="Q18" i="8"/>
  <c r="P18" i="8"/>
  <c r="O18" i="8"/>
  <c r="N18" i="8"/>
  <c r="M18" i="8"/>
  <c r="S17" i="8"/>
  <c r="R17" i="8"/>
  <c r="Q17" i="8"/>
  <c r="P17" i="8"/>
  <c r="O17" i="8"/>
  <c r="N17" i="8"/>
  <c r="M17" i="8"/>
  <c r="S16" i="8"/>
  <c r="R16" i="8"/>
  <c r="Q16" i="8"/>
  <c r="P16" i="8"/>
  <c r="O16" i="8"/>
  <c r="N16" i="8"/>
  <c r="M16" i="8"/>
  <c r="S15" i="8"/>
  <c r="R15" i="8"/>
  <c r="Q15" i="8"/>
  <c r="P15" i="8"/>
  <c r="O15" i="8"/>
  <c r="N15" i="8"/>
  <c r="M15" i="8"/>
  <c r="S14" i="8"/>
  <c r="R14" i="8"/>
  <c r="Q14" i="8"/>
  <c r="P14" i="8"/>
  <c r="O14" i="8"/>
  <c r="N14" i="8"/>
  <c r="M14" i="8"/>
  <c r="S13" i="8"/>
  <c r="R13" i="8"/>
  <c r="Q13" i="8"/>
  <c r="P13" i="8"/>
  <c r="O13" i="8"/>
  <c r="N13" i="8"/>
  <c r="M13" i="8"/>
  <c r="S12" i="8"/>
  <c r="R12" i="8"/>
  <c r="Q12" i="8"/>
  <c r="P12" i="8"/>
  <c r="O12" i="8"/>
  <c r="N12" i="8"/>
  <c r="M12" i="8"/>
  <c r="S11" i="8"/>
  <c r="R11" i="8"/>
  <c r="Q11" i="8"/>
  <c r="P11" i="8"/>
  <c r="O11" i="8"/>
  <c r="N11" i="8"/>
  <c r="M11" i="8"/>
  <c r="S10" i="8"/>
  <c r="R10" i="8"/>
  <c r="Q10" i="8"/>
  <c r="P10" i="8"/>
  <c r="O10" i="8"/>
  <c r="N10" i="8"/>
  <c r="M10" i="8"/>
  <c r="S9" i="8"/>
  <c r="R9" i="8"/>
  <c r="Q9" i="8"/>
  <c r="P9" i="8"/>
  <c r="O9" i="8"/>
  <c r="N9" i="8"/>
  <c r="M9" i="8"/>
  <c r="S8" i="8"/>
  <c r="R8" i="8"/>
  <c r="Q8" i="8"/>
  <c r="P8" i="8"/>
  <c r="O8" i="8"/>
  <c r="N8" i="8"/>
  <c r="M8" i="8"/>
  <c r="S7" i="8"/>
  <c r="R7" i="8"/>
  <c r="Q7" i="8"/>
  <c r="P7" i="8"/>
  <c r="O7" i="8"/>
  <c r="N7" i="8"/>
  <c r="M7" i="8"/>
  <c r="S6" i="8"/>
  <c r="R6" i="8"/>
  <c r="Q6" i="8"/>
  <c r="P6" i="8"/>
  <c r="O6" i="8"/>
  <c r="N6" i="8"/>
  <c r="M6" i="8"/>
  <c r="S5" i="8"/>
  <c r="R5" i="8"/>
  <c r="Q5" i="8"/>
  <c r="P5" i="8"/>
  <c r="O5" i="8"/>
  <c r="N5" i="8"/>
  <c r="M5" i="8"/>
  <c r="S4" i="8"/>
  <c r="R4" i="8"/>
  <c r="Q4" i="8"/>
  <c r="P4" i="8"/>
  <c r="O4" i="8"/>
  <c r="N4" i="8"/>
  <c r="M4" i="8"/>
  <c r="S3" i="8"/>
  <c r="R3" i="8"/>
  <c r="Q3" i="8"/>
  <c r="P3" i="8"/>
  <c r="O3" i="8"/>
  <c r="N3" i="8"/>
  <c r="M3" i="8"/>
  <c r="S2" i="8"/>
  <c r="R2" i="8"/>
  <c r="Q2" i="8"/>
  <c r="P2" i="8"/>
  <c r="O2" i="8"/>
  <c r="N2" i="8"/>
  <c r="M2" i="8"/>
  <c r="AC261" i="6"/>
  <c r="AB261" i="6"/>
  <c r="AA261" i="6"/>
  <c r="Z261" i="6"/>
  <c r="Y261" i="6"/>
  <c r="X261" i="6"/>
  <c r="W261" i="6"/>
  <c r="C260" i="6"/>
  <c r="V260" i="6" s="1"/>
  <c r="C259" i="6"/>
  <c r="V259" i="6" s="1"/>
  <c r="V258" i="6"/>
  <c r="C258" i="6"/>
  <c r="C257" i="6"/>
  <c r="V257" i="6" s="1"/>
  <c r="C256" i="6"/>
  <c r="V256" i="6" s="1"/>
  <c r="V255" i="6"/>
  <c r="C255" i="6"/>
  <c r="C254" i="6"/>
  <c r="V254" i="6" s="1"/>
  <c r="C253" i="6"/>
  <c r="V253" i="6" s="1"/>
  <c r="V252" i="6"/>
  <c r="C252" i="6"/>
  <c r="C251" i="6"/>
  <c r="V251" i="6" s="1"/>
  <c r="C250" i="6"/>
  <c r="V250" i="6" s="1"/>
  <c r="V249" i="6"/>
  <c r="C249" i="6"/>
  <c r="C248" i="6"/>
  <c r="V248" i="6" s="1"/>
  <c r="C247" i="6"/>
  <c r="V247" i="6" s="1"/>
  <c r="V246" i="6"/>
  <c r="C246" i="6"/>
  <c r="C245" i="6"/>
  <c r="V245" i="6" s="1"/>
  <c r="C244" i="6"/>
  <c r="V244" i="6" s="1"/>
  <c r="V243" i="6"/>
  <c r="C243" i="6"/>
  <c r="C242" i="6"/>
  <c r="V242" i="6" s="1"/>
  <c r="C241" i="6"/>
  <c r="V241" i="6" s="1"/>
  <c r="V240" i="6"/>
  <c r="C240" i="6"/>
  <c r="C239" i="6"/>
  <c r="V239" i="6" s="1"/>
  <c r="C238" i="6"/>
  <c r="V238" i="6" s="1"/>
  <c r="V237" i="6"/>
  <c r="C237" i="6"/>
  <c r="C236" i="6"/>
  <c r="V236" i="6" s="1"/>
  <c r="C235" i="6"/>
  <c r="V235" i="6" s="1"/>
  <c r="V234" i="6"/>
  <c r="C234" i="6"/>
  <c r="C233" i="6"/>
  <c r="V233" i="6" s="1"/>
  <c r="C232" i="6"/>
  <c r="V232" i="6" s="1"/>
  <c r="V231" i="6"/>
  <c r="C231" i="6"/>
  <c r="C230" i="6"/>
  <c r="V230" i="6" s="1"/>
  <c r="C229" i="6"/>
  <c r="V229" i="6" s="1"/>
  <c r="V228" i="6"/>
  <c r="C228" i="6"/>
  <c r="C227" i="6"/>
  <c r="V227" i="6" s="1"/>
  <c r="C226" i="6"/>
  <c r="V226" i="6" s="1"/>
  <c r="V225" i="6"/>
  <c r="C225" i="6"/>
  <c r="C224" i="6"/>
  <c r="V224" i="6" s="1"/>
  <c r="C223" i="6"/>
  <c r="V223" i="6" s="1"/>
  <c r="V222" i="6"/>
  <c r="C222" i="6"/>
  <c r="C221" i="6"/>
  <c r="V221" i="6" s="1"/>
  <c r="C220" i="6"/>
  <c r="V220" i="6" s="1"/>
  <c r="V219" i="6"/>
  <c r="C219" i="6"/>
  <c r="C218" i="6"/>
  <c r="V218" i="6" s="1"/>
  <c r="C217" i="6"/>
  <c r="V217" i="6" s="1"/>
  <c r="V216" i="6"/>
  <c r="C216" i="6"/>
  <c r="C215" i="6"/>
  <c r="V215" i="6" s="1"/>
  <c r="C214" i="6"/>
  <c r="V214" i="6" s="1"/>
  <c r="V213" i="6"/>
  <c r="C213" i="6"/>
  <c r="C212" i="6"/>
  <c r="V212" i="6" s="1"/>
  <c r="C211" i="6"/>
  <c r="V211" i="6" s="1"/>
  <c r="V210" i="6"/>
  <c r="C210" i="6"/>
  <c r="C209" i="6"/>
  <c r="V209" i="6" s="1"/>
  <c r="C208" i="6"/>
  <c r="V208" i="6" s="1"/>
  <c r="V207" i="6"/>
  <c r="C207" i="6"/>
  <c r="C206" i="6"/>
  <c r="V206" i="6" s="1"/>
  <c r="C205" i="6"/>
  <c r="V205" i="6" s="1"/>
  <c r="V204" i="6"/>
  <c r="C204" i="6"/>
  <c r="C203" i="6"/>
  <c r="V203" i="6" s="1"/>
  <c r="C202" i="6"/>
  <c r="V202" i="6" s="1"/>
  <c r="V201" i="6"/>
  <c r="C201" i="6"/>
  <c r="C200" i="6"/>
  <c r="V200" i="6" s="1"/>
  <c r="C199" i="6"/>
  <c r="V199" i="6" s="1"/>
  <c r="V198" i="6"/>
  <c r="C198" i="6"/>
  <c r="C197" i="6"/>
  <c r="V197" i="6" s="1"/>
  <c r="C196" i="6"/>
  <c r="V196" i="6" s="1"/>
  <c r="V195" i="6"/>
  <c r="C195" i="6"/>
  <c r="C194" i="6"/>
  <c r="V194" i="6" s="1"/>
  <c r="C193" i="6"/>
  <c r="V193" i="6" s="1"/>
  <c r="C192" i="6"/>
  <c r="C191" i="6"/>
  <c r="C190" i="6"/>
</calcChain>
</file>

<file path=xl/sharedStrings.xml><?xml version="1.0" encoding="utf-8"?>
<sst xmlns="http://schemas.openxmlformats.org/spreadsheetml/2006/main" count="176" uniqueCount="82">
  <si>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</si>
  <si>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</si>
  <si>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</si>
  <si>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</si>
  <si>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</si>
  <si>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</si>
  <si>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</si>
  <si>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</si>
  <si>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</si>
  <si>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</si>
  <si>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</si>
  <si>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</si>
  <si>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</si>
  <si>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</si>
  <si>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</si>
  <si>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</si>
  <si>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</si>
  <si>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</si>
  <si>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</si>
  <si>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</si>
  <si>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</si>
  <si>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</si>
  <si>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</si>
  <si>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</si>
  <si>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</si>
  <si>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</si>
  <si>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</si>
  <si>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</si>
  <si>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</si>
  <si>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</si>
  <si>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4q16</t>
  </si>
  <si>
    <t>3q16</t>
  </si>
  <si>
    <t>2q16</t>
  </si>
  <si>
    <t>1q16</t>
  </si>
  <si>
    <t>4q15</t>
  </si>
  <si>
    <t>3q15</t>
  </si>
  <si>
    <t>2q15</t>
  </si>
  <si>
    <t>1q15</t>
  </si>
  <si>
    <t>4q14</t>
  </si>
  <si>
    <t>3q14</t>
  </si>
  <si>
    <t>2q14</t>
  </si>
  <si>
    <t>1q14</t>
  </si>
  <si>
    <t>4q13</t>
  </si>
  <si>
    <t>3q13</t>
  </si>
  <si>
    <t>2q13</t>
  </si>
  <si>
    <t>1q13</t>
  </si>
  <si>
    <t>4q12</t>
  </si>
  <si>
    <t>3q12</t>
  </si>
  <si>
    <t>2q12</t>
  </si>
  <si>
    <t>1q12</t>
  </si>
  <si>
    <t>4q11</t>
  </si>
  <si>
    <t>3q11</t>
  </si>
  <si>
    <t>2q11</t>
  </si>
  <si>
    <t>1q11</t>
  </si>
  <si>
    <t>4q10</t>
  </si>
  <si>
    <t>3q10</t>
  </si>
  <si>
    <t>2q10</t>
  </si>
  <si>
    <t>1q10</t>
  </si>
  <si>
    <t>4q09</t>
  </si>
  <si>
    <t>3q09</t>
  </si>
  <si>
    <t>2q09</t>
  </si>
  <si>
    <t>1q09</t>
  </si>
  <si>
    <t>4q08</t>
  </si>
  <si>
    <t>3q08</t>
  </si>
  <si>
    <t>2q08</t>
  </si>
  <si>
    <t>1q08</t>
  </si>
  <si>
    <t>4q07</t>
  </si>
  <si>
    <t>3q07</t>
  </si>
  <si>
    <t>2q07</t>
  </si>
  <si>
    <t>1q07</t>
  </si>
  <si>
    <t>FG6</t>
  </si>
  <si>
    <t>FG5</t>
  </si>
  <si>
    <t>FG4</t>
  </si>
  <si>
    <t>FG3</t>
  </si>
  <si>
    <t>FG2</t>
  </si>
  <si>
    <t>FG1</t>
  </si>
  <si>
    <t>Monetary Policy</t>
  </si>
  <si>
    <t>Date</t>
  </si>
  <si>
    <t>mean</t>
  </si>
  <si>
    <t>date</t>
  </si>
  <si>
    <t>3q24</t>
  </si>
  <si>
    <t>4q24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</si>
</sst>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1" fillId="0" borderId="0" xfId="1"/>
    <xf numFmtId="11" fontId="1" fillId="0" borderId="0" xfId="1" applyNumberFormat="1"/>
    <xf numFmtId="14" fontId="1" fillId="0" borderId="0" xfId="1" applyNumberFormat="1"/>
    <xf numFmtId="11" fontId="0" fillId="0" borderId="0" xfId="0" applyNumberFormat="1"/>
    <xf numFmtId="0" fontId="1" fillId="0" borderId="0" xfId="2"/>
    <xf numFmtId="14" fontId="1" fillId="0" borderId="0" xfId="2" applyNumberFormat="1"/>
    <xf numFmtId="11" fontId="1" fillId="0" borderId="0" xfId="2" applyNumberFormat="1"/>
  </cellXfs>
  <cellStyles count="3">
    <cellStyle name="Normal" xfId="0" builtinId="0"/>
    <cellStyle name="Normal 3" xfId="1" xr:uid="{4874D6A0-C04E-445F-BC18-C923B5CFC566}"/>
    <cellStyle name="Normal 3 2" xfId="2" xr:uid="{2A962E0A-43D9-4DAC-8013-077C5E60B4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US_raw_policy_innovations!$E$1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US_raw_policy_innovations!$A$2:$A$260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US_raw_policy_innovations!$E$2:$E$260</c:f>
              <c:numCache>
                <c:formatCode>0.00E+00</c:formatCode>
                <c:ptCount val="259"/>
                <c:pt idx="0">
                  <c:v>3.1393742981536999E-17</c:v>
                </c:pt>
                <c:pt idx="1">
                  <c:v>-5.6090799964071904E-17</c:v>
                </c:pt>
                <c:pt idx="2">
                  <c:v>-3.0240886724728301E-16</c:v>
                </c:pt>
                <c:pt idx="3">
                  <c:v>-6.6360740799604695E-17</c:v>
                </c:pt>
                <c:pt idx="4">
                  <c:v>-1.00124645816888E-16</c:v>
                </c:pt>
                <c:pt idx="5">
                  <c:v>-2.7380229157131198E-16</c:v>
                </c:pt>
                <c:pt idx="6">
                  <c:v>-2.04664323950754E-16</c:v>
                </c:pt>
                <c:pt idx="7">
                  <c:v>-3.47138990212903E-16</c:v>
                </c:pt>
                <c:pt idx="8">
                  <c:v>-5.3906590896139396E-16</c:v>
                </c:pt>
                <c:pt idx="9">
                  <c:v>-6.2711913276511197E-16</c:v>
                </c:pt>
                <c:pt idx="10">
                  <c:v>-6.6060362183861099E-16</c:v>
                </c:pt>
                <c:pt idx="11">
                  <c:v>-8.1533624703741299E-16</c:v>
                </c:pt>
                <c:pt idx="12">
                  <c:v>-6.8434920298638295E-16</c:v>
                </c:pt>
                <c:pt idx="13">
                  <c:v>-4.8483569936312004E-16</c:v>
                </c:pt>
                <c:pt idx="14">
                  <c:v>-6.3564315565011598E-16</c:v>
                </c:pt>
                <c:pt idx="15">
                  <c:v>-7.0830181216661699E-16</c:v>
                </c:pt>
                <c:pt idx="16">
                  <c:v>-4.9127830284139502E-16</c:v>
                </c:pt>
                <c:pt idx="17">
                  <c:v>-5.8576277242889096E-16</c:v>
                </c:pt>
                <c:pt idx="18">
                  <c:v>-7.7245002436295997E-16</c:v>
                </c:pt>
                <c:pt idx="19">
                  <c:v>-6.0446557982725302E-16</c:v>
                </c:pt>
                <c:pt idx="20">
                  <c:v>-3.9827153633131601E-16</c:v>
                </c:pt>
                <c:pt idx="21">
                  <c:v>-4.6399581899897003E-16</c:v>
                </c:pt>
                <c:pt idx="22">
                  <c:v>-5.2292386697657602E-16</c:v>
                </c:pt>
                <c:pt idx="23">
                  <c:v>-6.1357556737091703E-16</c:v>
                </c:pt>
                <c:pt idx="24">
                  <c:v>-6.3105635116308805E-16</c:v>
                </c:pt>
                <c:pt idx="25">
                  <c:v>-7.1772251618685296E-16</c:v>
                </c:pt>
                <c:pt idx="26">
                  <c:v>-6.8389363184482301E-16</c:v>
                </c:pt>
                <c:pt idx="27">
                  <c:v>-6.1640268754316896E-16</c:v>
                </c:pt>
                <c:pt idx="28">
                  <c:v>-6.2106089105190196E-16</c:v>
                </c:pt>
                <c:pt idx="29">
                  <c:v>-4.8328661562981297E-16</c:v>
                </c:pt>
                <c:pt idx="30">
                  <c:v>-5.0543858299641996E-16</c:v>
                </c:pt>
                <c:pt idx="31">
                  <c:v>-5.9681858047881999E-16</c:v>
                </c:pt>
                <c:pt idx="32">
                  <c:v>-7.5633415875476398E-16</c:v>
                </c:pt>
                <c:pt idx="33">
                  <c:v>-1.0483637835697201E-15</c:v>
                </c:pt>
                <c:pt idx="34">
                  <c:v>-9.9266459738043196E-16</c:v>
                </c:pt>
                <c:pt idx="35">
                  <c:v>-9.2992634758246907E-16</c:v>
                </c:pt>
                <c:pt idx="36">
                  <c:v>-8.5520925853006398E-16</c:v>
                </c:pt>
                <c:pt idx="37">
                  <c:v>-9.08783079279485E-16</c:v>
                </c:pt>
                <c:pt idx="38">
                  <c:v>-6.5051545840698898E-16</c:v>
                </c:pt>
                <c:pt idx="39">
                  <c:v>-5.5199808295681697E-16</c:v>
                </c:pt>
                <c:pt idx="40">
                  <c:v>-5.4200585074514397E-16</c:v>
                </c:pt>
                <c:pt idx="41">
                  <c:v>-5.4560634516092799E-16</c:v>
                </c:pt>
                <c:pt idx="42">
                  <c:v>-6.1122918799877804E-16</c:v>
                </c:pt>
                <c:pt idx="43">
                  <c:v>-6.2626241291371801E-16</c:v>
                </c:pt>
                <c:pt idx="44">
                  <c:v>-8.7379142041546601E-16</c:v>
                </c:pt>
                <c:pt idx="45">
                  <c:v>-7.9524451946464502E-16</c:v>
                </c:pt>
                <c:pt idx="46">
                  <c:v>-8.2762736375919997E-16</c:v>
                </c:pt>
                <c:pt idx="47">
                  <c:v>-7.2144013970095596E-16</c:v>
                </c:pt>
                <c:pt idx="48">
                  <c:v>-5.2891439081410598E-16</c:v>
                </c:pt>
                <c:pt idx="49">
                  <c:v>-6.9615764690724004E-16</c:v>
                </c:pt>
                <c:pt idx="50">
                  <c:v>-6.1085451767153103E-16</c:v>
                </c:pt>
                <c:pt idx="51">
                  <c:v>-4.9649838611498495E-16</c:v>
                </c:pt>
                <c:pt idx="52">
                  <c:v>-6.1237100009360204E-16</c:v>
                </c:pt>
                <c:pt idx="53">
                  <c:v>-7.6497739334514202E-16</c:v>
                </c:pt>
                <c:pt idx="54">
                  <c:v>-5.9283830406301399E-16</c:v>
                </c:pt>
                <c:pt idx="55">
                  <c:v>-3.7912444582962601E-16</c:v>
                </c:pt>
                <c:pt idx="56">
                  <c:v>-3.3277092716507699E-16</c:v>
                </c:pt>
                <c:pt idx="57">
                  <c:v>-3.1972612355493898E-16</c:v>
                </c:pt>
                <c:pt idx="58">
                  <c:v>-2.5754185612717298E-16</c:v>
                </c:pt>
                <c:pt idx="59">
                  <c:v>-3.15753477737504E-16</c:v>
                </c:pt>
                <c:pt idx="60">
                  <c:v>-5.5435745087815904E-16</c:v>
                </c:pt>
                <c:pt idx="61">
                  <c:v>-4.4652540732499902E-16</c:v>
                </c:pt>
                <c:pt idx="62">
                  <c:v>-5.4616368032669502E-16</c:v>
                </c:pt>
                <c:pt idx="63">
                  <c:v>-7.9362920097453301E-16</c:v>
                </c:pt>
                <c:pt idx="64">
                  <c:v>-9.5288562774336792E-16</c:v>
                </c:pt>
                <c:pt idx="65">
                  <c:v>-1.0357451603432001E-15</c:v>
                </c:pt>
                <c:pt idx="66">
                  <c:v>-1.1361314786947201E-15</c:v>
                </c:pt>
                <c:pt idx="67">
                  <c:v>-1.0321340930826901E-15</c:v>
                </c:pt>
                <c:pt idx="68">
                  <c:v>-9.9062718100154096E-16</c:v>
                </c:pt>
                <c:pt idx="69">
                  <c:v>-8.1081451869257204E-16</c:v>
                </c:pt>
                <c:pt idx="70">
                  <c:v>-8.2956815747138104E-16</c:v>
                </c:pt>
                <c:pt idx="71">
                  <c:v>-7.4146633220565003E-16</c:v>
                </c:pt>
                <c:pt idx="72">
                  <c:v>-4.6900613659186097E-16</c:v>
                </c:pt>
                <c:pt idx="73">
                  <c:v>-3.3768246788244701E-16</c:v>
                </c:pt>
                <c:pt idx="74">
                  <c:v>-1.5722392967493801E-16</c:v>
                </c:pt>
                <c:pt idx="75">
                  <c:v>-2.7866045690966402E-16</c:v>
                </c:pt>
                <c:pt idx="76">
                  <c:v>9.7051180786518904E-17</c:v>
                </c:pt>
                <c:pt idx="77">
                  <c:v>5.8236559410346603E-18</c:v>
                </c:pt>
                <c:pt idx="78">
                  <c:v>2.99874428416486E-16</c:v>
                </c:pt>
                <c:pt idx="79">
                  <c:v>4.2220328079320402E-16</c:v>
                </c:pt>
                <c:pt idx="80">
                  <c:v>2.13470007987802E-16</c:v>
                </c:pt>
                <c:pt idx="81">
                  <c:v>1.4216522140407799E-16</c:v>
                </c:pt>
                <c:pt idx="82">
                  <c:v>1.9703174173682699E-16</c:v>
                </c:pt>
                <c:pt idx="83">
                  <c:v>5.9803104787114395E-16</c:v>
                </c:pt>
                <c:pt idx="84">
                  <c:v>1.8578880247829999E-16</c:v>
                </c:pt>
                <c:pt idx="85">
                  <c:v>4.2731346243526302E-16</c:v>
                </c:pt>
                <c:pt idx="86">
                  <c:v>4.4894091113730401E-16</c:v>
                </c:pt>
                <c:pt idx="87">
                  <c:v>5.7945595159158505E-16</c:v>
                </c:pt>
                <c:pt idx="88">
                  <c:v>6.9191951462446296E-16</c:v>
                </c:pt>
                <c:pt idx="89">
                  <c:v>6.3668346970151001E-16</c:v>
                </c:pt>
                <c:pt idx="90">
                  <c:v>6.6932680093205903E-16</c:v>
                </c:pt>
                <c:pt idx="91">
                  <c:v>2.9017620601876801E-16</c:v>
                </c:pt>
                <c:pt idx="92">
                  <c:v>3.2074566710931799E-16</c:v>
                </c:pt>
                <c:pt idx="93">
                  <c:v>2.0773156366011099E-16</c:v>
                </c:pt>
                <c:pt idx="94">
                  <c:v>6.3778297136188305E-17</c:v>
                </c:pt>
                <c:pt idx="95">
                  <c:v>5.8175783468360902E-17</c:v>
                </c:pt>
                <c:pt idx="96">
                  <c:v>1.67042787289797E-17</c:v>
                </c:pt>
                <c:pt idx="97">
                  <c:v>1.94788019156728E-16</c:v>
                </c:pt>
                <c:pt idx="98">
                  <c:v>3.8500846248758599E-16</c:v>
                </c:pt>
                <c:pt idx="99">
                  <c:v>3.48019958452676E-16</c:v>
                </c:pt>
                <c:pt idx="100">
                  <c:v>4.2348532739499099E-16</c:v>
                </c:pt>
                <c:pt idx="101">
                  <c:v>4.1830715587342798E-16</c:v>
                </c:pt>
                <c:pt idx="102">
                  <c:v>3.3725440811517301E-16</c:v>
                </c:pt>
                <c:pt idx="103">
                  <c:v>4.3936051749067099E-16</c:v>
                </c:pt>
                <c:pt idx="104">
                  <c:v>5.5747766213560401E-16</c:v>
                </c:pt>
                <c:pt idx="105">
                  <c:v>5.3872212236273901E-16</c:v>
                </c:pt>
                <c:pt idx="106">
                  <c:v>6.1880384253564598E-16</c:v>
                </c:pt>
                <c:pt idx="107">
                  <c:v>5.8318432337661799E-16</c:v>
                </c:pt>
                <c:pt idx="108">
                  <c:v>6.7849648762353505E-16</c:v>
                </c:pt>
                <c:pt idx="109">
                  <c:v>5.8359000583357905E-16</c:v>
                </c:pt>
                <c:pt idx="110">
                  <c:v>6.1321586346529102E-16</c:v>
                </c:pt>
                <c:pt idx="111">
                  <c:v>4.9562601997747798E-16</c:v>
                </c:pt>
                <c:pt idx="112">
                  <c:v>4.0033753691110302E-16</c:v>
                </c:pt>
                <c:pt idx="113">
                  <c:v>3.2501311700791898E-16</c:v>
                </c:pt>
                <c:pt idx="114">
                  <c:v>2.5189063676984102E-16</c:v>
                </c:pt>
                <c:pt idx="115">
                  <c:v>2.8428276612505701E-16</c:v>
                </c:pt>
                <c:pt idx="116">
                  <c:v>4.2920571334056601E-16</c:v>
                </c:pt>
                <c:pt idx="117">
                  <c:v>4.25588633804108E-16</c:v>
                </c:pt>
                <c:pt idx="118">
                  <c:v>5.9573190662875497E-16</c:v>
                </c:pt>
                <c:pt idx="119">
                  <c:v>4.6526173473700499E-16</c:v>
                </c:pt>
                <c:pt idx="120">
                  <c:v>4.9854185562242099E-16</c:v>
                </c:pt>
                <c:pt idx="121">
                  <c:v>4.1052406629746701E-16</c:v>
                </c:pt>
                <c:pt idx="122">
                  <c:v>2.1460892430956401E-16</c:v>
                </c:pt>
                <c:pt idx="123">
                  <c:v>3.6665918659732498E-16</c:v>
                </c:pt>
                <c:pt idx="124">
                  <c:v>2.08279586504866E-16</c:v>
                </c:pt>
                <c:pt idx="125">
                  <c:v>2.9748268121921299E-16</c:v>
                </c:pt>
                <c:pt idx="126">
                  <c:v>5.8657232080267099E-17</c:v>
                </c:pt>
                <c:pt idx="127">
                  <c:v>-4.96260560278227E-17</c:v>
                </c:pt>
                <c:pt idx="128">
                  <c:v>-2.60483199259353E-16</c:v>
                </c:pt>
                <c:pt idx="129">
                  <c:v>-4.26039043724834E-16</c:v>
                </c:pt>
                <c:pt idx="130">
                  <c:v>-5.92698970145033E-16</c:v>
                </c:pt>
                <c:pt idx="131">
                  <c:v>-7.6573149451886796E-16</c:v>
                </c:pt>
                <c:pt idx="132">
                  <c:v>-6.2824123658629397E-16</c:v>
                </c:pt>
                <c:pt idx="133">
                  <c:v>-6.6219633200848805E-16</c:v>
                </c:pt>
                <c:pt idx="134">
                  <c:v>-5.0133994183157803E-16</c:v>
                </c:pt>
                <c:pt idx="135">
                  <c:v>-4.32883881663622E-16</c:v>
                </c:pt>
                <c:pt idx="136">
                  <c:v>-3.0597001210106399E-16</c:v>
                </c:pt>
                <c:pt idx="137">
                  <c:v>-2.98730698904584E-16</c:v>
                </c:pt>
                <c:pt idx="138">
                  <c:v>-2.5169023965481099E-16</c:v>
                </c:pt>
                <c:pt idx="139">
                  <c:v>-1.64732867562212E-16</c:v>
                </c:pt>
                <c:pt idx="140">
                  <c:v>-2.3341913176198199E-17</c:v>
                </c:pt>
                <c:pt idx="141">
                  <c:v>-1.9957882103030899E-16</c:v>
                </c:pt>
                <c:pt idx="142">
                  <c:v>-6.9104614219676294E-17</c:v>
                </c:pt>
                <c:pt idx="143">
                  <c:v>4.9529815273486998E-17</c:v>
                </c:pt>
                <c:pt idx="144">
                  <c:v>-8.5470745582988107E-18</c:v>
                </c:pt>
                <c:pt idx="145">
                  <c:v>6.7862472245197305E-17</c:v>
                </c:pt>
                <c:pt idx="146">
                  <c:v>1.1534544823932899E-16</c:v>
                </c:pt>
                <c:pt idx="147">
                  <c:v>1.7113826832192199E-16</c:v>
                </c:pt>
                <c:pt idx="148">
                  <c:v>2.5201146909648502E-16</c:v>
                </c:pt>
                <c:pt idx="149">
                  <c:v>4.5968104212917001E-16</c:v>
                </c:pt>
                <c:pt idx="150">
                  <c:v>5.2723113043399004E-16</c:v>
                </c:pt>
                <c:pt idx="151">
                  <c:v>4.3043387563600699E-16</c:v>
                </c:pt>
                <c:pt idx="152">
                  <c:v>3.7946789766442402E-16</c:v>
                </c:pt>
                <c:pt idx="153">
                  <c:v>5.2671280133106396E-16</c:v>
                </c:pt>
                <c:pt idx="154">
                  <c:v>3.4832121140193401E-16</c:v>
                </c:pt>
                <c:pt idx="155">
                  <c:v>4.1021356442606998E-16</c:v>
                </c:pt>
                <c:pt idx="156">
                  <c:v>5.1503309983843699E-16</c:v>
                </c:pt>
                <c:pt idx="157">
                  <c:v>4.9583494563529504E-16</c:v>
                </c:pt>
                <c:pt idx="158">
                  <c:v>6.2247753255457799E-16</c:v>
                </c:pt>
                <c:pt idx="159">
                  <c:v>5.2646595289735101E-16</c:v>
                </c:pt>
                <c:pt idx="160">
                  <c:v>6.8963351139181805E-16</c:v>
                </c:pt>
                <c:pt idx="161">
                  <c:v>7.7162199395379101E-16</c:v>
                </c:pt>
                <c:pt idx="162">
                  <c:v>7.1433163708924103E-16</c:v>
                </c:pt>
                <c:pt idx="163">
                  <c:v>8.1485504878827296E-16</c:v>
                </c:pt>
                <c:pt idx="164">
                  <c:v>7.9186919529221798E-16</c:v>
                </c:pt>
                <c:pt idx="165">
                  <c:v>8.34238673947562E-16</c:v>
                </c:pt>
                <c:pt idx="166">
                  <c:v>8.5564635387051998E-16</c:v>
                </c:pt>
                <c:pt idx="167">
                  <c:v>7.07667389655996E-16</c:v>
                </c:pt>
                <c:pt idx="168">
                  <c:v>5.8836948540986997E-16</c:v>
                </c:pt>
                <c:pt idx="169">
                  <c:v>7.0015486420163397E-16</c:v>
                </c:pt>
                <c:pt idx="170">
                  <c:v>4.9274798880935896E-16</c:v>
                </c:pt>
                <c:pt idx="171">
                  <c:v>4.05806627814306E-16</c:v>
                </c:pt>
                <c:pt idx="172">
                  <c:v>4.3144095077485699E-16</c:v>
                </c:pt>
                <c:pt idx="173">
                  <c:v>3.6548967964064098E-16</c:v>
                </c:pt>
                <c:pt idx="174">
                  <c:v>1.7550869081101301E-16</c:v>
                </c:pt>
                <c:pt idx="175">
                  <c:v>1.8508316429842901E-16</c:v>
                </c:pt>
                <c:pt idx="176">
                  <c:v>3.8783291692581799E-17</c:v>
                </c:pt>
                <c:pt idx="177">
                  <c:v>1.94825433964526E-16</c:v>
                </c:pt>
                <c:pt idx="178">
                  <c:v>2.7972761597146401E-16</c:v>
                </c:pt>
                <c:pt idx="179">
                  <c:v>2.2055771864525899E-16</c:v>
                </c:pt>
                <c:pt idx="180">
                  <c:v>4.40845551549966E-16</c:v>
                </c:pt>
                <c:pt idx="181">
                  <c:v>5.0161085455197998E-16</c:v>
                </c:pt>
                <c:pt idx="182">
                  <c:v>6.6108409891625297E-16</c:v>
                </c:pt>
                <c:pt idx="183">
                  <c:v>7.2706582369899005E-16</c:v>
                </c:pt>
                <c:pt idx="184">
                  <c:v>9.2171473481110102E-16</c:v>
                </c:pt>
                <c:pt idx="185">
                  <c:v>9.4417820106873102E-16</c:v>
                </c:pt>
                <c:pt idx="186">
                  <c:v>9.9890555213498608E-16</c:v>
                </c:pt>
                <c:pt idx="187">
                  <c:v>1.18892909724615E-15</c:v>
                </c:pt>
                <c:pt idx="188">
                  <c:v>1.0900605866925599E-15</c:v>
                </c:pt>
                <c:pt idx="189">
                  <c:v>1.15651240923088E-15</c:v>
                </c:pt>
                <c:pt idx="190">
                  <c:v>1.19848045136075E-15</c:v>
                </c:pt>
                <c:pt idx="191">
                  <c:v>1.02520878074265E-15</c:v>
                </c:pt>
                <c:pt idx="192">
                  <c:v>9.0065873776934705E-16</c:v>
                </c:pt>
                <c:pt idx="193">
                  <c:v>8.4390522182585299E-16</c:v>
                </c:pt>
                <c:pt idx="194">
                  <c:v>7.6298923768357901E-16</c:v>
                </c:pt>
                <c:pt idx="195" formatCode="General">
                  <c:v>0.183928354810071</c:v>
                </c:pt>
                <c:pt idx="196" formatCode="General">
                  <c:v>0.20760934845545201</c:v>
                </c:pt>
                <c:pt idx="197" formatCode="General">
                  <c:v>0.118080536570029</c:v>
                </c:pt>
                <c:pt idx="198" formatCode="General">
                  <c:v>-1.8661028475978399E-2</c:v>
                </c:pt>
                <c:pt idx="199" formatCode="General">
                  <c:v>4.5306422279326401E-2</c:v>
                </c:pt>
                <c:pt idx="200" formatCode="General">
                  <c:v>7.0112492388729802E-3</c:v>
                </c:pt>
                <c:pt idx="201" formatCode="General">
                  <c:v>-9.2997039552210697E-2</c:v>
                </c:pt>
                <c:pt idx="202" formatCode="General">
                  <c:v>-4.11042143460707E-2</c:v>
                </c:pt>
                <c:pt idx="203" formatCode="General">
                  <c:v>-4.5482645925965799E-2</c:v>
                </c:pt>
                <c:pt idx="204" formatCode="General">
                  <c:v>-3.9200943583272599E-2</c:v>
                </c:pt>
                <c:pt idx="205" formatCode="General">
                  <c:v>-6.6700817645921798E-2</c:v>
                </c:pt>
                <c:pt idx="206" formatCode="General">
                  <c:v>-7.6267415000873695E-2</c:v>
                </c:pt>
                <c:pt idx="207" formatCode="General">
                  <c:v>-6.3439893014187093E-2</c:v>
                </c:pt>
                <c:pt idx="208" formatCode="General">
                  <c:v>-9.3044261428996494E-2</c:v>
                </c:pt>
                <c:pt idx="209" formatCode="General">
                  <c:v>-2.1733081114248001E-2</c:v>
                </c:pt>
                <c:pt idx="210" formatCode="General">
                  <c:v>-2.2570011370377601E-2</c:v>
                </c:pt>
                <c:pt idx="211" formatCode="General">
                  <c:v>-8.25512441294253E-2</c:v>
                </c:pt>
                <c:pt idx="212" formatCode="General">
                  <c:v>-6.8068778887362402E-2</c:v>
                </c:pt>
                <c:pt idx="213" formatCode="General">
                  <c:v>-1.7559997745668798E-2</c:v>
                </c:pt>
                <c:pt idx="214" formatCode="General">
                  <c:v>-3.5510471691618299E-2</c:v>
                </c:pt>
                <c:pt idx="215" formatCode="General">
                  <c:v>-5.8346808957142303E-2</c:v>
                </c:pt>
                <c:pt idx="216" formatCode="General">
                  <c:v>-4.4259429838022502E-2</c:v>
                </c:pt>
                <c:pt idx="217" formatCode="General">
                  <c:v>-9.1746256806028895E-2</c:v>
                </c:pt>
                <c:pt idx="218" formatCode="General">
                  <c:v>-6.4352196495686506E-2</c:v>
                </c:pt>
                <c:pt idx="219" formatCode="General">
                  <c:v>-6.0009194840076503E-2</c:v>
                </c:pt>
                <c:pt idx="220" formatCode="General">
                  <c:v>1.5693001175995001E-3</c:v>
                </c:pt>
                <c:pt idx="221" formatCode="General">
                  <c:v>3.66990759777081E-2</c:v>
                </c:pt>
                <c:pt idx="222" formatCode="General">
                  <c:v>-9.0583531301378899E-3</c:v>
                </c:pt>
                <c:pt idx="223" formatCode="General">
                  <c:v>2.4365721489964201E-2</c:v>
                </c:pt>
                <c:pt idx="224" formatCode="General">
                  <c:v>-9.7445135200783295E-2</c:v>
                </c:pt>
                <c:pt idx="225" formatCode="General">
                  <c:v>-2.24586224745097E-2</c:v>
                </c:pt>
                <c:pt idx="226" formatCode="General">
                  <c:v>-3.6630011261473E-2</c:v>
                </c:pt>
                <c:pt idx="227" formatCode="General">
                  <c:v>9.0654956029297407E-3</c:v>
                </c:pt>
                <c:pt idx="228" formatCode="General">
                  <c:v>1.8312738839433601E-2</c:v>
                </c:pt>
                <c:pt idx="229" formatCode="General">
                  <c:v>1.9962217361864099E-2</c:v>
                </c:pt>
                <c:pt idx="230" formatCode="General">
                  <c:v>-7.9431818925434199E-3</c:v>
                </c:pt>
                <c:pt idx="231" formatCode="General">
                  <c:v>-3.7544259748433E-2</c:v>
                </c:pt>
                <c:pt idx="232" formatCode="General">
                  <c:v>2.2483745206368502E-2</c:v>
                </c:pt>
                <c:pt idx="233" formatCode="General">
                  <c:v>2.2806211509426699E-2</c:v>
                </c:pt>
                <c:pt idx="234" formatCode="General">
                  <c:v>2.8428516975432701E-2</c:v>
                </c:pt>
                <c:pt idx="235" formatCode="General">
                  <c:v>3.9838704640525899E-2</c:v>
                </c:pt>
                <c:pt idx="236" formatCode="General">
                  <c:v>6.5975766103313497E-3</c:v>
                </c:pt>
                <c:pt idx="237" formatCode="General">
                  <c:v>-9.2372368235387206E-2</c:v>
                </c:pt>
                <c:pt idx="238" formatCode="General">
                  <c:v>-0.19125235126837201</c:v>
                </c:pt>
                <c:pt idx="239" formatCode="General">
                  <c:v>8.7240207234628497E-2</c:v>
                </c:pt>
                <c:pt idx="240" formatCode="General">
                  <c:v>-0.16638405702984799</c:v>
                </c:pt>
                <c:pt idx="241" formatCode="General">
                  <c:v>0.19425786226215599</c:v>
                </c:pt>
                <c:pt idx="242" formatCode="General">
                  <c:v>-3.5467203816721502E-3</c:v>
                </c:pt>
                <c:pt idx="243" formatCode="General">
                  <c:v>-0.19254999901386</c:v>
                </c:pt>
                <c:pt idx="244" formatCode="General">
                  <c:v>-0.265963427703794</c:v>
                </c:pt>
                <c:pt idx="245" formatCode="General">
                  <c:v>-0.33339175833815199</c:v>
                </c:pt>
                <c:pt idx="246" formatCode="General">
                  <c:v>-0.211170436105484</c:v>
                </c:pt>
                <c:pt idx="247" formatCode="General">
                  <c:v>-0.24525605110825799</c:v>
                </c:pt>
                <c:pt idx="248" formatCode="General">
                  <c:v>-4.1521485342866399E-2</c:v>
                </c:pt>
                <c:pt idx="249" formatCode="General">
                  <c:v>0.114731132223871</c:v>
                </c:pt>
                <c:pt idx="250" formatCode="General">
                  <c:v>0.24265392015661499</c:v>
                </c:pt>
                <c:pt idx="251" formatCode="General">
                  <c:v>0.173160153852674</c:v>
                </c:pt>
                <c:pt idx="252" formatCode="General">
                  <c:v>1.6861430242358599E-2</c:v>
                </c:pt>
                <c:pt idx="253" formatCode="General">
                  <c:v>0.165269823199622</c:v>
                </c:pt>
                <c:pt idx="254" formatCode="General">
                  <c:v>0.15467910892297501</c:v>
                </c:pt>
                <c:pt idx="255" formatCode="General">
                  <c:v>5.1957163705232803E-2</c:v>
                </c:pt>
                <c:pt idx="256" formatCode="General">
                  <c:v>0.10587678957360699</c:v>
                </c:pt>
                <c:pt idx="257" formatCode="General">
                  <c:v>0.110010050279225</c:v>
                </c:pt>
                <c:pt idx="258" formatCode="General">
                  <c:v>-0.106374110257523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533-966B-76F7FC3D35DB}"/>
            </c:ext>
          </c:extLst>
        </c:ser>
        <c:ser>
          <c:idx val="1"/>
          <c:order val="1"/>
          <c:tx>
            <c:strRef>
              <c:f>US_raw_policy_innovations!$F$1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US_raw_policy_innovations!$A$2:$A$260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US_raw_policy_innovations!$F$2:$F$260</c:f>
              <c:numCache>
                <c:formatCode>0.00E+00</c:formatCode>
                <c:ptCount val="259"/>
                <c:pt idx="0">
                  <c:v>2.4914083996689401E-16</c:v>
                </c:pt>
                <c:pt idx="1">
                  <c:v>-1.3748632229639001E-16</c:v>
                </c:pt>
                <c:pt idx="2">
                  <c:v>2.4824593012398501E-17</c:v>
                </c:pt>
                <c:pt idx="3">
                  <c:v>8.11103211424066E-17</c:v>
                </c:pt>
                <c:pt idx="4">
                  <c:v>-1.5380871065708599E-17</c:v>
                </c:pt>
                <c:pt idx="5">
                  <c:v>-2.0710052390866901E-17</c:v>
                </c:pt>
                <c:pt idx="6">
                  <c:v>-1.27062444297008E-16</c:v>
                </c:pt>
                <c:pt idx="7">
                  <c:v>-2.1190135512241899E-16</c:v>
                </c:pt>
                <c:pt idx="8">
                  <c:v>-4.0846119798187698E-16</c:v>
                </c:pt>
                <c:pt idx="9">
                  <c:v>-2.7832245887480101E-16</c:v>
                </c:pt>
                <c:pt idx="10">
                  <c:v>-3.7499078379692299E-16</c:v>
                </c:pt>
                <c:pt idx="11">
                  <c:v>-4.04821683541635E-16</c:v>
                </c:pt>
                <c:pt idx="12">
                  <c:v>-2.90720476638569E-16</c:v>
                </c:pt>
                <c:pt idx="13">
                  <c:v>-1.31613833484905E-16</c:v>
                </c:pt>
                <c:pt idx="14">
                  <c:v>-4.2562862560777599E-16</c:v>
                </c:pt>
                <c:pt idx="15">
                  <c:v>-1.55781004778822E-16</c:v>
                </c:pt>
                <c:pt idx="16">
                  <c:v>-1.7267437627655701E-16</c:v>
                </c:pt>
                <c:pt idx="17">
                  <c:v>-2.2412714074514201E-16</c:v>
                </c:pt>
                <c:pt idx="18">
                  <c:v>-2.71872284223125E-16</c:v>
                </c:pt>
                <c:pt idx="19">
                  <c:v>-2.70496268159614E-17</c:v>
                </c:pt>
                <c:pt idx="20">
                  <c:v>-8.7698922910649701E-17</c:v>
                </c:pt>
                <c:pt idx="21">
                  <c:v>-7.69126408864912E-17</c:v>
                </c:pt>
                <c:pt idx="22">
                  <c:v>-1.00986365094649E-16</c:v>
                </c:pt>
                <c:pt idx="23">
                  <c:v>-1.6686513927457601E-16</c:v>
                </c:pt>
                <c:pt idx="24">
                  <c:v>-2.8860183984357999E-16</c:v>
                </c:pt>
                <c:pt idx="25">
                  <c:v>-2.7208064307807299E-16</c:v>
                </c:pt>
                <c:pt idx="26">
                  <c:v>-2.37954165643193E-16</c:v>
                </c:pt>
                <c:pt idx="27">
                  <c:v>-1.40267377619204E-16</c:v>
                </c:pt>
                <c:pt idx="28">
                  <c:v>-1.18846894803765E-16</c:v>
                </c:pt>
                <c:pt idx="29">
                  <c:v>-1.01176097064875E-16</c:v>
                </c:pt>
                <c:pt idx="30">
                  <c:v>-3.5700013843276502E-16</c:v>
                </c:pt>
                <c:pt idx="31">
                  <c:v>-1.31131803865125E-16</c:v>
                </c:pt>
                <c:pt idx="32">
                  <c:v>-5.7891485766707698E-16</c:v>
                </c:pt>
                <c:pt idx="33">
                  <c:v>-5.0148253643902503E-16</c:v>
                </c:pt>
                <c:pt idx="34">
                  <c:v>-6.0942882394023197E-16</c:v>
                </c:pt>
                <c:pt idx="35">
                  <c:v>-5.2938183358859896E-16</c:v>
                </c:pt>
                <c:pt idx="36">
                  <c:v>-5.4106752750009297E-16</c:v>
                </c:pt>
                <c:pt idx="37">
                  <c:v>-3.93669813026999E-16</c:v>
                </c:pt>
                <c:pt idx="38">
                  <c:v>-1.3121144239832E-16</c:v>
                </c:pt>
                <c:pt idx="39">
                  <c:v>-1.8959389525766199E-16</c:v>
                </c:pt>
                <c:pt idx="40">
                  <c:v>-4.7187264289715202E-17</c:v>
                </c:pt>
                <c:pt idx="41">
                  <c:v>-1.9635898274628601E-16</c:v>
                </c:pt>
                <c:pt idx="42">
                  <c:v>-2.6910813197129299E-16</c:v>
                </c:pt>
                <c:pt idx="43">
                  <c:v>-4.1597028007829201E-16</c:v>
                </c:pt>
                <c:pt idx="44">
                  <c:v>-6.1156805586630097E-16</c:v>
                </c:pt>
                <c:pt idx="45">
                  <c:v>-5.8767968001658696E-16</c:v>
                </c:pt>
                <c:pt idx="46">
                  <c:v>-6.2360801174572498E-16</c:v>
                </c:pt>
                <c:pt idx="47">
                  <c:v>-3.8325075980312302E-16</c:v>
                </c:pt>
                <c:pt idx="48">
                  <c:v>-4.2368582588815798E-16</c:v>
                </c:pt>
                <c:pt idx="49">
                  <c:v>-3.2551317256438802E-16</c:v>
                </c:pt>
                <c:pt idx="50">
                  <c:v>-3.26359743875742E-16</c:v>
                </c:pt>
                <c:pt idx="51">
                  <c:v>-2.6740449659148999E-16</c:v>
                </c:pt>
                <c:pt idx="52">
                  <c:v>-5.3474471983683095E-16</c:v>
                </c:pt>
                <c:pt idx="53">
                  <c:v>-4.5842651107430399E-16</c:v>
                </c:pt>
                <c:pt idx="54">
                  <c:v>-2.2557902463952502E-16</c:v>
                </c:pt>
                <c:pt idx="55">
                  <c:v>-6.5152678661210902E-17</c:v>
                </c:pt>
                <c:pt idx="56">
                  <c:v>-7.9698351277287806E-18</c:v>
                </c:pt>
                <c:pt idx="57">
                  <c:v>-1.16919913925698E-17</c:v>
                </c:pt>
                <c:pt idx="58">
                  <c:v>-2.5965873082760899E-17</c:v>
                </c:pt>
                <c:pt idx="59">
                  <c:v>-1.2610092530964201E-16</c:v>
                </c:pt>
                <c:pt idx="60">
                  <c:v>-2.67791384246825E-16</c:v>
                </c:pt>
                <c:pt idx="61">
                  <c:v>-3.6119279561927499E-16</c:v>
                </c:pt>
                <c:pt idx="62">
                  <c:v>-5.3741544797458E-16</c:v>
                </c:pt>
                <c:pt idx="63">
                  <c:v>-7.6248274991966597E-16</c:v>
                </c:pt>
                <c:pt idx="64">
                  <c:v>-7.6818784155198903E-16</c:v>
                </c:pt>
                <c:pt idx="65">
                  <c:v>-7.6758127751080296E-16</c:v>
                </c:pt>
                <c:pt idx="66">
                  <c:v>-7.8616953154225699E-16</c:v>
                </c:pt>
                <c:pt idx="67">
                  <c:v>-7.0946783505551398E-16</c:v>
                </c:pt>
                <c:pt idx="68">
                  <c:v>-8.0887309009016099E-16</c:v>
                </c:pt>
                <c:pt idx="69">
                  <c:v>-4.9742041759218602E-16</c:v>
                </c:pt>
                <c:pt idx="70">
                  <c:v>-6.6030730588782101E-16</c:v>
                </c:pt>
                <c:pt idx="71">
                  <c:v>-2.7342401087811498E-16</c:v>
                </c:pt>
                <c:pt idx="72">
                  <c:v>-3.1694703156141398E-16</c:v>
                </c:pt>
                <c:pt idx="73">
                  <c:v>4.1959726687667101E-17</c:v>
                </c:pt>
                <c:pt idx="74">
                  <c:v>-2.0299350682878501E-16</c:v>
                </c:pt>
                <c:pt idx="75">
                  <c:v>1.20120848354584E-16</c:v>
                </c:pt>
                <c:pt idx="76">
                  <c:v>1.9425029425069901E-16</c:v>
                </c:pt>
                <c:pt idx="77">
                  <c:v>2.1493199527075201E-16</c:v>
                </c:pt>
                <c:pt idx="78">
                  <c:v>4.9808516553885704E-16</c:v>
                </c:pt>
                <c:pt idx="79">
                  <c:v>4.3241007108020898E-16</c:v>
                </c:pt>
                <c:pt idx="80">
                  <c:v>4.9863927607049695E-16</c:v>
                </c:pt>
                <c:pt idx="81">
                  <c:v>2.03073913490411E-16</c:v>
                </c:pt>
                <c:pt idx="82">
                  <c:v>5.3434392355635398E-16</c:v>
                </c:pt>
                <c:pt idx="83">
                  <c:v>2.7680086821642299E-16</c:v>
                </c:pt>
                <c:pt idx="84">
                  <c:v>2.70895797468237E-16</c:v>
                </c:pt>
                <c:pt idx="85">
                  <c:v>5.46533830647813E-16</c:v>
                </c:pt>
                <c:pt idx="86">
                  <c:v>4.1589561607292998E-16</c:v>
                </c:pt>
                <c:pt idx="87">
                  <c:v>6.4181891790794999E-16</c:v>
                </c:pt>
                <c:pt idx="88">
                  <c:v>3.2021589365263199E-16</c:v>
                </c:pt>
                <c:pt idx="89">
                  <c:v>6.5840587525886198E-16</c:v>
                </c:pt>
                <c:pt idx="90">
                  <c:v>3.1904161666961199E-16</c:v>
                </c:pt>
                <c:pt idx="91">
                  <c:v>1.9312128680225301E-16</c:v>
                </c:pt>
                <c:pt idx="92">
                  <c:v>9.8363951437529803E-17</c:v>
                </c:pt>
                <c:pt idx="93">
                  <c:v>-4.1165854224678203E-17</c:v>
                </c:pt>
                <c:pt idx="94">
                  <c:v>-1.3358088630807001E-16</c:v>
                </c:pt>
                <c:pt idx="95">
                  <c:v>-4.6318027909299303E-18</c:v>
                </c:pt>
                <c:pt idx="96">
                  <c:v>3.08341208249939E-17</c:v>
                </c:pt>
                <c:pt idx="97">
                  <c:v>2.6240377214620899E-16</c:v>
                </c:pt>
                <c:pt idx="98">
                  <c:v>2.7455979725335599E-16</c:v>
                </c:pt>
                <c:pt idx="99">
                  <c:v>3.3602997551146E-16</c:v>
                </c:pt>
                <c:pt idx="100">
                  <c:v>2.6220184765494901E-16</c:v>
                </c:pt>
                <c:pt idx="101">
                  <c:v>4.31238885761967E-16</c:v>
                </c:pt>
                <c:pt idx="102">
                  <c:v>1.7755454363175201E-16</c:v>
                </c:pt>
                <c:pt idx="103">
                  <c:v>4.6436978161216203E-16</c:v>
                </c:pt>
                <c:pt idx="104">
                  <c:v>4.3632825964532902E-16</c:v>
                </c:pt>
                <c:pt idx="105">
                  <c:v>6.2770175052485796E-16</c:v>
                </c:pt>
                <c:pt idx="106">
                  <c:v>5.1836465892152297E-16</c:v>
                </c:pt>
                <c:pt idx="107">
                  <c:v>7.1647811886921799E-16</c:v>
                </c:pt>
                <c:pt idx="108">
                  <c:v>6.3644954219198502E-16</c:v>
                </c:pt>
                <c:pt idx="109">
                  <c:v>7.3349560153781205E-16</c:v>
                </c:pt>
                <c:pt idx="110">
                  <c:v>6.1750001792567099E-16</c:v>
                </c:pt>
                <c:pt idx="111">
                  <c:v>6.4322179335138198E-16</c:v>
                </c:pt>
                <c:pt idx="112">
                  <c:v>4.7159407519623999E-16</c:v>
                </c:pt>
                <c:pt idx="113">
                  <c:v>4.9318925965860799E-16</c:v>
                </c:pt>
                <c:pt idx="114">
                  <c:v>3.9173808461815901E-16</c:v>
                </c:pt>
                <c:pt idx="115">
                  <c:v>5.1956580472704697E-16</c:v>
                </c:pt>
                <c:pt idx="116">
                  <c:v>5.7198320898651597E-16</c:v>
                </c:pt>
                <c:pt idx="117">
                  <c:v>6.5366181186793903E-16</c:v>
                </c:pt>
                <c:pt idx="118">
                  <c:v>7.2902894167190897E-16</c:v>
                </c:pt>
                <c:pt idx="119">
                  <c:v>5.3582644653251902E-16</c:v>
                </c:pt>
                <c:pt idx="120">
                  <c:v>7.6696350472939202E-16</c:v>
                </c:pt>
                <c:pt idx="121">
                  <c:v>4.4523524270856001E-16</c:v>
                </c:pt>
                <c:pt idx="122">
                  <c:v>5.7629187225735999E-16</c:v>
                </c:pt>
                <c:pt idx="123">
                  <c:v>3.89157704211664E-16</c:v>
                </c:pt>
                <c:pt idx="124">
                  <c:v>4.8922843672609397E-16</c:v>
                </c:pt>
                <c:pt idx="125">
                  <c:v>3.3260528941224302E-16</c:v>
                </c:pt>
                <c:pt idx="126">
                  <c:v>1.6984664095668E-16</c:v>
                </c:pt>
                <c:pt idx="127">
                  <c:v>1.44875910184965E-16</c:v>
                </c:pt>
                <c:pt idx="128">
                  <c:v>-2.07129246829629E-16</c:v>
                </c:pt>
                <c:pt idx="129">
                  <c:v>-1.2790631344070799E-16</c:v>
                </c:pt>
                <c:pt idx="130">
                  <c:v>-4.5197421176319904E-16</c:v>
                </c:pt>
                <c:pt idx="131">
                  <c:v>-3.4161459403479802E-16</c:v>
                </c:pt>
                <c:pt idx="132">
                  <c:v>-3.9133359102951701E-16</c:v>
                </c:pt>
                <c:pt idx="133">
                  <c:v>-2.6589289502168499E-16</c:v>
                </c:pt>
                <c:pt idx="134">
                  <c:v>-2.0281066103911499E-16</c:v>
                </c:pt>
                <c:pt idx="135">
                  <c:v>8.1112092325185495E-19</c:v>
                </c:pt>
                <c:pt idx="136">
                  <c:v>-8.3972479837913202E-17</c:v>
                </c:pt>
                <c:pt idx="137">
                  <c:v>1.08300256611421E-17</c:v>
                </c:pt>
                <c:pt idx="138">
                  <c:v>-2.0059124097054499E-17</c:v>
                </c:pt>
                <c:pt idx="139">
                  <c:v>1.10589092755535E-16</c:v>
                </c:pt>
                <c:pt idx="140">
                  <c:v>1.84942980419243E-16</c:v>
                </c:pt>
                <c:pt idx="141">
                  <c:v>4.9195383698692997E-18</c:v>
                </c:pt>
                <c:pt idx="142">
                  <c:v>1.5505135249333499E-16</c:v>
                </c:pt>
                <c:pt idx="143">
                  <c:v>9.9375310543947001E-17</c:v>
                </c:pt>
                <c:pt idx="144">
                  <c:v>7.9736689104328703E-17</c:v>
                </c:pt>
                <c:pt idx="145">
                  <c:v>7.0928997814321205E-17</c:v>
                </c:pt>
                <c:pt idx="146">
                  <c:v>2.36573671648485E-16</c:v>
                </c:pt>
                <c:pt idx="147">
                  <c:v>2.3424920760331899E-16</c:v>
                </c:pt>
                <c:pt idx="148">
                  <c:v>3.5172339771585E-16</c:v>
                </c:pt>
                <c:pt idx="149">
                  <c:v>5.1700963952580098E-16</c:v>
                </c:pt>
                <c:pt idx="150">
                  <c:v>5.38989690080703E-16</c:v>
                </c:pt>
                <c:pt idx="151">
                  <c:v>3.5193914174102298E-16</c:v>
                </c:pt>
                <c:pt idx="152">
                  <c:v>5.82259305972024E-16</c:v>
                </c:pt>
                <c:pt idx="153">
                  <c:v>4.3829038668623702E-16</c:v>
                </c:pt>
                <c:pt idx="154">
                  <c:v>3.1948241375579298E-16</c:v>
                </c:pt>
                <c:pt idx="155">
                  <c:v>5.0011496137006705E-16</c:v>
                </c:pt>
                <c:pt idx="156">
                  <c:v>4.9662219703906499E-16</c:v>
                </c:pt>
                <c:pt idx="157">
                  <c:v>5.7264659852847303E-16</c:v>
                </c:pt>
                <c:pt idx="158">
                  <c:v>5.6964913847052902E-16</c:v>
                </c:pt>
                <c:pt idx="159">
                  <c:v>5.4160527325234197E-16</c:v>
                </c:pt>
                <c:pt idx="160">
                  <c:v>7.6284634957920002E-16</c:v>
                </c:pt>
                <c:pt idx="161">
                  <c:v>8.0254838784614298E-16</c:v>
                </c:pt>
                <c:pt idx="162">
                  <c:v>8.2819941151765196E-16</c:v>
                </c:pt>
                <c:pt idx="163">
                  <c:v>8.2861908986270202E-16</c:v>
                </c:pt>
                <c:pt idx="164">
                  <c:v>8.9335970597124795E-16</c:v>
                </c:pt>
                <c:pt idx="165">
                  <c:v>7.9945533543507003E-16</c:v>
                </c:pt>
                <c:pt idx="166">
                  <c:v>9.0427424779120901E-16</c:v>
                </c:pt>
                <c:pt idx="167">
                  <c:v>5.3242285622325698E-16</c:v>
                </c:pt>
                <c:pt idx="168">
                  <c:v>6.8788614964039699E-16</c:v>
                </c:pt>
                <c:pt idx="169">
                  <c:v>5.3047836982338498E-16</c:v>
                </c:pt>
                <c:pt idx="170">
                  <c:v>4.3682926378018702E-16</c:v>
                </c:pt>
                <c:pt idx="171">
                  <c:v>3.9428241137332901E-16</c:v>
                </c:pt>
                <c:pt idx="172">
                  <c:v>3.8932425081357499E-16</c:v>
                </c:pt>
                <c:pt idx="173">
                  <c:v>2.4819727184279102E-16</c:v>
                </c:pt>
                <c:pt idx="174">
                  <c:v>1.05508714786506E-16</c:v>
                </c:pt>
                <c:pt idx="175">
                  <c:v>7.5522246067342395E-17</c:v>
                </c:pt>
                <c:pt idx="176">
                  <c:v>-2.7191964481656301E-17</c:v>
                </c:pt>
                <c:pt idx="177">
                  <c:v>2.0111047851258301E-16</c:v>
                </c:pt>
                <c:pt idx="178">
                  <c:v>8.9579364516075197E-17</c:v>
                </c:pt>
                <c:pt idx="179">
                  <c:v>2.5584917752223499E-16</c:v>
                </c:pt>
                <c:pt idx="180">
                  <c:v>2.50266973995372E-16</c:v>
                </c:pt>
                <c:pt idx="181">
                  <c:v>4.1028978733083499E-16</c:v>
                </c:pt>
                <c:pt idx="182">
                  <c:v>4.4125156534677801E-16</c:v>
                </c:pt>
                <c:pt idx="183">
                  <c:v>6.1036075336525102E-16</c:v>
                </c:pt>
                <c:pt idx="184">
                  <c:v>7.2984416592048401E-16</c:v>
                </c:pt>
                <c:pt idx="185">
                  <c:v>6.8832282134100496E-16</c:v>
                </c:pt>
                <c:pt idx="186">
                  <c:v>8.3688142305434897E-16</c:v>
                </c:pt>
                <c:pt idx="187">
                  <c:v>8.9879575680946401E-16</c:v>
                </c:pt>
                <c:pt idx="188">
                  <c:v>9.4384056346422298E-16</c:v>
                </c:pt>
                <c:pt idx="189">
                  <c:v>1.0241646806096299E-15</c:v>
                </c:pt>
                <c:pt idx="190">
                  <c:v>9.2130305039817699E-16</c:v>
                </c:pt>
                <c:pt idx="191">
                  <c:v>8.2260185587558005E-16</c:v>
                </c:pt>
                <c:pt idx="192">
                  <c:v>7.76407969953344E-16</c:v>
                </c:pt>
                <c:pt idx="193">
                  <c:v>7.0700785260862804E-16</c:v>
                </c:pt>
                <c:pt idx="194">
                  <c:v>6.5789050647099104E-16</c:v>
                </c:pt>
                <c:pt idx="195" formatCode="General">
                  <c:v>0.14181348534904401</c:v>
                </c:pt>
                <c:pt idx="196" formatCode="General">
                  <c:v>0.119218456911976</c:v>
                </c:pt>
                <c:pt idx="197" formatCode="General">
                  <c:v>8.8024830082468197E-2</c:v>
                </c:pt>
                <c:pt idx="198" formatCode="General">
                  <c:v>-1.6037728534702199E-3</c:v>
                </c:pt>
                <c:pt idx="199" formatCode="General">
                  <c:v>3.5057824657569299E-2</c:v>
                </c:pt>
                <c:pt idx="200" formatCode="General">
                  <c:v>1.3873884594286101E-2</c:v>
                </c:pt>
                <c:pt idx="201" formatCode="General">
                  <c:v>-7.7097480524233999E-2</c:v>
                </c:pt>
                <c:pt idx="202" formatCode="General">
                  <c:v>-6.6357520614128807E-2</c:v>
                </c:pt>
                <c:pt idx="203" formatCode="General">
                  <c:v>-6.1579627179551399E-2</c:v>
                </c:pt>
                <c:pt idx="204" formatCode="General">
                  <c:v>-1.7910699806624499E-2</c:v>
                </c:pt>
                <c:pt idx="205" formatCode="General">
                  <c:v>-4.9566463151524798E-2</c:v>
                </c:pt>
                <c:pt idx="206" formatCode="General">
                  <c:v>-9.1231278940306804E-2</c:v>
                </c:pt>
                <c:pt idx="207" formatCode="General">
                  <c:v>-6.6314100775489299E-2</c:v>
                </c:pt>
                <c:pt idx="208" formatCode="General">
                  <c:v>-7.8353131265800804E-2</c:v>
                </c:pt>
                <c:pt idx="209" formatCode="General">
                  <c:v>-4.5813841891881403E-2</c:v>
                </c:pt>
                <c:pt idx="210" formatCode="General">
                  <c:v>-3.15752328508778E-2</c:v>
                </c:pt>
                <c:pt idx="211" formatCode="General">
                  <c:v>-6.86527910898833E-2</c:v>
                </c:pt>
                <c:pt idx="212" formatCode="General">
                  <c:v>-5.3311730307590899E-2</c:v>
                </c:pt>
                <c:pt idx="213" formatCode="General">
                  <c:v>-2.65418077610469E-3</c:v>
                </c:pt>
                <c:pt idx="214" formatCode="General">
                  <c:v>-4.8248006317305699E-2</c:v>
                </c:pt>
                <c:pt idx="215" formatCode="General">
                  <c:v>-6.58039288421126E-2</c:v>
                </c:pt>
                <c:pt idx="216" formatCode="General">
                  <c:v>-6.4291762514952305E-2</c:v>
                </c:pt>
                <c:pt idx="217" formatCode="General">
                  <c:v>-6.8821182528313304E-2</c:v>
                </c:pt>
                <c:pt idx="218" formatCode="General">
                  <c:v>-5.1152141661928198E-2</c:v>
                </c:pt>
                <c:pt idx="219" formatCode="General">
                  <c:v>-1.68496262106601E-2</c:v>
                </c:pt>
                <c:pt idx="220" formatCode="General">
                  <c:v>2.9454931625600301E-2</c:v>
                </c:pt>
                <c:pt idx="221" formatCode="General">
                  <c:v>6.8553556251782404E-3</c:v>
                </c:pt>
                <c:pt idx="222" formatCode="General">
                  <c:v>1.24131951672093E-2</c:v>
                </c:pt>
                <c:pt idx="223" formatCode="General">
                  <c:v>-6.7708268060337598E-2</c:v>
                </c:pt>
                <c:pt idx="224" formatCode="General">
                  <c:v>-4.02324050441107E-2</c:v>
                </c:pt>
                <c:pt idx="225" formatCode="General">
                  <c:v>-2.9343617103874699E-2</c:v>
                </c:pt>
                <c:pt idx="226" formatCode="General">
                  <c:v>-7.4276807608243001E-3</c:v>
                </c:pt>
                <c:pt idx="227" formatCode="General">
                  <c:v>2.3835411120257301E-2</c:v>
                </c:pt>
                <c:pt idx="228" formatCode="General">
                  <c:v>2.3708218742661699E-2</c:v>
                </c:pt>
                <c:pt idx="229" formatCode="General">
                  <c:v>-7.3121600150986097E-3</c:v>
                </c:pt>
                <c:pt idx="230" formatCode="General">
                  <c:v>-2.1253928288309801E-2</c:v>
                </c:pt>
                <c:pt idx="231" formatCode="General">
                  <c:v>1.8541655265151599E-2</c:v>
                </c:pt>
                <c:pt idx="232" formatCode="General">
                  <c:v>2.1487923195874101E-2</c:v>
                </c:pt>
                <c:pt idx="233" formatCode="General">
                  <c:v>2.2008395051654899E-2</c:v>
                </c:pt>
                <c:pt idx="234" formatCode="General">
                  <c:v>4.1080024205349203E-2</c:v>
                </c:pt>
                <c:pt idx="235" formatCode="General">
                  <c:v>3.5811613803490498E-3</c:v>
                </c:pt>
                <c:pt idx="236" formatCode="General">
                  <c:v>-7.5908952278071998E-2</c:v>
                </c:pt>
                <c:pt idx="237" formatCode="General">
                  <c:v>-0.16786352290322501</c:v>
                </c:pt>
                <c:pt idx="238" formatCode="General">
                  <c:v>5.6321311920413598E-2</c:v>
                </c:pt>
                <c:pt idx="239" formatCode="General">
                  <c:v>-0.16779545557803099</c:v>
                </c:pt>
                <c:pt idx="240" formatCode="General">
                  <c:v>8.3614955592456894E-2</c:v>
                </c:pt>
                <c:pt idx="241" formatCode="General">
                  <c:v>3.4874593526393403E-2</c:v>
                </c:pt>
                <c:pt idx="242" formatCode="General">
                  <c:v>-5.2199785685459701E-2</c:v>
                </c:pt>
                <c:pt idx="243" formatCode="General">
                  <c:v>-0.17590629568205099</c:v>
                </c:pt>
                <c:pt idx="244" formatCode="General">
                  <c:v>-0.19280141269227</c:v>
                </c:pt>
                <c:pt idx="245" formatCode="General">
                  <c:v>-0.233288676668397</c:v>
                </c:pt>
                <c:pt idx="246" formatCode="General">
                  <c:v>-0.171428015291337</c:v>
                </c:pt>
                <c:pt idx="247" formatCode="General">
                  <c:v>-0.11630985941611401</c:v>
                </c:pt>
                <c:pt idx="248" formatCode="General">
                  <c:v>0.19249037507719399</c:v>
                </c:pt>
                <c:pt idx="249" formatCode="General">
                  <c:v>0.32710694108155702</c:v>
                </c:pt>
                <c:pt idx="250" formatCode="General">
                  <c:v>0.31079796387574798</c:v>
                </c:pt>
                <c:pt idx="251" formatCode="General">
                  <c:v>0.20053596143175401</c:v>
                </c:pt>
                <c:pt idx="252" formatCode="General">
                  <c:v>4.4855795207220502E-2</c:v>
                </c:pt>
                <c:pt idx="253" formatCode="General">
                  <c:v>8.7641924774885596E-2</c:v>
                </c:pt>
                <c:pt idx="254" formatCode="General">
                  <c:v>7.24508664916238E-2</c:v>
                </c:pt>
                <c:pt idx="255" formatCode="General">
                  <c:v>-4.29096945635331E-2</c:v>
                </c:pt>
                <c:pt idx="256" formatCode="General">
                  <c:v>1.03434064771854E-2</c:v>
                </c:pt>
                <c:pt idx="257" formatCode="General">
                  <c:v>-1.51012453972464E-2</c:v>
                </c:pt>
                <c:pt idx="258" formatCode="General">
                  <c:v>-0.144979140854679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533-966B-76F7FC3D35DB}"/>
            </c:ext>
          </c:extLst>
        </c:ser>
        <c:ser>
          <c:idx val="2"/>
          <c:order val="2"/>
          <c:tx>
            <c:strRef>
              <c:f>US_raw_policy_innovations!$G$1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US_raw_policy_innovations!$A$2:$A$260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US_raw_policy_innovations!$G$2:$G$260</c:f>
              <c:numCache>
                <c:formatCode>0.00E+00</c:formatCode>
                <c:ptCount val="259"/>
                <c:pt idx="0">
                  <c:v>-1.7215472103470301E-16</c:v>
                </c:pt>
                <c:pt idx="1">
                  <c:v>-2.4311785754282798E-16</c:v>
                </c:pt>
                <c:pt idx="2">
                  <c:v>-2.81029104963961E-16</c:v>
                </c:pt>
                <c:pt idx="3">
                  <c:v>-3.0434402066821E-16</c:v>
                </c:pt>
                <c:pt idx="4">
                  <c:v>-2.4495699595460999E-16</c:v>
                </c:pt>
                <c:pt idx="5">
                  <c:v>-4.7199532761834899E-16</c:v>
                </c:pt>
                <c:pt idx="6">
                  <c:v>-4.7406737889067304E-16</c:v>
                </c:pt>
                <c:pt idx="7">
                  <c:v>-5.5815558044981903E-16</c:v>
                </c:pt>
                <c:pt idx="8">
                  <c:v>-5.5107840959786204E-16</c:v>
                </c:pt>
                <c:pt idx="9">
                  <c:v>-4.5070128191628304E-16</c:v>
                </c:pt>
                <c:pt idx="10">
                  <c:v>-4.1095540709804999E-16</c:v>
                </c:pt>
                <c:pt idx="11">
                  <c:v>-5.3542468489011096E-16</c:v>
                </c:pt>
                <c:pt idx="12">
                  <c:v>-4.5682734250079602E-16</c:v>
                </c:pt>
                <c:pt idx="13">
                  <c:v>-3.5366988257494998E-16</c:v>
                </c:pt>
                <c:pt idx="14">
                  <c:v>-3.5394903484298699E-16</c:v>
                </c:pt>
                <c:pt idx="15">
                  <c:v>-2.3834651850334001E-16</c:v>
                </c:pt>
                <c:pt idx="16">
                  <c:v>-2.0389592388316701E-16</c:v>
                </c:pt>
                <c:pt idx="17">
                  <c:v>-1.50021797105562E-16</c:v>
                </c:pt>
                <c:pt idx="18">
                  <c:v>-1.6332115199865099E-16</c:v>
                </c:pt>
                <c:pt idx="19">
                  <c:v>-1.0626667043895E-16</c:v>
                </c:pt>
                <c:pt idx="20">
                  <c:v>-6.4998794713726301E-17</c:v>
                </c:pt>
                <c:pt idx="21">
                  <c:v>4.57680056230262E-17</c:v>
                </c:pt>
                <c:pt idx="22">
                  <c:v>7.3170906362313195E-17</c:v>
                </c:pt>
                <c:pt idx="23">
                  <c:v>-1.02954162269548E-16</c:v>
                </c:pt>
                <c:pt idx="24">
                  <c:v>-1.00944487604532E-16</c:v>
                </c:pt>
                <c:pt idx="25">
                  <c:v>-6.1539001097286505E-17</c:v>
                </c:pt>
                <c:pt idx="26">
                  <c:v>-4.46511875835708E-17</c:v>
                </c:pt>
                <c:pt idx="27">
                  <c:v>5.49856986866863E-17</c:v>
                </c:pt>
                <c:pt idx="28">
                  <c:v>-8.8499351754134999E-17</c:v>
                </c:pt>
                <c:pt idx="29">
                  <c:v>-3.0824701924842202E-16</c:v>
                </c:pt>
                <c:pt idx="30">
                  <c:v>-2.4161559256569602E-16</c:v>
                </c:pt>
                <c:pt idx="31">
                  <c:v>-1.9048439145823001E-16</c:v>
                </c:pt>
                <c:pt idx="32">
                  <c:v>-3.41135312394973E-16</c:v>
                </c:pt>
                <c:pt idx="33">
                  <c:v>-4.2080577682920002E-16</c:v>
                </c:pt>
                <c:pt idx="34">
                  <c:v>-5.5643821871644802E-16</c:v>
                </c:pt>
                <c:pt idx="35">
                  <c:v>-4.7441843735093597E-16</c:v>
                </c:pt>
                <c:pt idx="36">
                  <c:v>-2.6535213543800602E-16</c:v>
                </c:pt>
                <c:pt idx="37">
                  <c:v>-1.2754160867290899E-16</c:v>
                </c:pt>
                <c:pt idx="38">
                  <c:v>3.1141312143914701E-18</c:v>
                </c:pt>
                <c:pt idx="39">
                  <c:v>-1.18347204688338E-17</c:v>
                </c:pt>
                <c:pt idx="40">
                  <c:v>-2.4815153224116101E-17</c:v>
                </c:pt>
                <c:pt idx="41">
                  <c:v>-1.9424210597353799E-16</c:v>
                </c:pt>
                <c:pt idx="42">
                  <c:v>-4.2346297208220501E-16</c:v>
                </c:pt>
                <c:pt idx="43">
                  <c:v>-4.3751128159605602E-16</c:v>
                </c:pt>
                <c:pt idx="44">
                  <c:v>-7.2889501489174795E-16</c:v>
                </c:pt>
                <c:pt idx="45">
                  <c:v>-6.0111163805125602E-16</c:v>
                </c:pt>
                <c:pt idx="46">
                  <c:v>-4.6626358254556101E-16</c:v>
                </c:pt>
                <c:pt idx="47">
                  <c:v>-4.4188460180638799E-16</c:v>
                </c:pt>
                <c:pt idx="48">
                  <c:v>-1.9016483056407199E-16</c:v>
                </c:pt>
                <c:pt idx="49">
                  <c:v>-1.8383252320410501E-16</c:v>
                </c:pt>
                <c:pt idx="50">
                  <c:v>-2.4760025350800698E-16</c:v>
                </c:pt>
                <c:pt idx="51">
                  <c:v>-2.87706334218459E-16</c:v>
                </c:pt>
                <c:pt idx="52">
                  <c:v>-3.4195642402071201E-16</c:v>
                </c:pt>
                <c:pt idx="53">
                  <c:v>-1.7680994998098901E-16</c:v>
                </c:pt>
                <c:pt idx="54">
                  <c:v>3.7633205424811303E-18</c:v>
                </c:pt>
                <c:pt idx="55">
                  <c:v>1.38344895238551E-16</c:v>
                </c:pt>
                <c:pt idx="56">
                  <c:v>1.03053529388092E-16</c:v>
                </c:pt>
                <c:pt idx="57">
                  <c:v>-2.7248922383169301E-17</c:v>
                </c:pt>
                <c:pt idx="58">
                  <c:v>-8.1970376918584698E-17</c:v>
                </c:pt>
                <c:pt idx="59">
                  <c:v>-3.9087552997986801E-17</c:v>
                </c:pt>
                <c:pt idx="60">
                  <c:v>-5.1340695319876702E-16</c:v>
                </c:pt>
                <c:pt idx="61">
                  <c:v>-7.17003616298579E-16</c:v>
                </c:pt>
                <c:pt idx="62">
                  <c:v>-8.3685235493434197E-16</c:v>
                </c:pt>
                <c:pt idx="63">
                  <c:v>-8.8522710484311097E-16</c:v>
                </c:pt>
                <c:pt idx="64">
                  <c:v>-8.0953573490317503E-16</c:v>
                </c:pt>
                <c:pt idx="65">
                  <c:v>-6.7935732489033497E-16</c:v>
                </c:pt>
                <c:pt idx="66">
                  <c:v>-7.5450198609129605E-16</c:v>
                </c:pt>
                <c:pt idx="67">
                  <c:v>-7.31725141348796E-16</c:v>
                </c:pt>
                <c:pt idx="68">
                  <c:v>-6.8639008473087496E-16</c:v>
                </c:pt>
                <c:pt idx="69">
                  <c:v>-4.0754502214131702E-16</c:v>
                </c:pt>
                <c:pt idx="70">
                  <c:v>-3.0232280957173302E-16</c:v>
                </c:pt>
                <c:pt idx="71">
                  <c:v>-1.8177511687332299E-16</c:v>
                </c:pt>
                <c:pt idx="72">
                  <c:v>-3.4743201016841197E-17</c:v>
                </c:pt>
                <c:pt idx="73">
                  <c:v>-2.27228309092853E-17</c:v>
                </c:pt>
                <c:pt idx="74">
                  <c:v>2.3605781964303801E-16</c:v>
                </c:pt>
                <c:pt idx="75">
                  <c:v>2.7389827661025901E-16</c:v>
                </c:pt>
                <c:pt idx="76">
                  <c:v>4.7516472538805503E-16</c:v>
                </c:pt>
                <c:pt idx="77">
                  <c:v>4.6564425712029101E-16</c:v>
                </c:pt>
                <c:pt idx="78">
                  <c:v>5.6751992582634404E-16</c:v>
                </c:pt>
                <c:pt idx="79">
                  <c:v>7.6941338539837899E-16</c:v>
                </c:pt>
                <c:pt idx="80">
                  <c:v>5.7261806702204296E-16</c:v>
                </c:pt>
                <c:pt idx="81">
                  <c:v>4.7166637101992703E-16</c:v>
                </c:pt>
                <c:pt idx="82">
                  <c:v>3.2678439912381397E-17</c:v>
                </c:pt>
                <c:pt idx="83">
                  <c:v>2.7914044230057E-16</c:v>
                </c:pt>
                <c:pt idx="84">
                  <c:v>3.1848991638398402E-16</c:v>
                </c:pt>
                <c:pt idx="85">
                  <c:v>5.3130761172464201E-16</c:v>
                </c:pt>
                <c:pt idx="86">
                  <c:v>4.84301806493729E-16</c:v>
                </c:pt>
                <c:pt idx="87">
                  <c:v>3.5376867816616401E-16</c:v>
                </c:pt>
                <c:pt idx="88">
                  <c:v>3.2982872196459099E-16</c:v>
                </c:pt>
                <c:pt idx="89">
                  <c:v>3.4420537400678401E-16</c:v>
                </c:pt>
                <c:pt idx="90">
                  <c:v>1.6567241789620699E-16</c:v>
                </c:pt>
                <c:pt idx="91">
                  <c:v>-1.5204797004709499E-16</c:v>
                </c:pt>
                <c:pt idx="92">
                  <c:v>-2.3093655755258398E-16</c:v>
                </c:pt>
                <c:pt idx="93">
                  <c:v>-3.2508410166887301E-16</c:v>
                </c:pt>
                <c:pt idx="94">
                  <c:v>-2.3723958920978E-16</c:v>
                </c:pt>
                <c:pt idx="95">
                  <c:v>3.6145951843552801E-17</c:v>
                </c:pt>
                <c:pt idx="96">
                  <c:v>1.3128721063937501E-16</c:v>
                </c:pt>
                <c:pt idx="97">
                  <c:v>2.15462681404468E-16</c:v>
                </c:pt>
                <c:pt idx="98">
                  <c:v>3.84634342865519E-16</c:v>
                </c:pt>
                <c:pt idx="99">
                  <c:v>2.8827887959972801E-16</c:v>
                </c:pt>
                <c:pt idx="100">
                  <c:v>3.7351634661571998E-16</c:v>
                </c:pt>
                <c:pt idx="101">
                  <c:v>4.2372958393634E-16</c:v>
                </c:pt>
                <c:pt idx="102">
                  <c:v>2.3544084494032699E-16</c:v>
                </c:pt>
                <c:pt idx="103">
                  <c:v>4.2388593311222101E-16</c:v>
                </c:pt>
                <c:pt idx="104">
                  <c:v>5.82462515462006E-16</c:v>
                </c:pt>
                <c:pt idx="105">
                  <c:v>5.9685598598392395E-16</c:v>
                </c:pt>
                <c:pt idx="106">
                  <c:v>6.3119774564860902E-16</c:v>
                </c:pt>
                <c:pt idx="107">
                  <c:v>6.5951179279555799E-16</c:v>
                </c:pt>
                <c:pt idx="108">
                  <c:v>7.1998059748005396E-16</c:v>
                </c:pt>
                <c:pt idx="109">
                  <c:v>6.3601607501816298E-16</c:v>
                </c:pt>
                <c:pt idx="110">
                  <c:v>6.5028997994030903E-16</c:v>
                </c:pt>
                <c:pt idx="111">
                  <c:v>6.2438272647871395E-16</c:v>
                </c:pt>
                <c:pt idx="112">
                  <c:v>4.7441619603748E-16</c:v>
                </c:pt>
                <c:pt idx="113">
                  <c:v>5.1679307637139504E-16</c:v>
                </c:pt>
                <c:pt idx="114">
                  <c:v>4.9500088457158403E-16</c:v>
                </c:pt>
                <c:pt idx="115">
                  <c:v>5.2491004743411303E-16</c:v>
                </c:pt>
                <c:pt idx="116">
                  <c:v>7.0840950386142098E-16</c:v>
                </c:pt>
                <c:pt idx="117">
                  <c:v>6.9249610666484304E-16</c:v>
                </c:pt>
                <c:pt idx="118">
                  <c:v>7.3573341910593799E-16</c:v>
                </c:pt>
                <c:pt idx="119">
                  <c:v>6.6969256807276003E-16</c:v>
                </c:pt>
                <c:pt idx="120">
                  <c:v>6.6677792353417401E-16</c:v>
                </c:pt>
                <c:pt idx="121">
                  <c:v>6.25508377561158E-16</c:v>
                </c:pt>
                <c:pt idx="122">
                  <c:v>3.7779838480092601E-16</c:v>
                </c:pt>
                <c:pt idx="123">
                  <c:v>4.2938231780295598E-16</c:v>
                </c:pt>
                <c:pt idx="124">
                  <c:v>2.7825159049522799E-16</c:v>
                </c:pt>
                <c:pt idx="125">
                  <c:v>1.4051932773841801E-16</c:v>
                </c:pt>
                <c:pt idx="126">
                  <c:v>5.0595138284736998E-17</c:v>
                </c:pt>
                <c:pt idx="127">
                  <c:v>-1.01775168614275E-16</c:v>
                </c:pt>
                <c:pt idx="128">
                  <c:v>-3.3014809183064999E-16</c:v>
                </c:pt>
                <c:pt idx="129">
                  <c:v>-3.0896098310155901E-16</c:v>
                </c:pt>
                <c:pt idx="130">
                  <c:v>-3.83468930071778E-16</c:v>
                </c:pt>
                <c:pt idx="131">
                  <c:v>-4.0878028170785E-16</c:v>
                </c:pt>
                <c:pt idx="132">
                  <c:v>-2.5270072893283899E-16</c:v>
                </c:pt>
                <c:pt idx="133">
                  <c:v>-2.5520959889997802E-16</c:v>
                </c:pt>
                <c:pt idx="134">
                  <c:v>-3.3250276281641399E-17</c:v>
                </c:pt>
                <c:pt idx="135">
                  <c:v>1.9916965873147901E-17</c:v>
                </c:pt>
                <c:pt idx="136">
                  <c:v>4.4998995076847199E-17</c:v>
                </c:pt>
                <c:pt idx="137">
                  <c:v>7.7350822916607603E-17</c:v>
                </c:pt>
                <c:pt idx="138">
                  <c:v>9.5872262493753101E-17</c:v>
                </c:pt>
                <c:pt idx="139">
                  <c:v>1.72526591634012E-16</c:v>
                </c:pt>
                <c:pt idx="140">
                  <c:v>3.5667408582441998E-16</c:v>
                </c:pt>
                <c:pt idx="141">
                  <c:v>1.46326920499458E-16</c:v>
                </c:pt>
                <c:pt idx="142">
                  <c:v>1.6322080942480899E-16</c:v>
                </c:pt>
                <c:pt idx="143">
                  <c:v>1.95903668575069E-16</c:v>
                </c:pt>
                <c:pt idx="144">
                  <c:v>1.09150556013212E-16</c:v>
                </c:pt>
                <c:pt idx="145">
                  <c:v>2.2832905349196501E-16</c:v>
                </c:pt>
                <c:pt idx="146">
                  <c:v>3.8419054022000901E-16</c:v>
                </c:pt>
                <c:pt idx="147">
                  <c:v>4.1353942440388899E-16</c:v>
                </c:pt>
                <c:pt idx="148">
                  <c:v>4.7308959783892801E-16</c:v>
                </c:pt>
                <c:pt idx="149">
                  <c:v>6.3180226248237105E-16</c:v>
                </c:pt>
                <c:pt idx="150">
                  <c:v>5.7597082309259401E-16</c:v>
                </c:pt>
                <c:pt idx="151">
                  <c:v>6.31205993291183E-16</c:v>
                </c:pt>
                <c:pt idx="152">
                  <c:v>6.2049666753797304E-16</c:v>
                </c:pt>
                <c:pt idx="153">
                  <c:v>5.6342366010099197E-16</c:v>
                </c:pt>
                <c:pt idx="154">
                  <c:v>5.60971299764469E-16</c:v>
                </c:pt>
                <c:pt idx="155">
                  <c:v>6.7186749670615395E-16</c:v>
                </c:pt>
                <c:pt idx="156">
                  <c:v>7.9087971155789596E-16</c:v>
                </c:pt>
                <c:pt idx="157">
                  <c:v>7.5447695372673604E-16</c:v>
                </c:pt>
                <c:pt idx="158">
                  <c:v>8.5044181177944995E-16</c:v>
                </c:pt>
                <c:pt idx="159">
                  <c:v>8.00730939964812E-16</c:v>
                </c:pt>
                <c:pt idx="160">
                  <c:v>9.5326156928304391E-16</c:v>
                </c:pt>
                <c:pt idx="161">
                  <c:v>1.16682219876957E-15</c:v>
                </c:pt>
                <c:pt idx="162">
                  <c:v>1.04631727463683E-15</c:v>
                </c:pt>
                <c:pt idx="163">
                  <c:v>1.1357000614456601E-15</c:v>
                </c:pt>
                <c:pt idx="164">
                  <c:v>1.0128551284844201E-15</c:v>
                </c:pt>
                <c:pt idx="165">
                  <c:v>1.0010714970373599E-15</c:v>
                </c:pt>
                <c:pt idx="166">
                  <c:v>9.2819609940152899E-16</c:v>
                </c:pt>
                <c:pt idx="167">
                  <c:v>7.0210413571428402E-16</c:v>
                </c:pt>
                <c:pt idx="168">
                  <c:v>6.1003764769161202E-16</c:v>
                </c:pt>
                <c:pt idx="169">
                  <c:v>5.2823044984971601E-16</c:v>
                </c:pt>
                <c:pt idx="170">
                  <c:v>4.6751824255079601E-16</c:v>
                </c:pt>
                <c:pt idx="171">
                  <c:v>4.05667903013451E-16</c:v>
                </c:pt>
                <c:pt idx="172">
                  <c:v>3.3670602049669801E-16</c:v>
                </c:pt>
                <c:pt idx="173">
                  <c:v>2.6797576272751502E-16</c:v>
                </c:pt>
                <c:pt idx="174">
                  <c:v>9.4316099441048202E-17</c:v>
                </c:pt>
                <c:pt idx="175">
                  <c:v>1.6752641259568401E-16</c:v>
                </c:pt>
                <c:pt idx="176">
                  <c:v>1.1476562592656199E-16</c:v>
                </c:pt>
                <c:pt idx="177">
                  <c:v>1.9953810641961001E-16</c:v>
                </c:pt>
                <c:pt idx="178">
                  <c:v>3.1859125450269902E-16</c:v>
                </c:pt>
                <c:pt idx="179">
                  <c:v>2.92622554134098E-16</c:v>
                </c:pt>
                <c:pt idx="180">
                  <c:v>4.41713173082753E-16</c:v>
                </c:pt>
                <c:pt idx="181">
                  <c:v>4.8759757455172596E-16</c:v>
                </c:pt>
                <c:pt idx="182">
                  <c:v>6.2541182465134498E-16</c:v>
                </c:pt>
                <c:pt idx="183">
                  <c:v>7.5348408227581502E-16</c:v>
                </c:pt>
                <c:pt idx="184">
                  <c:v>8.01537065836986E-16</c:v>
                </c:pt>
                <c:pt idx="185">
                  <c:v>8.5506757420510101E-16</c:v>
                </c:pt>
                <c:pt idx="186">
                  <c:v>8.3077392528820202E-16</c:v>
                </c:pt>
                <c:pt idx="187">
                  <c:v>9.8695206497324797E-16</c:v>
                </c:pt>
                <c:pt idx="188">
                  <c:v>1.00684157747582E-15</c:v>
                </c:pt>
                <c:pt idx="189">
                  <c:v>9.7408356592968302E-16</c:v>
                </c:pt>
                <c:pt idx="190">
                  <c:v>9.0739989898352406E-16</c:v>
                </c:pt>
                <c:pt idx="191">
                  <c:v>8.1748426656057399E-16</c:v>
                </c:pt>
                <c:pt idx="192">
                  <c:v>7.3360769818483197E-16</c:v>
                </c:pt>
                <c:pt idx="193">
                  <c:v>6.6408188698719603E-16</c:v>
                </c:pt>
                <c:pt idx="194">
                  <c:v>6.2939736669715201E-16</c:v>
                </c:pt>
                <c:pt idx="195" formatCode="General">
                  <c:v>6.6446688678691607E-2</c:v>
                </c:pt>
                <c:pt idx="196" formatCode="General">
                  <c:v>8.4010725515407295E-2</c:v>
                </c:pt>
                <c:pt idx="197" formatCode="General">
                  <c:v>7.49639364072551E-2</c:v>
                </c:pt>
                <c:pt idx="198" formatCode="General">
                  <c:v>1.66613748912918E-2</c:v>
                </c:pt>
                <c:pt idx="199" formatCode="General">
                  <c:v>6.8620732112767494E-2</c:v>
                </c:pt>
                <c:pt idx="200" formatCode="General">
                  <c:v>-1.2574910782524101E-3</c:v>
                </c:pt>
                <c:pt idx="201" formatCode="General">
                  <c:v>-7.6903172644569598E-2</c:v>
                </c:pt>
                <c:pt idx="202" formatCode="General">
                  <c:v>-7.5476132486622299E-2</c:v>
                </c:pt>
                <c:pt idx="203" formatCode="General">
                  <c:v>-3.7821741494918501E-2</c:v>
                </c:pt>
                <c:pt idx="204" formatCode="General">
                  <c:v>-1.2704166486582199E-3</c:v>
                </c:pt>
                <c:pt idx="205" formatCode="General">
                  <c:v>-5.1383202923433499E-2</c:v>
                </c:pt>
                <c:pt idx="206" formatCode="General">
                  <c:v>-8.6669983143083607E-2</c:v>
                </c:pt>
                <c:pt idx="207" formatCode="General">
                  <c:v>-6.1433168951018399E-2</c:v>
                </c:pt>
                <c:pt idx="208" formatCode="General">
                  <c:v>-3.9886136635791401E-2</c:v>
                </c:pt>
                <c:pt idx="209" formatCode="General">
                  <c:v>-4.58577811011497E-2</c:v>
                </c:pt>
                <c:pt idx="210" formatCode="General">
                  <c:v>-4.31690851107389E-2</c:v>
                </c:pt>
                <c:pt idx="211" formatCode="General">
                  <c:v>-6.6897621550781605E-2</c:v>
                </c:pt>
                <c:pt idx="212" formatCode="General">
                  <c:v>-5.28617402019095E-2</c:v>
                </c:pt>
                <c:pt idx="213" formatCode="General">
                  <c:v>-3.6424407210795803E-2</c:v>
                </c:pt>
                <c:pt idx="214" formatCode="General">
                  <c:v>-4.9506389645364197E-2</c:v>
                </c:pt>
                <c:pt idx="215" formatCode="General">
                  <c:v>-6.0990485282029001E-2</c:v>
                </c:pt>
                <c:pt idx="216" formatCode="General">
                  <c:v>-5.8664941478436101E-2</c:v>
                </c:pt>
                <c:pt idx="217" formatCode="General">
                  <c:v>-2.71887890504913E-2</c:v>
                </c:pt>
                <c:pt idx="218" formatCode="General">
                  <c:v>-1.2356363479308401E-2</c:v>
                </c:pt>
                <c:pt idx="219" formatCode="General">
                  <c:v>2.9298442688277901E-2</c:v>
                </c:pt>
                <c:pt idx="220" formatCode="General">
                  <c:v>-1.75013150936648E-3</c:v>
                </c:pt>
                <c:pt idx="221" formatCode="General">
                  <c:v>2.25281758383413E-2</c:v>
                </c:pt>
                <c:pt idx="222" formatCode="General">
                  <c:v>-5.6410752470620898E-2</c:v>
                </c:pt>
                <c:pt idx="223" formatCode="General">
                  <c:v>-1.23219206842403E-2</c:v>
                </c:pt>
                <c:pt idx="224" formatCode="General">
                  <c:v>-4.6763296551811703E-2</c:v>
                </c:pt>
                <c:pt idx="225" formatCode="General">
                  <c:v>-5.3943115810865198E-3</c:v>
                </c:pt>
                <c:pt idx="226" formatCode="General">
                  <c:v>1.6049814083933299E-3</c:v>
                </c:pt>
                <c:pt idx="227" formatCode="General">
                  <c:v>2.7960012135699201E-2</c:v>
                </c:pt>
                <c:pt idx="228" formatCode="General">
                  <c:v>3.7684026841234499E-3</c:v>
                </c:pt>
                <c:pt idx="229" formatCode="General">
                  <c:v>-1.6423128792487401E-2</c:v>
                </c:pt>
                <c:pt idx="230" formatCode="General">
                  <c:v>2.4075705209810901E-2</c:v>
                </c:pt>
                <c:pt idx="231" formatCode="General">
                  <c:v>1.44739402593824E-2</c:v>
                </c:pt>
                <c:pt idx="232" formatCode="General">
                  <c:v>1.8500714059418801E-2</c:v>
                </c:pt>
                <c:pt idx="233" formatCode="General">
                  <c:v>2.6895063621619301E-2</c:v>
                </c:pt>
                <c:pt idx="234" formatCode="General">
                  <c:v>1.0822891733753399E-2</c:v>
                </c:pt>
                <c:pt idx="235" formatCode="General">
                  <c:v>-5.7153670831744399E-2</c:v>
                </c:pt>
                <c:pt idx="236" formatCode="General">
                  <c:v>-0.11952198666729701</c:v>
                </c:pt>
                <c:pt idx="237" formatCode="General">
                  <c:v>3.4055728607639599E-2</c:v>
                </c:pt>
                <c:pt idx="238" formatCode="General">
                  <c:v>-0.140825206683444</c:v>
                </c:pt>
                <c:pt idx="239" formatCode="General">
                  <c:v>3.2622362430368798E-2</c:v>
                </c:pt>
                <c:pt idx="240" formatCode="General">
                  <c:v>-1.8741520126141401E-2</c:v>
                </c:pt>
                <c:pt idx="241" formatCode="General">
                  <c:v>-3.0048533239085899E-2</c:v>
                </c:pt>
                <c:pt idx="242" formatCode="General">
                  <c:v>-7.3469628993412001E-2</c:v>
                </c:pt>
                <c:pt idx="243" formatCode="General">
                  <c:v>-0.144364565808037</c:v>
                </c:pt>
                <c:pt idx="244" formatCode="General">
                  <c:v>-0.16184472435977601</c:v>
                </c:pt>
                <c:pt idx="245" formatCode="General">
                  <c:v>-0.175979607293997</c:v>
                </c:pt>
                <c:pt idx="246" formatCode="General">
                  <c:v>-0.13701235637272199</c:v>
                </c:pt>
                <c:pt idx="247" formatCode="General">
                  <c:v>-8.2071374352117393E-2</c:v>
                </c:pt>
                <c:pt idx="248" formatCode="General">
                  <c:v>9.1556538128140602E-2</c:v>
                </c:pt>
                <c:pt idx="249" formatCode="General">
                  <c:v>-0.11881145384357</c:v>
                </c:pt>
                <c:pt idx="250" formatCode="General">
                  <c:v>-5.20102673741763E-2</c:v>
                </c:pt>
                <c:pt idx="251" formatCode="General">
                  <c:v>-6.6161274648732699E-2</c:v>
                </c:pt>
                <c:pt idx="252" formatCode="General">
                  <c:v>-0.15208836962574501</c:v>
                </c:pt>
                <c:pt idx="253" formatCode="General">
                  <c:v>3.4701535749109703E-2</c:v>
                </c:pt>
                <c:pt idx="254" formatCode="General">
                  <c:v>5.6892622982297102E-2</c:v>
                </c:pt>
                <c:pt idx="255" formatCode="General">
                  <c:v>-0.167506605659758</c:v>
                </c:pt>
                <c:pt idx="256" formatCode="General">
                  <c:v>-0.103518521582044</c:v>
                </c:pt>
                <c:pt idx="257" formatCode="General">
                  <c:v>-1.42888099325859E-2</c:v>
                </c:pt>
                <c:pt idx="258" formatCode="General">
                  <c:v>-8.2641361766595395E-2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F-4533-966B-76F7FC3D35DB}"/>
            </c:ext>
          </c:extLst>
        </c:ser>
        <c:ser>
          <c:idx val="3"/>
          <c:order val="3"/>
          <c:tx>
            <c:strRef>
              <c:f>US_raw_policy_innovations!$H$1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US_raw_policy_innovations!$A$2:$A$260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US_raw_policy_innovations!$H$2:$H$260</c:f>
              <c:numCache>
                <c:formatCode>0.00E+00</c:formatCode>
                <c:ptCount val="259"/>
                <c:pt idx="0">
                  <c:v>-2.02648383642204E-16</c:v>
                </c:pt>
                <c:pt idx="1">
                  <c:v>-3.65510607661736E-16</c:v>
                </c:pt>
                <c:pt idx="2">
                  <c:v>-3.3630561526897902E-16</c:v>
                </c:pt>
                <c:pt idx="3">
                  <c:v>-2.6293710038323698E-16</c:v>
                </c:pt>
                <c:pt idx="4">
                  <c:v>-2.8807481328867398E-16</c:v>
                </c:pt>
                <c:pt idx="5">
                  <c:v>-3.7548708300614898E-16</c:v>
                </c:pt>
                <c:pt idx="6">
                  <c:v>-4.1953627136908402E-16</c:v>
                </c:pt>
                <c:pt idx="7">
                  <c:v>-4.0514305283392502E-16</c:v>
                </c:pt>
                <c:pt idx="8">
                  <c:v>-3.9741504001204202E-16</c:v>
                </c:pt>
                <c:pt idx="9">
                  <c:v>-3.3155251182833698E-16</c:v>
                </c:pt>
                <c:pt idx="10">
                  <c:v>-3.6251616442092302E-16</c:v>
                </c:pt>
                <c:pt idx="11">
                  <c:v>-4.0227036986912399E-16</c:v>
                </c:pt>
                <c:pt idx="12">
                  <c:v>-3.6477648988423902E-16</c:v>
                </c:pt>
                <c:pt idx="13">
                  <c:v>-2.1757943354426501E-16</c:v>
                </c:pt>
                <c:pt idx="14">
                  <c:v>-2.98081085313485E-16</c:v>
                </c:pt>
                <c:pt idx="15">
                  <c:v>-2.2439135612526402E-16</c:v>
                </c:pt>
                <c:pt idx="16">
                  <c:v>-2.3734539629245101E-16</c:v>
                </c:pt>
                <c:pt idx="17">
                  <c:v>-1.2934648347559201E-16</c:v>
                </c:pt>
                <c:pt idx="18">
                  <c:v>-2.8776820428696398E-16</c:v>
                </c:pt>
                <c:pt idx="19">
                  <c:v>-1.3520940451146299E-16</c:v>
                </c:pt>
                <c:pt idx="20">
                  <c:v>-1.2550094053438899E-16</c:v>
                </c:pt>
                <c:pt idx="21">
                  <c:v>-1.88458526745398E-17</c:v>
                </c:pt>
                <c:pt idx="22">
                  <c:v>-9.7976571036358797E-17</c:v>
                </c:pt>
                <c:pt idx="23">
                  <c:v>-1.5371030013236399E-16</c:v>
                </c:pt>
                <c:pt idx="24">
                  <c:v>-1.8956816769271801E-16</c:v>
                </c:pt>
                <c:pt idx="25">
                  <c:v>-1.1212260735828401E-16</c:v>
                </c:pt>
                <c:pt idx="26">
                  <c:v>-4.0887474518374202E-17</c:v>
                </c:pt>
                <c:pt idx="27">
                  <c:v>3.4904892216691599E-17</c:v>
                </c:pt>
                <c:pt idx="28">
                  <c:v>-9.5415047336943594E-17</c:v>
                </c:pt>
                <c:pt idx="29">
                  <c:v>-1.3855145214098399E-16</c:v>
                </c:pt>
                <c:pt idx="30">
                  <c:v>-1.7335681387509199E-16</c:v>
                </c:pt>
                <c:pt idx="31">
                  <c:v>9.0202971976846505E-18</c:v>
                </c:pt>
                <c:pt idx="32">
                  <c:v>-2.5261824610382799E-16</c:v>
                </c:pt>
                <c:pt idx="33">
                  <c:v>-2.6802791881028502E-16</c:v>
                </c:pt>
                <c:pt idx="34">
                  <c:v>-3.5206981394560802E-16</c:v>
                </c:pt>
                <c:pt idx="35">
                  <c:v>-1.7581168682323801E-16</c:v>
                </c:pt>
                <c:pt idx="36">
                  <c:v>-1.01930977286992E-16</c:v>
                </c:pt>
                <c:pt idx="37">
                  <c:v>-3.4071029610712E-17</c:v>
                </c:pt>
                <c:pt idx="38">
                  <c:v>1.74521842556806E-17</c:v>
                </c:pt>
                <c:pt idx="39">
                  <c:v>-2.01205286163128E-17</c:v>
                </c:pt>
                <c:pt idx="40">
                  <c:v>-3.3291050883004098E-17</c:v>
                </c:pt>
                <c:pt idx="41">
                  <c:v>-1.9359883894029099E-16</c:v>
                </c:pt>
                <c:pt idx="42">
                  <c:v>-2.6437334460585298E-16</c:v>
                </c:pt>
                <c:pt idx="43">
                  <c:v>-3.1318345508888802E-16</c:v>
                </c:pt>
                <c:pt idx="44">
                  <c:v>-3.88177342145679E-16</c:v>
                </c:pt>
                <c:pt idx="45">
                  <c:v>-2.7134973130582602E-16</c:v>
                </c:pt>
                <c:pt idx="46">
                  <c:v>-3.08400265318137E-16</c:v>
                </c:pt>
                <c:pt idx="47">
                  <c:v>-9.0221677941202197E-17</c:v>
                </c:pt>
                <c:pt idx="48">
                  <c:v>-1.03116671679614E-16</c:v>
                </c:pt>
                <c:pt idx="49">
                  <c:v>-1.40477811085798E-16</c:v>
                </c:pt>
                <c:pt idx="50">
                  <c:v>-2.0939344437705001E-16</c:v>
                </c:pt>
                <c:pt idx="51">
                  <c:v>-2.1224591761871799E-16</c:v>
                </c:pt>
                <c:pt idx="52">
                  <c:v>-2.6382539173627899E-16</c:v>
                </c:pt>
                <c:pt idx="53">
                  <c:v>-1.7245528769389901E-16</c:v>
                </c:pt>
                <c:pt idx="54">
                  <c:v>-4.2342255648966798E-17</c:v>
                </c:pt>
                <c:pt idx="55">
                  <c:v>5.6328495129161806E-17</c:v>
                </c:pt>
                <c:pt idx="56">
                  <c:v>-2.9359938222359903E-17</c:v>
                </c:pt>
                <c:pt idx="57">
                  <c:v>-1.7710906290794899E-16</c:v>
                </c:pt>
                <c:pt idx="58">
                  <c:v>-1.6758133044454199E-16</c:v>
                </c:pt>
                <c:pt idx="59">
                  <c:v>-2.0977102324153001E-16</c:v>
                </c:pt>
                <c:pt idx="60">
                  <c:v>-4.1023945626854201E-16</c:v>
                </c:pt>
                <c:pt idx="61">
                  <c:v>-5.2149613993737904E-16</c:v>
                </c:pt>
                <c:pt idx="62">
                  <c:v>-5.2470653693802302E-16</c:v>
                </c:pt>
                <c:pt idx="63">
                  <c:v>-4.7835139507147496E-16</c:v>
                </c:pt>
                <c:pt idx="64">
                  <c:v>-4.3820849532727901E-16</c:v>
                </c:pt>
                <c:pt idx="65">
                  <c:v>-4.5132803638543099E-16</c:v>
                </c:pt>
                <c:pt idx="66">
                  <c:v>-4.9249522248745799E-16</c:v>
                </c:pt>
                <c:pt idx="67">
                  <c:v>-5.0232630329171904E-16</c:v>
                </c:pt>
                <c:pt idx="68">
                  <c:v>-5.2591230662650396E-16</c:v>
                </c:pt>
                <c:pt idx="69">
                  <c:v>-2.8584199656411101E-16</c:v>
                </c:pt>
                <c:pt idx="70">
                  <c:v>-3.8039143898202499E-16</c:v>
                </c:pt>
                <c:pt idx="71">
                  <c:v>-2.0471233165828601E-16</c:v>
                </c:pt>
                <c:pt idx="72">
                  <c:v>-2.79128032690289E-16</c:v>
                </c:pt>
                <c:pt idx="73">
                  <c:v>-1.14991550867071E-16</c:v>
                </c:pt>
                <c:pt idx="74">
                  <c:v>-1.7476534713734701E-16</c:v>
                </c:pt>
                <c:pt idx="75">
                  <c:v>-7.7683414612186095E-17</c:v>
                </c:pt>
                <c:pt idx="76">
                  <c:v>2.02182325929992E-17</c:v>
                </c:pt>
                <c:pt idx="77">
                  <c:v>-4.67470183074904E-17</c:v>
                </c:pt>
                <c:pt idx="78">
                  <c:v>9.68004193397755E-17</c:v>
                </c:pt>
                <c:pt idx="79">
                  <c:v>7.4716514556213499E-17</c:v>
                </c:pt>
                <c:pt idx="80">
                  <c:v>-5.4137056029233698E-18</c:v>
                </c:pt>
                <c:pt idx="81">
                  <c:v>-2.1722466717657601E-16</c:v>
                </c:pt>
                <c:pt idx="82">
                  <c:v>-2.4476224931973999E-16</c:v>
                </c:pt>
                <c:pt idx="83">
                  <c:v>-1.3632785349307501E-16</c:v>
                </c:pt>
                <c:pt idx="84">
                  <c:v>-9.7547047324433894E-17</c:v>
                </c:pt>
                <c:pt idx="85">
                  <c:v>9.9703673463677501E-17</c:v>
                </c:pt>
                <c:pt idx="86">
                  <c:v>-1.11645751725664E-16</c:v>
                </c:pt>
                <c:pt idx="87">
                  <c:v>-3.5828872477280098E-17</c:v>
                </c:pt>
                <c:pt idx="88">
                  <c:v>-1.8653401663798101E-16</c:v>
                </c:pt>
                <c:pt idx="89">
                  <c:v>5.9497062980870396E-17</c:v>
                </c:pt>
                <c:pt idx="90">
                  <c:v>-1.2292437310346201E-16</c:v>
                </c:pt>
                <c:pt idx="91">
                  <c:v>-3.2294016005324101E-16</c:v>
                </c:pt>
                <c:pt idx="92">
                  <c:v>-3.8009974259490002E-16</c:v>
                </c:pt>
                <c:pt idx="93">
                  <c:v>-3.3822936171638501E-16</c:v>
                </c:pt>
                <c:pt idx="94">
                  <c:v>-2.82075888735071E-16</c:v>
                </c:pt>
                <c:pt idx="95">
                  <c:v>-1.5941178538522699E-16</c:v>
                </c:pt>
                <c:pt idx="96">
                  <c:v>-1.57228062164308E-16</c:v>
                </c:pt>
                <c:pt idx="97">
                  <c:v>-7.3730435055045001E-17</c:v>
                </c:pt>
                <c:pt idx="98">
                  <c:v>-5.9386545076229696E-17</c:v>
                </c:pt>
                <c:pt idx="99">
                  <c:v>-4.0929934861395302E-17</c:v>
                </c:pt>
                <c:pt idx="100">
                  <c:v>-3.0954181565924397E-17</c:v>
                </c:pt>
                <c:pt idx="101">
                  <c:v>3.87728168598543E-18</c:v>
                </c:pt>
                <c:pt idx="102">
                  <c:v>-9.8335510190885006E-17</c:v>
                </c:pt>
                <c:pt idx="103">
                  <c:v>7.5367352969049497E-17</c:v>
                </c:pt>
                <c:pt idx="104">
                  <c:v>8.5082232616088006E-17</c:v>
                </c:pt>
                <c:pt idx="105">
                  <c:v>2.0164302508135999E-16</c:v>
                </c:pt>
                <c:pt idx="106">
                  <c:v>9.4292743050671306E-17</c:v>
                </c:pt>
                <c:pt idx="107">
                  <c:v>1.3343471253659501E-16</c:v>
                </c:pt>
                <c:pt idx="108">
                  <c:v>1.576994257338E-16</c:v>
                </c:pt>
                <c:pt idx="109">
                  <c:v>1.5018289449669299E-16</c:v>
                </c:pt>
                <c:pt idx="110">
                  <c:v>5.6098458351569205E-17</c:v>
                </c:pt>
                <c:pt idx="111">
                  <c:v>7.1691406066523704E-17</c:v>
                </c:pt>
                <c:pt idx="112">
                  <c:v>2.52201199884018E-17</c:v>
                </c:pt>
                <c:pt idx="113">
                  <c:v>4.2416576083533001E-17</c:v>
                </c:pt>
                <c:pt idx="114">
                  <c:v>3.0209692428247999E-17</c:v>
                </c:pt>
                <c:pt idx="115">
                  <c:v>1.28178041265559E-16</c:v>
                </c:pt>
                <c:pt idx="116">
                  <c:v>1.9457119980796599E-16</c:v>
                </c:pt>
                <c:pt idx="117">
                  <c:v>2.2698155092766799E-16</c:v>
                </c:pt>
                <c:pt idx="118">
                  <c:v>2.58037470675045E-16</c:v>
                </c:pt>
                <c:pt idx="119">
                  <c:v>1.3252362137853401E-16</c:v>
                </c:pt>
                <c:pt idx="120">
                  <c:v>2.5288369936826998E-16</c:v>
                </c:pt>
                <c:pt idx="121">
                  <c:v>8.4682342460703399E-17</c:v>
                </c:pt>
                <c:pt idx="122">
                  <c:v>8.1304701098571002E-17</c:v>
                </c:pt>
                <c:pt idx="123">
                  <c:v>7.6619731664889298E-18</c:v>
                </c:pt>
                <c:pt idx="124">
                  <c:v>5.7327445146687998E-17</c:v>
                </c:pt>
                <c:pt idx="125">
                  <c:v>1.5904139175255899E-17</c:v>
                </c:pt>
                <c:pt idx="126">
                  <c:v>-1.37332163421625E-16</c:v>
                </c:pt>
                <c:pt idx="127">
                  <c:v>-1.40686169822198E-16</c:v>
                </c:pt>
                <c:pt idx="128">
                  <c:v>-2.9897487862314398E-16</c:v>
                </c:pt>
                <c:pt idx="129">
                  <c:v>-2.4828931081727298E-16</c:v>
                </c:pt>
                <c:pt idx="130">
                  <c:v>-3.5421319332865101E-16</c:v>
                </c:pt>
                <c:pt idx="131">
                  <c:v>-2.7974683327129099E-16</c:v>
                </c:pt>
                <c:pt idx="132">
                  <c:v>-2.56370093909304E-16</c:v>
                </c:pt>
                <c:pt idx="133">
                  <c:v>-1.5220676279220301E-16</c:v>
                </c:pt>
                <c:pt idx="134">
                  <c:v>-8.1202514203997903E-17</c:v>
                </c:pt>
                <c:pt idx="135">
                  <c:v>-6.4167821168821394E-17</c:v>
                </c:pt>
                <c:pt idx="136">
                  <c:v>-8.7922641337590702E-17</c:v>
                </c:pt>
                <c:pt idx="137">
                  <c:v>-5.7028949914976304E-17</c:v>
                </c:pt>
                <c:pt idx="138">
                  <c:v>-4.9996191144221802E-17</c:v>
                </c:pt>
                <c:pt idx="139">
                  <c:v>6.5837790304303604E-17</c:v>
                </c:pt>
                <c:pt idx="140">
                  <c:v>1.04237630217632E-16</c:v>
                </c:pt>
                <c:pt idx="141">
                  <c:v>-4.7939870139691398E-17</c:v>
                </c:pt>
                <c:pt idx="142">
                  <c:v>2.2004328735686501E-17</c:v>
                </c:pt>
                <c:pt idx="143">
                  <c:v>-2.6177209870750099E-18</c:v>
                </c:pt>
                <c:pt idx="144">
                  <c:v>4.6942392117708298E-17</c:v>
                </c:pt>
                <c:pt idx="145">
                  <c:v>8.3631707665036496E-17</c:v>
                </c:pt>
                <c:pt idx="146">
                  <c:v>1.7298333193066E-16</c:v>
                </c:pt>
                <c:pt idx="147">
                  <c:v>1.78658420879787E-16</c:v>
                </c:pt>
                <c:pt idx="148">
                  <c:v>2.13471799466094E-16</c:v>
                </c:pt>
                <c:pt idx="149">
                  <c:v>2.6676608215230799E-16</c:v>
                </c:pt>
                <c:pt idx="150">
                  <c:v>2.7573774550322402E-16</c:v>
                </c:pt>
                <c:pt idx="151">
                  <c:v>2.1043553075055401E-16</c:v>
                </c:pt>
                <c:pt idx="152">
                  <c:v>2.1563890710011301E-16</c:v>
                </c:pt>
                <c:pt idx="153">
                  <c:v>1.80888671517943E-16</c:v>
                </c:pt>
                <c:pt idx="154">
                  <c:v>1.69626157478319E-16</c:v>
                </c:pt>
                <c:pt idx="155">
                  <c:v>2.6670667180209999E-16</c:v>
                </c:pt>
                <c:pt idx="156">
                  <c:v>3.0826341211639502E-16</c:v>
                </c:pt>
                <c:pt idx="157">
                  <c:v>3.08282524446346E-16</c:v>
                </c:pt>
                <c:pt idx="158">
                  <c:v>3.0750471981887799E-16</c:v>
                </c:pt>
                <c:pt idx="159">
                  <c:v>2.76703877456466E-16</c:v>
                </c:pt>
                <c:pt idx="160">
                  <c:v>4.3337613768933101E-16</c:v>
                </c:pt>
                <c:pt idx="161">
                  <c:v>4.2418088966975601E-16</c:v>
                </c:pt>
                <c:pt idx="162">
                  <c:v>4.5854327027027297E-16</c:v>
                </c:pt>
                <c:pt idx="163">
                  <c:v>3.3109300627943198E-16</c:v>
                </c:pt>
                <c:pt idx="164">
                  <c:v>3.7397148914174701E-16</c:v>
                </c:pt>
                <c:pt idx="165">
                  <c:v>3.1805977207890198E-16</c:v>
                </c:pt>
                <c:pt idx="166">
                  <c:v>3.5790977763826101E-16</c:v>
                </c:pt>
                <c:pt idx="167">
                  <c:v>1.18476079862216E-16</c:v>
                </c:pt>
                <c:pt idx="168">
                  <c:v>1.83227154722865E-16</c:v>
                </c:pt>
                <c:pt idx="169">
                  <c:v>1.5578058146421999E-16</c:v>
                </c:pt>
                <c:pt idx="170">
                  <c:v>1.44560665675349E-16</c:v>
                </c:pt>
                <c:pt idx="171">
                  <c:v>1.1582671333364099E-16</c:v>
                </c:pt>
                <c:pt idx="172">
                  <c:v>1.04880482086807E-16</c:v>
                </c:pt>
                <c:pt idx="173">
                  <c:v>1.5743354667374699E-17</c:v>
                </c:pt>
                <c:pt idx="174">
                  <c:v>-7.8565594512429102E-17</c:v>
                </c:pt>
                <c:pt idx="175">
                  <c:v>-2.52255328630413E-17</c:v>
                </c:pt>
                <c:pt idx="176">
                  <c:v>-6.9669527742194095E-17</c:v>
                </c:pt>
                <c:pt idx="177">
                  <c:v>1.07884162816401E-16</c:v>
                </c:pt>
                <c:pt idx="178">
                  <c:v>2.2597274799341899E-17</c:v>
                </c:pt>
                <c:pt idx="179">
                  <c:v>1.07910967634372E-16</c:v>
                </c:pt>
                <c:pt idx="180">
                  <c:v>1.2061233058961301E-16</c:v>
                </c:pt>
                <c:pt idx="181">
                  <c:v>2.08050684261385E-16</c:v>
                </c:pt>
                <c:pt idx="182">
                  <c:v>2.4409735089086599E-16</c:v>
                </c:pt>
                <c:pt idx="183">
                  <c:v>3.3125088012231402E-16</c:v>
                </c:pt>
                <c:pt idx="184">
                  <c:v>3.75039668984612E-16</c:v>
                </c:pt>
                <c:pt idx="185">
                  <c:v>3.2378137753499698E-16</c:v>
                </c:pt>
                <c:pt idx="186">
                  <c:v>3.99074908507264E-16</c:v>
                </c:pt>
                <c:pt idx="187">
                  <c:v>4.72548991819403E-16</c:v>
                </c:pt>
                <c:pt idx="188">
                  <c:v>4.3491604551330099E-16</c:v>
                </c:pt>
                <c:pt idx="189">
                  <c:v>4.16663826894815E-16</c:v>
                </c:pt>
                <c:pt idx="190">
                  <c:v>3.7074230235261299E-16</c:v>
                </c:pt>
                <c:pt idx="191">
                  <c:v>2.8715554532377098E-16</c:v>
                </c:pt>
                <c:pt idx="192">
                  <c:v>2.7558222241507501E-16</c:v>
                </c:pt>
                <c:pt idx="193">
                  <c:v>2.3753909460511302E-16</c:v>
                </c:pt>
                <c:pt idx="194">
                  <c:v>2.2375202116194899E-16</c:v>
                </c:pt>
                <c:pt idx="195" formatCode="General">
                  <c:v>4.0642982058153101E-2</c:v>
                </c:pt>
                <c:pt idx="196" formatCode="General">
                  <c:v>2.47638465942196E-2</c:v>
                </c:pt>
                <c:pt idx="197" formatCode="General">
                  <c:v>8.2316372523833503E-2</c:v>
                </c:pt>
                <c:pt idx="198" formatCode="General">
                  <c:v>1.73189002622097E-2</c:v>
                </c:pt>
                <c:pt idx="199" formatCode="General">
                  <c:v>5.9924308113825098E-2</c:v>
                </c:pt>
                <c:pt idx="200" formatCode="General">
                  <c:v>2.24656917463147E-2</c:v>
                </c:pt>
                <c:pt idx="201" formatCode="General">
                  <c:v>-6.7961559345234901E-2</c:v>
                </c:pt>
                <c:pt idx="202" formatCode="General">
                  <c:v>-5.08884598434024E-2</c:v>
                </c:pt>
                <c:pt idx="203" formatCode="General">
                  <c:v>-3.6928503018466702E-2</c:v>
                </c:pt>
                <c:pt idx="204" formatCode="General">
                  <c:v>2.1848986749970399E-2</c:v>
                </c:pt>
                <c:pt idx="205" formatCode="General">
                  <c:v>-4.49437116496973E-2</c:v>
                </c:pt>
                <c:pt idx="206" formatCode="General">
                  <c:v>-7.7643679996333398E-2</c:v>
                </c:pt>
                <c:pt idx="207" formatCode="General">
                  <c:v>-5.5393839769330197E-2</c:v>
                </c:pt>
                <c:pt idx="208" formatCode="General">
                  <c:v>-5.7628059629017202E-2</c:v>
                </c:pt>
                <c:pt idx="209" formatCode="General">
                  <c:v>-4.3189198902595399E-2</c:v>
                </c:pt>
                <c:pt idx="210" formatCode="General">
                  <c:v>-4.6024327307580701E-2</c:v>
                </c:pt>
                <c:pt idx="211" formatCode="General">
                  <c:v>-6.0834425704302503E-2</c:v>
                </c:pt>
                <c:pt idx="212" formatCode="General">
                  <c:v>-4.8220810124519897E-2</c:v>
                </c:pt>
                <c:pt idx="213" formatCode="General">
                  <c:v>-7.1750396274691802E-3</c:v>
                </c:pt>
                <c:pt idx="214" formatCode="General">
                  <c:v>-2.0968470578806599E-2</c:v>
                </c:pt>
                <c:pt idx="215" formatCode="General">
                  <c:v>-2.7867191698836901E-2</c:v>
                </c:pt>
                <c:pt idx="216" formatCode="General">
                  <c:v>-2.5499054746717299E-2</c:v>
                </c:pt>
                <c:pt idx="217" formatCode="General">
                  <c:v>-1.7703638749249701E-2</c:v>
                </c:pt>
                <c:pt idx="218" formatCode="General">
                  <c:v>4.2025195044622397E-2</c:v>
                </c:pt>
                <c:pt idx="219" formatCode="General">
                  <c:v>-1.2783479332868499E-3</c:v>
                </c:pt>
                <c:pt idx="220" formatCode="General">
                  <c:v>1.0691031989382699E-2</c:v>
                </c:pt>
                <c:pt idx="221" formatCode="General">
                  <c:v>-3.3961805199488201E-2</c:v>
                </c:pt>
                <c:pt idx="222" formatCode="General">
                  <c:v>-1.2907599224071999E-2</c:v>
                </c:pt>
                <c:pt idx="223" formatCode="General">
                  <c:v>-2.7183337996282801E-2</c:v>
                </c:pt>
                <c:pt idx="224" formatCode="General">
                  <c:v>-1.99946545393444E-2</c:v>
                </c:pt>
                <c:pt idx="225" formatCode="General">
                  <c:v>2.0084502724584301E-3</c:v>
                </c:pt>
                <c:pt idx="226" formatCode="General">
                  <c:v>1.4846230842681701E-2</c:v>
                </c:pt>
                <c:pt idx="227" formatCode="General">
                  <c:v>9.5795397922183202E-3</c:v>
                </c:pt>
                <c:pt idx="228" formatCode="General">
                  <c:v>-7.7759615922353299E-3</c:v>
                </c:pt>
                <c:pt idx="229" formatCode="General">
                  <c:v>1.63894596964748E-2</c:v>
                </c:pt>
                <c:pt idx="230" formatCode="General">
                  <c:v>1.6081944160297401E-2</c:v>
                </c:pt>
                <c:pt idx="231" formatCode="General">
                  <c:v>1.31245076926228E-2</c:v>
                </c:pt>
                <c:pt idx="232" formatCode="General">
                  <c:v>2.1878438849604401E-2</c:v>
                </c:pt>
                <c:pt idx="233" formatCode="General">
                  <c:v>6.6649178621088203E-3</c:v>
                </c:pt>
                <c:pt idx="234" formatCode="General">
                  <c:v>-3.8594378467860298E-2</c:v>
                </c:pt>
                <c:pt idx="235" formatCode="General">
                  <c:v>-9.2092576511524596E-2</c:v>
                </c:pt>
                <c:pt idx="236" formatCode="General">
                  <c:v>2.5722864684374399E-2</c:v>
                </c:pt>
                <c:pt idx="237" formatCode="General">
                  <c:v>-0.10940202427505299</c:v>
                </c:pt>
                <c:pt idx="238" formatCode="General">
                  <c:v>1.51322518367246E-2</c:v>
                </c:pt>
                <c:pt idx="239" formatCode="General">
                  <c:v>-2.76471800374661E-2</c:v>
                </c:pt>
                <c:pt idx="240" formatCode="General">
                  <c:v>-2.99971913273227E-2</c:v>
                </c:pt>
                <c:pt idx="241" formatCode="General">
                  <c:v>-3.0370651473802801E-2</c:v>
                </c:pt>
                <c:pt idx="242" formatCode="General">
                  <c:v>-7.6989006359302795E-2</c:v>
                </c:pt>
                <c:pt idx="243" formatCode="General">
                  <c:v>-0.12325713530384499</c:v>
                </c:pt>
                <c:pt idx="244" formatCode="General">
                  <c:v>-0.13227466654872999</c:v>
                </c:pt>
                <c:pt idx="245" formatCode="General">
                  <c:v>-0.13369348612647999</c:v>
                </c:pt>
                <c:pt idx="246" formatCode="General">
                  <c:v>-0.13035157458077501</c:v>
                </c:pt>
                <c:pt idx="247" formatCode="General">
                  <c:v>-0.11729153350905</c:v>
                </c:pt>
                <c:pt idx="248" formatCode="General">
                  <c:v>-1.5599411841032E-2</c:v>
                </c:pt>
                <c:pt idx="249" formatCode="General">
                  <c:v>1.37200502270885E-2</c:v>
                </c:pt>
                <c:pt idx="250" formatCode="General">
                  <c:v>8.8759131137266106E-2</c:v>
                </c:pt>
                <c:pt idx="251" formatCode="General">
                  <c:v>6.7800715991206906E-2</c:v>
                </c:pt>
                <c:pt idx="252" formatCode="General">
                  <c:v>5.4202149756846098E-2</c:v>
                </c:pt>
                <c:pt idx="253" formatCode="General">
                  <c:v>8.1153791974057796E-2</c:v>
                </c:pt>
                <c:pt idx="254" formatCode="General">
                  <c:v>7.8181225890298994E-2</c:v>
                </c:pt>
                <c:pt idx="255" formatCode="General">
                  <c:v>4.55366201463955E-2</c:v>
                </c:pt>
                <c:pt idx="256" formatCode="General">
                  <c:v>6.1257193026620201E-2</c:v>
                </c:pt>
                <c:pt idx="257" formatCode="General">
                  <c:v>6.1679384442370699E-2</c:v>
                </c:pt>
                <c:pt idx="258" formatCode="General">
                  <c:v>2.0341043956252101E-2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0F-4533-966B-76F7FC3D35DB}"/>
            </c:ext>
          </c:extLst>
        </c:ser>
        <c:ser>
          <c:idx val="4"/>
          <c:order val="4"/>
          <c:tx>
            <c:strRef>
              <c:f>US_raw_policy_innovations!$I$1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US_raw_policy_innovations!$A$2:$A$260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US_raw_policy_innovations!$I$2:$I$260</c:f>
              <c:numCache>
                <c:formatCode>0.00E+00</c:formatCode>
                <c:ptCount val="259"/>
                <c:pt idx="0">
                  <c:v>-1.3660718398158201E-16</c:v>
                </c:pt>
                <c:pt idx="1">
                  <c:v>-1.38591791606668E-16</c:v>
                </c:pt>
                <c:pt idx="2">
                  <c:v>-1.1711837817638099E-16</c:v>
                </c:pt>
                <c:pt idx="3">
                  <c:v>-8.2523910791395004E-17</c:v>
                </c:pt>
                <c:pt idx="4">
                  <c:v>-7.2458475457951605E-17</c:v>
                </c:pt>
                <c:pt idx="5">
                  <c:v>-2.0593248804052601E-16</c:v>
                </c:pt>
                <c:pt idx="6">
                  <c:v>-1.93424406102271E-16</c:v>
                </c:pt>
                <c:pt idx="7">
                  <c:v>-1.3846322005205599E-16</c:v>
                </c:pt>
                <c:pt idx="8">
                  <c:v>-1.48202635874134E-16</c:v>
                </c:pt>
                <c:pt idx="9">
                  <c:v>-8.4109892952999499E-17</c:v>
                </c:pt>
                <c:pt idx="10">
                  <c:v>-8.2093928887261404E-17</c:v>
                </c:pt>
                <c:pt idx="11">
                  <c:v>-1.55078195746706E-16</c:v>
                </c:pt>
                <c:pt idx="12">
                  <c:v>-7.4209157978092596E-17</c:v>
                </c:pt>
                <c:pt idx="13">
                  <c:v>2.5043851440255901E-17</c:v>
                </c:pt>
                <c:pt idx="14">
                  <c:v>-5.99116415581373E-17</c:v>
                </c:pt>
                <c:pt idx="15">
                  <c:v>-4.5764492600576199E-17</c:v>
                </c:pt>
                <c:pt idx="16">
                  <c:v>3.7256533563334398E-17</c:v>
                </c:pt>
                <c:pt idx="17">
                  <c:v>3.8405554199982103E-17</c:v>
                </c:pt>
                <c:pt idx="18">
                  <c:v>-2.8788567805777302E-18</c:v>
                </c:pt>
                <c:pt idx="19">
                  <c:v>4.4258314357788601E-17</c:v>
                </c:pt>
                <c:pt idx="20">
                  <c:v>9.6812295465750697E-17</c:v>
                </c:pt>
                <c:pt idx="21">
                  <c:v>8.3642003939969205E-17</c:v>
                </c:pt>
                <c:pt idx="22">
                  <c:v>7.5380097448733395E-17</c:v>
                </c:pt>
                <c:pt idx="23">
                  <c:v>-5.3422573508465901E-18</c:v>
                </c:pt>
                <c:pt idx="24">
                  <c:v>8.09914193039269E-18</c:v>
                </c:pt>
                <c:pt idx="25">
                  <c:v>9.7279434442001904E-17</c:v>
                </c:pt>
                <c:pt idx="26">
                  <c:v>1.4154951425769201E-16</c:v>
                </c:pt>
                <c:pt idx="27">
                  <c:v>1.5026679763025699E-16</c:v>
                </c:pt>
                <c:pt idx="28">
                  <c:v>5.7752934964111097E-17</c:v>
                </c:pt>
                <c:pt idx="29">
                  <c:v>-3.6475477642942199E-18</c:v>
                </c:pt>
                <c:pt idx="30">
                  <c:v>9.2424024290517603E-17</c:v>
                </c:pt>
                <c:pt idx="31">
                  <c:v>1.2111366243284599E-16</c:v>
                </c:pt>
                <c:pt idx="32">
                  <c:v>-4.1464046556343401E-17</c:v>
                </c:pt>
                <c:pt idx="33">
                  <c:v>-6.0414831561349604E-17</c:v>
                </c:pt>
                <c:pt idx="34">
                  <c:v>-4.8248842346409398E-18</c:v>
                </c:pt>
                <c:pt idx="35">
                  <c:v>3.5509147386623797E-17</c:v>
                </c:pt>
                <c:pt idx="36">
                  <c:v>1.0740540580304101E-16</c:v>
                </c:pt>
                <c:pt idx="37">
                  <c:v>1.14731397284904E-16</c:v>
                </c:pt>
                <c:pt idx="38">
                  <c:v>1.5003416992482201E-16</c:v>
                </c:pt>
                <c:pt idx="39">
                  <c:v>1.5854465800676499E-16</c:v>
                </c:pt>
                <c:pt idx="40">
                  <c:v>1.4010882870719901E-16</c:v>
                </c:pt>
                <c:pt idx="41">
                  <c:v>3.3646186998992502E-17</c:v>
                </c:pt>
                <c:pt idx="42">
                  <c:v>-7.3336267652489099E-17</c:v>
                </c:pt>
                <c:pt idx="43">
                  <c:v>3.02180707112606E-18</c:v>
                </c:pt>
                <c:pt idx="44">
                  <c:v>-1.08522016236288E-16</c:v>
                </c:pt>
                <c:pt idx="45">
                  <c:v>-1.2577957778853699E-16</c:v>
                </c:pt>
                <c:pt idx="46">
                  <c:v>4.5703039038027496E-18</c:v>
                </c:pt>
                <c:pt idx="47">
                  <c:v>1.02171161926619E-17</c:v>
                </c:pt>
                <c:pt idx="48">
                  <c:v>4.3288643605039001E-17</c:v>
                </c:pt>
                <c:pt idx="49">
                  <c:v>2.0783547876209501E-18</c:v>
                </c:pt>
                <c:pt idx="50">
                  <c:v>-6.67915930057968E-17</c:v>
                </c:pt>
                <c:pt idx="51">
                  <c:v>-3.9274658609474901E-17</c:v>
                </c:pt>
                <c:pt idx="52">
                  <c:v>-5.5976726377746394E-17</c:v>
                </c:pt>
                <c:pt idx="53">
                  <c:v>1.15387106287244E-17</c:v>
                </c:pt>
                <c:pt idx="54">
                  <c:v>1.3064785136697501E-16</c:v>
                </c:pt>
                <c:pt idx="55">
                  <c:v>1.4389654770625201E-16</c:v>
                </c:pt>
                <c:pt idx="56">
                  <c:v>6.9540364803763294E-17</c:v>
                </c:pt>
                <c:pt idx="57">
                  <c:v>3.4889029910149101E-17</c:v>
                </c:pt>
                <c:pt idx="58">
                  <c:v>6.0368801939379495E-17</c:v>
                </c:pt>
                <c:pt idx="59">
                  <c:v>3.7434931485798701E-17</c:v>
                </c:pt>
                <c:pt idx="60">
                  <c:v>-2.01787271800926E-16</c:v>
                </c:pt>
                <c:pt idx="61">
                  <c:v>-2.3565988050180698E-16</c:v>
                </c:pt>
                <c:pt idx="62">
                  <c:v>-1.5164479828980301E-16</c:v>
                </c:pt>
                <c:pt idx="63">
                  <c:v>-1.7509561051528E-16</c:v>
                </c:pt>
                <c:pt idx="64">
                  <c:v>-1.64591458074976E-16</c:v>
                </c:pt>
                <c:pt idx="65">
                  <c:v>-1.31310940015804E-16</c:v>
                </c:pt>
                <c:pt idx="66">
                  <c:v>-1.5297137856601E-16</c:v>
                </c:pt>
                <c:pt idx="67">
                  <c:v>-1.8846149283547699E-16</c:v>
                </c:pt>
                <c:pt idx="68">
                  <c:v>-1.8260281887837401E-16</c:v>
                </c:pt>
                <c:pt idx="69">
                  <c:v>-6.7577374835304502E-17</c:v>
                </c:pt>
                <c:pt idx="70">
                  <c:v>-8.5623218214077396E-17</c:v>
                </c:pt>
                <c:pt idx="71">
                  <c:v>-6.1029547949177299E-17</c:v>
                </c:pt>
                <c:pt idx="72">
                  <c:v>8.0612071290554003E-18</c:v>
                </c:pt>
                <c:pt idx="73">
                  <c:v>-1.95588050602981E-17</c:v>
                </c:pt>
                <c:pt idx="74">
                  <c:v>-1.36318220300467E-17</c:v>
                </c:pt>
                <c:pt idx="75">
                  <c:v>3.3428124805857301E-17</c:v>
                </c:pt>
                <c:pt idx="76">
                  <c:v>1.1565352119081901E-16</c:v>
                </c:pt>
                <c:pt idx="77">
                  <c:v>7.1050660131387405E-17</c:v>
                </c:pt>
                <c:pt idx="78">
                  <c:v>1.0754322103983801E-16</c:v>
                </c:pt>
                <c:pt idx="79">
                  <c:v>1.94817864553765E-16</c:v>
                </c:pt>
                <c:pt idx="80">
                  <c:v>7.6952320374935505E-17</c:v>
                </c:pt>
                <c:pt idx="81">
                  <c:v>-3.1377941113528702E-17</c:v>
                </c:pt>
                <c:pt idx="82">
                  <c:v>-9.8575016838200195E-17</c:v>
                </c:pt>
                <c:pt idx="83">
                  <c:v>4.7880223650484498E-17</c:v>
                </c:pt>
                <c:pt idx="84">
                  <c:v>5.4569095855280301E-17</c:v>
                </c:pt>
                <c:pt idx="85">
                  <c:v>8.4032833308739204E-17</c:v>
                </c:pt>
                <c:pt idx="86">
                  <c:v>-1.1905377014747401E-17</c:v>
                </c:pt>
                <c:pt idx="87">
                  <c:v>-1.04990672465395E-16</c:v>
                </c:pt>
                <c:pt idx="88">
                  <c:v>-7.2528290063119397E-18</c:v>
                </c:pt>
                <c:pt idx="89">
                  <c:v>5.6978048479558104E-17</c:v>
                </c:pt>
                <c:pt idx="90">
                  <c:v>-4.6224226674319498E-17</c:v>
                </c:pt>
                <c:pt idx="91">
                  <c:v>-2.21708436721356E-16</c:v>
                </c:pt>
                <c:pt idx="92">
                  <c:v>-2.0265389382896001E-16</c:v>
                </c:pt>
                <c:pt idx="93">
                  <c:v>-1.62138314786159E-16</c:v>
                </c:pt>
                <c:pt idx="94">
                  <c:v>-1.3832842283189499E-16</c:v>
                </c:pt>
                <c:pt idx="95">
                  <c:v>-7.0954136423753104E-17</c:v>
                </c:pt>
                <c:pt idx="96">
                  <c:v>-8.4702549498978906E-17</c:v>
                </c:pt>
                <c:pt idx="97">
                  <c:v>-8.0592503567435103E-17</c:v>
                </c:pt>
                <c:pt idx="98">
                  <c:v>2.8333514220888298E-19</c:v>
                </c:pt>
                <c:pt idx="99">
                  <c:v>-3.8116113076534901E-17</c:v>
                </c:pt>
                <c:pt idx="100">
                  <c:v>-3.7529086237014697E-17</c:v>
                </c:pt>
                <c:pt idx="101">
                  <c:v>2.5154605771223099E-17</c:v>
                </c:pt>
                <c:pt idx="102">
                  <c:v>-5.3463067647190197E-17</c:v>
                </c:pt>
                <c:pt idx="103">
                  <c:v>2.3059022748995701E-17</c:v>
                </c:pt>
                <c:pt idx="104">
                  <c:v>1.6702210794735899E-16</c:v>
                </c:pt>
                <c:pt idx="105">
                  <c:v>1.0001456524076E-16</c:v>
                </c:pt>
                <c:pt idx="106">
                  <c:v>9.2423976315996897E-17</c:v>
                </c:pt>
                <c:pt idx="107">
                  <c:v>1.30151045770164E-16</c:v>
                </c:pt>
                <c:pt idx="108">
                  <c:v>1.87463826233761E-16</c:v>
                </c:pt>
                <c:pt idx="109">
                  <c:v>1.06258224113207E-16</c:v>
                </c:pt>
                <c:pt idx="110">
                  <c:v>8.4884965865695604E-17</c:v>
                </c:pt>
                <c:pt idx="111">
                  <c:v>1.2242753635815399E-16</c:v>
                </c:pt>
                <c:pt idx="112">
                  <c:v>8.8281245972242099E-17</c:v>
                </c:pt>
                <c:pt idx="113">
                  <c:v>1.0747872999207699E-16</c:v>
                </c:pt>
                <c:pt idx="114">
                  <c:v>1.2322695172882399E-16</c:v>
                </c:pt>
                <c:pt idx="115">
                  <c:v>1.4033805190497801E-16</c:v>
                </c:pt>
                <c:pt idx="116">
                  <c:v>2.1334214417059701E-16</c:v>
                </c:pt>
                <c:pt idx="117">
                  <c:v>1.99389586637288E-16</c:v>
                </c:pt>
                <c:pt idx="118">
                  <c:v>1.7904700375455101E-16</c:v>
                </c:pt>
                <c:pt idx="119">
                  <c:v>1.5543897161250501E-16</c:v>
                </c:pt>
                <c:pt idx="120">
                  <c:v>2.10145634317976E-16</c:v>
                </c:pt>
                <c:pt idx="121">
                  <c:v>1.77974422365042E-16</c:v>
                </c:pt>
                <c:pt idx="122">
                  <c:v>6.5222629674440504E-17</c:v>
                </c:pt>
                <c:pt idx="123">
                  <c:v>1.4028392534187E-16</c:v>
                </c:pt>
                <c:pt idx="124">
                  <c:v>1.2685743251854799E-16</c:v>
                </c:pt>
                <c:pt idx="125">
                  <c:v>3.9300145664133902E-17</c:v>
                </c:pt>
                <c:pt idx="126">
                  <c:v>6.9878313942048501E-18</c:v>
                </c:pt>
                <c:pt idx="127">
                  <c:v>-2.05151276406738E-18</c:v>
                </c:pt>
                <c:pt idx="128">
                  <c:v>-7.5784802714747395E-17</c:v>
                </c:pt>
                <c:pt idx="129">
                  <c:v>-3.8634518429338703E-17</c:v>
                </c:pt>
                <c:pt idx="130">
                  <c:v>-3.5347703573780699E-17</c:v>
                </c:pt>
                <c:pt idx="131">
                  <c:v>-8.4100206428746896E-17</c:v>
                </c:pt>
                <c:pt idx="132">
                  <c:v>6.5842846246660303E-18</c:v>
                </c:pt>
                <c:pt idx="133">
                  <c:v>3.1807704118015803E-17</c:v>
                </c:pt>
                <c:pt idx="134">
                  <c:v>8.1643968628701598E-17</c:v>
                </c:pt>
                <c:pt idx="135">
                  <c:v>5.3199183643746198E-17</c:v>
                </c:pt>
                <c:pt idx="136">
                  <c:v>1.9778355249231499E-17</c:v>
                </c:pt>
                <c:pt idx="137">
                  <c:v>4.9627202477720402E-17</c:v>
                </c:pt>
                <c:pt idx="138">
                  <c:v>8.0163340420489704E-17</c:v>
                </c:pt>
                <c:pt idx="139">
                  <c:v>1.05848483797662E-16</c:v>
                </c:pt>
                <c:pt idx="140">
                  <c:v>1.49849879887308E-16</c:v>
                </c:pt>
                <c:pt idx="141">
                  <c:v>2.36429347807373E-17</c:v>
                </c:pt>
                <c:pt idx="142">
                  <c:v>1.8568534772695299E-17</c:v>
                </c:pt>
                <c:pt idx="143">
                  <c:v>9.1971847509079697E-17</c:v>
                </c:pt>
                <c:pt idx="144">
                  <c:v>3.8275705687136699E-17</c:v>
                </c:pt>
                <c:pt idx="145">
                  <c:v>6.8737643221467694E-17</c:v>
                </c:pt>
                <c:pt idx="146">
                  <c:v>1.5534432306303701E-16</c:v>
                </c:pt>
                <c:pt idx="147">
                  <c:v>1.36091724049292E-16</c:v>
                </c:pt>
                <c:pt idx="148">
                  <c:v>1.06605513047717E-16</c:v>
                </c:pt>
                <c:pt idx="149">
                  <c:v>1.9143534340231701E-16</c:v>
                </c:pt>
                <c:pt idx="150">
                  <c:v>1.65085208855861E-16</c:v>
                </c:pt>
                <c:pt idx="151">
                  <c:v>1.2800355166594499E-16</c:v>
                </c:pt>
                <c:pt idx="152">
                  <c:v>1.4535112685336801E-16</c:v>
                </c:pt>
                <c:pt idx="153">
                  <c:v>1.41626497048104E-16</c:v>
                </c:pt>
                <c:pt idx="154">
                  <c:v>1.1349088410288101E-16</c:v>
                </c:pt>
                <c:pt idx="155">
                  <c:v>1.8753677034377599E-16</c:v>
                </c:pt>
                <c:pt idx="156">
                  <c:v>2.2192739425225999E-16</c:v>
                </c:pt>
                <c:pt idx="157">
                  <c:v>1.8042510410194001E-16</c:v>
                </c:pt>
                <c:pt idx="158">
                  <c:v>1.9054935565460201E-16</c:v>
                </c:pt>
                <c:pt idx="159">
                  <c:v>1.8511957478496201E-16</c:v>
                </c:pt>
                <c:pt idx="160">
                  <c:v>3.1105021063926498E-16</c:v>
                </c:pt>
                <c:pt idx="161">
                  <c:v>3.7566038758188298E-16</c:v>
                </c:pt>
                <c:pt idx="162">
                  <c:v>2.2554211800577598E-16</c:v>
                </c:pt>
                <c:pt idx="163">
                  <c:v>2.5718224171049002E-16</c:v>
                </c:pt>
                <c:pt idx="164">
                  <c:v>2.8655567401154201E-16</c:v>
                </c:pt>
                <c:pt idx="165">
                  <c:v>2.4631093492555799E-16</c:v>
                </c:pt>
                <c:pt idx="166">
                  <c:v>1.9479145353126701E-16</c:v>
                </c:pt>
                <c:pt idx="167">
                  <c:v>1.32374842585299E-16</c:v>
                </c:pt>
                <c:pt idx="168">
                  <c:v>1.05955463854969E-16</c:v>
                </c:pt>
                <c:pt idx="169">
                  <c:v>1.3899310005786401E-16</c:v>
                </c:pt>
                <c:pt idx="170">
                  <c:v>1.45558293432821E-16</c:v>
                </c:pt>
                <c:pt idx="171">
                  <c:v>8.1560112887780804E-17</c:v>
                </c:pt>
                <c:pt idx="172">
                  <c:v>6.0514071405890898E-17</c:v>
                </c:pt>
                <c:pt idx="173">
                  <c:v>3.4482197936457997E-17</c:v>
                </c:pt>
                <c:pt idx="174">
                  <c:v>-5.4767733105187101E-17</c:v>
                </c:pt>
                <c:pt idx="175">
                  <c:v>6.6099862366141396E-19</c:v>
                </c:pt>
                <c:pt idx="176">
                  <c:v>2.02147990267871E-17</c:v>
                </c:pt>
                <c:pt idx="177">
                  <c:v>1.58356730472925E-18</c:v>
                </c:pt>
                <c:pt idx="178">
                  <c:v>6.0289591686689795E-17</c:v>
                </c:pt>
                <c:pt idx="179">
                  <c:v>4.8035657859298901E-17</c:v>
                </c:pt>
                <c:pt idx="180">
                  <c:v>5.04867066231652E-17</c:v>
                </c:pt>
                <c:pt idx="181">
                  <c:v>8.5135935883104201E-17</c:v>
                </c:pt>
                <c:pt idx="182">
                  <c:v>1.31289146253108E-16</c:v>
                </c:pt>
                <c:pt idx="183">
                  <c:v>1.5351193345036001E-16</c:v>
                </c:pt>
                <c:pt idx="184">
                  <c:v>1.43806068193463E-16</c:v>
                </c:pt>
                <c:pt idx="185">
                  <c:v>1.6158457915163999E-16</c:v>
                </c:pt>
                <c:pt idx="186">
                  <c:v>1.68076759012626E-16</c:v>
                </c:pt>
                <c:pt idx="187">
                  <c:v>2.4786226574233402E-16</c:v>
                </c:pt>
                <c:pt idx="188">
                  <c:v>2.5716193237937298E-16</c:v>
                </c:pt>
                <c:pt idx="189">
                  <c:v>1.9171432159051299E-16</c:v>
                </c:pt>
                <c:pt idx="190">
                  <c:v>1.5627057162249701E-16</c:v>
                </c:pt>
                <c:pt idx="191">
                  <c:v>1.7657300617749999E-16</c:v>
                </c:pt>
                <c:pt idx="192">
                  <c:v>1.6214553638165701E-16</c:v>
                </c:pt>
                <c:pt idx="193">
                  <c:v>1.3960054383426E-16</c:v>
                </c:pt>
                <c:pt idx="194">
                  <c:v>1.06965878172938E-16</c:v>
                </c:pt>
                <c:pt idx="195" formatCode="General">
                  <c:v>2.9153821605798599E-2</c:v>
                </c:pt>
                <c:pt idx="196" formatCode="General">
                  <c:v>3.72170122309139E-2</c:v>
                </c:pt>
                <c:pt idx="197" formatCode="General">
                  <c:v>4.6823088187251199E-2</c:v>
                </c:pt>
                <c:pt idx="198" formatCode="General">
                  <c:v>4.7599513045876E-2</c:v>
                </c:pt>
                <c:pt idx="199" formatCode="General">
                  <c:v>6.1454640838895902E-2</c:v>
                </c:pt>
                <c:pt idx="200" formatCode="General">
                  <c:v>2.11303046598551E-2</c:v>
                </c:pt>
                <c:pt idx="201" formatCode="General">
                  <c:v>-5.6776457952376097E-2</c:v>
                </c:pt>
                <c:pt idx="202" formatCode="General">
                  <c:v>-4.98378475221175E-2</c:v>
                </c:pt>
                <c:pt idx="203" formatCode="General">
                  <c:v>-5.1086816705631002E-3</c:v>
                </c:pt>
                <c:pt idx="204" formatCode="General">
                  <c:v>-3.4057839190841598E-3</c:v>
                </c:pt>
                <c:pt idx="205" formatCode="General">
                  <c:v>-3.6719587097489001E-2</c:v>
                </c:pt>
                <c:pt idx="206" formatCode="General">
                  <c:v>-4.1659970358132299E-2</c:v>
                </c:pt>
                <c:pt idx="207" formatCode="General">
                  <c:v>-2.34017783322913E-2</c:v>
                </c:pt>
                <c:pt idx="208" formatCode="General">
                  <c:v>-1.98091401933417E-2</c:v>
                </c:pt>
                <c:pt idx="209" formatCode="General">
                  <c:v>-3.8381021033036498E-2</c:v>
                </c:pt>
                <c:pt idx="210" formatCode="General">
                  <c:v>-4.4507101228863102E-2</c:v>
                </c:pt>
                <c:pt idx="211" formatCode="General">
                  <c:v>-5.3511680097035899E-2</c:v>
                </c:pt>
                <c:pt idx="212" formatCode="General">
                  <c:v>-1.7561423915417401E-2</c:v>
                </c:pt>
                <c:pt idx="213" formatCode="General">
                  <c:v>-8.3545239756267903E-3</c:v>
                </c:pt>
                <c:pt idx="214" formatCode="General">
                  <c:v>-4.4194395335711498E-2</c:v>
                </c:pt>
                <c:pt idx="215" formatCode="General">
                  <c:v>-2.2928131138780901E-2</c:v>
                </c:pt>
                <c:pt idx="216" formatCode="General">
                  <c:v>4.7368975612240702E-3</c:v>
                </c:pt>
                <c:pt idx="217" formatCode="General">
                  <c:v>3.6300355258297799E-2</c:v>
                </c:pt>
                <c:pt idx="218" formatCode="General">
                  <c:v>1.26788394988551E-2</c:v>
                </c:pt>
                <c:pt idx="219" formatCode="General">
                  <c:v>2.1724363190927399E-3</c:v>
                </c:pt>
                <c:pt idx="220" formatCode="General">
                  <c:v>-2.5399747176224501E-2</c:v>
                </c:pt>
                <c:pt idx="221" formatCode="General">
                  <c:v>8.2277452846149903E-4</c:v>
                </c:pt>
                <c:pt idx="222" formatCode="General">
                  <c:v>-2.0995414113752699E-2</c:v>
                </c:pt>
                <c:pt idx="223" formatCode="General">
                  <c:v>-5.7067340550729E-3</c:v>
                </c:pt>
                <c:pt idx="224" formatCode="General">
                  <c:v>-1.3931655585881299E-2</c:v>
                </c:pt>
                <c:pt idx="225" formatCode="General">
                  <c:v>1.3212699280321099E-2</c:v>
                </c:pt>
                <c:pt idx="226" formatCode="General">
                  <c:v>1.32684179320053E-3</c:v>
                </c:pt>
                <c:pt idx="227" formatCode="General">
                  <c:v>1.1216263674016401E-3</c:v>
                </c:pt>
                <c:pt idx="228" formatCode="General">
                  <c:v>1.2601273540220099E-2</c:v>
                </c:pt>
                <c:pt idx="229" formatCode="General">
                  <c:v>7.43322087497327E-3</c:v>
                </c:pt>
                <c:pt idx="230" formatCode="General">
                  <c:v>1.21927044166569E-2</c:v>
                </c:pt>
                <c:pt idx="231" formatCode="General">
                  <c:v>1.19947424405003E-2</c:v>
                </c:pt>
                <c:pt idx="232" formatCode="General">
                  <c:v>6.1557778881104501E-3</c:v>
                </c:pt>
                <c:pt idx="233" formatCode="General">
                  <c:v>-2.5189531473973799E-2</c:v>
                </c:pt>
                <c:pt idx="234" formatCode="General">
                  <c:v>-5.2392991386701199E-2</c:v>
                </c:pt>
                <c:pt idx="235" formatCode="General">
                  <c:v>1.3006369546579801E-2</c:v>
                </c:pt>
                <c:pt idx="236" formatCode="General">
                  <c:v>-6.6905523028449695E-2</c:v>
                </c:pt>
                <c:pt idx="237" formatCode="General">
                  <c:v>7.8133368609604702E-3</c:v>
                </c:pt>
                <c:pt idx="238" formatCode="General">
                  <c:v>-2.3322272948598802E-2</c:v>
                </c:pt>
                <c:pt idx="239" formatCode="General">
                  <c:v>-2.7573539388254999E-2</c:v>
                </c:pt>
                <c:pt idx="240" formatCode="General">
                  <c:v>-9.6573457302684892E-3</c:v>
                </c:pt>
                <c:pt idx="241" formatCode="General">
                  <c:v>-3.4053932675048998E-2</c:v>
                </c:pt>
                <c:pt idx="242" formatCode="General">
                  <c:v>-6.7464232889359099E-2</c:v>
                </c:pt>
                <c:pt idx="243" formatCode="General">
                  <c:v>-8.5453442817074496E-2</c:v>
                </c:pt>
                <c:pt idx="244" formatCode="General">
                  <c:v>-6.3143081935901402E-2</c:v>
                </c:pt>
                <c:pt idx="245" formatCode="General">
                  <c:v>-1.253994183122E-2</c:v>
                </c:pt>
                <c:pt idx="246" formatCode="General">
                  <c:v>-1.7753682772773099E-2</c:v>
                </c:pt>
                <c:pt idx="247" formatCode="General">
                  <c:v>3.8585719734125098E-2</c:v>
                </c:pt>
                <c:pt idx="248" formatCode="General">
                  <c:v>0.20135062237778301</c:v>
                </c:pt>
                <c:pt idx="249" formatCode="General">
                  <c:v>-2.54151901919673E-3</c:v>
                </c:pt>
                <c:pt idx="250" formatCode="General">
                  <c:v>0.123195617190451</c:v>
                </c:pt>
                <c:pt idx="251" formatCode="General">
                  <c:v>-0.107343049369673</c:v>
                </c:pt>
                <c:pt idx="252" formatCode="General">
                  <c:v>-0.18788217821504799</c:v>
                </c:pt>
                <c:pt idx="253" formatCode="General">
                  <c:v>-0.182826692660292</c:v>
                </c:pt>
                <c:pt idx="254" formatCode="General">
                  <c:v>-0.13554479898010799</c:v>
                </c:pt>
                <c:pt idx="255" formatCode="General">
                  <c:v>-0.149346609405175</c:v>
                </c:pt>
                <c:pt idx="256" formatCode="General">
                  <c:v>-9.8931871569561E-2</c:v>
                </c:pt>
                <c:pt idx="257" formatCode="General">
                  <c:v>-8.6940357646633395E-2</c:v>
                </c:pt>
                <c:pt idx="258" formatCode="General">
                  <c:v>-5.4602218829049302E-2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F-4533-966B-76F7FC3D3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US_raw_policy_innovations!$D$1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US_raw_policy_innovations!$D$190:$D$260</c:f>
              <c:numCache>
                <c:formatCode>General</c:formatCode>
                <c:ptCount val="71"/>
                <c:pt idx="0">
                  <c:v>-0.18499703891394201</c:v>
                </c:pt>
                <c:pt idx="1">
                  <c:v>3.53394574076396E-2</c:v>
                </c:pt>
                <c:pt idx="2">
                  <c:v>-0.108140006496701</c:v>
                </c:pt>
                <c:pt idx="3">
                  <c:v>-0.27873198404611099</c:v>
                </c:pt>
                <c:pt idx="4">
                  <c:v>-0.30552875057286599</c:v>
                </c:pt>
                <c:pt idx="5">
                  <c:v>-0.29747601762697301</c:v>
                </c:pt>
                <c:pt idx="6">
                  <c:v>0.14155164512947399</c:v>
                </c:pt>
                <c:pt idx="7">
                  <c:v>0.20467000958495801</c:v>
                </c:pt>
                <c:pt idx="8">
                  <c:v>0.53167060169130098</c:v>
                </c:pt>
                <c:pt idx="9">
                  <c:v>0.41853267056344701</c:v>
                </c:pt>
                <c:pt idx="10">
                  <c:v>0.143015716170243</c:v>
                </c:pt>
                <c:pt idx="11">
                  <c:v>0.32217832433021099</c:v>
                </c:pt>
                <c:pt idx="12">
                  <c:v>0.18676611779665001</c:v>
                </c:pt>
                <c:pt idx="13">
                  <c:v>-2.2007394481891401E-2</c:v>
                </c:pt>
                <c:pt idx="14">
                  <c:v>6.6593822355199103E-2</c:v>
                </c:pt>
                <c:pt idx="15">
                  <c:v>0.10746944733500401</c:v>
                </c:pt>
                <c:pt idx="16">
                  <c:v>-1.7317472926123598E-2</c:v>
                </c:pt>
                <c:pt idx="17">
                  <c:v>4.21011758171509E-2</c:v>
                </c:pt>
                <c:pt idx="18">
                  <c:v>2.8056400413304899E-2</c:v>
                </c:pt>
                <c:pt idx="19">
                  <c:v>1.7283859203808101E-2</c:v>
                </c:pt>
                <c:pt idx="20">
                  <c:v>-0.13088627500337299</c:v>
                </c:pt>
                <c:pt idx="21">
                  <c:v>7.2722601391007793E-2</c:v>
                </c:pt>
                <c:pt idx="22">
                  <c:v>3.3035358076885901E-2</c:v>
                </c:pt>
                <c:pt idx="23">
                  <c:v>-0.108509095088513</c:v>
                </c:pt>
                <c:pt idx="24">
                  <c:v>6.7668941227802204E-2</c:v>
                </c:pt>
                <c:pt idx="25">
                  <c:v>7.7081898135659604E-2</c:v>
                </c:pt>
                <c:pt idx="26">
                  <c:v>8.9712802737958994E-2</c:v>
                </c:pt>
                <c:pt idx="27">
                  <c:v>8.8151629114306407E-2</c:v>
                </c:pt>
                <c:pt idx="28">
                  <c:v>-2.8357315101394998E-3</c:v>
                </c:pt>
                <c:pt idx="29">
                  <c:v>-7.3874242014765196E-2</c:v>
                </c:pt>
                <c:pt idx="30">
                  <c:v>-1.41865817533066E-2</c:v>
                </c:pt>
                <c:pt idx="31">
                  <c:v>-0.11799680394553901</c:v>
                </c:pt>
                <c:pt idx="32">
                  <c:v>7.7712194996098299E-2</c:v>
                </c:pt>
                <c:pt idx="33">
                  <c:v>1.6013436927852301E-2</c:v>
                </c:pt>
                <c:pt idx="34">
                  <c:v>-4.3945202002823702E-2</c:v>
                </c:pt>
                <c:pt idx="35">
                  <c:v>1.0021334206675499E-2</c:v>
                </c:pt>
                <c:pt idx="36">
                  <c:v>-4.72541004567937E-2</c:v>
                </c:pt>
                <c:pt idx="37">
                  <c:v>-5.0408059397784401E-2</c:v>
                </c:pt>
                <c:pt idx="38">
                  <c:v>-4.9103820511066799E-2</c:v>
                </c:pt>
                <c:pt idx="39">
                  <c:v>2.23128610891692E-2</c:v>
                </c:pt>
                <c:pt idx="40">
                  <c:v>-2.4334954398867899E-2</c:v>
                </c:pt>
                <c:pt idx="41">
                  <c:v>-1.4988798996413999E-2</c:v>
                </c:pt>
                <c:pt idx="42">
                  <c:v>3.2155340542651997E-2</c:v>
                </c:pt>
                <c:pt idx="43">
                  <c:v>-7.5943852586890695E-2</c:v>
                </c:pt>
                <c:pt idx="44">
                  <c:v>-8.8226472980123205E-2</c:v>
                </c:pt>
                <c:pt idx="45">
                  <c:v>8.5688274087812703E-3</c:v>
                </c:pt>
                <c:pt idx="46">
                  <c:v>5.08367331308315E-2</c:v>
                </c:pt>
                <c:pt idx="47">
                  <c:v>1.2960247804161201E-2</c:v>
                </c:pt>
                <c:pt idx="48">
                  <c:v>7.9423454701713095E-2</c:v>
                </c:pt>
                <c:pt idx="49">
                  <c:v>8.6999813121266204E-3</c:v>
                </c:pt>
                <c:pt idx="50">
                  <c:v>-0.13396770579558401</c:v>
                </c:pt>
                <c:pt idx="51">
                  <c:v>-0.23365875134984099</c:v>
                </c:pt>
                <c:pt idx="52">
                  <c:v>0.298272181580789</c:v>
                </c:pt>
                <c:pt idx="53">
                  <c:v>0.21638647022506</c:v>
                </c:pt>
                <c:pt idx="54">
                  <c:v>0.20939974253513599</c:v>
                </c:pt>
                <c:pt idx="55">
                  <c:v>-0.11015277324342899</c:v>
                </c:pt>
                <c:pt idx="56">
                  <c:v>-0.271376055966219</c:v>
                </c:pt>
                <c:pt idx="57">
                  <c:v>-0.564188103275443</c:v>
                </c:pt>
                <c:pt idx="58">
                  <c:v>-0.243400671880137</c:v>
                </c:pt>
                <c:pt idx="59">
                  <c:v>-0.45906526285587601</c:v>
                </c:pt>
                <c:pt idx="60">
                  <c:v>-0.416928626441811</c:v>
                </c:pt>
                <c:pt idx="61">
                  <c:v>-0.137815677860988</c:v>
                </c:pt>
                <c:pt idx="62">
                  <c:v>0.20245102659516701</c:v>
                </c:pt>
                <c:pt idx="63">
                  <c:v>0.37403300405883899</c:v>
                </c:pt>
                <c:pt idx="64">
                  <c:v>-0.115907173289063</c:v>
                </c:pt>
                <c:pt idx="65">
                  <c:v>0.21139797939739</c:v>
                </c:pt>
                <c:pt idx="66">
                  <c:v>0.166898910441587</c:v>
                </c:pt>
                <c:pt idx="67">
                  <c:v>0.154007420030291</c:v>
                </c:pt>
                <c:pt idx="68">
                  <c:v>0.18730188747042001</c:v>
                </c:pt>
                <c:pt idx="69">
                  <c:v>0.192295117855214</c:v>
                </c:pt>
                <c:pt idx="70">
                  <c:v>0.14286928935825299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187-4E62-9737-ECA134E3A532}"/>
            </c:ext>
          </c:extLst>
        </c:ser>
        <c:ser>
          <c:idx val="1"/>
          <c:order val="1"/>
          <c:tx>
            <c:strRef>
              <c:f>US_raw_policy_innovations!$E$1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US_raw_policy_innovations!$E$190:$E$260</c:f>
              <c:numCache>
                <c:formatCode>0.00E+00</c:formatCode>
                <c:ptCount val="71"/>
                <c:pt idx="0">
                  <c:v>1.0900605866925599E-15</c:v>
                </c:pt>
                <c:pt idx="1">
                  <c:v>1.15651240923088E-15</c:v>
                </c:pt>
                <c:pt idx="2">
                  <c:v>1.19848045136075E-15</c:v>
                </c:pt>
                <c:pt idx="3">
                  <c:v>1.02520878074265E-15</c:v>
                </c:pt>
                <c:pt idx="4">
                  <c:v>9.0065873776934705E-16</c:v>
                </c:pt>
                <c:pt idx="5">
                  <c:v>8.4390522182585299E-16</c:v>
                </c:pt>
                <c:pt idx="6">
                  <c:v>7.6298923768357901E-16</c:v>
                </c:pt>
                <c:pt idx="7" formatCode="General">
                  <c:v>0.183928354810071</c:v>
                </c:pt>
                <c:pt idx="8" formatCode="General">
                  <c:v>0.20760934845545201</c:v>
                </c:pt>
                <c:pt idx="9" formatCode="General">
                  <c:v>0.118080536570029</c:v>
                </c:pt>
                <c:pt idx="10" formatCode="General">
                  <c:v>-1.8661028475978399E-2</c:v>
                </c:pt>
                <c:pt idx="11" formatCode="General">
                  <c:v>4.5306422279326401E-2</c:v>
                </c:pt>
                <c:pt idx="12" formatCode="General">
                  <c:v>7.0112492388729802E-3</c:v>
                </c:pt>
                <c:pt idx="13" formatCode="General">
                  <c:v>-9.2997039552210697E-2</c:v>
                </c:pt>
                <c:pt idx="14" formatCode="General">
                  <c:v>-4.11042143460707E-2</c:v>
                </c:pt>
                <c:pt idx="15" formatCode="General">
                  <c:v>-4.5482645925965799E-2</c:v>
                </c:pt>
                <c:pt idx="16" formatCode="General">
                  <c:v>-3.9200943583272599E-2</c:v>
                </c:pt>
                <c:pt idx="17" formatCode="General">
                  <c:v>-6.6700817645921798E-2</c:v>
                </c:pt>
                <c:pt idx="18" formatCode="General">
                  <c:v>-7.6267415000873695E-2</c:v>
                </c:pt>
                <c:pt idx="19" formatCode="General">
                  <c:v>-6.3439893014187093E-2</c:v>
                </c:pt>
                <c:pt idx="20" formatCode="General">
                  <c:v>-9.3044261428996494E-2</c:v>
                </c:pt>
                <c:pt idx="21" formatCode="General">
                  <c:v>-2.1733081114248001E-2</c:v>
                </c:pt>
                <c:pt idx="22" formatCode="General">
                  <c:v>-2.2570011370377601E-2</c:v>
                </c:pt>
                <c:pt idx="23" formatCode="General">
                  <c:v>-8.25512441294253E-2</c:v>
                </c:pt>
                <c:pt idx="24" formatCode="General">
                  <c:v>-6.8068778887362402E-2</c:v>
                </c:pt>
                <c:pt idx="25" formatCode="General">
                  <c:v>-1.7559997745668798E-2</c:v>
                </c:pt>
                <c:pt idx="26" formatCode="General">
                  <c:v>-3.5510471691618299E-2</c:v>
                </c:pt>
                <c:pt idx="27" formatCode="General">
                  <c:v>-5.8346808957142303E-2</c:v>
                </c:pt>
                <c:pt idx="28" formatCode="General">
                  <c:v>-4.4259429838022502E-2</c:v>
                </c:pt>
                <c:pt idx="29" formatCode="General">
                  <c:v>-9.1746256806028895E-2</c:v>
                </c:pt>
                <c:pt idx="30" formatCode="General">
                  <c:v>-6.4352196495686506E-2</c:v>
                </c:pt>
                <c:pt idx="31" formatCode="General">
                  <c:v>-6.0009194840076503E-2</c:v>
                </c:pt>
                <c:pt idx="32" formatCode="General">
                  <c:v>1.5693001175995001E-3</c:v>
                </c:pt>
                <c:pt idx="33" formatCode="General">
                  <c:v>3.66990759777081E-2</c:v>
                </c:pt>
                <c:pt idx="34" formatCode="General">
                  <c:v>-9.0583531301378899E-3</c:v>
                </c:pt>
                <c:pt idx="35" formatCode="General">
                  <c:v>2.4365721489964201E-2</c:v>
                </c:pt>
                <c:pt idx="36" formatCode="General">
                  <c:v>-9.7445135200783295E-2</c:v>
                </c:pt>
                <c:pt idx="37" formatCode="General">
                  <c:v>-2.24586224745097E-2</c:v>
                </c:pt>
                <c:pt idx="38" formatCode="General">
                  <c:v>-3.6630011261473E-2</c:v>
                </c:pt>
                <c:pt idx="39" formatCode="General">
                  <c:v>9.0654956029297407E-3</c:v>
                </c:pt>
                <c:pt idx="40" formatCode="General">
                  <c:v>1.8312738839433601E-2</c:v>
                </c:pt>
                <c:pt idx="41" formatCode="General">
                  <c:v>1.9962217361864099E-2</c:v>
                </c:pt>
                <c:pt idx="42" formatCode="General">
                  <c:v>-7.9431818925434199E-3</c:v>
                </c:pt>
                <c:pt idx="43" formatCode="General">
                  <c:v>-3.7544259748433E-2</c:v>
                </c:pt>
                <c:pt idx="44" formatCode="General">
                  <c:v>2.2483745206368502E-2</c:v>
                </c:pt>
                <c:pt idx="45" formatCode="General">
                  <c:v>2.2806211509426699E-2</c:v>
                </c:pt>
                <c:pt idx="46" formatCode="General">
                  <c:v>2.8428516975432701E-2</c:v>
                </c:pt>
                <c:pt idx="47" formatCode="General">
                  <c:v>3.9838704640525899E-2</c:v>
                </c:pt>
                <c:pt idx="48" formatCode="General">
                  <c:v>6.5975766103313497E-3</c:v>
                </c:pt>
                <c:pt idx="49" formatCode="General">
                  <c:v>-9.2372368235387206E-2</c:v>
                </c:pt>
                <c:pt idx="50" formatCode="General">
                  <c:v>-0.19125235126837201</c:v>
                </c:pt>
                <c:pt idx="51" formatCode="General">
                  <c:v>8.7240207234628497E-2</c:v>
                </c:pt>
                <c:pt idx="52" formatCode="General">
                  <c:v>-0.16638405702984799</c:v>
                </c:pt>
                <c:pt idx="53" formatCode="General">
                  <c:v>0.19425786226215599</c:v>
                </c:pt>
                <c:pt idx="54" formatCode="General">
                  <c:v>-3.5467203816721502E-3</c:v>
                </c:pt>
                <c:pt idx="55" formatCode="General">
                  <c:v>-0.19254999901386</c:v>
                </c:pt>
                <c:pt idx="56" formatCode="General">
                  <c:v>-0.265963427703794</c:v>
                </c:pt>
                <c:pt idx="57" formatCode="General">
                  <c:v>-0.33339175833815199</c:v>
                </c:pt>
                <c:pt idx="58" formatCode="General">
                  <c:v>-0.211170436105484</c:v>
                </c:pt>
                <c:pt idx="59" formatCode="General">
                  <c:v>-0.24525605110825799</c:v>
                </c:pt>
                <c:pt idx="60" formatCode="General">
                  <c:v>-4.1521485342866399E-2</c:v>
                </c:pt>
                <c:pt idx="61" formatCode="General">
                  <c:v>0.114731132223871</c:v>
                </c:pt>
                <c:pt idx="62" formatCode="General">
                  <c:v>0.24265392015661499</c:v>
                </c:pt>
                <c:pt idx="63" formatCode="General">
                  <c:v>0.173160153852674</c:v>
                </c:pt>
                <c:pt idx="64" formatCode="General">
                  <c:v>1.6861430242358599E-2</c:v>
                </c:pt>
                <c:pt idx="65" formatCode="General">
                  <c:v>0.165269823199622</c:v>
                </c:pt>
                <c:pt idx="66" formatCode="General">
                  <c:v>0.15467910892297501</c:v>
                </c:pt>
                <c:pt idx="67" formatCode="General">
                  <c:v>5.1957163705232803E-2</c:v>
                </c:pt>
                <c:pt idx="68" formatCode="General">
                  <c:v>0.10587678957360699</c:v>
                </c:pt>
                <c:pt idx="69" formatCode="General">
                  <c:v>0.110010050279225</c:v>
                </c:pt>
                <c:pt idx="70" formatCode="General">
                  <c:v>-0.106374110257523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187-4E62-9737-ECA134E3A53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US_raw_policy_innovations!$F$190:$F$260</c:f>
              <c:numCache>
                <c:formatCode>0.00E+00</c:formatCode>
                <c:ptCount val="71"/>
                <c:pt idx="0">
                  <c:v>9.4384056346422298E-16</c:v>
                </c:pt>
                <c:pt idx="1">
                  <c:v>1.0241646806096299E-15</c:v>
                </c:pt>
                <c:pt idx="2">
                  <c:v>9.2130305039817699E-16</c:v>
                </c:pt>
                <c:pt idx="3">
                  <c:v>8.2260185587558005E-16</c:v>
                </c:pt>
                <c:pt idx="4">
                  <c:v>7.76407969953344E-16</c:v>
                </c:pt>
                <c:pt idx="5">
                  <c:v>7.0700785260862804E-16</c:v>
                </c:pt>
                <c:pt idx="6">
                  <c:v>6.5789050647099104E-16</c:v>
                </c:pt>
                <c:pt idx="7" formatCode="General">
                  <c:v>0.14181348534904401</c:v>
                </c:pt>
                <c:pt idx="8" formatCode="General">
                  <c:v>0.119218456911976</c:v>
                </c:pt>
                <c:pt idx="9" formatCode="General">
                  <c:v>8.8024830082468197E-2</c:v>
                </c:pt>
                <c:pt idx="10" formatCode="General">
                  <c:v>-1.6037728534702199E-3</c:v>
                </c:pt>
                <c:pt idx="11" formatCode="General">
                  <c:v>3.5057824657569299E-2</c:v>
                </c:pt>
                <c:pt idx="12" formatCode="General">
                  <c:v>1.3873884594286101E-2</c:v>
                </c:pt>
                <c:pt idx="13" formatCode="General">
                  <c:v>-7.7097480524233999E-2</c:v>
                </c:pt>
                <c:pt idx="14" formatCode="General">
                  <c:v>-6.6357520614128807E-2</c:v>
                </c:pt>
                <c:pt idx="15" formatCode="General">
                  <c:v>-6.1579627179551399E-2</c:v>
                </c:pt>
                <c:pt idx="16" formatCode="General">
                  <c:v>-1.7910699806624499E-2</c:v>
                </c:pt>
                <c:pt idx="17" formatCode="General">
                  <c:v>-4.9566463151524798E-2</c:v>
                </c:pt>
                <c:pt idx="18" formatCode="General">
                  <c:v>-9.1231278940306804E-2</c:v>
                </c:pt>
                <c:pt idx="19" formatCode="General">
                  <c:v>-6.6314100775489299E-2</c:v>
                </c:pt>
                <c:pt idx="20" formatCode="General">
                  <c:v>-7.8353131265800804E-2</c:v>
                </c:pt>
                <c:pt idx="21" formatCode="General">
                  <c:v>-4.5813841891881403E-2</c:v>
                </c:pt>
                <c:pt idx="22" formatCode="General">
                  <c:v>-3.15752328508778E-2</c:v>
                </c:pt>
                <c:pt idx="23" formatCode="General">
                  <c:v>-6.86527910898833E-2</c:v>
                </c:pt>
                <c:pt idx="24" formatCode="General">
                  <c:v>-5.3311730307590899E-2</c:v>
                </c:pt>
                <c:pt idx="25" formatCode="General">
                  <c:v>-2.65418077610469E-3</c:v>
                </c:pt>
                <c:pt idx="26" formatCode="General">
                  <c:v>-4.8248006317305699E-2</c:v>
                </c:pt>
                <c:pt idx="27" formatCode="General">
                  <c:v>-6.58039288421126E-2</c:v>
                </c:pt>
                <c:pt idx="28" formatCode="General">
                  <c:v>-6.4291762514952305E-2</c:v>
                </c:pt>
                <c:pt idx="29" formatCode="General">
                  <c:v>-6.8821182528313304E-2</c:v>
                </c:pt>
                <c:pt idx="30" formatCode="General">
                  <c:v>-5.1152141661928198E-2</c:v>
                </c:pt>
                <c:pt idx="31" formatCode="General">
                  <c:v>-1.68496262106601E-2</c:v>
                </c:pt>
                <c:pt idx="32" formatCode="General">
                  <c:v>2.9454931625600301E-2</c:v>
                </c:pt>
                <c:pt idx="33" formatCode="General">
                  <c:v>6.8553556251782404E-3</c:v>
                </c:pt>
                <c:pt idx="34" formatCode="General">
                  <c:v>1.24131951672093E-2</c:v>
                </c:pt>
                <c:pt idx="35" formatCode="General">
                  <c:v>-6.7708268060337598E-2</c:v>
                </c:pt>
                <c:pt idx="36" formatCode="General">
                  <c:v>-4.02324050441107E-2</c:v>
                </c:pt>
                <c:pt idx="37" formatCode="General">
                  <c:v>-2.9343617103874699E-2</c:v>
                </c:pt>
                <c:pt idx="38" formatCode="General">
                  <c:v>-7.4276807608243001E-3</c:v>
                </c:pt>
                <c:pt idx="39" formatCode="General">
                  <c:v>2.3835411120257301E-2</c:v>
                </c:pt>
                <c:pt idx="40" formatCode="General">
                  <c:v>2.3708218742661699E-2</c:v>
                </c:pt>
                <c:pt idx="41" formatCode="General">
                  <c:v>-7.3121600150986097E-3</c:v>
                </c:pt>
                <c:pt idx="42" formatCode="General">
                  <c:v>-2.1253928288309801E-2</c:v>
                </c:pt>
                <c:pt idx="43" formatCode="General">
                  <c:v>1.8541655265151599E-2</c:v>
                </c:pt>
                <c:pt idx="44" formatCode="General">
                  <c:v>2.1487923195874101E-2</c:v>
                </c:pt>
                <c:pt idx="45" formatCode="General">
                  <c:v>2.2008395051654899E-2</c:v>
                </c:pt>
                <c:pt idx="46" formatCode="General">
                  <c:v>4.1080024205349203E-2</c:v>
                </c:pt>
                <c:pt idx="47" formatCode="General">
                  <c:v>3.5811613803490498E-3</c:v>
                </c:pt>
                <c:pt idx="48" formatCode="General">
                  <c:v>-7.5908952278071998E-2</c:v>
                </c:pt>
                <c:pt idx="49" formatCode="General">
                  <c:v>-0.16786352290322501</c:v>
                </c:pt>
                <c:pt idx="50" formatCode="General">
                  <c:v>5.6321311920413598E-2</c:v>
                </c:pt>
                <c:pt idx="51" formatCode="General">
                  <c:v>-0.16779545557803099</c:v>
                </c:pt>
                <c:pt idx="52" formatCode="General">
                  <c:v>8.3614955592456894E-2</c:v>
                </c:pt>
                <c:pt idx="53" formatCode="General">
                  <c:v>3.4874593526393403E-2</c:v>
                </c:pt>
                <c:pt idx="54" formatCode="General">
                  <c:v>-5.2199785685459701E-2</c:v>
                </c:pt>
                <c:pt idx="55" formatCode="General">
                  <c:v>-0.17590629568205099</c:v>
                </c:pt>
                <c:pt idx="56" formatCode="General">
                  <c:v>-0.19280141269227</c:v>
                </c:pt>
                <c:pt idx="57" formatCode="General">
                  <c:v>-0.233288676668397</c:v>
                </c:pt>
                <c:pt idx="58" formatCode="General">
                  <c:v>-0.171428015291337</c:v>
                </c:pt>
                <c:pt idx="59" formatCode="General">
                  <c:v>-0.11630985941611401</c:v>
                </c:pt>
                <c:pt idx="60" formatCode="General">
                  <c:v>0.19249037507719399</c:v>
                </c:pt>
                <c:pt idx="61" formatCode="General">
                  <c:v>0.32710694108155702</c:v>
                </c:pt>
                <c:pt idx="62" formatCode="General">
                  <c:v>0.31079796387574798</c:v>
                </c:pt>
                <c:pt idx="63" formatCode="General">
                  <c:v>0.20053596143175401</c:v>
                </c:pt>
                <c:pt idx="64" formatCode="General">
                  <c:v>4.4855795207220502E-2</c:v>
                </c:pt>
                <c:pt idx="65" formatCode="General">
                  <c:v>8.7641924774885596E-2</c:v>
                </c:pt>
                <c:pt idx="66" formatCode="General">
                  <c:v>7.24508664916238E-2</c:v>
                </c:pt>
                <c:pt idx="67" formatCode="General">
                  <c:v>-4.29096945635331E-2</c:v>
                </c:pt>
                <c:pt idx="68" formatCode="General">
                  <c:v>1.03434064771854E-2</c:v>
                </c:pt>
                <c:pt idx="69" formatCode="General">
                  <c:v>-1.51012453972464E-2</c:v>
                </c:pt>
                <c:pt idx="70" formatCode="General">
                  <c:v>-0.144979140854679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187-4E62-9737-ECA134E3A53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US_raw_policy_innovations!$G$190:$G$260</c:f>
              <c:numCache>
                <c:formatCode>0.00E+00</c:formatCode>
                <c:ptCount val="71"/>
                <c:pt idx="0">
                  <c:v>1.00684157747582E-15</c:v>
                </c:pt>
                <c:pt idx="1">
                  <c:v>9.7408356592968302E-16</c:v>
                </c:pt>
                <c:pt idx="2">
                  <c:v>9.0739989898352406E-16</c:v>
                </c:pt>
                <c:pt idx="3">
                  <c:v>8.1748426656057399E-16</c:v>
                </c:pt>
                <c:pt idx="4">
                  <c:v>7.3360769818483197E-16</c:v>
                </c:pt>
                <c:pt idx="5">
                  <c:v>6.6408188698719603E-16</c:v>
                </c:pt>
                <c:pt idx="6">
                  <c:v>6.2939736669715201E-16</c:v>
                </c:pt>
                <c:pt idx="7" formatCode="General">
                  <c:v>6.6446688678691607E-2</c:v>
                </c:pt>
                <c:pt idx="8" formatCode="General">
                  <c:v>8.4010725515407295E-2</c:v>
                </c:pt>
                <c:pt idx="9" formatCode="General">
                  <c:v>7.49639364072551E-2</c:v>
                </c:pt>
                <c:pt idx="10" formatCode="General">
                  <c:v>1.66613748912918E-2</c:v>
                </c:pt>
                <c:pt idx="11" formatCode="General">
                  <c:v>6.8620732112767494E-2</c:v>
                </c:pt>
                <c:pt idx="12" formatCode="General">
                  <c:v>-1.2574910782524101E-3</c:v>
                </c:pt>
                <c:pt idx="13" formatCode="General">
                  <c:v>-7.6903172644569598E-2</c:v>
                </c:pt>
                <c:pt idx="14" formatCode="General">
                  <c:v>-7.5476132486622299E-2</c:v>
                </c:pt>
                <c:pt idx="15" formatCode="General">
                  <c:v>-3.7821741494918501E-2</c:v>
                </c:pt>
                <c:pt idx="16" formatCode="General">
                  <c:v>-1.2704166486582199E-3</c:v>
                </c:pt>
                <c:pt idx="17" formatCode="General">
                  <c:v>-5.1383202923433499E-2</c:v>
                </c:pt>
                <c:pt idx="18" formatCode="General">
                  <c:v>-8.6669983143083607E-2</c:v>
                </c:pt>
                <c:pt idx="19" formatCode="General">
                  <c:v>-6.1433168951018399E-2</c:v>
                </c:pt>
                <c:pt idx="20" formatCode="General">
                  <c:v>-3.9886136635791401E-2</c:v>
                </c:pt>
                <c:pt idx="21" formatCode="General">
                  <c:v>-4.58577811011497E-2</c:v>
                </c:pt>
                <c:pt idx="22" formatCode="General">
                  <c:v>-4.31690851107389E-2</c:v>
                </c:pt>
                <c:pt idx="23" formatCode="General">
                  <c:v>-6.6897621550781605E-2</c:v>
                </c:pt>
                <c:pt idx="24" formatCode="General">
                  <c:v>-5.28617402019095E-2</c:v>
                </c:pt>
                <c:pt idx="25" formatCode="General">
                  <c:v>-3.6424407210795803E-2</c:v>
                </c:pt>
                <c:pt idx="26" formatCode="General">
                  <c:v>-4.9506389645364197E-2</c:v>
                </c:pt>
                <c:pt idx="27" formatCode="General">
                  <c:v>-6.0990485282029001E-2</c:v>
                </c:pt>
                <c:pt idx="28" formatCode="General">
                  <c:v>-5.8664941478436101E-2</c:v>
                </c:pt>
                <c:pt idx="29" formatCode="General">
                  <c:v>-2.71887890504913E-2</c:v>
                </c:pt>
                <c:pt idx="30" formatCode="General">
                  <c:v>-1.2356363479308401E-2</c:v>
                </c:pt>
                <c:pt idx="31" formatCode="General">
                  <c:v>2.9298442688277901E-2</c:v>
                </c:pt>
                <c:pt idx="32" formatCode="General">
                  <c:v>-1.75013150936648E-3</c:v>
                </c:pt>
                <c:pt idx="33" formatCode="General">
                  <c:v>2.25281758383413E-2</c:v>
                </c:pt>
                <c:pt idx="34" formatCode="General">
                  <c:v>-5.6410752470620898E-2</c:v>
                </c:pt>
                <c:pt idx="35" formatCode="General">
                  <c:v>-1.23219206842403E-2</c:v>
                </c:pt>
                <c:pt idx="36" formatCode="General">
                  <c:v>-4.6763296551811703E-2</c:v>
                </c:pt>
                <c:pt idx="37" formatCode="General">
                  <c:v>-5.3943115810865198E-3</c:v>
                </c:pt>
                <c:pt idx="38" formatCode="General">
                  <c:v>1.6049814083933299E-3</c:v>
                </c:pt>
                <c:pt idx="39" formatCode="General">
                  <c:v>2.7960012135699201E-2</c:v>
                </c:pt>
                <c:pt idx="40" formatCode="General">
                  <c:v>3.7684026841234499E-3</c:v>
                </c:pt>
                <c:pt idx="41" formatCode="General">
                  <c:v>-1.6423128792487401E-2</c:v>
                </c:pt>
                <c:pt idx="42" formatCode="General">
                  <c:v>2.4075705209810901E-2</c:v>
                </c:pt>
                <c:pt idx="43" formatCode="General">
                  <c:v>1.44739402593824E-2</c:v>
                </c:pt>
                <c:pt idx="44" formatCode="General">
                  <c:v>1.8500714059418801E-2</c:v>
                </c:pt>
                <c:pt idx="45" formatCode="General">
                  <c:v>2.6895063621619301E-2</c:v>
                </c:pt>
                <c:pt idx="46" formatCode="General">
                  <c:v>1.0822891733753399E-2</c:v>
                </c:pt>
                <c:pt idx="47" formatCode="General">
                  <c:v>-5.7153670831744399E-2</c:v>
                </c:pt>
                <c:pt idx="48" formatCode="General">
                  <c:v>-0.11952198666729701</c:v>
                </c:pt>
                <c:pt idx="49" formatCode="General">
                  <c:v>3.4055728607639599E-2</c:v>
                </c:pt>
                <c:pt idx="50" formatCode="General">
                  <c:v>-0.140825206683444</c:v>
                </c:pt>
                <c:pt idx="51" formatCode="General">
                  <c:v>3.2622362430368798E-2</c:v>
                </c:pt>
                <c:pt idx="52" formatCode="General">
                  <c:v>-1.8741520126141401E-2</c:v>
                </c:pt>
                <c:pt idx="53" formatCode="General">
                  <c:v>-3.0048533239085899E-2</c:v>
                </c:pt>
                <c:pt idx="54" formatCode="General">
                  <c:v>-7.3469628993412001E-2</c:v>
                </c:pt>
                <c:pt idx="55" formatCode="General">
                  <c:v>-0.144364565808037</c:v>
                </c:pt>
                <c:pt idx="56" formatCode="General">
                  <c:v>-0.16184472435977601</c:v>
                </c:pt>
                <c:pt idx="57" formatCode="General">
                  <c:v>-0.175979607293997</c:v>
                </c:pt>
                <c:pt idx="58" formatCode="General">
                  <c:v>-0.13701235637272199</c:v>
                </c:pt>
                <c:pt idx="59" formatCode="General">
                  <c:v>-8.2071374352117393E-2</c:v>
                </c:pt>
                <c:pt idx="60" formatCode="General">
                  <c:v>9.1556538128140602E-2</c:v>
                </c:pt>
                <c:pt idx="61" formatCode="General">
                  <c:v>-0.11881145384357</c:v>
                </c:pt>
                <c:pt idx="62" formatCode="General">
                  <c:v>-5.20102673741763E-2</c:v>
                </c:pt>
                <c:pt idx="63" formatCode="General">
                  <c:v>-6.6161274648732699E-2</c:v>
                </c:pt>
                <c:pt idx="64" formatCode="General">
                  <c:v>-0.15208836962574501</c:v>
                </c:pt>
                <c:pt idx="65" formatCode="General">
                  <c:v>3.4701535749109703E-2</c:v>
                </c:pt>
                <c:pt idx="66" formatCode="General">
                  <c:v>5.6892622982297102E-2</c:v>
                </c:pt>
                <c:pt idx="67" formatCode="General">
                  <c:v>-0.167506605659758</c:v>
                </c:pt>
                <c:pt idx="68" formatCode="General">
                  <c:v>-0.103518521582044</c:v>
                </c:pt>
                <c:pt idx="69" formatCode="General">
                  <c:v>-1.42888099325859E-2</c:v>
                </c:pt>
                <c:pt idx="70" formatCode="General">
                  <c:v>-8.2641361766595395E-2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187-4E62-9737-ECA134E3A53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US_raw_policy_innovations!$H$190:$H$260</c:f>
              <c:numCache>
                <c:formatCode>0.00E+00</c:formatCode>
                <c:ptCount val="71"/>
                <c:pt idx="0">
                  <c:v>4.3491604551330099E-16</c:v>
                </c:pt>
                <c:pt idx="1">
                  <c:v>4.16663826894815E-16</c:v>
                </c:pt>
                <c:pt idx="2">
                  <c:v>3.7074230235261299E-16</c:v>
                </c:pt>
                <c:pt idx="3">
                  <c:v>2.8715554532377098E-16</c:v>
                </c:pt>
                <c:pt idx="4">
                  <c:v>2.7558222241507501E-16</c:v>
                </c:pt>
                <c:pt idx="5">
                  <c:v>2.3753909460511302E-16</c:v>
                </c:pt>
                <c:pt idx="6">
                  <c:v>2.2375202116194899E-16</c:v>
                </c:pt>
                <c:pt idx="7" formatCode="General">
                  <c:v>4.0642982058153101E-2</c:v>
                </c:pt>
                <c:pt idx="8" formatCode="General">
                  <c:v>2.47638465942196E-2</c:v>
                </c:pt>
                <c:pt idx="9" formatCode="General">
                  <c:v>8.2316372523833503E-2</c:v>
                </c:pt>
                <c:pt idx="10" formatCode="General">
                  <c:v>1.73189002622097E-2</c:v>
                </c:pt>
                <c:pt idx="11" formatCode="General">
                  <c:v>5.9924308113825098E-2</c:v>
                </c:pt>
                <c:pt idx="12" formatCode="General">
                  <c:v>2.24656917463147E-2</c:v>
                </c:pt>
                <c:pt idx="13" formatCode="General">
                  <c:v>-6.7961559345234901E-2</c:v>
                </c:pt>
                <c:pt idx="14" formatCode="General">
                  <c:v>-5.08884598434024E-2</c:v>
                </c:pt>
                <c:pt idx="15" formatCode="General">
                  <c:v>-3.6928503018466702E-2</c:v>
                </c:pt>
                <c:pt idx="16" formatCode="General">
                  <c:v>2.1848986749970399E-2</c:v>
                </c:pt>
                <c:pt idx="17" formatCode="General">
                  <c:v>-4.49437116496973E-2</c:v>
                </c:pt>
                <c:pt idx="18" formatCode="General">
                  <c:v>-7.7643679996333398E-2</c:v>
                </c:pt>
                <c:pt idx="19" formatCode="General">
                  <c:v>-5.5393839769330197E-2</c:v>
                </c:pt>
                <c:pt idx="20" formatCode="General">
                  <c:v>-5.7628059629017202E-2</c:v>
                </c:pt>
                <c:pt idx="21" formatCode="General">
                  <c:v>-4.3189198902595399E-2</c:v>
                </c:pt>
                <c:pt idx="22" formatCode="General">
                  <c:v>-4.6024327307580701E-2</c:v>
                </c:pt>
                <c:pt idx="23" formatCode="General">
                  <c:v>-6.0834425704302503E-2</c:v>
                </c:pt>
                <c:pt idx="24" formatCode="General">
                  <c:v>-4.8220810124519897E-2</c:v>
                </c:pt>
                <c:pt idx="25" formatCode="General">
                  <c:v>-7.1750396274691802E-3</c:v>
                </c:pt>
                <c:pt idx="26" formatCode="General">
                  <c:v>-2.0968470578806599E-2</c:v>
                </c:pt>
                <c:pt idx="27" formatCode="General">
                  <c:v>-2.7867191698836901E-2</c:v>
                </c:pt>
                <c:pt idx="28" formatCode="General">
                  <c:v>-2.5499054746717299E-2</c:v>
                </c:pt>
                <c:pt idx="29" formatCode="General">
                  <c:v>-1.7703638749249701E-2</c:v>
                </c:pt>
                <c:pt idx="30" formatCode="General">
                  <c:v>4.2025195044622397E-2</c:v>
                </c:pt>
                <c:pt idx="31" formatCode="General">
                  <c:v>-1.2783479332868499E-3</c:v>
                </c:pt>
                <c:pt idx="32" formatCode="General">
                  <c:v>1.0691031989382699E-2</c:v>
                </c:pt>
                <c:pt idx="33" formatCode="General">
                  <c:v>-3.3961805199488201E-2</c:v>
                </c:pt>
                <c:pt idx="34" formatCode="General">
                  <c:v>-1.2907599224071999E-2</c:v>
                </c:pt>
                <c:pt idx="35" formatCode="General">
                  <c:v>-2.7183337996282801E-2</c:v>
                </c:pt>
                <c:pt idx="36" formatCode="General">
                  <c:v>-1.99946545393444E-2</c:v>
                </c:pt>
                <c:pt idx="37" formatCode="General">
                  <c:v>2.0084502724584301E-3</c:v>
                </c:pt>
                <c:pt idx="38" formatCode="General">
                  <c:v>1.4846230842681701E-2</c:v>
                </c:pt>
                <c:pt idx="39" formatCode="General">
                  <c:v>9.5795397922183202E-3</c:v>
                </c:pt>
                <c:pt idx="40" formatCode="General">
                  <c:v>-7.7759615922353299E-3</c:v>
                </c:pt>
                <c:pt idx="41" formatCode="General">
                  <c:v>1.63894596964748E-2</c:v>
                </c:pt>
                <c:pt idx="42" formatCode="General">
                  <c:v>1.6081944160297401E-2</c:v>
                </c:pt>
                <c:pt idx="43" formatCode="General">
                  <c:v>1.31245076926228E-2</c:v>
                </c:pt>
                <c:pt idx="44" formatCode="General">
                  <c:v>2.1878438849604401E-2</c:v>
                </c:pt>
                <c:pt idx="45" formatCode="General">
                  <c:v>6.6649178621088203E-3</c:v>
                </c:pt>
                <c:pt idx="46" formatCode="General">
                  <c:v>-3.8594378467860298E-2</c:v>
                </c:pt>
                <c:pt idx="47" formatCode="General">
                  <c:v>-9.2092576511524596E-2</c:v>
                </c:pt>
                <c:pt idx="48" formatCode="General">
                  <c:v>2.5722864684374399E-2</c:v>
                </c:pt>
                <c:pt idx="49" formatCode="General">
                  <c:v>-0.10940202427505299</c:v>
                </c:pt>
                <c:pt idx="50" formatCode="General">
                  <c:v>1.51322518367246E-2</c:v>
                </c:pt>
                <c:pt idx="51" formatCode="General">
                  <c:v>-2.76471800374661E-2</c:v>
                </c:pt>
                <c:pt idx="52" formatCode="General">
                  <c:v>-2.99971913273227E-2</c:v>
                </c:pt>
                <c:pt idx="53" formatCode="General">
                  <c:v>-3.0370651473802801E-2</c:v>
                </c:pt>
                <c:pt idx="54" formatCode="General">
                  <c:v>-7.6989006359302795E-2</c:v>
                </c:pt>
                <c:pt idx="55" formatCode="General">
                  <c:v>-0.12325713530384499</c:v>
                </c:pt>
                <c:pt idx="56" formatCode="General">
                  <c:v>-0.13227466654872999</c:v>
                </c:pt>
                <c:pt idx="57" formatCode="General">
                  <c:v>-0.13369348612647999</c:v>
                </c:pt>
                <c:pt idx="58" formatCode="General">
                  <c:v>-0.13035157458077501</c:v>
                </c:pt>
                <c:pt idx="59" formatCode="General">
                  <c:v>-0.11729153350905</c:v>
                </c:pt>
                <c:pt idx="60" formatCode="General">
                  <c:v>-1.5599411841032E-2</c:v>
                </c:pt>
                <c:pt idx="61" formatCode="General">
                  <c:v>1.37200502270885E-2</c:v>
                </c:pt>
                <c:pt idx="62" formatCode="General">
                  <c:v>8.8759131137266106E-2</c:v>
                </c:pt>
                <c:pt idx="63" formatCode="General">
                  <c:v>6.7800715991206906E-2</c:v>
                </c:pt>
                <c:pt idx="64" formatCode="General">
                  <c:v>5.4202149756846098E-2</c:v>
                </c:pt>
                <c:pt idx="65" formatCode="General">
                  <c:v>8.1153791974057796E-2</c:v>
                </c:pt>
                <c:pt idx="66" formatCode="General">
                  <c:v>7.8181225890298994E-2</c:v>
                </c:pt>
                <c:pt idx="67" formatCode="General">
                  <c:v>4.55366201463955E-2</c:v>
                </c:pt>
                <c:pt idx="68" formatCode="General">
                  <c:v>6.1257193026620201E-2</c:v>
                </c:pt>
                <c:pt idx="69" formatCode="General">
                  <c:v>6.1679384442370699E-2</c:v>
                </c:pt>
                <c:pt idx="70" formatCode="General">
                  <c:v>2.0341043956252101E-2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187-4E62-9737-ECA134E3A53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US_raw_policy_innovations!$I$190:$I$260</c:f>
              <c:numCache>
                <c:formatCode>0.00E+00</c:formatCode>
                <c:ptCount val="71"/>
                <c:pt idx="0">
                  <c:v>2.5716193237937298E-16</c:v>
                </c:pt>
                <c:pt idx="1">
                  <c:v>1.9171432159051299E-16</c:v>
                </c:pt>
                <c:pt idx="2">
                  <c:v>1.5627057162249701E-16</c:v>
                </c:pt>
                <c:pt idx="3">
                  <c:v>1.7657300617749999E-16</c:v>
                </c:pt>
                <c:pt idx="4">
                  <c:v>1.6214553638165701E-16</c:v>
                </c:pt>
                <c:pt idx="5">
                  <c:v>1.3960054383426E-16</c:v>
                </c:pt>
                <c:pt idx="6">
                  <c:v>1.06965878172938E-16</c:v>
                </c:pt>
                <c:pt idx="7" formatCode="General">
                  <c:v>2.9153821605798599E-2</c:v>
                </c:pt>
                <c:pt idx="8" formatCode="General">
                  <c:v>3.72170122309139E-2</c:v>
                </c:pt>
                <c:pt idx="9" formatCode="General">
                  <c:v>4.6823088187251199E-2</c:v>
                </c:pt>
                <c:pt idx="10" formatCode="General">
                  <c:v>4.7599513045876E-2</c:v>
                </c:pt>
                <c:pt idx="11" formatCode="General">
                  <c:v>6.1454640838895902E-2</c:v>
                </c:pt>
                <c:pt idx="12" formatCode="General">
                  <c:v>2.11303046598551E-2</c:v>
                </c:pt>
                <c:pt idx="13" formatCode="General">
                  <c:v>-5.6776457952376097E-2</c:v>
                </c:pt>
                <c:pt idx="14" formatCode="General">
                  <c:v>-4.98378475221175E-2</c:v>
                </c:pt>
                <c:pt idx="15" formatCode="General">
                  <c:v>-5.1086816705631002E-3</c:v>
                </c:pt>
                <c:pt idx="16" formatCode="General">
                  <c:v>-3.4057839190841598E-3</c:v>
                </c:pt>
                <c:pt idx="17" formatCode="General">
                  <c:v>-3.6719587097489001E-2</c:v>
                </c:pt>
                <c:pt idx="18" formatCode="General">
                  <c:v>-4.1659970358132299E-2</c:v>
                </c:pt>
                <c:pt idx="19" formatCode="General">
                  <c:v>-2.34017783322913E-2</c:v>
                </c:pt>
                <c:pt idx="20" formatCode="General">
                  <c:v>-1.98091401933417E-2</c:v>
                </c:pt>
                <c:pt idx="21" formatCode="General">
                  <c:v>-3.8381021033036498E-2</c:v>
                </c:pt>
                <c:pt idx="22" formatCode="General">
                  <c:v>-4.4507101228863102E-2</c:v>
                </c:pt>
                <c:pt idx="23" formatCode="General">
                  <c:v>-5.3511680097035899E-2</c:v>
                </c:pt>
                <c:pt idx="24" formatCode="General">
                  <c:v>-1.7561423915417401E-2</c:v>
                </c:pt>
                <c:pt idx="25" formatCode="General">
                  <c:v>-8.3545239756267903E-3</c:v>
                </c:pt>
                <c:pt idx="26" formatCode="General">
                  <c:v>-4.4194395335711498E-2</c:v>
                </c:pt>
                <c:pt idx="27" formatCode="General">
                  <c:v>-2.2928131138780901E-2</c:v>
                </c:pt>
                <c:pt idx="28" formatCode="General">
                  <c:v>4.7368975612240702E-3</c:v>
                </c:pt>
                <c:pt idx="29" formatCode="General">
                  <c:v>3.6300355258297799E-2</c:v>
                </c:pt>
                <c:pt idx="30" formatCode="General">
                  <c:v>1.26788394988551E-2</c:v>
                </c:pt>
                <c:pt idx="31" formatCode="General">
                  <c:v>2.1724363190927399E-3</c:v>
                </c:pt>
                <c:pt idx="32" formatCode="General">
                  <c:v>-2.5399747176224501E-2</c:v>
                </c:pt>
                <c:pt idx="33" formatCode="General">
                  <c:v>8.2277452846149903E-4</c:v>
                </c:pt>
                <c:pt idx="34" formatCode="General">
                  <c:v>-2.0995414113752699E-2</c:v>
                </c:pt>
                <c:pt idx="35" formatCode="General">
                  <c:v>-5.7067340550729E-3</c:v>
                </c:pt>
                <c:pt idx="36" formatCode="General">
                  <c:v>-1.3931655585881299E-2</c:v>
                </c:pt>
                <c:pt idx="37" formatCode="General">
                  <c:v>1.3212699280321099E-2</c:v>
                </c:pt>
                <c:pt idx="38" formatCode="General">
                  <c:v>1.32684179320053E-3</c:v>
                </c:pt>
                <c:pt idx="39" formatCode="General">
                  <c:v>1.1216263674016401E-3</c:v>
                </c:pt>
                <c:pt idx="40" formatCode="General">
                  <c:v>1.2601273540220099E-2</c:v>
                </c:pt>
                <c:pt idx="41" formatCode="General">
                  <c:v>7.43322087497327E-3</c:v>
                </c:pt>
                <c:pt idx="42" formatCode="General">
                  <c:v>1.21927044166569E-2</c:v>
                </c:pt>
                <c:pt idx="43" formatCode="General">
                  <c:v>1.19947424405003E-2</c:v>
                </c:pt>
                <c:pt idx="44" formatCode="General">
                  <c:v>6.1557778881104501E-3</c:v>
                </c:pt>
                <c:pt idx="45" formatCode="General">
                  <c:v>-2.5189531473973799E-2</c:v>
                </c:pt>
                <c:pt idx="46" formatCode="General">
                  <c:v>-5.2392991386701199E-2</c:v>
                </c:pt>
                <c:pt idx="47" formatCode="General">
                  <c:v>1.3006369546579801E-2</c:v>
                </c:pt>
                <c:pt idx="48" formatCode="General">
                  <c:v>-6.6905523028449695E-2</c:v>
                </c:pt>
                <c:pt idx="49" formatCode="General">
                  <c:v>7.8133368609604702E-3</c:v>
                </c:pt>
                <c:pt idx="50" formatCode="General">
                  <c:v>-2.3322272948598802E-2</c:v>
                </c:pt>
                <c:pt idx="51" formatCode="General">
                  <c:v>-2.7573539388254999E-2</c:v>
                </c:pt>
                <c:pt idx="52" formatCode="General">
                  <c:v>-9.6573457302684892E-3</c:v>
                </c:pt>
                <c:pt idx="53" formatCode="General">
                  <c:v>-3.4053932675048998E-2</c:v>
                </c:pt>
                <c:pt idx="54" formatCode="General">
                  <c:v>-6.7464232889359099E-2</c:v>
                </c:pt>
                <c:pt idx="55" formatCode="General">
                  <c:v>-8.5453442817074496E-2</c:v>
                </c:pt>
                <c:pt idx="56" formatCode="General">
                  <c:v>-6.3143081935901402E-2</c:v>
                </c:pt>
                <c:pt idx="57" formatCode="General">
                  <c:v>-1.253994183122E-2</c:v>
                </c:pt>
                <c:pt idx="58" formatCode="General">
                  <c:v>-1.7753682772773099E-2</c:v>
                </c:pt>
                <c:pt idx="59" formatCode="General">
                  <c:v>3.8585719734125098E-2</c:v>
                </c:pt>
                <c:pt idx="60" formatCode="General">
                  <c:v>0.20135062237778301</c:v>
                </c:pt>
                <c:pt idx="61" formatCode="General">
                  <c:v>-2.54151901919673E-3</c:v>
                </c:pt>
                <c:pt idx="62" formatCode="General">
                  <c:v>0.123195617190451</c:v>
                </c:pt>
                <c:pt idx="63" formatCode="General">
                  <c:v>-0.107343049369673</c:v>
                </c:pt>
                <c:pt idx="64" formatCode="General">
                  <c:v>-0.18788217821504799</c:v>
                </c:pt>
                <c:pt idx="65" formatCode="General">
                  <c:v>-0.182826692660292</c:v>
                </c:pt>
                <c:pt idx="66" formatCode="General">
                  <c:v>-0.13554479898010799</c:v>
                </c:pt>
                <c:pt idx="67" formatCode="General">
                  <c:v>-0.149346609405175</c:v>
                </c:pt>
                <c:pt idx="68" formatCode="General">
                  <c:v>-9.8931871569561E-2</c:v>
                </c:pt>
                <c:pt idx="69" formatCode="General">
                  <c:v>-8.6940357646633395E-2</c:v>
                </c:pt>
                <c:pt idx="70" formatCode="General">
                  <c:v>-5.4602218829049302E-2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US_raw_policy_innovations!$B$190:$B$260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187-4E62-9737-ECA134E3A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94552095"/>
        <c:axId val="1394550175"/>
      </c:barChart>
      <c:catAx>
        <c:axId val="13945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50175"/>
        <c:crosses val="autoZero"/>
        <c:auto val="1"/>
        <c:lblAlgn val="ctr"/>
        <c:lblOffset val="100"/>
        <c:noMultiLvlLbl val="0"/>
      </c:catAx>
      <c:valAx>
        <c:axId val="13945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US_raw_policy_innovations!$D$1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US_raw_policy_innovations!$D$190:$D$260</c:f>
              <c:numCache>
                <c:formatCode>General</c:formatCode>
                <c:ptCount val="71"/>
                <c:pt idx="0">
                  <c:v>-0.18499703891394201</c:v>
                </c:pt>
                <c:pt idx="1">
                  <c:v>3.53394574076396E-2</c:v>
                </c:pt>
                <c:pt idx="2">
                  <c:v>-0.108140006496701</c:v>
                </c:pt>
                <c:pt idx="3">
                  <c:v>-0.27873198404611099</c:v>
                </c:pt>
                <c:pt idx="4">
                  <c:v>-0.30552875057286599</c:v>
                </c:pt>
                <c:pt idx="5">
                  <c:v>-0.29747601762697301</c:v>
                </c:pt>
                <c:pt idx="6">
                  <c:v>0.14155164512947399</c:v>
                </c:pt>
                <c:pt idx="7">
                  <c:v>0.20467000958495801</c:v>
                </c:pt>
                <c:pt idx="8">
                  <c:v>0.53167060169130098</c:v>
                </c:pt>
                <c:pt idx="9">
                  <c:v>0.41853267056344701</c:v>
                </c:pt>
                <c:pt idx="10">
                  <c:v>0.143015716170243</c:v>
                </c:pt>
                <c:pt idx="11">
                  <c:v>0.32217832433021099</c:v>
                </c:pt>
                <c:pt idx="12">
                  <c:v>0.18676611779665001</c:v>
                </c:pt>
                <c:pt idx="13">
                  <c:v>-2.2007394481891401E-2</c:v>
                </c:pt>
                <c:pt idx="14">
                  <c:v>6.6593822355199103E-2</c:v>
                </c:pt>
                <c:pt idx="15">
                  <c:v>0.10746944733500401</c:v>
                </c:pt>
                <c:pt idx="16">
                  <c:v>-1.7317472926123598E-2</c:v>
                </c:pt>
                <c:pt idx="17">
                  <c:v>4.21011758171509E-2</c:v>
                </c:pt>
                <c:pt idx="18">
                  <c:v>2.8056400413304899E-2</c:v>
                </c:pt>
                <c:pt idx="19">
                  <c:v>1.7283859203808101E-2</c:v>
                </c:pt>
                <c:pt idx="20">
                  <c:v>-0.13088627500337299</c:v>
                </c:pt>
                <c:pt idx="21">
                  <c:v>7.2722601391007793E-2</c:v>
                </c:pt>
                <c:pt idx="22">
                  <c:v>3.3035358076885901E-2</c:v>
                </c:pt>
                <c:pt idx="23">
                  <c:v>-0.108509095088513</c:v>
                </c:pt>
                <c:pt idx="24">
                  <c:v>6.7668941227802204E-2</c:v>
                </c:pt>
                <c:pt idx="25">
                  <c:v>7.7081898135659604E-2</c:v>
                </c:pt>
                <c:pt idx="26">
                  <c:v>8.9712802737958994E-2</c:v>
                </c:pt>
                <c:pt idx="27">
                  <c:v>8.8151629114306407E-2</c:v>
                </c:pt>
                <c:pt idx="28">
                  <c:v>-2.8357315101394998E-3</c:v>
                </c:pt>
                <c:pt idx="29">
                  <c:v>-7.3874242014765196E-2</c:v>
                </c:pt>
                <c:pt idx="30">
                  <c:v>-1.41865817533066E-2</c:v>
                </c:pt>
                <c:pt idx="31">
                  <c:v>-0.11799680394553901</c:v>
                </c:pt>
                <c:pt idx="32">
                  <c:v>7.7712194996098299E-2</c:v>
                </c:pt>
                <c:pt idx="33">
                  <c:v>1.6013436927852301E-2</c:v>
                </c:pt>
                <c:pt idx="34">
                  <c:v>-4.3945202002823702E-2</c:v>
                </c:pt>
                <c:pt idx="35">
                  <c:v>1.0021334206675499E-2</c:v>
                </c:pt>
                <c:pt idx="36">
                  <c:v>-4.72541004567937E-2</c:v>
                </c:pt>
                <c:pt idx="37">
                  <c:v>-5.0408059397784401E-2</c:v>
                </c:pt>
                <c:pt idx="38">
                  <c:v>-4.9103820511066799E-2</c:v>
                </c:pt>
                <c:pt idx="39">
                  <c:v>2.23128610891692E-2</c:v>
                </c:pt>
                <c:pt idx="40">
                  <c:v>-2.4334954398867899E-2</c:v>
                </c:pt>
                <c:pt idx="41">
                  <c:v>-1.4988798996413999E-2</c:v>
                </c:pt>
                <c:pt idx="42">
                  <c:v>3.2155340542651997E-2</c:v>
                </c:pt>
                <c:pt idx="43">
                  <c:v>-7.5943852586890695E-2</c:v>
                </c:pt>
                <c:pt idx="44">
                  <c:v>-8.8226472980123205E-2</c:v>
                </c:pt>
                <c:pt idx="45">
                  <c:v>8.5688274087812703E-3</c:v>
                </c:pt>
                <c:pt idx="46">
                  <c:v>5.08367331308315E-2</c:v>
                </c:pt>
                <c:pt idx="47">
                  <c:v>1.2960247804161201E-2</c:v>
                </c:pt>
                <c:pt idx="48">
                  <c:v>7.9423454701713095E-2</c:v>
                </c:pt>
                <c:pt idx="49">
                  <c:v>8.6999813121266204E-3</c:v>
                </c:pt>
                <c:pt idx="50">
                  <c:v>-0.13396770579558401</c:v>
                </c:pt>
                <c:pt idx="51">
                  <c:v>-0.23365875134984099</c:v>
                </c:pt>
                <c:pt idx="52">
                  <c:v>0.298272181580789</c:v>
                </c:pt>
                <c:pt idx="53">
                  <c:v>0.21638647022506</c:v>
                </c:pt>
                <c:pt idx="54">
                  <c:v>0.20939974253513599</c:v>
                </c:pt>
                <c:pt idx="55">
                  <c:v>-0.11015277324342899</c:v>
                </c:pt>
                <c:pt idx="56">
                  <c:v>-0.271376055966219</c:v>
                </c:pt>
                <c:pt idx="57">
                  <c:v>-0.564188103275443</c:v>
                </c:pt>
                <c:pt idx="58">
                  <c:v>-0.243400671880137</c:v>
                </c:pt>
                <c:pt idx="59">
                  <c:v>-0.45906526285587601</c:v>
                </c:pt>
                <c:pt idx="60">
                  <c:v>-0.416928626441811</c:v>
                </c:pt>
                <c:pt idx="61">
                  <c:v>-0.137815677860988</c:v>
                </c:pt>
                <c:pt idx="62">
                  <c:v>0.20245102659516701</c:v>
                </c:pt>
                <c:pt idx="63">
                  <c:v>0.37403300405883899</c:v>
                </c:pt>
                <c:pt idx="64">
                  <c:v>-0.115907173289063</c:v>
                </c:pt>
                <c:pt idx="65">
                  <c:v>0.21139797939739</c:v>
                </c:pt>
                <c:pt idx="66">
                  <c:v>0.166898910441587</c:v>
                </c:pt>
                <c:pt idx="67">
                  <c:v>0.154007420030291</c:v>
                </c:pt>
                <c:pt idx="68">
                  <c:v>0.18730188747042001</c:v>
                </c:pt>
                <c:pt idx="69">
                  <c:v>0.192295117855214</c:v>
                </c:pt>
                <c:pt idx="70">
                  <c:v>0.14286928935825299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02-4CD0-9A6B-7E97398B70ED}"/>
            </c:ext>
          </c:extLst>
        </c:ser>
        <c:ser>
          <c:idx val="1"/>
          <c:order val="1"/>
          <c:tx>
            <c:strRef>
              <c:f>US_raw_policy_innovations!$E$1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US_raw_policy_innovations!$E$190:$E$260</c:f>
              <c:numCache>
                <c:formatCode>0.00E+00</c:formatCode>
                <c:ptCount val="71"/>
                <c:pt idx="0">
                  <c:v>1.0900605866925599E-15</c:v>
                </c:pt>
                <c:pt idx="1">
                  <c:v>1.15651240923088E-15</c:v>
                </c:pt>
                <c:pt idx="2">
                  <c:v>1.19848045136075E-15</c:v>
                </c:pt>
                <c:pt idx="3">
                  <c:v>1.02520878074265E-15</c:v>
                </c:pt>
                <c:pt idx="4">
                  <c:v>9.0065873776934705E-16</c:v>
                </c:pt>
                <c:pt idx="5">
                  <c:v>8.4390522182585299E-16</c:v>
                </c:pt>
                <c:pt idx="6">
                  <c:v>7.6298923768357901E-16</c:v>
                </c:pt>
                <c:pt idx="7" formatCode="General">
                  <c:v>0.183928354810071</c:v>
                </c:pt>
                <c:pt idx="8" formatCode="General">
                  <c:v>0.20760934845545201</c:v>
                </c:pt>
                <c:pt idx="9" formatCode="General">
                  <c:v>0.118080536570029</c:v>
                </c:pt>
                <c:pt idx="10" formatCode="General">
                  <c:v>-1.8661028475978399E-2</c:v>
                </c:pt>
                <c:pt idx="11" formatCode="General">
                  <c:v>4.5306422279326401E-2</c:v>
                </c:pt>
                <c:pt idx="12" formatCode="General">
                  <c:v>7.0112492388729802E-3</c:v>
                </c:pt>
                <c:pt idx="13" formatCode="General">
                  <c:v>-9.2997039552210697E-2</c:v>
                </c:pt>
                <c:pt idx="14" formatCode="General">
                  <c:v>-4.11042143460707E-2</c:v>
                </c:pt>
                <c:pt idx="15" formatCode="General">
                  <c:v>-4.5482645925965799E-2</c:v>
                </c:pt>
                <c:pt idx="16" formatCode="General">
                  <c:v>-3.9200943583272599E-2</c:v>
                </c:pt>
                <c:pt idx="17" formatCode="General">
                  <c:v>-6.6700817645921798E-2</c:v>
                </c:pt>
                <c:pt idx="18" formatCode="General">
                  <c:v>-7.6267415000873695E-2</c:v>
                </c:pt>
                <c:pt idx="19" formatCode="General">
                  <c:v>-6.3439893014187093E-2</c:v>
                </c:pt>
                <c:pt idx="20" formatCode="General">
                  <c:v>-9.3044261428996494E-2</c:v>
                </c:pt>
                <c:pt idx="21" formatCode="General">
                  <c:v>-2.1733081114248001E-2</c:v>
                </c:pt>
                <c:pt idx="22" formatCode="General">
                  <c:v>-2.2570011370377601E-2</c:v>
                </c:pt>
                <c:pt idx="23" formatCode="General">
                  <c:v>-8.25512441294253E-2</c:v>
                </c:pt>
                <c:pt idx="24" formatCode="General">
                  <c:v>-6.8068778887362402E-2</c:v>
                </c:pt>
                <c:pt idx="25" formatCode="General">
                  <c:v>-1.7559997745668798E-2</c:v>
                </c:pt>
                <c:pt idx="26" formatCode="General">
                  <c:v>-3.5510471691618299E-2</c:v>
                </c:pt>
                <c:pt idx="27" formatCode="General">
                  <c:v>-5.8346808957142303E-2</c:v>
                </c:pt>
                <c:pt idx="28" formatCode="General">
                  <c:v>-4.4259429838022502E-2</c:v>
                </c:pt>
                <c:pt idx="29" formatCode="General">
                  <c:v>-9.1746256806028895E-2</c:v>
                </c:pt>
                <c:pt idx="30" formatCode="General">
                  <c:v>-6.4352196495686506E-2</c:v>
                </c:pt>
                <c:pt idx="31" formatCode="General">
                  <c:v>-6.0009194840076503E-2</c:v>
                </c:pt>
                <c:pt idx="32" formatCode="General">
                  <c:v>1.5693001175995001E-3</c:v>
                </c:pt>
                <c:pt idx="33" formatCode="General">
                  <c:v>3.66990759777081E-2</c:v>
                </c:pt>
                <c:pt idx="34" formatCode="General">
                  <c:v>-9.0583531301378899E-3</c:v>
                </c:pt>
                <c:pt idx="35" formatCode="General">
                  <c:v>2.4365721489964201E-2</c:v>
                </c:pt>
                <c:pt idx="36" formatCode="General">
                  <c:v>-9.7445135200783295E-2</c:v>
                </c:pt>
                <c:pt idx="37" formatCode="General">
                  <c:v>-2.24586224745097E-2</c:v>
                </c:pt>
                <c:pt idx="38" formatCode="General">
                  <c:v>-3.6630011261473E-2</c:v>
                </c:pt>
                <c:pt idx="39" formatCode="General">
                  <c:v>9.0654956029297407E-3</c:v>
                </c:pt>
                <c:pt idx="40" formatCode="General">
                  <c:v>1.8312738839433601E-2</c:v>
                </c:pt>
                <c:pt idx="41" formatCode="General">
                  <c:v>1.9962217361864099E-2</c:v>
                </c:pt>
                <c:pt idx="42" formatCode="General">
                  <c:v>-7.9431818925434199E-3</c:v>
                </c:pt>
                <c:pt idx="43" formatCode="General">
                  <c:v>-3.7544259748433E-2</c:v>
                </c:pt>
                <c:pt idx="44" formatCode="General">
                  <c:v>2.2483745206368502E-2</c:v>
                </c:pt>
                <c:pt idx="45" formatCode="General">
                  <c:v>2.2806211509426699E-2</c:v>
                </c:pt>
                <c:pt idx="46" formatCode="General">
                  <c:v>2.8428516975432701E-2</c:v>
                </c:pt>
                <c:pt idx="47" formatCode="General">
                  <c:v>3.9838704640525899E-2</c:v>
                </c:pt>
                <c:pt idx="48" formatCode="General">
                  <c:v>6.5975766103313497E-3</c:v>
                </c:pt>
                <c:pt idx="49" formatCode="General">
                  <c:v>-9.2372368235387206E-2</c:v>
                </c:pt>
                <c:pt idx="50" formatCode="General">
                  <c:v>-0.19125235126837201</c:v>
                </c:pt>
                <c:pt idx="51" formatCode="General">
                  <c:v>8.7240207234628497E-2</c:v>
                </c:pt>
                <c:pt idx="52" formatCode="General">
                  <c:v>-0.16638405702984799</c:v>
                </c:pt>
                <c:pt idx="53" formatCode="General">
                  <c:v>0.19425786226215599</c:v>
                </c:pt>
                <c:pt idx="54" formatCode="General">
                  <c:v>-3.5467203816721502E-3</c:v>
                </c:pt>
                <c:pt idx="55" formatCode="General">
                  <c:v>-0.19254999901386</c:v>
                </c:pt>
                <c:pt idx="56" formatCode="General">
                  <c:v>-0.265963427703794</c:v>
                </c:pt>
                <c:pt idx="57" formatCode="General">
                  <c:v>-0.33339175833815199</c:v>
                </c:pt>
                <c:pt idx="58" formatCode="General">
                  <c:v>-0.211170436105484</c:v>
                </c:pt>
                <c:pt idx="59" formatCode="General">
                  <c:v>-0.24525605110825799</c:v>
                </c:pt>
                <c:pt idx="60" formatCode="General">
                  <c:v>-4.1521485342866399E-2</c:v>
                </c:pt>
                <c:pt idx="61" formatCode="General">
                  <c:v>0.114731132223871</c:v>
                </c:pt>
                <c:pt idx="62" formatCode="General">
                  <c:v>0.24265392015661499</c:v>
                </c:pt>
                <c:pt idx="63" formatCode="General">
                  <c:v>0.173160153852674</c:v>
                </c:pt>
                <c:pt idx="64" formatCode="General">
                  <c:v>1.6861430242358599E-2</c:v>
                </c:pt>
                <c:pt idx="65" formatCode="General">
                  <c:v>0.165269823199622</c:v>
                </c:pt>
                <c:pt idx="66" formatCode="General">
                  <c:v>0.15467910892297501</c:v>
                </c:pt>
                <c:pt idx="67" formatCode="General">
                  <c:v>5.1957163705232803E-2</c:v>
                </c:pt>
                <c:pt idx="68" formatCode="General">
                  <c:v>0.10587678957360699</c:v>
                </c:pt>
                <c:pt idx="69" formatCode="General">
                  <c:v>0.110010050279225</c:v>
                </c:pt>
                <c:pt idx="70" formatCode="General">
                  <c:v>-0.106374110257523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02-4CD0-9A6B-7E97398B70ED}"/>
            </c:ext>
          </c:extLst>
        </c:ser>
        <c:ser>
          <c:idx val="2"/>
          <c:order val="2"/>
          <c:tx>
            <c:strRef>
              <c:f>US_raw_policy_innovations!$F$1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US_raw_policy_innovations!$F$190:$F$260</c:f>
              <c:numCache>
                <c:formatCode>0.00E+00</c:formatCode>
                <c:ptCount val="71"/>
                <c:pt idx="0">
                  <c:v>9.4384056346422298E-16</c:v>
                </c:pt>
                <c:pt idx="1">
                  <c:v>1.0241646806096299E-15</c:v>
                </c:pt>
                <c:pt idx="2">
                  <c:v>9.2130305039817699E-16</c:v>
                </c:pt>
                <c:pt idx="3">
                  <c:v>8.2260185587558005E-16</c:v>
                </c:pt>
                <c:pt idx="4">
                  <c:v>7.76407969953344E-16</c:v>
                </c:pt>
                <c:pt idx="5">
                  <c:v>7.0700785260862804E-16</c:v>
                </c:pt>
                <c:pt idx="6">
                  <c:v>6.5789050647099104E-16</c:v>
                </c:pt>
                <c:pt idx="7" formatCode="General">
                  <c:v>0.14181348534904401</c:v>
                </c:pt>
                <c:pt idx="8" formatCode="General">
                  <c:v>0.119218456911976</c:v>
                </c:pt>
                <c:pt idx="9" formatCode="General">
                  <c:v>8.8024830082468197E-2</c:v>
                </c:pt>
                <c:pt idx="10" formatCode="General">
                  <c:v>-1.6037728534702199E-3</c:v>
                </c:pt>
                <c:pt idx="11" formatCode="General">
                  <c:v>3.5057824657569299E-2</c:v>
                </c:pt>
                <c:pt idx="12" formatCode="General">
                  <c:v>1.3873884594286101E-2</c:v>
                </c:pt>
                <c:pt idx="13" formatCode="General">
                  <c:v>-7.7097480524233999E-2</c:v>
                </c:pt>
                <c:pt idx="14" formatCode="General">
                  <c:v>-6.6357520614128807E-2</c:v>
                </c:pt>
                <c:pt idx="15" formatCode="General">
                  <c:v>-6.1579627179551399E-2</c:v>
                </c:pt>
                <c:pt idx="16" formatCode="General">
                  <c:v>-1.7910699806624499E-2</c:v>
                </c:pt>
                <c:pt idx="17" formatCode="General">
                  <c:v>-4.9566463151524798E-2</c:v>
                </c:pt>
                <c:pt idx="18" formatCode="General">
                  <c:v>-9.1231278940306804E-2</c:v>
                </c:pt>
                <c:pt idx="19" formatCode="General">
                  <c:v>-6.6314100775489299E-2</c:v>
                </c:pt>
                <c:pt idx="20" formatCode="General">
                  <c:v>-7.8353131265800804E-2</c:v>
                </c:pt>
                <c:pt idx="21" formatCode="General">
                  <c:v>-4.5813841891881403E-2</c:v>
                </c:pt>
                <c:pt idx="22" formatCode="General">
                  <c:v>-3.15752328508778E-2</c:v>
                </c:pt>
                <c:pt idx="23" formatCode="General">
                  <c:v>-6.86527910898833E-2</c:v>
                </c:pt>
                <c:pt idx="24" formatCode="General">
                  <c:v>-5.3311730307590899E-2</c:v>
                </c:pt>
                <c:pt idx="25" formatCode="General">
                  <c:v>-2.65418077610469E-3</c:v>
                </c:pt>
                <c:pt idx="26" formatCode="General">
                  <c:v>-4.8248006317305699E-2</c:v>
                </c:pt>
                <c:pt idx="27" formatCode="General">
                  <c:v>-6.58039288421126E-2</c:v>
                </c:pt>
                <c:pt idx="28" formatCode="General">
                  <c:v>-6.4291762514952305E-2</c:v>
                </c:pt>
                <c:pt idx="29" formatCode="General">
                  <c:v>-6.8821182528313304E-2</c:v>
                </c:pt>
                <c:pt idx="30" formatCode="General">
                  <c:v>-5.1152141661928198E-2</c:v>
                </c:pt>
                <c:pt idx="31" formatCode="General">
                  <c:v>-1.68496262106601E-2</c:v>
                </c:pt>
                <c:pt idx="32" formatCode="General">
                  <c:v>2.9454931625600301E-2</c:v>
                </c:pt>
                <c:pt idx="33" formatCode="General">
                  <c:v>6.8553556251782404E-3</c:v>
                </c:pt>
                <c:pt idx="34" formatCode="General">
                  <c:v>1.24131951672093E-2</c:v>
                </c:pt>
                <c:pt idx="35" formatCode="General">
                  <c:v>-6.7708268060337598E-2</c:v>
                </c:pt>
                <c:pt idx="36" formatCode="General">
                  <c:v>-4.02324050441107E-2</c:v>
                </c:pt>
                <c:pt idx="37" formatCode="General">
                  <c:v>-2.9343617103874699E-2</c:v>
                </c:pt>
                <c:pt idx="38" formatCode="General">
                  <c:v>-7.4276807608243001E-3</c:v>
                </c:pt>
                <c:pt idx="39" formatCode="General">
                  <c:v>2.3835411120257301E-2</c:v>
                </c:pt>
                <c:pt idx="40" formatCode="General">
                  <c:v>2.3708218742661699E-2</c:v>
                </c:pt>
                <c:pt idx="41" formatCode="General">
                  <c:v>-7.3121600150986097E-3</c:v>
                </c:pt>
                <c:pt idx="42" formatCode="General">
                  <c:v>-2.1253928288309801E-2</c:v>
                </c:pt>
                <c:pt idx="43" formatCode="General">
                  <c:v>1.8541655265151599E-2</c:v>
                </c:pt>
                <c:pt idx="44" formatCode="General">
                  <c:v>2.1487923195874101E-2</c:v>
                </c:pt>
                <c:pt idx="45" formatCode="General">
                  <c:v>2.2008395051654899E-2</c:v>
                </c:pt>
                <c:pt idx="46" formatCode="General">
                  <c:v>4.1080024205349203E-2</c:v>
                </c:pt>
                <c:pt idx="47" formatCode="General">
                  <c:v>3.5811613803490498E-3</c:v>
                </c:pt>
                <c:pt idx="48" formatCode="General">
                  <c:v>-7.5908952278071998E-2</c:v>
                </c:pt>
                <c:pt idx="49" formatCode="General">
                  <c:v>-0.16786352290322501</c:v>
                </c:pt>
                <c:pt idx="50" formatCode="General">
                  <c:v>5.6321311920413598E-2</c:v>
                </c:pt>
                <c:pt idx="51" formatCode="General">
                  <c:v>-0.16779545557803099</c:v>
                </c:pt>
                <c:pt idx="52" formatCode="General">
                  <c:v>8.3614955592456894E-2</c:v>
                </c:pt>
                <c:pt idx="53" formatCode="General">
                  <c:v>3.4874593526393403E-2</c:v>
                </c:pt>
                <c:pt idx="54" formatCode="General">
                  <c:v>-5.2199785685459701E-2</c:v>
                </c:pt>
                <c:pt idx="55" formatCode="General">
                  <c:v>-0.17590629568205099</c:v>
                </c:pt>
                <c:pt idx="56" formatCode="General">
                  <c:v>-0.19280141269227</c:v>
                </c:pt>
                <c:pt idx="57" formatCode="General">
                  <c:v>-0.233288676668397</c:v>
                </c:pt>
                <c:pt idx="58" formatCode="General">
                  <c:v>-0.171428015291337</c:v>
                </c:pt>
                <c:pt idx="59" formatCode="General">
                  <c:v>-0.11630985941611401</c:v>
                </c:pt>
                <c:pt idx="60" formatCode="General">
                  <c:v>0.19249037507719399</c:v>
                </c:pt>
                <c:pt idx="61" formatCode="General">
                  <c:v>0.32710694108155702</c:v>
                </c:pt>
                <c:pt idx="62" formatCode="General">
                  <c:v>0.31079796387574798</c:v>
                </c:pt>
                <c:pt idx="63" formatCode="General">
                  <c:v>0.20053596143175401</c:v>
                </c:pt>
                <c:pt idx="64" formatCode="General">
                  <c:v>4.4855795207220502E-2</c:v>
                </c:pt>
                <c:pt idx="65" formatCode="General">
                  <c:v>8.7641924774885596E-2</c:v>
                </c:pt>
                <c:pt idx="66" formatCode="General">
                  <c:v>7.24508664916238E-2</c:v>
                </c:pt>
                <c:pt idx="67" formatCode="General">
                  <c:v>-4.29096945635331E-2</c:v>
                </c:pt>
                <c:pt idx="68" formatCode="General">
                  <c:v>1.03434064771854E-2</c:v>
                </c:pt>
                <c:pt idx="69" formatCode="General">
                  <c:v>-1.51012453972464E-2</c:v>
                </c:pt>
                <c:pt idx="70" formatCode="General">
                  <c:v>-0.144979140854679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02-4CD0-9A6B-7E97398B70ED}"/>
            </c:ext>
          </c:extLst>
        </c:ser>
        <c:ser>
          <c:idx val="3"/>
          <c:order val="3"/>
          <c:tx>
            <c:strRef>
              <c:f>US_raw_policy_innovations!$G$1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US_raw_policy_innovations!$G$190:$G$260</c:f>
              <c:numCache>
                <c:formatCode>0.00E+00</c:formatCode>
                <c:ptCount val="71"/>
                <c:pt idx="0">
                  <c:v>1.00684157747582E-15</c:v>
                </c:pt>
                <c:pt idx="1">
                  <c:v>9.7408356592968302E-16</c:v>
                </c:pt>
                <c:pt idx="2">
                  <c:v>9.0739989898352406E-16</c:v>
                </c:pt>
                <c:pt idx="3">
                  <c:v>8.1748426656057399E-16</c:v>
                </c:pt>
                <c:pt idx="4">
                  <c:v>7.3360769818483197E-16</c:v>
                </c:pt>
                <c:pt idx="5">
                  <c:v>6.6408188698719603E-16</c:v>
                </c:pt>
                <c:pt idx="6">
                  <c:v>6.2939736669715201E-16</c:v>
                </c:pt>
                <c:pt idx="7" formatCode="General">
                  <c:v>6.6446688678691607E-2</c:v>
                </c:pt>
                <c:pt idx="8" formatCode="General">
                  <c:v>8.4010725515407295E-2</c:v>
                </c:pt>
                <c:pt idx="9" formatCode="General">
                  <c:v>7.49639364072551E-2</c:v>
                </c:pt>
                <c:pt idx="10" formatCode="General">
                  <c:v>1.66613748912918E-2</c:v>
                </c:pt>
                <c:pt idx="11" formatCode="General">
                  <c:v>6.8620732112767494E-2</c:v>
                </c:pt>
                <c:pt idx="12" formatCode="General">
                  <c:v>-1.2574910782524101E-3</c:v>
                </c:pt>
                <c:pt idx="13" formatCode="General">
                  <c:v>-7.6903172644569598E-2</c:v>
                </c:pt>
                <c:pt idx="14" formatCode="General">
                  <c:v>-7.5476132486622299E-2</c:v>
                </c:pt>
                <c:pt idx="15" formatCode="General">
                  <c:v>-3.7821741494918501E-2</c:v>
                </c:pt>
                <c:pt idx="16" formatCode="General">
                  <c:v>-1.2704166486582199E-3</c:v>
                </c:pt>
                <c:pt idx="17" formatCode="General">
                  <c:v>-5.1383202923433499E-2</c:v>
                </c:pt>
                <c:pt idx="18" formatCode="General">
                  <c:v>-8.6669983143083607E-2</c:v>
                </c:pt>
                <c:pt idx="19" formatCode="General">
                  <c:v>-6.1433168951018399E-2</c:v>
                </c:pt>
                <c:pt idx="20" formatCode="General">
                  <c:v>-3.9886136635791401E-2</c:v>
                </c:pt>
                <c:pt idx="21" formatCode="General">
                  <c:v>-4.58577811011497E-2</c:v>
                </c:pt>
                <c:pt idx="22" formatCode="General">
                  <c:v>-4.31690851107389E-2</c:v>
                </c:pt>
                <c:pt idx="23" formatCode="General">
                  <c:v>-6.6897621550781605E-2</c:v>
                </c:pt>
                <c:pt idx="24" formatCode="General">
                  <c:v>-5.28617402019095E-2</c:v>
                </c:pt>
                <c:pt idx="25" formatCode="General">
                  <c:v>-3.6424407210795803E-2</c:v>
                </c:pt>
                <c:pt idx="26" formatCode="General">
                  <c:v>-4.9506389645364197E-2</c:v>
                </c:pt>
                <c:pt idx="27" formatCode="General">
                  <c:v>-6.0990485282029001E-2</c:v>
                </c:pt>
                <c:pt idx="28" formatCode="General">
                  <c:v>-5.8664941478436101E-2</c:v>
                </c:pt>
                <c:pt idx="29" formatCode="General">
                  <c:v>-2.71887890504913E-2</c:v>
                </c:pt>
                <c:pt idx="30" formatCode="General">
                  <c:v>-1.2356363479308401E-2</c:v>
                </c:pt>
                <c:pt idx="31" formatCode="General">
                  <c:v>2.9298442688277901E-2</c:v>
                </c:pt>
                <c:pt idx="32" formatCode="General">
                  <c:v>-1.75013150936648E-3</c:v>
                </c:pt>
                <c:pt idx="33" formatCode="General">
                  <c:v>2.25281758383413E-2</c:v>
                </c:pt>
                <c:pt idx="34" formatCode="General">
                  <c:v>-5.6410752470620898E-2</c:v>
                </c:pt>
                <c:pt idx="35" formatCode="General">
                  <c:v>-1.23219206842403E-2</c:v>
                </c:pt>
                <c:pt idx="36" formatCode="General">
                  <c:v>-4.6763296551811703E-2</c:v>
                </c:pt>
                <c:pt idx="37" formatCode="General">
                  <c:v>-5.3943115810865198E-3</c:v>
                </c:pt>
                <c:pt idx="38" formatCode="General">
                  <c:v>1.6049814083933299E-3</c:v>
                </c:pt>
                <c:pt idx="39" formatCode="General">
                  <c:v>2.7960012135699201E-2</c:v>
                </c:pt>
                <c:pt idx="40" formatCode="General">
                  <c:v>3.7684026841234499E-3</c:v>
                </c:pt>
                <c:pt idx="41" formatCode="General">
                  <c:v>-1.6423128792487401E-2</c:v>
                </c:pt>
                <c:pt idx="42" formatCode="General">
                  <c:v>2.4075705209810901E-2</c:v>
                </c:pt>
                <c:pt idx="43" formatCode="General">
                  <c:v>1.44739402593824E-2</c:v>
                </c:pt>
                <c:pt idx="44" formatCode="General">
                  <c:v>1.8500714059418801E-2</c:v>
                </c:pt>
                <c:pt idx="45" formatCode="General">
                  <c:v>2.6895063621619301E-2</c:v>
                </c:pt>
                <c:pt idx="46" formatCode="General">
                  <c:v>1.0822891733753399E-2</c:v>
                </c:pt>
                <c:pt idx="47" formatCode="General">
                  <c:v>-5.7153670831744399E-2</c:v>
                </c:pt>
                <c:pt idx="48" formatCode="General">
                  <c:v>-0.11952198666729701</c:v>
                </c:pt>
                <c:pt idx="49" formatCode="General">
                  <c:v>3.4055728607639599E-2</c:v>
                </c:pt>
                <c:pt idx="50" formatCode="General">
                  <c:v>-0.140825206683444</c:v>
                </c:pt>
                <c:pt idx="51" formatCode="General">
                  <c:v>3.2622362430368798E-2</c:v>
                </c:pt>
                <c:pt idx="52" formatCode="General">
                  <c:v>-1.8741520126141401E-2</c:v>
                </c:pt>
                <c:pt idx="53" formatCode="General">
                  <c:v>-3.0048533239085899E-2</c:v>
                </c:pt>
                <c:pt idx="54" formatCode="General">
                  <c:v>-7.3469628993412001E-2</c:v>
                </c:pt>
                <c:pt idx="55" formatCode="General">
                  <c:v>-0.144364565808037</c:v>
                </c:pt>
                <c:pt idx="56" formatCode="General">
                  <c:v>-0.16184472435977601</c:v>
                </c:pt>
                <c:pt idx="57" formatCode="General">
                  <c:v>-0.175979607293997</c:v>
                </c:pt>
                <c:pt idx="58" formatCode="General">
                  <c:v>-0.13701235637272199</c:v>
                </c:pt>
                <c:pt idx="59" formatCode="General">
                  <c:v>-8.2071374352117393E-2</c:v>
                </c:pt>
                <c:pt idx="60" formatCode="General">
                  <c:v>9.1556538128140602E-2</c:v>
                </c:pt>
                <c:pt idx="61" formatCode="General">
                  <c:v>-0.11881145384357</c:v>
                </c:pt>
                <c:pt idx="62" formatCode="General">
                  <c:v>-5.20102673741763E-2</c:v>
                </c:pt>
                <c:pt idx="63" formatCode="General">
                  <c:v>-6.6161274648732699E-2</c:v>
                </c:pt>
                <c:pt idx="64" formatCode="General">
                  <c:v>-0.15208836962574501</c:v>
                </c:pt>
                <c:pt idx="65" formatCode="General">
                  <c:v>3.4701535749109703E-2</c:v>
                </c:pt>
                <c:pt idx="66" formatCode="General">
                  <c:v>5.6892622982297102E-2</c:v>
                </c:pt>
                <c:pt idx="67" formatCode="General">
                  <c:v>-0.167506605659758</c:v>
                </c:pt>
                <c:pt idx="68" formatCode="General">
                  <c:v>-0.103518521582044</c:v>
                </c:pt>
                <c:pt idx="69" formatCode="General">
                  <c:v>-1.42888099325859E-2</c:v>
                </c:pt>
                <c:pt idx="70" formatCode="General">
                  <c:v>-8.2641361766595395E-2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02-4CD0-9A6B-7E97398B70ED}"/>
            </c:ext>
          </c:extLst>
        </c:ser>
        <c:ser>
          <c:idx val="4"/>
          <c:order val="4"/>
          <c:tx>
            <c:strRef>
              <c:f>US_raw_policy_innovations!$H$1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US_raw_policy_innovations!$H$190:$H$260</c:f>
              <c:numCache>
                <c:formatCode>0.00E+00</c:formatCode>
                <c:ptCount val="71"/>
                <c:pt idx="0">
                  <c:v>4.3491604551330099E-16</c:v>
                </c:pt>
                <c:pt idx="1">
                  <c:v>4.16663826894815E-16</c:v>
                </c:pt>
                <c:pt idx="2">
                  <c:v>3.7074230235261299E-16</c:v>
                </c:pt>
                <c:pt idx="3">
                  <c:v>2.8715554532377098E-16</c:v>
                </c:pt>
                <c:pt idx="4">
                  <c:v>2.7558222241507501E-16</c:v>
                </c:pt>
                <c:pt idx="5">
                  <c:v>2.3753909460511302E-16</c:v>
                </c:pt>
                <c:pt idx="6">
                  <c:v>2.2375202116194899E-16</c:v>
                </c:pt>
                <c:pt idx="7" formatCode="General">
                  <c:v>4.0642982058153101E-2</c:v>
                </c:pt>
                <c:pt idx="8" formatCode="General">
                  <c:v>2.47638465942196E-2</c:v>
                </c:pt>
                <c:pt idx="9" formatCode="General">
                  <c:v>8.2316372523833503E-2</c:v>
                </c:pt>
                <c:pt idx="10" formatCode="General">
                  <c:v>1.73189002622097E-2</c:v>
                </c:pt>
                <c:pt idx="11" formatCode="General">
                  <c:v>5.9924308113825098E-2</c:v>
                </c:pt>
                <c:pt idx="12" formatCode="General">
                  <c:v>2.24656917463147E-2</c:v>
                </c:pt>
                <c:pt idx="13" formatCode="General">
                  <c:v>-6.7961559345234901E-2</c:v>
                </c:pt>
                <c:pt idx="14" formatCode="General">
                  <c:v>-5.08884598434024E-2</c:v>
                </c:pt>
                <c:pt idx="15" formatCode="General">
                  <c:v>-3.6928503018466702E-2</c:v>
                </c:pt>
                <c:pt idx="16" formatCode="General">
                  <c:v>2.1848986749970399E-2</c:v>
                </c:pt>
                <c:pt idx="17" formatCode="General">
                  <c:v>-4.49437116496973E-2</c:v>
                </c:pt>
                <c:pt idx="18" formatCode="General">
                  <c:v>-7.7643679996333398E-2</c:v>
                </c:pt>
                <c:pt idx="19" formatCode="General">
                  <c:v>-5.5393839769330197E-2</c:v>
                </c:pt>
                <c:pt idx="20" formatCode="General">
                  <c:v>-5.7628059629017202E-2</c:v>
                </c:pt>
                <c:pt idx="21" formatCode="General">
                  <c:v>-4.3189198902595399E-2</c:v>
                </c:pt>
                <c:pt idx="22" formatCode="General">
                  <c:v>-4.6024327307580701E-2</c:v>
                </c:pt>
                <c:pt idx="23" formatCode="General">
                  <c:v>-6.0834425704302503E-2</c:v>
                </c:pt>
                <c:pt idx="24" formatCode="General">
                  <c:v>-4.8220810124519897E-2</c:v>
                </c:pt>
                <c:pt idx="25" formatCode="General">
                  <c:v>-7.1750396274691802E-3</c:v>
                </c:pt>
                <c:pt idx="26" formatCode="General">
                  <c:v>-2.0968470578806599E-2</c:v>
                </c:pt>
                <c:pt idx="27" formatCode="General">
                  <c:v>-2.7867191698836901E-2</c:v>
                </c:pt>
                <c:pt idx="28" formatCode="General">
                  <c:v>-2.5499054746717299E-2</c:v>
                </c:pt>
                <c:pt idx="29" formatCode="General">
                  <c:v>-1.7703638749249701E-2</c:v>
                </c:pt>
                <c:pt idx="30" formatCode="General">
                  <c:v>4.2025195044622397E-2</c:v>
                </c:pt>
                <c:pt idx="31" formatCode="General">
                  <c:v>-1.2783479332868499E-3</c:v>
                </c:pt>
                <c:pt idx="32" formatCode="General">
                  <c:v>1.0691031989382699E-2</c:v>
                </c:pt>
                <c:pt idx="33" formatCode="General">
                  <c:v>-3.3961805199488201E-2</c:v>
                </c:pt>
                <c:pt idx="34" formatCode="General">
                  <c:v>-1.2907599224071999E-2</c:v>
                </c:pt>
                <c:pt idx="35" formatCode="General">
                  <c:v>-2.7183337996282801E-2</c:v>
                </c:pt>
                <c:pt idx="36" formatCode="General">
                  <c:v>-1.99946545393444E-2</c:v>
                </c:pt>
                <c:pt idx="37" formatCode="General">
                  <c:v>2.0084502724584301E-3</c:v>
                </c:pt>
                <c:pt idx="38" formatCode="General">
                  <c:v>1.4846230842681701E-2</c:v>
                </c:pt>
                <c:pt idx="39" formatCode="General">
                  <c:v>9.5795397922183202E-3</c:v>
                </c:pt>
                <c:pt idx="40" formatCode="General">
                  <c:v>-7.7759615922353299E-3</c:v>
                </c:pt>
                <c:pt idx="41" formatCode="General">
                  <c:v>1.63894596964748E-2</c:v>
                </c:pt>
                <c:pt idx="42" formatCode="General">
                  <c:v>1.6081944160297401E-2</c:v>
                </c:pt>
                <c:pt idx="43" formatCode="General">
                  <c:v>1.31245076926228E-2</c:v>
                </c:pt>
                <c:pt idx="44" formatCode="General">
                  <c:v>2.1878438849604401E-2</c:v>
                </c:pt>
                <c:pt idx="45" formatCode="General">
                  <c:v>6.6649178621088203E-3</c:v>
                </c:pt>
                <c:pt idx="46" formatCode="General">
                  <c:v>-3.8594378467860298E-2</c:v>
                </c:pt>
                <c:pt idx="47" formatCode="General">
                  <c:v>-9.2092576511524596E-2</c:v>
                </c:pt>
                <c:pt idx="48" formatCode="General">
                  <c:v>2.5722864684374399E-2</c:v>
                </c:pt>
                <c:pt idx="49" formatCode="General">
                  <c:v>-0.10940202427505299</c:v>
                </c:pt>
                <c:pt idx="50" formatCode="General">
                  <c:v>1.51322518367246E-2</c:v>
                </c:pt>
                <c:pt idx="51" formatCode="General">
                  <c:v>-2.76471800374661E-2</c:v>
                </c:pt>
                <c:pt idx="52" formatCode="General">
                  <c:v>-2.99971913273227E-2</c:v>
                </c:pt>
                <c:pt idx="53" formatCode="General">
                  <c:v>-3.0370651473802801E-2</c:v>
                </c:pt>
                <c:pt idx="54" formatCode="General">
                  <c:v>-7.6989006359302795E-2</c:v>
                </c:pt>
                <c:pt idx="55" formatCode="General">
                  <c:v>-0.12325713530384499</c:v>
                </c:pt>
                <c:pt idx="56" formatCode="General">
                  <c:v>-0.13227466654872999</c:v>
                </c:pt>
                <c:pt idx="57" formatCode="General">
                  <c:v>-0.13369348612647999</c:v>
                </c:pt>
                <c:pt idx="58" formatCode="General">
                  <c:v>-0.13035157458077501</c:v>
                </c:pt>
                <c:pt idx="59" formatCode="General">
                  <c:v>-0.11729153350905</c:v>
                </c:pt>
                <c:pt idx="60" formatCode="General">
                  <c:v>-1.5599411841032E-2</c:v>
                </c:pt>
                <c:pt idx="61" formatCode="General">
                  <c:v>1.37200502270885E-2</c:v>
                </c:pt>
                <c:pt idx="62" formatCode="General">
                  <c:v>8.8759131137266106E-2</c:v>
                </c:pt>
                <c:pt idx="63" formatCode="General">
                  <c:v>6.7800715991206906E-2</c:v>
                </c:pt>
                <c:pt idx="64" formatCode="General">
                  <c:v>5.4202149756846098E-2</c:v>
                </c:pt>
                <c:pt idx="65" formatCode="General">
                  <c:v>8.1153791974057796E-2</c:v>
                </c:pt>
                <c:pt idx="66" formatCode="General">
                  <c:v>7.8181225890298994E-2</c:v>
                </c:pt>
                <c:pt idx="67" formatCode="General">
                  <c:v>4.55366201463955E-2</c:v>
                </c:pt>
                <c:pt idx="68" formatCode="General">
                  <c:v>6.1257193026620201E-2</c:v>
                </c:pt>
                <c:pt idx="69" formatCode="General">
                  <c:v>6.1679384442370699E-2</c:v>
                </c:pt>
                <c:pt idx="70" formatCode="General">
                  <c:v>2.0341043956252101E-2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02-4CD0-9A6B-7E97398B70ED}"/>
            </c:ext>
          </c:extLst>
        </c:ser>
        <c:ser>
          <c:idx val="5"/>
          <c:order val="5"/>
          <c:tx>
            <c:strRef>
              <c:f>US_raw_policy_innovations!$I$1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US_raw_policy_innovations!$I$190:$I$260</c:f>
              <c:numCache>
                <c:formatCode>0.00E+00</c:formatCode>
                <c:ptCount val="71"/>
                <c:pt idx="0">
                  <c:v>2.5716193237937298E-16</c:v>
                </c:pt>
                <c:pt idx="1">
                  <c:v>1.9171432159051299E-16</c:v>
                </c:pt>
                <c:pt idx="2">
                  <c:v>1.5627057162249701E-16</c:v>
                </c:pt>
                <c:pt idx="3">
                  <c:v>1.7657300617749999E-16</c:v>
                </c:pt>
                <c:pt idx="4">
                  <c:v>1.6214553638165701E-16</c:v>
                </c:pt>
                <c:pt idx="5">
                  <c:v>1.3960054383426E-16</c:v>
                </c:pt>
                <c:pt idx="6">
                  <c:v>1.06965878172938E-16</c:v>
                </c:pt>
                <c:pt idx="7" formatCode="General">
                  <c:v>2.9153821605798599E-2</c:v>
                </c:pt>
                <c:pt idx="8" formatCode="General">
                  <c:v>3.72170122309139E-2</c:v>
                </c:pt>
                <c:pt idx="9" formatCode="General">
                  <c:v>4.6823088187251199E-2</c:v>
                </c:pt>
                <c:pt idx="10" formatCode="General">
                  <c:v>4.7599513045876E-2</c:v>
                </c:pt>
                <c:pt idx="11" formatCode="General">
                  <c:v>6.1454640838895902E-2</c:v>
                </c:pt>
                <c:pt idx="12" formatCode="General">
                  <c:v>2.11303046598551E-2</c:v>
                </c:pt>
                <c:pt idx="13" formatCode="General">
                  <c:v>-5.6776457952376097E-2</c:v>
                </c:pt>
                <c:pt idx="14" formatCode="General">
                  <c:v>-4.98378475221175E-2</c:v>
                </c:pt>
                <c:pt idx="15" formatCode="General">
                  <c:v>-5.1086816705631002E-3</c:v>
                </c:pt>
                <c:pt idx="16" formatCode="General">
                  <c:v>-3.4057839190841598E-3</c:v>
                </c:pt>
                <c:pt idx="17" formatCode="General">
                  <c:v>-3.6719587097489001E-2</c:v>
                </c:pt>
                <c:pt idx="18" formatCode="General">
                  <c:v>-4.1659970358132299E-2</c:v>
                </c:pt>
                <c:pt idx="19" formatCode="General">
                  <c:v>-2.34017783322913E-2</c:v>
                </c:pt>
                <c:pt idx="20" formatCode="General">
                  <c:v>-1.98091401933417E-2</c:v>
                </c:pt>
                <c:pt idx="21" formatCode="General">
                  <c:v>-3.8381021033036498E-2</c:v>
                </c:pt>
                <c:pt idx="22" formatCode="General">
                  <c:v>-4.4507101228863102E-2</c:v>
                </c:pt>
                <c:pt idx="23" formatCode="General">
                  <c:v>-5.3511680097035899E-2</c:v>
                </c:pt>
                <c:pt idx="24" formatCode="General">
                  <c:v>-1.7561423915417401E-2</c:v>
                </c:pt>
                <c:pt idx="25" formatCode="General">
                  <c:v>-8.3545239756267903E-3</c:v>
                </c:pt>
                <c:pt idx="26" formatCode="General">
                  <c:v>-4.4194395335711498E-2</c:v>
                </c:pt>
                <c:pt idx="27" formatCode="General">
                  <c:v>-2.2928131138780901E-2</c:v>
                </c:pt>
                <c:pt idx="28" formatCode="General">
                  <c:v>4.7368975612240702E-3</c:v>
                </c:pt>
                <c:pt idx="29" formatCode="General">
                  <c:v>3.6300355258297799E-2</c:v>
                </c:pt>
                <c:pt idx="30" formatCode="General">
                  <c:v>1.26788394988551E-2</c:v>
                </c:pt>
                <c:pt idx="31" formatCode="General">
                  <c:v>2.1724363190927399E-3</c:v>
                </c:pt>
                <c:pt idx="32" formatCode="General">
                  <c:v>-2.5399747176224501E-2</c:v>
                </c:pt>
                <c:pt idx="33" formatCode="General">
                  <c:v>8.2277452846149903E-4</c:v>
                </c:pt>
                <c:pt idx="34" formatCode="General">
                  <c:v>-2.0995414113752699E-2</c:v>
                </c:pt>
                <c:pt idx="35" formatCode="General">
                  <c:v>-5.7067340550729E-3</c:v>
                </c:pt>
                <c:pt idx="36" formatCode="General">
                  <c:v>-1.3931655585881299E-2</c:v>
                </c:pt>
                <c:pt idx="37" formatCode="General">
                  <c:v>1.3212699280321099E-2</c:v>
                </c:pt>
                <c:pt idx="38" formatCode="General">
                  <c:v>1.32684179320053E-3</c:v>
                </c:pt>
                <c:pt idx="39" formatCode="General">
                  <c:v>1.1216263674016401E-3</c:v>
                </c:pt>
                <c:pt idx="40" formatCode="General">
                  <c:v>1.2601273540220099E-2</c:v>
                </c:pt>
                <c:pt idx="41" formatCode="General">
                  <c:v>7.43322087497327E-3</c:v>
                </c:pt>
                <c:pt idx="42" formatCode="General">
                  <c:v>1.21927044166569E-2</c:v>
                </c:pt>
                <c:pt idx="43" formatCode="General">
                  <c:v>1.19947424405003E-2</c:v>
                </c:pt>
                <c:pt idx="44" formatCode="General">
                  <c:v>6.1557778881104501E-3</c:v>
                </c:pt>
                <c:pt idx="45" formatCode="General">
                  <c:v>-2.5189531473973799E-2</c:v>
                </c:pt>
                <c:pt idx="46" formatCode="General">
                  <c:v>-5.2392991386701199E-2</c:v>
                </c:pt>
                <c:pt idx="47" formatCode="General">
                  <c:v>1.3006369546579801E-2</c:v>
                </c:pt>
                <c:pt idx="48" formatCode="General">
                  <c:v>-6.6905523028449695E-2</c:v>
                </c:pt>
                <c:pt idx="49" formatCode="General">
                  <c:v>7.8133368609604702E-3</c:v>
                </c:pt>
                <c:pt idx="50" formatCode="General">
                  <c:v>-2.3322272948598802E-2</c:v>
                </c:pt>
                <c:pt idx="51" formatCode="General">
                  <c:v>-2.7573539388254999E-2</c:v>
                </c:pt>
                <c:pt idx="52" formatCode="General">
                  <c:v>-9.6573457302684892E-3</c:v>
                </c:pt>
                <c:pt idx="53" formatCode="General">
                  <c:v>-3.4053932675048998E-2</c:v>
                </c:pt>
                <c:pt idx="54" formatCode="General">
                  <c:v>-6.7464232889359099E-2</c:v>
                </c:pt>
                <c:pt idx="55" formatCode="General">
                  <c:v>-8.5453442817074496E-2</c:v>
                </c:pt>
                <c:pt idx="56" formatCode="General">
                  <c:v>-6.3143081935901402E-2</c:v>
                </c:pt>
                <c:pt idx="57" formatCode="General">
                  <c:v>-1.253994183122E-2</c:v>
                </c:pt>
                <c:pt idx="58" formatCode="General">
                  <c:v>-1.7753682772773099E-2</c:v>
                </c:pt>
                <c:pt idx="59" formatCode="General">
                  <c:v>3.8585719734125098E-2</c:v>
                </c:pt>
                <c:pt idx="60" formatCode="General">
                  <c:v>0.20135062237778301</c:v>
                </c:pt>
                <c:pt idx="61" formatCode="General">
                  <c:v>-2.54151901919673E-3</c:v>
                </c:pt>
                <c:pt idx="62" formatCode="General">
                  <c:v>0.123195617190451</c:v>
                </c:pt>
                <c:pt idx="63" formatCode="General">
                  <c:v>-0.107343049369673</c:v>
                </c:pt>
                <c:pt idx="64" formatCode="General">
                  <c:v>-0.18788217821504799</c:v>
                </c:pt>
                <c:pt idx="65" formatCode="General">
                  <c:v>-0.182826692660292</c:v>
                </c:pt>
                <c:pt idx="66" formatCode="General">
                  <c:v>-0.13554479898010799</c:v>
                </c:pt>
                <c:pt idx="67" formatCode="General">
                  <c:v>-0.149346609405175</c:v>
                </c:pt>
                <c:pt idx="68" formatCode="General">
                  <c:v>-9.8931871569561E-2</c:v>
                </c:pt>
                <c:pt idx="69" formatCode="General">
                  <c:v>-8.6940357646633395E-2</c:v>
                </c:pt>
                <c:pt idx="70" formatCode="General">
                  <c:v>-5.4602218829049302E-2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02-4CD0-9A6B-7E97398B70ED}"/>
            </c:ext>
          </c:extLst>
        </c:ser>
        <c:ser>
          <c:idx val="6"/>
          <c:order val="6"/>
          <c:tx>
            <c:strRef>
              <c:f>US_raw_policy_innovations!$J$1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val>
            <c:numRef>
              <c:f>US_raw_policy_innovations!$J$190:$J$260</c:f>
              <c:numCache>
                <c:formatCode>0.00E+00</c:formatCode>
                <c:ptCount val="71"/>
                <c:pt idx="0">
                  <c:v>5.2477528879485798E-17</c:v>
                </c:pt>
                <c:pt idx="1">
                  <c:v>1.3549653324087099E-18</c:v>
                </c:pt>
                <c:pt idx="2">
                  <c:v>3.4260452174119199E-17</c:v>
                </c:pt>
                <c:pt idx="3">
                  <c:v>2.2136466095699801E-17</c:v>
                </c:pt>
                <c:pt idx="4">
                  <c:v>2.94640849528207E-17</c:v>
                </c:pt>
                <c:pt idx="5">
                  <c:v>-5.2539771060926E-18</c:v>
                </c:pt>
                <c:pt idx="6">
                  <c:v>1.44161853516903E-17</c:v>
                </c:pt>
                <c:pt idx="7" formatCode="General">
                  <c:v>2.43578017806198E-2</c:v>
                </c:pt>
                <c:pt idx="8" formatCode="General">
                  <c:v>4.97123183519965E-2</c:v>
                </c:pt>
                <c:pt idx="9" formatCode="General">
                  <c:v>7.1506635875720495E-2</c:v>
                </c:pt>
                <c:pt idx="10" formatCode="General">
                  <c:v>4.8332520400271903E-2</c:v>
                </c:pt>
                <c:pt idx="11" formatCode="General">
                  <c:v>6.2755973867180195E-2</c:v>
                </c:pt>
                <c:pt idx="12" formatCode="General">
                  <c:v>4.9621639371369798E-2</c:v>
                </c:pt>
                <c:pt idx="13" formatCode="General">
                  <c:v>-2.0015202163610499E-2</c:v>
                </c:pt>
                <c:pt idx="14" formatCode="General">
                  <c:v>-4.2506232719377403E-2</c:v>
                </c:pt>
                <c:pt idx="15" formatCode="General">
                  <c:v>-1.8667199088413401E-3</c:v>
                </c:pt>
                <c:pt idx="16" formatCode="General">
                  <c:v>2.9108849798766202E-2</c:v>
                </c:pt>
                <c:pt idx="17" formatCode="General">
                  <c:v>-3.1138000779887399E-3</c:v>
                </c:pt>
                <c:pt idx="18" formatCode="General">
                  <c:v>-5.9232200759106797E-2</c:v>
                </c:pt>
                <c:pt idx="19" formatCode="General">
                  <c:v>-4.5098907271263401E-2</c:v>
                </c:pt>
                <c:pt idx="20" formatCode="General">
                  <c:v>-4.0920814856520098E-2</c:v>
                </c:pt>
                <c:pt idx="21" formatCode="General">
                  <c:v>-7.8189648985313095E-3</c:v>
                </c:pt>
                <c:pt idx="22" formatCode="General">
                  <c:v>-4.0511354462519397E-2</c:v>
                </c:pt>
                <c:pt idx="23" formatCode="General">
                  <c:v>-2.0616140182957401E-2</c:v>
                </c:pt>
                <c:pt idx="24" formatCode="General">
                  <c:v>-4.0452281394330401E-2</c:v>
                </c:pt>
                <c:pt idx="25" formatCode="General">
                  <c:v>-5.0651668231405699E-3</c:v>
                </c:pt>
                <c:pt idx="26" formatCode="General">
                  <c:v>-9.5188389573564892E-3</c:v>
                </c:pt>
                <c:pt idx="27" formatCode="General">
                  <c:v>-1.5058389346868499E-2</c:v>
                </c:pt>
                <c:pt idx="28" formatCode="General">
                  <c:v>1.5876685534614299E-2</c:v>
                </c:pt>
                <c:pt idx="29" formatCode="General">
                  <c:v>7.7774302730304603E-3</c:v>
                </c:pt>
                <c:pt idx="30" formatCode="General">
                  <c:v>6.0974826562898302E-3</c:v>
                </c:pt>
                <c:pt idx="31" formatCode="General">
                  <c:v>-1.1473980821479299E-2</c:v>
                </c:pt>
                <c:pt idx="32" formatCode="General">
                  <c:v>-7.2829848370964704E-4</c:v>
                </c:pt>
                <c:pt idx="33" formatCode="General">
                  <c:v>-2.25349525005706E-3</c:v>
                </c:pt>
                <c:pt idx="34" formatCode="General">
                  <c:v>-4.4094648755639704E-3</c:v>
                </c:pt>
                <c:pt idx="35" formatCode="General">
                  <c:v>-1.0476492925612199E-3</c:v>
                </c:pt>
                <c:pt idx="36" formatCode="General">
                  <c:v>-4.1376739940607102E-3</c:v>
                </c:pt>
                <c:pt idx="37" formatCode="General">
                  <c:v>4.5772276955783004E-3</c:v>
                </c:pt>
                <c:pt idx="38" formatCode="General">
                  <c:v>-2.6276119778108299E-3</c:v>
                </c:pt>
                <c:pt idx="39" formatCode="General">
                  <c:v>7.2006444197208396E-3</c:v>
                </c:pt>
                <c:pt idx="40" formatCode="General">
                  <c:v>2.5190499654058501E-3</c:v>
                </c:pt>
                <c:pt idx="41" formatCode="General">
                  <c:v>2.7397210003379702E-3</c:v>
                </c:pt>
                <c:pt idx="42" formatCode="General">
                  <c:v>5.3446413210458199E-3</c:v>
                </c:pt>
                <c:pt idx="43" formatCode="General">
                  <c:v>1.14823938438099E-3</c:v>
                </c:pt>
                <c:pt idx="44" formatCode="General">
                  <c:v>-6.2212660581575799E-3</c:v>
                </c:pt>
                <c:pt idx="45" formatCode="General">
                  <c:v>-1.7105841317901001E-2</c:v>
                </c:pt>
                <c:pt idx="46" formatCode="General">
                  <c:v>5.9188849264105803E-3</c:v>
                </c:pt>
                <c:pt idx="47" formatCode="General">
                  <c:v>-2.22372700332777E-2</c:v>
                </c:pt>
                <c:pt idx="48" formatCode="General">
                  <c:v>2.4882159276089998E-3</c:v>
                </c:pt>
                <c:pt idx="49" formatCode="General">
                  <c:v>-7.0670135530774602E-3</c:v>
                </c:pt>
                <c:pt idx="50" formatCode="General">
                  <c:v>-1.1035128034740899E-2</c:v>
                </c:pt>
                <c:pt idx="51" formatCode="General">
                  <c:v>-6.6620728151188802E-3</c:v>
                </c:pt>
                <c:pt idx="52" formatCode="General">
                  <c:v>-3.7967625771515502E-2</c:v>
                </c:pt>
                <c:pt idx="53" formatCode="General">
                  <c:v>-3.9654425088119602E-2</c:v>
                </c:pt>
                <c:pt idx="54" formatCode="General">
                  <c:v>-6.0335270837004198E-2</c:v>
                </c:pt>
                <c:pt idx="55" formatCode="General">
                  <c:v>-7.8347656180156003E-2</c:v>
                </c:pt>
                <c:pt idx="56" formatCode="General">
                  <c:v>-8.5612376734168202E-2</c:v>
                </c:pt>
                <c:pt idx="57" formatCode="General">
                  <c:v>-8.8077110860479702E-2</c:v>
                </c:pt>
                <c:pt idx="58" formatCode="General">
                  <c:v>-9.3419699454436095E-2</c:v>
                </c:pt>
                <c:pt idx="59" formatCode="General">
                  <c:v>-7.9437869881940307E-2</c:v>
                </c:pt>
                <c:pt idx="60" formatCode="General">
                  <c:v>-4.1345156349017502E-3</c:v>
                </c:pt>
                <c:pt idx="61" formatCode="General">
                  <c:v>1.54899635186779E-2</c:v>
                </c:pt>
                <c:pt idx="62" formatCode="General">
                  <c:v>5.5469274325428503E-2</c:v>
                </c:pt>
                <c:pt idx="63" formatCode="General">
                  <c:v>6.1729404572782497E-2</c:v>
                </c:pt>
                <c:pt idx="64" formatCode="General">
                  <c:v>5.7144487833485101E-2</c:v>
                </c:pt>
                <c:pt idx="65" formatCode="General">
                  <c:v>9.1564881419306701E-2</c:v>
                </c:pt>
                <c:pt idx="66" formatCode="General">
                  <c:v>8.0429978608535499E-2</c:v>
                </c:pt>
                <c:pt idx="67" formatCode="General">
                  <c:v>3.65110068529595E-2</c:v>
                </c:pt>
                <c:pt idx="68" formatCode="General">
                  <c:v>4.99159419761755E-2</c:v>
                </c:pt>
                <c:pt idx="69" formatCode="General">
                  <c:v>5.64794719548933E-2</c:v>
                </c:pt>
                <c:pt idx="70" formatCode="General">
                  <c:v>1.6065755088222899E-2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US_raw_policy_innovations!$C$190:$C$260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02-4CD0-9A6B-7E97398B7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US_raw_policy_innovations!$D$1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US_raw_policy_innovations!$D$193:$D$260</c:f>
              <c:numCache>
                <c:formatCode>General</c:formatCode>
                <c:ptCount val="68"/>
                <c:pt idx="0">
                  <c:v>-0.27873198404611099</c:v>
                </c:pt>
                <c:pt idx="1">
                  <c:v>-0.30552875057286599</c:v>
                </c:pt>
                <c:pt idx="2">
                  <c:v>-0.29747601762697301</c:v>
                </c:pt>
                <c:pt idx="3">
                  <c:v>0.14155164512947399</c:v>
                </c:pt>
                <c:pt idx="4">
                  <c:v>0.20467000958495801</c:v>
                </c:pt>
                <c:pt idx="5">
                  <c:v>0.53167060169130098</c:v>
                </c:pt>
                <c:pt idx="6">
                  <c:v>0.41853267056344701</c:v>
                </c:pt>
                <c:pt idx="7">
                  <c:v>0.143015716170243</c:v>
                </c:pt>
                <c:pt idx="8">
                  <c:v>0.32217832433021099</c:v>
                </c:pt>
                <c:pt idx="9">
                  <c:v>0.18676611779665001</c:v>
                </c:pt>
                <c:pt idx="10">
                  <c:v>-2.2007394481891401E-2</c:v>
                </c:pt>
                <c:pt idx="11">
                  <c:v>6.6593822355199103E-2</c:v>
                </c:pt>
                <c:pt idx="12">
                  <c:v>0.10746944733500401</c:v>
                </c:pt>
                <c:pt idx="13">
                  <c:v>-1.7317472926123598E-2</c:v>
                </c:pt>
                <c:pt idx="14">
                  <c:v>4.21011758171509E-2</c:v>
                </c:pt>
                <c:pt idx="15">
                  <c:v>2.8056400413304899E-2</c:v>
                </c:pt>
                <c:pt idx="16">
                  <c:v>1.7283859203808101E-2</c:v>
                </c:pt>
                <c:pt idx="17">
                  <c:v>-0.13088627500337299</c:v>
                </c:pt>
                <c:pt idx="18">
                  <c:v>7.2722601391007793E-2</c:v>
                </c:pt>
                <c:pt idx="19">
                  <c:v>3.3035358076885901E-2</c:v>
                </c:pt>
                <c:pt idx="20">
                  <c:v>-0.108509095088513</c:v>
                </c:pt>
                <c:pt idx="21">
                  <c:v>6.7668941227802204E-2</c:v>
                </c:pt>
                <c:pt idx="22">
                  <c:v>7.7081898135659604E-2</c:v>
                </c:pt>
                <c:pt idx="23">
                  <c:v>8.9712802737958994E-2</c:v>
                </c:pt>
                <c:pt idx="24">
                  <c:v>8.8151629114306407E-2</c:v>
                </c:pt>
                <c:pt idx="25">
                  <c:v>-2.8357315101394998E-3</c:v>
                </c:pt>
                <c:pt idx="26">
                  <c:v>-7.3874242014765196E-2</c:v>
                </c:pt>
                <c:pt idx="27">
                  <c:v>-1.41865817533066E-2</c:v>
                </c:pt>
                <c:pt idx="28">
                  <c:v>-0.11799680394553901</c:v>
                </c:pt>
                <c:pt idx="29">
                  <c:v>7.7712194996098299E-2</c:v>
                </c:pt>
                <c:pt idx="30">
                  <c:v>1.6013436927852301E-2</c:v>
                </c:pt>
                <c:pt idx="31">
                  <c:v>-4.3945202002823702E-2</c:v>
                </c:pt>
                <c:pt idx="32">
                  <c:v>1.0021334206675499E-2</c:v>
                </c:pt>
                <c:pt idx="33">
                  <c:v>-4.72541004567937E-2</c:v>
                </c:pt>
                <c:pt idx="34">
                  <c:v>-5.0408059397784401E-2</c:v>
                </c:pt>
                <c:pt idx="35">
                  <c:v>-4.9103820511066799E-2</c:v>
                </c:pt>
                <c:pt idx="36">
                  <c:v>2.23128610891692E-2</c:v>
                </c:pt>
                <c:pt idx="37">
                  <c:v>-2.4334954398867899E-2</c:v>
                </c:pt>
                <c:pt idx="38">
                  <c:v>-1.4988798996413999E-2</c:v>
                </c:pt>
                <c:pt idx="39">
                  <c:v>3.2155340542651997E-2</c:v>
                </c:pt>
                <c:pt idx="40">
                  <c:v>-7.5943852586890695E-2</c:v>
                </c:pt>
                <c:pt idx="41">
                  <c:v>-8.8226472980123205E-2</c:v>
                </c:pt>
                <c:pt idx="42">
                  <c:v>8.5688274087812703E-3</c:v>
                </c:pt>
                <c:pt idx="43">
                  <c:v>5.08367331308315E-2</c:v>
                </c:pt>
                <c:pt idx="44">
                  <c:v>1.2960247804161201E-2</c:v>
                </c:pt>
                <c:pt idx="45">
                  <c:v>7.9423454701713095E-2</c:v>
                </c:pt>
                <c:pt idx="46">
                  <c:v>8.6999813121266204E-3</c:v>
                </c:pt>
                <c:pt idx="47">
                  <c:v>-0.13396770579558401</c:v>
                </c:pt>
                <c:pt idx="48">
                  <c:v>-0.23365875134984099</c:v>
                </c:pt>
                <c:pt idx="49">
                  <c:v>0.298272181580789</c:v>
                </c:pt>
                <c:pt idx="50">
                  <c:v>0.21638647022506</c:v>
                </c:pt>
                <c:pt idx="51">
                  <c:v>0.20939974253513599</c:v>
                </c:pt>
                <c:pt idx="52">
                  <c:v>-0.11015277324342899</c:v>
                </c:pt>
                <c:pt idx="53">
                  <c:v>-0.271376055966219</c:v>
                </c:pt>
                <c:pt idx="54">
                  <c:v>-0.564188103275443</c:v>
                </c:pt>
                <c:pt idx="55">
                  <c:v>-0.243400671880137</c:v>
                </c:pt>
                <c:pt idx="56">
                  <c:v>-0.45906526285587601</c:v>
                </c:pt>
                <c:pt idx="57">
                  <c:v>-0.416928626441811</c:v>
                </c:pt>
                <c:pt idx="58">
                  <c:v>-0.137815677860988</c:v>
                </c:pt>
                <c:pt idx="59">
                  <c:v>0.20245102659516701</c:v>
                </c:pt>
                <c:pt idx="60">
                  <c:v>0.37403300405883899</c:v>
                </c:pt>
                <c:pt idx="61">
                  <c:v>-0.115907173289063</c:v>
                </c:pt>
                <c:pt idx="62">
                  <c:v>0.21139797939739</c:v>
                </c:pt>
                <c:pt idx="63">
                  <c:v>0.166898910441587</c:v>
                </c:pt>
                <c:pt idx="64">
                  <c:v>0.154007420030291</c:v>
                </c:pt>
                <c:pt idx="65">
                  <c:v>0.18730188747042001</c:v>
                </c:pt>
                <c:pt idx="66">
                  <c:v>0.192295117855214</c:v>
                </c:pt>
                <c:pt idx="67">
                  <c:v>0.14286928935825299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E-4953-B5E8-96A451C266C1}"/>
            </c:ext>
          </c:extLst>
        </c:ser>
        <c:ser>
          <c:idx val="1"/>
          <c:order val="1"/>
          <c:tx>
            <c:strRef>
              <c:f>US_raw_policy_innovations!$E$1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US_raw_policy_innovations!$E$193:$E$260</c:f>
              <c:numCache>
                <c:formatCode>0.00E+00</c:formatCode>
                <c:ptCount val="68"/>
                <c:pt idx="0">
                  <c:v>1.02520878074265E-15</c:v>
                </c:pt>
                <c:pt idx="1">
                  <c:v>9.0065873776934705E-16</c:v>
                </c:pt>
                <c:pt idx="2">
                  <c:v>8.4390522182585299E-16</c:v>
                </c:pt>
                <c:pt idx="3">
                  <c:v>7.6298923768357901E-16</c:v>
                </c:pt>
                <c:pt idx="4" formatCode="General">
                  <c:v>0.183928354810071</c:v>
                </c:pt>
                <c:pt idx="5" formatCode="General">
                  <c:v>0.20760934845545201</c:v>
                </c:pt>
                <c:pt idx="6" formatCode="General">
                  <c:v>0.118080536570029</c:v>
                </c:pt>
                <c:pt idx="7" formatCode="General">
                  <c:v>-1.8661028475978399E-2</c:v>
                </c:pt>
                <c:pt idx="8" formatCode="General">
                  <c:v>4.5306422279326401E-2</c:v>
                </c:pt>
                <c:pt idx="9" formatCode="General">
                  <c:v>7.0112492388729802E-3</c:v>
                </c:pt>
                <c:pt idx="10" formatCode="General">
                  <c:v>-9.2997039552210697E-2</c:v>
                </c:pt>
                <c:pt idx="11" formatCode="General">
                  <c:v>-4.11042143460707E-2</c:v>
                </c:pt>
                <c:pt idx="12" formatCode="General">
                  <c:v>-4.5482645925965799E-2</c:v>
                </c:pt>
                <c:pt idx="13" formatCode="General">
                  <c:v>-3.9200943583272599E-2</c:v>
                </c:pt>
                <c:pt idx="14" formatCode="General">
                  <c:v>-6.6700817645921798E-2</c:v>
                </c:pt>
                <c:pt idx="15" formatCode="General">
                  <c:v>-7.6267415000873695E-2</c:v>
                </c:pt>
                <c:pt idx="16" formatCode="General">
                  <c:v>-6.3439893014187093E-2</c:v>
                </c:pt>
                <c:pt idx="17" formatCode="General">
                  <c:v>-9.3044261428996494E-2</c:v>
                </c:pt>
                <c:pt idx="18" formatCode="General">
                  <c:v>-2.1733081114248001E-2</c:v>
                </c:pt>
                <c:pt idx="19" formatCode="General">
                  <c:v>-2.2570011370377601E-2</c:v>
                </c:pt>
                <c:pt idx="20" formatCode="General">
                  <c:v>-8.25512441294253E-2</c:v>
                </c:pt>
                <c:pt idx="21" formatCode="General">
                  <c:v>-6.8068778887362402E-2</c:v>
                </c:pt>
                <c:pt idx="22" formatCode="General">
                  <c:v>-1.7559997745668798E-2</c:v>
                </c:pt>
                <c:pt idx="23" formatCode="General">
                  <c:v>-3.5510471691618299E-2</c:v>
                </c:pt>
                <c:pt idx="24" formatCode="General">
                  <c:v>-5.8346808957142303E-2</c:v>
                </c:pt>
                <c:pt idx="25" formatCode="General">
                  <c:v>-4.4259429838022502E-2</c:v>
                </c:pt>
                <c:pt idx="26" formatCode="General">
                  <c:v>-9.1746256806028895E-2</c:v>
                </c:pt>
                <c:pt idx="27" formatCode="General">
                  <c:v>-6.4352196495686506E-2</c:v>
                </c:pt>
                <c:pt idx="28" formatCode="General">
                  <c:v>-6.0009194840076503E-2</c:v>
                </c:pt>
                <c:pt idx="29" formatCode="General">
                  <c:v>1.5693001175995001E-3</c:v>
                </c:pt>
                <c:pt idx="30" formatCode="General">
                  <c:v>3.66990759777081E-2</c:v>
                </c:pt>
                <c:pt idx="31" formatCode="General">
                  <c:v>-9.0583531301378899E-3</c:v>
                </c:pt>
                <c:pt idx="32" formatCode="General">
                  <c:v>2.4365721489964201E-2</c:v>
                </c:pt>
                <c:pt idx="33" formatCode="General">
                  <c:v>-9.7445135200783295E-2</c:v>
                </c:pt>
                <c:pt idx="34" formatCode="General">
                  <c:v>-2.24586224745097E-2</c:v>
                </c:pt>
                <c:pt idx="35" formatCode="General">
                  <c:v>-3.6630011261473E-2</c:v>
                </c:pt>
                <c:pt idx="36" formatCode="General">
                  <c:v>9.0654956029297407E-3</c:v>
                </c:pt>
                <c:pt idx="37" formatCode="General">
                  <c:v>1.8312738839433601E-2</c:v>
                </c:pt>
                <c:pt idx="38" formatCode="General">
                  <c:v>1.9962217361864099E-2</c:v>
                </c:pt>
                <c:pt idx="39" formatCode="General">
                  <c:v>-7.9431818925434199E-3</c:v>
                </c:pt>
                <c:pt idx="40" formatCode="General">
                  <c:v>-3.7544259748433E-2</c:v>
                </c:pt>
                <c:pt idx="41" formatCode="General">
                  <c:v>2.2483745206368502E-2</c:v>
                </c:pt>
                <c:pt idx="42" formatCode="General">
                  <c:v>2.2806211509426699E-2</c:v>
                </c:pt>
                <c:pt idx="43" formatCode="General">
                  <c:v>2.8428516975432701E-2</c:v>
                </c:pt>
                <c:pt idx="44" formatCode="General">
                  <c:v>3.9838704640525899E-2</c:v>
                </c:pt>
                <c:pt idx="45" formatCode="General">
                  <c:v>6.5975766103313497E-3</c:v>
                </c:pt>
                <c:pt idx="46" formatCode="General">
                  <c:v>-9.2372368235387206E-2</c:v>
                </c:pt>
                <c:pt idx="47" formatCode="General">
                  <c:v>-0.19125235126837201</c:v>
                </c:pt>
                <c:pt idx="48" formatCode="General">
                  <c:v>8.7240207234628497E-2</c:v>
                </c:pt>
                <c:pt idx="49" formatCode="General">
                  <c:v>-0.16638405702984799</c:v>
                </c:pt>
                <c:pt idx="50" formatCode="General">
                  <c:v>0.19425786226215599</c:v>
                </c:pt>
                <c:pt idx="51" formatCode="General">
                  <c:v>-3.5467203816721502E-3</c:v>
                </c:pt>
                <c:pt idx="52" formatCode="General">
                  <c:v>-0.19254999901386</c:v>
                </c:pt>
                <c:pt idx="53" formatCode="General">
                  <c:v>-0.265963427703794</c:v>
                </c:pt>
                <c:pt idx="54" formatCode="General">
                  <c:v>-0.33339175833815199</c:v>
                </c:pt>
                <c:pt idx="55" formatCode="General">
                  <c:v>-0.211170436105484</c:v>
                </c:pt>
                <c:pt idx="56" formatCode="General">
                  <c:v>-0.24525605110825799</c:v>
                </c:pt>
                <c:pt idx="57" formatCode="General">
                  <c:v>-4.1521485342866399E-2</c:v>
                </c:pt>
                <c:pt idx="58" formatCode="General">
                  <c:v>0.114731132223871</c:v>
                </c:pt>
                <c:pt idx="59" formatCode="General">
                  <c:v>0.24265392015661499</c:v>
                </c:pt>
                <c:pt idx="60" formatCode="General">
                  <c:v>0.173160153852674</c:v>
                </c:pt>
                <c:pt idx="61" formatCode="General">
                  <c:v>1.6861430242358599E-2</c:v>
                </c:pt>
                <c:pt idx="62" formatCode="General">
                  <c:v>0.165269823199622</c:v>
                </c:pt>
                <c:pt idx="63" formatCode="General">
                  <c:v>0.15467910892297501</c:v>
                </c:pt>
                <c:pt idx="64" formatCode="General">
                  <c:v>5.1957163705232803E-2</c:v>
                </c:pt>
                <c:pt idx="65" formatCode="General">
                  <c:v>0.10587678957360699</c:v>
                </c:pt>
                <c:pt idx="66" formatCode="General">
                  <c:v>0.110010050279225</c:v>
                </c:pt>
                <c:pt idx="67" formatCode="General">
                  <c:v>-0.106374110257523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E-4953-B5E8-96A451C266C1}"/>
            </c:ext>
          </c:extLst>
        </c:ser>
        <c:ser>
          <c:idx val="2"/>
          <c:order val="2"/>
          <c:tx>
            <c:strRef>
              <c:f>US_raw_policy_innovations!$F$1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US_raw_policy_innovations!$F$193:$F$260</c:f>
              <c:numCache>
                <c:formatCode>0.00E+00</c:formatCode>
                <c:ptCount val="68"/>
                <c:pt idx="0">
                  <c:v>8.2260185587558005E-16</c:v>
                </c:pt>
                <c:pt idx="1">
                  <c:v>7.76407969953344E-16</c:v>
                </c:pt>
                <c:pt idx="2">
                  <c:v>7.0700785260862804E-16</c:v>
                </c:pt>
                <c:pt idx="3">
                  <c:v>6.5789050647099104E-16</c:v>
                </c:pt>
                <c:pt idx="4" formatCode="General">
                  <c:v>0.14181348534904401</c:v>
                </c:pt>
                <c:pt idx="5" formatCode="General">
                  <c:v>0.119218456911976</c:v>
                </c:pt>
                <c:pt idx="6" formatCode="General">
                  <c:v>8.8024830082468197E-2</c:v>
                </c:pt>
                <c:pt idx="7" formatCode="General">
                  <c:v>-1.6037728534702199E-3</c:v>
                </c:pt>
                <c:pt idx="8" formatCode="General">
                  <c:v>3.5057824657569299E-2</c:v>
                </c:pt>
                <c:pt idx="9" formatCode="General">
                  <c:v>1.3873884594286101E-2</c:v>
                </c:pt>
                <c:pt idx="10" formatCode="General">
                  <c:v>-7.7097480524233999E-2</c:v>
                </c:pt>
                <c:pt idx="11" formatCode="General">
                  <c:v>-6.6357520614128807E-2</c:v>
                </c:pt>
                <c:pt idx="12" formatCode="General">
                  <c:v>-6.1579627179551399E-2</c:v>
                </c:pt>
                <c:pt idx="13" formatCode="General">
                  <c:v>-1.7910699806624499E-2</c:v>
                </c:pt>
                <c:pt idx="14" formatCode="General">
                  <c:v>-4.9566463151524798E-2</c:v>
                </c:pt>
                <c:pt idx="15" formatCode="General">
                  <c:v>-9.1231278940306804E-2</c:v>
                </c:pt>
                <c:pt idx="16" formatCode="General">
                  <c:v>-6.6314100775489299E-2</c:v>
                </c:pt>
                <c:pt idx="17" formatCode="General">
                  <c:v>-7.8353131265800804E-2</c:v>
                </c:pt>
                <c:pt idx="18" formatCode="General">
                  <c:v>-4.5813841891881403E-2</c:v>
                </c:pt>
                <c:pt idx="19" formatCode="General">
                  <c:v>-3.15752328508778E-2</c:v>
                </c:pt>
                <c:pt idx="20" formatCode="General">
                  <c:v>-6.86527910898833E-2</c:v>
                </c:pt>
                <c:pt idx="21" formatCode="General">
                  <c:v>-5.3311730307590899E-2</c:v>
                </c:pt>
                <c:pt idx="22" formatCode="General">
                  <c:v>-2.65418077610469E-3</c:v>
                </c:pt>
                <c:pt idx="23" formatCode="General">
                  <c:v>-4.8248006317305699E-2</c:v>
                </c:pt>
                <c:pt idx="24" formatCode="General">
                  <c:v>-6.58039288421126E-2</c:v>
                </c:pt>
                <c:pt idx="25" formatCode="General">
                  <c:v>-6.4291762514952305E-2</c:v>
                </c:pt>
                <c:pt idx="26" formatCode="General">
                  <c:v>-6.8821182528313304E-2</c:v>
                </c:pt>
                <c:pt idx="27" formatCode="General">
                  <c:v>-5.1152141661928198E-2</c:v>
                </c:pt>
                <c:pt idx="28" formatCode="General">
                  <c:v>-1.68496262106601E-2</c:v>
                </c:pt>
                <c:pt idx="29" formatCode="General">
                  <c:v>2.9454931625600301E-2</c:v>
                </c:pt>
                <c:pt idx="30" formatCode="General">
                  <c:v>6.8553556251782404E-3</c:v>
                </c:pt>
                <c:pt idx="31" formatCode="General">
                  <c:v>1.24131951672093E-2</c:v>
                </c:pt>
                <c:pt idx="32" formatCode="General">
                  <c:v>-6.7708268060337598E-2</c:v>
                </c:pt>
                <c:pt idx="33" formatCode="General">
                  <c:v>-4.02324050441107E-2</c:v>
                </c:pt>
                <c:pt idx="34" formatCode="General">
                  <c:v>-2.9343617103874699E-2</c:v>
                </c:pt>
                <c:pt idx="35" formatCode="General">
                  <c:v>-7.4276807608243001E-3</c:v>
                </c:pt>
                <c:pt idx="36" formatCode="General">
                  <c:v>2.3835411120257301E-2</c:v>
                </c:pt>
                <c:pt idx="37" formatCode="General">
                  <c:v>2.3708218742661699E-2</c:v>
                </c:pt>
                <c:pt idx="38" formatCode="General">
                  <c:v>-7.3121600150986097E-3</c:v>
                </c:pt>
                <c:pt idx="39" formatCode="General">
                  <c:v>-2.1253928288309801E-2</c:v>
                </c:pt>
                <c:pt idx="40" formatCode="General">
                  <c:v>1.8541655265151599E-2</c:v>
                </c:pt>
                <c:pt idx="41" formatCode="General">
                  <c:v>2.1487923195874101E-2</c:v>
                </c:pt>
                <c:pt idx="42" formatCode="General">
                  <c:v>2.2008395051654899E-2</c:v>
                </c:pt>
                <c:pt idx="43" formatCode="General">
                  <c:v>4.1080024205349203E-2</c:v>
                </c:pt>
                <c:pt idx="44" formatCode="General">
                  <c:v>3.5811613803490498E-3</c:v>
                </c:pt>
                <c:pt idx="45" formatCode="General">
                  <c:v>-7.5908952278071998E-2</c:v>
                </c:pt>
                <c:pt idx="46" formatCode="General">
                  <c:v>-0.16786352290322501</c:v>
                </c:pt>
                <c:pt idx="47" formatCode="General">
                  <c:v>5.6321311920413598E-2</c:v>
                </c:pt>
                <c:pt idx="48" formatCode="General">
                  <c:v>-0.16779545557803099</c:v>
                </c:pt>
                <c:pt idx="49" formatCode="General">
                  <c:v>8.3614955592456894E-2</c:v>
                </c:pt>
                <c:pt idx="50" formatCode="General">
                  <c:v>3.4874593526393403E-2</c:v>
                </c:pt>
                <c:pt idx="51" formatCode="General">
                  <c:v>-5.2199785685459701E-2</c:v>
                </c:pt>
                <c:pt idx="52" formatCode="General">
                  <c:v>-0.17590629568205099</c:v>
                </c:pt>
                <c:pt idx="53" formatCode="General">
                  <c:v>-0.19280141269227</c:v>
                </c:pt>
                <c:pt idx="54" formatCode="General">
                  <c:v>-0.233288676668397</c:v>
                </c:pt>
                <c:pt idx="55" formatCode="General">
                  <c:v>-0.171428015291337</c:v>
                </c:pt>
                <c:pt idx="56" formatCode="General">
                  <c:v>-0.11630985941611401</c:v>
                </c:pt>
                <c:pt idx="57" formatCode="General">
                  <c:v>0.19249037507719399</c:v>
                </c:pt>
                <c:pt idx="58" formatCode="General">
                  <c:v>0.32710694108155702</c:v>
                </c:pt>
                <c:pt idx="59" formatCode="General">
                  <c:v>0.31079796387574798</c:v>
                </c:pt>
                <c:pt idx="60" formatCode="General">
                  <c:v>0.20053596143175401</c:v>
                </c:pt>
                <c:pt idx="61" formatCode="General">
                  <c:v>4.4855795207220502E-2</c:v>
                </c:pt>
                <c:pt idx="62" formatCode="General">
                  <c:v>8.7641924774885596E-2</c:v>
                </c:pt>
                <c:pt idx="63" formatCode="General">
                  <c:v>7.24508664916238E-2</c:v>
                </c:pt>
                <c:pt idx="64" formatCode="General">
                  <c:v>-4.29096945635331E-2</c:v>
                </c:pt>
                <c:pt idx="65" formatCode="General">
                  <c:v>1.03434064771854E-2</c:v>
                </c:pt>
                <c:pt idx="66" formatCode="General">
                  <c:v>-1.51012453972464E-2</c:v>
                </c:pt>
                <c:pt idx="67" formatCode="General">
                  <c:v>-0.144979140854679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E-4953-B5E8-96A451C266C1}"/>
            </c:ext>
          </c:extLst>
        </c:ser>
        <c:ser>
          <c:idx val="3"/>
          <c:order val="3"/>
          <c:tx>
            <c:strRef>
              <c:f>US_raw_policy_innovations!$G$1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US_raw_policy_innovations!$G$193:$G$260</c:f>
              <c:numCache>
                <c:formatCode>0.00E+00</c:formatCode>
                <c:ptCount val="68"/>
                <c:pt idx="0">
                  <c:v>8.1748426656057399E-16</c:v>
                </c:pt>
                <c:pt idx="1">
                  <c:v>7.3360769818483197E-16</c:v>
                </c:pt>
                <c:pt idx="2">
                  <c:v>6.6408188698719603E-16</c:v>
                </c:pt>
                <c:pt idx="3">
                  <c:v>6.2939736669715201E-16</c:v>
                </c:pt>
                <c:pt idx="4" formatCode="General">
                  <c:v>6.6446688678691607E-2</c:v>
                </c:pt>
                <c:pt idx="5" formatCode="General">
                  <c:v>8.4010725515407295E-2</c:v>
                </c:pt>
                <c:pt idx="6" formatCode="General">
                  <c:v>7.49639364072551E-2</c:v>
                </c:pt>
                <c:pt idx="7" formatCode="General">
                  <c:v>1.66613748912918E-2</c:v>
                </c:pt>
                <c:pt idx="8" formatCode="General">
                  <c:v>6.8620732112767494E-2</c:v>
                </c:pt>
                <c:pt idx="9" formatCode="General">
                  <c:v>-1.2574910782524101E-3</c:v>
                </c:pt>
                <c:pt idx="10" formatCode="General">
                  <c:v>-7.6903172644569598E-2</c:v>
                </c:pt>
                <c:pt idx="11" formatCode="General">
                  <c:v>-7.5476132486622299E-2</c:v>
                </c:pt>
                <c:pt idx="12" formatCode="General">
                  <c:v>-3.7821741494918501E-2</c:v>
                </c:pt>
                <c:pt idx="13" formatCode="General">
                  <c:v>-1.2704166486582199E-3</c:v>
                </c:pt>
                <c:pt idx="14" formatCode="General">
                  <c:v>-5.1383202923433499E-2</c:v>
                </c:pt>
                <c:pt idx="15" formatCode="General">
                  <c:v>-8.6669983143083607E-2</c:v>
                </c:pt>
                <c:pt idx="16" formatCode="General">
                  <c:v>-6.1433168951018399E-2</c:v>
                </c:pt>
                <c:pt idx="17" formatCode="General">
                  <c:v>-3.9886136635791401E-2</c:v>
                </c:pt>
                <c:pt idx="18" formatCode="General">
                  <c:v>-4.58577811011497E-2</c:v>
                </c:pt>
                <c:pt idx="19" formatCode="General">
                  <c:v>-4.31690851107389E-2</c:v>
                </c:pt>
                <c:pt idx="20" formatCode="General">
                  <c:v>-6.6897621550781605E-2</c:v>
                </c:pt>
                <c:pt idx="21" formatCode="General">
                  <c:v>-5.28617402019095E-2</c:v>
                </c:pt>
                <c:pt idx="22" formatCode="General">
                  <c:v>-3.6424407210795803E-2</c:v>
                </c:pt>
                <c:pt idx="23" formatCode="General">
                  <c:v>-4.9506389645364197E-2</c:v>
                </c:pt>
                <c:pt idx="24" formatCode="General">
                  <c:v>-6.0990485282029001E-2</c:v>
                </c:pt>
                <c:pt idx="25" formatCode="General">
                  <c:v>-5.8664941478436101E-2</c:v>
                </c:pt>
                <c:pt idx="26" formatCode="General">
                  <c:v>-2.71887890504913E-2</c:v>
                </c:pt>
                <c:pt idx="27" formatCode="General">
                  <c:v>-1.2356363479308401E-2</c:v>
                </c:pt>
                <c:pt idx="28" formatCode="General">
                  <c:v>2.9298442688277901E-2</c:v>
                </c:pt>
                <c:pt idx="29" formatCode="General">
                  <c:v>-1.75013150936648E-3</c:v>
                </c:pt>
                <c:pt idx="30" formatCode="General">
                  <c:v>2.25281758383413E-2</c:v>
                </c:pt>
                <c:pt idx="31" formatCode="General">
                  <c:v>-5.6410752470620898E-2</c:v>
                </c:pt>
                <c:pt idx="32" formatCode="General">
                  <c:v>-1.23219206842403E-2</c:v>
                </c:pt>
                <c:pt idx="33" formatCode="General">
                  <c:v>-4.6763296551811703E-2</c:v>
                </c:pt>
                <c:pt idx="34" formatCode="General">
                  <c:v>-5.3943115810865198E-3</c:v>
                </c:pt>
                <c:pt idx="35" formatCode="General">
                  <c:v>1.6049814083933299E-3</c:v>
                </c:pt>
                <c:pt idx="36" formatCode="General">
                  <c:v>2.7960012135699201E-2</c:v>
                </c:pt>
                <c:pt idx="37" formatCode="General">
                  <c:v>3.7684026841234499E-3</c:v>
                </c:pt>
                <c:pt idx="38" formatCode="General">
                  <c:v>-1.6423128792487401E-2</c:v>
                </c:pt>
                <c:pt idx="39" formatCode="General">
                  <c:v>2.4075705209810901E-2</c:v>
                </c:pt>
                <c:pt idx="40" formatCode="General">
                  <c:v>1.44739402593824E-2</c:v>
                </c:pt>
                <c:pt idx="41" formatCode="General">
                  <c:v>1.8500714059418801E-2</c:v>
                </c:pt>
                <c:pt idx="42" formatCode="General">
                  <c:v>2.6895063621619301E-2</c:v>
                </c:pt>
                <c:pt idx="43" formatCode="General">
                  <c:v>1.0822891733753399E-2</c:v>
                </c:pt>
                <c:pt idx="44" formatCode="General">
                  <c:v>-5.7153670831744399E-2</c:v>
                </c:pt>
                <c:pt idx="45" formatCode="General">
                  <c:v>-0.11952198666729701</c:v>
                </c:pt>
                <c:pt idx="46" formatCode="General">
                  <c:v>3.4055728607639599E-2</c:v>
                </c:pt>
                <c:pt idx="47" formatCode="General">
                  <c:v>-0.140825206683444</c:v>
                </c:pt>
                <c:pt idx="48" formatCode="General">
                  <c:v>3.2622362430368798E-2</c:v>
                </c:pt>
                <c:pt idx="49" formatCode="General">
                  <c:v>-1.8741520126141401E-2</c:v>
                </c:pt>
                <c:pt idx="50" formatCode="General">
                  <c:v>-3.0048533239085899E-2</c:v>
                </c:pt>
                <c:pt idx="51" formatCode="General">
                  <c:v>-7.3469628993412001E-2</c:v>
                </c:pt>
                <c:pt idx="52" formatCode="General">
                  <c:v>-0.144364565808037</c:v>
                </c:pt>
                <c:pt idx="53" formatCode="General">
                  <c:v>-0.16184472435977601</c:v>
                </c:pt>
                <c:pt idx="54" formatCode="General">
                  <c:v>-0.175979607293997</c:v>
                </c:pt>
                <c:pt idx="55" formatCode="General">
                  <c:v>-0.13701235637272199</c:v>
                </c:pt>
                <c:pt idx="56" formatCode="General">
                  <c:v>-8.2071374352117393E-2</c:v>
                </c:pt>
                <c:pt idx="57" formatCode="General">
                  <c:v>9.1556538128140602E-2</c:v>
                </c:pt>
                <c:pt idx="58" formatCode="General">
                  <c:v>-0.11881145384357</c:v>
                </c:pt>
                <c:pt idx="59" formatCode="General">
                  <c:v>-5.20102673741763E-2</c:v>
                </c:pt>
                <c:pt idx="60" formatCode="General">
                  <c:v>-6.6161274648732699E-2</c:v>
                </c:pt>
                <c:pt idx="61" formatCode="General">
                  <c:v>-0.15208836962574501</c:v>
                </c:pt>
                <c:pt idx="62" formatCode="General">
                  <c:v>3.4701535749109703E-2</c:v>
                </c:pt>
                <c:pt idx="63" formatCode="General">
                  <c:v>5.6892622982297102E-2</c:v>
                </c:pt>
                <c:pt idx="64" formatCode="General">
                  <c:v>-0.167506605659758</c:v>
                </c:pt>
                <c:pt idx="65" formatCode="General">
                  <c:v>-0.103518521582044</c:v>
                </c:pt>
                <c:pt idx="66" formatCode="General">
                  <c:v>-1.42888099325859E-2</c:v>
                </c:pt>
                <c:pt idx="67" formatCode="General">
                  <c:v>-8.2641361766595395E-2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FE-4953-B5E8-96A451C266C1}"/>
            </c:ext>
          </c:extLst>
        </c:ser>
        <c:ser>
          <c:idx val="4"/>
          <c:order val="4"/>
          <c:tx>
            <c:strRef>
              <c:f>US_raw_policy_innovations!$H$1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US_raw_policy_innovations!$H$193:$H$260</c:f>
              <c:numCache>
                <c:formatCode>0.00E+00</c:formatCode>
                <c:ptCount val="68"/>
                <c:pt idx="0">
                  <c:v>2.8715554532377098E-16</c:v>
                </c:pt>
                <c:pt idx="1">
                  <c:v>2.7558222241507501E-16</c:v>
                </c:pt>
                <c:pt idx="2">
                  <c:v>2.3753909460511302E-16</c:v>
                </c:pt>
                <c:pt idx="3">
                  <c:v>2.2375202116194899E-16</c:v>
                </c:pt>
                <c:pt idx="4" formatCode="General">
                  <c:v>4.0642982058153101E-2</c:v>
                </c:pt>
                <c:pt idx="5" formatCode="General">
                  <c:v>2.47638465942196E-2</c:v>
                </c:pt>
                <c:pt idx="6" formatCode="General">
                  <c:v>8.2316372523833503E-2</c:v>
                </c:pt>
                <c:pt idx="7" formatCode="General">
                  <c:v>1.73189002622097E-2</c:v>
                </c:pt>
                <c:pt idx="8" formatCode="General">
                  <c:v>5.9924308113825098E-2</c:v>
                </c:pt>
                <c:pt idx="9" formatCode="General">
                  <c:v>2.24656917463147E-2</c:v>
                </c:pt>
                <c:pt idx="10" formatCode="General">
                  <c:v>-6.7961559345234901E-2</c:v>
                </c:pt>
                <c:pt idx="11" formatCode="General">
                  <c:v>-5.08884598434024E-2</c:v>
                </c:pt>
                <c:pt idx="12" formatCode="General">
                  <c:v>-3.6928503018466702E-2</c:v>
                </c:pt>
                <c:pt idx="13" formatCode="General">
                  <c:v>2.1848986749970399E-2</c:v>
                </c:pt>
                <c:pt idx="14" formatCode="General">
                  <c:v>-4.49437116496973E-2</c:v>
                </c:pt>
                <c:pt idx="15" formatCode="General">
                  <c:v>-7.7643679996333398E-2</c:v>
                </c:pt>
                <c:pt idx="16" formatCode="General">
                  <c:v>-5.5393839769330197E-2</c:v>
                </c:pt>
                <c:pt idx="17" formatCode="General">
                  <c:v>-5.7628059629017202E-2</c:v>
                </c:pt>
                <c:pt idx="18" formatCode="General">
                  <c:v>-4.3189198902595399E-2</c:v>
                </c:pt>
                <c:pt idx="19" formatCode="General">
                  <c:v>-4.6024327307580701E-2</c:v>
                </c:pt>
                <c:pt idx="20" formatCode="General">
                  <c:v>-6.0834425704302503E-2</c:v>
                </c:pt>
                <c:pt idx="21" formatCode="General">
                  <c:v>-4.8220810124519897E-2</c:v>
                </c:pt>
                <c:pt idx="22" formatCode="General">
                  <c:v>-7.1750396274691802E-3</c:v>
                </c:pt>
                <c:pt idx="23" formatCode="General">
                  <c:v>-2.0968470578806599E-2</c:v>
                </c:pt>
                <c:pt idx="24" formatCode="General">
                  <c:v>-2.7867191698836901E-2</c:v>
                </c:pt>
                <c:pt idx="25" formatCode="General">
                  <c:v>-2.5499054746717299E-2</c:v>
                </c:pt>
                <c:pt idx="26" formatCode="General">
                  <c:v>-1.7703638749249701E-2</c:v>
                </c:pt>
                <c:pt idx="27" formatCode="General">
                  <c:v>4.2025195044622397E-2</c:v>
                </c:pt>
                <c:pt idx="28" formatCode="General">
                  <c:v>-1.2783479332868499E-3</c:v>
                </c:pt>
                <c:pt idx="29" formatCode="General">
                  <c:v>1.0691031989382699E-2</c:v>
                </c:pt>
                <c:pt idx="30" formatCode="General">
                  <c:v>-3.3961805199488201E-2</c:v>
                </c:pt>
                <c:pt idx="31" formatCode="General">
                  <c:v>-1.2907599224071999E-2</c:v>
                </c:pt>
                <c:pt idx="32" formatCode="General">
                  <c:v>-2.7183337996282801E-2</c:v>
                </c:pt>
                <c:pt idx="33" formatCode="General">
                  <c:v>-1.99946545393444E-2</c:v>
                </c:pt>
                <c:pt idx="34" formatCode="General">
                  <c:v>2.0084502724584301E-3</c:v>
                </c:pt>
                <c:pt idx="35" formatCode="General">
                  <c:v>1.4846230842681701E-2</c:v>
                </c:pt>
                <c:pt idx="36" formatCode="General">
                  <c:v>9.5795397922183202E-3</c:v>
                </c:pt>
                <c:pt idx="37" formatCode="General">
                  <c:v>-7.7759615922353299E-3</c:v>
                </c:pt>
                <c:pt idx="38" formatCode="General">
                  <c:v>1.63894596964748E-2</c:v>
                </c:pt>
                <c:pt idx="39" formatCode="General">
                  <c:v>1.6081944160297401E-2</c:v>
                </c:pt>
                <c:pt idx="40" formatCode="General">
                  <c:v>1.31245076926228E-2</c:v>
                </c:pt>
                <c:pt idx="41" formatCode="General">
                  <c:v>2.1878438849604401E-2</c:v>
                </c:pt>
                <c:pt idx="42" formatCode="General">
                  <c:v>6.6649178621088203E-3</c:v>
                </c:pt>
                <c:pt idx="43" formatCode="General">
                  <c:v>-3.8594378467860298E-2</c:v>
                </c:pt>
                <c:pt idx="44" formatCode="General">
                  <c:v>-9.2092576511524596E-2</c:v>
                </c:pt>
                <c:pt idx="45" formatCode="General">
                  <c:v>2.5722864684374399E-2</c:v>
                </c:pt>
                <c:pt idx="46" formatCode="General">
                  <c:v>-0.10940202427505299</c:v>
                </c:pt>
                <c:pt idx="47" formatCode="General">
                  <c:v>1.51322518367246E-2</c:v>
                </c:pt>
                <c:pt idx="48" formatCode="General">
                  <c:v>-2.76471800374661E-2</c:v>
                </c:pt>
                <c:pt idx="49" formatCode="General">
                  <c:v>-2.99971913273227E-2</c:v>
                </c:pt>
                <c:pt idx="50" formatCode="General">
                  <c:v>-3.0370651473802801E-2</c:v>
                </c:pt>
                <c:pt idx="51" formatCode="General">
                  <c:v>-7.6989006359302795E-2</c:v>
                </c:pt>
                <c:pt idx="52" formatCode="General">
                  <c:v>-0.12325713530384499</c:v>
                </c:pt>
                <c:pt idx="53" formatCode="General">
                  <c:v>-0.13227466654872999</c:v>
                </c:pt>
                <c:pt idx="54" formatCode="General">
                  <c:v>-0.13369348612647999</c:v>
                </c:pt>
                <c:pt idx="55" formatCode="General">
                  <c:v>-0.13035157458077501</c:v>
                </c:pt>
                <c:pt idx="56" formatCode="General">
                  <c:v>-0.11729153350905</c:v>
                </c:pt>
                <c:pt idx="57" formatCode="General">
                  <c:v>-1.5599411841032E-2</c:v>
                </c:pt>
                <c:pt idx="58" formatCode="General">
                  <c:v>1.37200502270885E-2</c:v>
                </c:pt>
                <c:pt idx="59" formatCode="General">
                  <c:v>8.8759131137266106E-2</c:v>
                </c:pt>
                <c:pt idx="60" formatCode="General">
                  <c:v>6.7800715991206906E-2</c:v>
                </c:pt>
                <c:pt idx="61" formatCode="General">
                  <c:v>5.4202149756846098E-2</c:v>
                </c:pt>
                <c:pt idx="62" formatCode="General">
                  <c:v>8.1153791974057796E-2</c:v>
                </c:pt>
                <c:pt idx="63" formatCode="General">
                  <c:v>7.8181225890298994E-2</c:v>
                </c:pt>
                <c:pt idx="64" formatCode="General">
                  <c:v>4.55366201463955E-2</c:v>
                </c:pt>
                <c:pt idx="65" formatCode="General">
                  <c:v>6.1257193026620201E-2</c:v>
                </c:pt>
                <c:pt idx="66" formatCode="General">
                  <c:v>6.1679384442370699E-2</c:v>
                </c:pt>
                <c:pt idx="67" formatCode="General">
                  <c:v>2.0341043956252101E-2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FE-4953-B5E8-96A451C266C1}"/>
            </c:ext>
          </c:extLst>
        </c:ser>
        <c:ser>
          <c:idx val="5"/>
          <c:order val="5"/>
          <c:tx>
            <c:strRef>
              <c:f>US_raw_policy_innovations!$I$1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US_raw_policy_innovations!$I$193:$I$260</c:f>
              <c:numCache>
                <c:formatCode>0.00E+00</c:formatCode>
                <c:ptCount val="68"/>
                <c:pt idx="0">
                  <c:v>1.7657300617749999E-16</c:v>
                </c:pt>
                <c:pt idx="1">
                  <c:v>1.6214553638165701E-16</c:v>
                </c:pt>
                <c:pt idx="2">
                  <c:v>1.3960054383426E-16</c:v>
                </c:pt>
                <c:pt idx="3">
                  <c:v>1.06965878172938E-16</c:v>
                </c:pt>
                <c:pt idx="4" formatCode="General">
                  <c:v>2.9153821605798599E-2</c:v>
                </c:pt>
                <c:pt idx="5" formatCode="General">
                  <c:v>3.72170122309139E-2</c:v>
                </c:pt>
                <c:pt idx="6" formatCode="General">
                  <c:v>4.6823088187251199E-2</c:v>
                </c:pt>
                <c:pt idx="7" formatCode="General">
                  <c:v>4.7599513045876E-2</c:v>
                </c:pt>
                <c:pt idx="8" formatCode="General">
                  <c:v>6.1454640838895902E-2</c:v>
                </c:pt>
                <c:pt idx="9" formatCode="General">
                  <c:v>2.11303046598551E-2</c:v>
                </c:pt>
                <c:pt idx="10" formatCode="General">
                  <c:v>-5.6776457952376097E-2</c:v>
                </c:pt>
                <c:pt idx="11" formatCode="General">
                  <c:v>-4.98378475221175E-2</c:v>
                </c:pt>
                <c:pt idx="12" formatCode="General">
                  <c:v>-5.1086816705631002E-3</c:v>
                </c:pt>
                <c:pt idx="13" formatCode="General">
                  <c:v>-3.4057839190841598E-3</c:v>
                </c:pt>
                <c:pt idx="14" formatCode="General">
                  <c:v>-3.6719587097489001E-2</c:v>
                </c:pt>
                <c:pt idx="15" formatCode="General">
                  <c:v>-4.1659970358132299E-2</c:v>
                </c:pt>
                <c:pt idx="16" formatCode="General">
                  <c:v>-2.34017783322913E-2</c:v>
                </c:pt>
                <c:pt idx="17" formatCode="General">
                  <c:v>-1.98091401933417E-2</c:v>
                </c:pt>
                <c:pt idx="18" formatCode="General">
                  <c:v>-3.8381021033036498E-2</c:v>
                </c:pt>
                <c:pt idx="19" formatCode="General">
                  <c:v>-4.4507101228863102E-2</c:v>
                </c:pt>
                <c:pt idx="20" formatCode="General">
                  <c:v>-5.3511680097035899E-2</c:v>
                </c:pt>
                <c:pt idx="21" formatCode="General">
                  <c:v>-1.7561423915417401E-2</c:v>
                </c:pt>
                <c:pt idx="22" formatCode="General">
                  <c:v>-8.3545239756267903E-3</c:v>
                </c:pt>
                <c:pt idx="23" formatCode="General">
                  <c:v>-4.4194395335711498E-2</c:v>
                </c:pt>
                <c:pt idx="24" formatCode="General">
                  <c:v>-2.2928131138780901E-2</c:v>
                </c:pt>
                <c:pt idx="25" formatCode="General">
                  <c:v>4.7368975612240702E-3</c:v>
                </c:pt>
                <c:pt idx="26" formatCode="General">
                  <c:v>3.6300355258297799E-2</c:v>
                </c:pt>
                <c:pt idx="27" formatCode="General">
                  <c:v>1.26788394988551E-2</c:v>
                </c:pt>
                <c:pt idx="28" formatCode="General">
                  <c:v>2.1724363190927399E-3</c:v>
                </c:pt>
                <c:pt idx="29" formatCode="General">
                  <c:v>-2.5399747176224501E-2</c:v>
                </c:pt>
                <c:pt idx="30" formatCode="General">
                  <c:v>8.2277452846149903E-4</c:v>
                </c:pt>
                <c:pt idx="31" formatCode="General">
                  <c:v>-2.0995414113752699E-2</c:v>
                </c:pt>
                <c:pt idx="32" formatCode="General">
                  <c:v>-5.7067340550729E-3</c:v>
                </c:pt>
                <c:pt idx="33" formatCode="General">
                  <c:v>-1.3931655585881299E-2</c:v>
                </c:pt>
                <c:pt idx="34" formatCode="General">
                  <c:v>1.3212699280321099E-2</c:v>
                </c:pt>
                <c:pt idx="35" formatCode="General">
                  <c:v>1.32684179320053E-3</c:v>
                </c:pt>
                <c:pt idx="36" formatCode="General">
                  <c:v>1.1216263674016401E-3</c:v>
                </c:pt>
                <c:pt idx="37" formatCode="General">
                  <c:v>1.2601273540220099E-2</c:v>
                </c:pt>
                <c:pt idx="38" formatCode="General">
                  <c:v>7.43322087497327E-3</c:v>
                </c:pt>
                <c:pt idx="39" formatCode="General">
                  <c:v>1.21927044166569E-2</c:v>
                </c:pt>
                <c:pt idx="40" formatCode="General">
                  <c:v>1.19947424405003E-2</c:v>
                </c:pt>
                <c:pt idx="41" formatCode="General">
                  <c:v>6.1557778881104501E-3</c:v>
                </c:pt>
                <c:pt idx="42" formatCode="General">
                  <c:v>-2.5189531473973799E-2</c:v>
                </c:pt>
                <c:pt idx="43" formatCode="General">
                  <c:v>-5.2392991386701199E-2</c:v>
                </c:pt>
                <c:pt idx="44" formatCode="General">
                  <c:v>1.3006369546579801E-2</c:v>
                </c:pt>
                <c:pt idx="45" formatCode="General">
                  <c:v>-6.6905523028449695E-2</c:v>
                </c:pt>
                <c:pt idx="46" formatCode="General">
                  <c:v>7.8133368609604702E-3</c:v>
                </c:pt>
                <c:pt idx="47" formatCode="General">
                  <c:v>-2.3322272948598802E-2</c:v>
                </c:pt>
                <c:pt idx="48" formatCode="General">
                  <c:v>-2.7573539388254999E-2</c:v>
                </c:pt>
                <c:pt idx="49" formatCode="General">
                  <c:v>-9.6573457302684892E-3</c:v>
                </c:pt>
                <c:pt idx="50" formatCode="General">
                  <c:v>-3.4053932675048998E-2</c:v>
                </c:pt>
                <c:pt idx="51" formatCode="General">
                  <c:v>-6.7464232889359099E-2</c:v>
                </c:pt>
                <c:pt idx="52" formatCode="General">
                  <c:v>-8.5453442817074496E-2</c:v>
                </c:pt>
                <c:pt idx="53" formatCode="General">
                  <c:v>-6.3143081935901402E-2</c:v>
                </c:pt>
                <c:pt idx="54" formatCode="General">
                  <c:v>-1.253994183122E-2</c:v>
                </c:pt>
                <c:pt idx="55" formatCode="General">
                  <c:v>-1.7753682772773099E-2</c:v>
                </c:pt>
                <c:pt idx="56" formatCode="General">
                  <c:v>3.8585719734125098E-2</c:v>
                </c:pt>
                <c:pt idx="57" formatCode="General">
                  <c:v>0.20135062237778301</c:v>
                </c:pt>
                <c:pt idx="58" formatCode="General">
                  <c:v>-2.54151901919673E-3</c:v>
                </c:pt>
                <c:pt idx="59" formatCode="General">
                  <c:v>0.123195617190451</c:v>
                </c:pt>
                <c:pt idx="60" formatCode="General">
                  <c:v>-0.107343049369673</c:v>
                </c:pt>
                <c:pt idx="61" formatCode="General">
                  <c:v>-0.18788217821504799</c:v>
                </c:pt>
                <c:pt idx="62" formatCode="General">
                  <c:v>-0.182826692660292</c:v>
                </c:pt>
                <c:pt idx="63" formatCode="General">
                  <c:v>-0.13554479898010799</c:v>
                </c:pt>
                <c:pt idx="64" formatCode="General">
                  <c:v>-0.149346609405175</c:v>
                </c:pt>
                <c:pt idx="65" formatCode="General">
                  <c:v>-9.8931871569561E-2</c:v>
                </c:pt>
                <c:pt idx="66" formatCode="General">
                  <c:v>-8.6940357646633395E-2</c:v>
                </c:pt>
                <c:pt idx="67" formatCode="General">
                  <c:v>-5.4602218829049302E-2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FE-4953-B5E8-96A451C266C1}"/>
            </c:ext>
          </c:extLst>
        </c:ser>
        <c:ser>
          <c:idx val="6"/>
          <c:order val="6"/>
          <c:tx>
            <c:strRef>
              <c:f>US_raw_policy_innovations!$J$1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US_raw_policy_innovations!$V$193:$V$260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US_raw_policy_innovations!$J$193:$J$260</c:f>
              <c:numCache>
                <c:formatCode>0.00E+00</c:formatCode>
                <c:ptCount val="68"/>
                <c:pt idx="0">
                  <c:v>2.2136466095699801E-17</c:v>
                </c:pt>
                <c:pt idx="1">
                  <c:v>2.94640849528207E-17</c:v>
                </c:pt>
                <c:pt idx="2">
                  <c:v>-5.2539771060926E-18</c:v>
                </c:pt>
                <c:pt idx="3">
                  <c:v>1.44161853516903E-17</c:v>
                </c:pt>
                <c:pt idx="4" formatCode="General">
                  <c:v>2.43578017806198E-2</c:v>
                </c:pt>
                <c:pt idx="5" formatCode="General">
                  <c:v>4.97123183519965E-2</c:v>
                </c:pt>
                <c:pt idx="6" formatCode="General">
                  <c:v>7.1506635875720495E-2</c:v>
                </c:pt>
                <c:pt idx="7" formatCode="General">
                  <c:v>4.8332520400271903E-2</c:v>
                </c:pt>
                <c:pt idx="8" formatCode="General">
                  <c:v>6.2755973867180195E-2</c:v>
                </c:pt>
                <c:pt idx="9" formatCode="General">
                  <c:v>4.9621639371369798E-2</c:v>
                </c:pt>
                <c:pt idx="10" formatCode="General">
                  <c:v>-2.0015202163610499E-2</c:v>
                </c:pt>
                <c:pt idx="11" formatCode="General">
                  <c:v>-4.2506232719377403E-2</c:v>
                </c:pt>
                <c:pt idx="12" formatCode="General">
                  <c:v>-1.8667199088413401E-3</c:v>
                </c:pt>
                <c:pt idx="13" formatCode="General">
                  <c:v>2.9108849798766202E-2</c:v>
                </c:pt>
                <c:pt idx="14" formatCode="General">
                  <c:v>-3.1138000779887399E-3</c:v>
                </c:pt>
                <c:pt idx="15" formatCode="General">
                  <c:v>-5.9232200759106797E-2</c:v>
                </c:pt>
                <c:pt idx="16" formatCode="General">
                  <c:v>-4.5098907271263401E-2</c:v>
                </c:pt>
                <c:pt idx="17" formatCode="General">
                  <c:v>-4.0920814856520098E-2</c:v>
                </c:pt>
                <c:pt idx="18" formatCode="General">
                  <c:v>-7.8189648985313095E-3</c:v>
                </c:pt>
                <c:pt idx="19" formatCode="General">
                  <c:v>-4.0511354462519397E-2</c:v>
                </c:pt>
                <c:pt idx="20" formatCode="General">
                  <c:v>-2.0616140182957401E-2</c:v>
                </c:pt>
                <c:pt idx="21" formatCode="General">
                  <c:v>-4.0452281394330401E-2</c:v>
                </c:pt>
                <c:pt idx="22" formatCode="General">
                  <c:v>-5.0651668231405699E-3</c:v>
                </c:pt>
                <c:pt idx="23" formatCode="General">
                  <c:v>-9.5188389573564892E-3</c:v>
                </c:pt>
                <c:pt idx="24" formatCode="General">
                  <c:v>-1.5058389346868499E-2</c:v>
                </c:pt>
                <c:pt idx="25" formatCode="General">
                  <c:v>1.5876685534614299E-2</c:v>
                </c:pt>
                <c:pt idx="26" formatCode="General">
                  <c:v>7.7774302730304603E-3</c:v>
                </c:pt>
                <c:pt idx="27" formatCode="General">
                  <c:v>6.0974826562898302E-3</c:v>
                </c:pt>
                <c:pt idx="28" formatCode="General">
                  <c:v>-1.1473980821479299E-2</c:v>
                </c:pt>
                <c:pt idx="29" formatCode="General">
                  <c:v>-7.2829848370964704E-4</c:v>
                </c:pt>
                <c:pt idx="30" formatCode="General">
                  <c:v>-2.25349525005706E-3</c:v>
                </c:pt>
                <c:pt idx="31" formatCode="General">
                  <c:v>-4.4094648755639704E-3</c:v>
                </c:pt>
                <c:pt idx="32" formatCode="General">
                  <c:v>-1.0476492925612199E-3</c:v>
                </c:pt>
                <c:pt idx="33" formatCode="General">
                  <c:v>-4.1376739940607102E-3</c:v>
                </c:pt>
                <c:pt idx="34" formatCode="General">
                  <c:v>4.5772276955783004E-3</c:v>
                </c:pt>
                <c:pt idx="35" formatCode="General">
                  <c:v>-2.6276119778108299E-3</c:v>
                </c:pt>
                <c:pt idx="36" formatCode="General">
                  <c:v>7.2006444197208396E-3</c:v>
                </c:pt>
                <c:pt idx="37" formatCode="General">
                  <c:v>2.5190499654058501E-3</c:v>
                </c:pt>
                <c:pt idx="38" formatCode="General">
                  <c:v>2.7397210003379702E-3</c:v>
                </c:pt>
                <c:pt idx="39" formatCode="General">
                  <c:v>5.3446413210458199E-3</c:v>
                </c:pt>
                <c:pt idx="40" formatCode="General">
                  <c:v>1.14823938438099E-3</c:v>
                </c:pt>
                <c:pt idx="41" formatCode="General">
                  <c:v>-6.2212660581575799E-3</c:v>
                </c:pt>
                <c:pt idx="42" formatCode="General">
                  <c:v>-1.7105841317901001E-2</c:v>
                </c:pt>
                <c:pt idx="43" formatCode="General">
                  <c:v>5.9188849264105803E-3</c:v>
                </c:pt>
                <c:pt idx="44" formatCode="General">
                  <c:v>-2.22372700332777E-2</c:v>
                </c:pt>
                <c:pt idx="45" formatCode="General">
                  <c:v>2.4882159276089998E-3</c:v>
                </c:pt>
                <c:pt idx="46" formatCode="General">
                  <c:v>-7.0670135530774602E-3</c:v>
                </c:pt>
                <c:pt idx="47" formatCode="General">
                  <c:v>-1.1035128034740899E-2</c:v>
                </c:pt>
                <c:pt idx="48" formatCode="General">
                  <c:v>-6.6620728151188802E-3</c:v>
                </c:pt>
                <c:pt idx="49" formatCode="General">
                  <c:v>-3.7967625771515502E-2</c:v>
                </c:pt>
                <c:pt idx="50" formatCode="General">
                  <c:v>-3.9654425088119602E-2</c:v>
                </c:pt>
                <c:pt idx="51" formatCode="General">
                  <c:v>-6.0335270837004198E-2</c:v>
                </c:pt>
                <c:pt idx="52" formatCode="General">
                  <c:v>-7.8347656180156003E-2</c:v>
                </c:pt>
                <c:pt idx="53" formatCode="General">
                  <c:v>-8.5612376734168202E-2</c:v>
                </c:pt>
                <c:pt idx="54" formatCode="General">
                  <c:v>-8.8077110860479702E-2</c:v>
                </c:pt>
                <c:pt idx="55" formatCode="General">
                  <c:v>-9.3419699454436095E-2</c:v>
                </c:pt>
                <c:pt idx="56" formatCode="General">
                  <c:v>-7.9437869881940307E-2</c:v>
                </c:pt>
                <c:pt idx="57" formatCode="General">
                  <c:v>-4.1345156349017502E-3</c:v>
                </c:pt>
                <c:pt idx="58" formatCode="General">
                  <c:v>1.54899635186779E-2</c:v>
                </c:pt>
                <c:pt idx="59" formatCode="General">
                  <c:v>5.5469274325428503E-2</c:v>
                </c:pt>
                <c:pt idx="60" formatCode="General">
                  <c:v>6.1729404572782497E-2</c:v>
                </c:pt>
                <c:pt idx="61" formatCode="General">
                  <c:v>5.7144487833485101E-2</c:v>
                </c:pt>
                <c:pt idx="62" formatCode="General">
                  <c:v>9.1564881419306701E-2</c:v>
                </c:pt>
                <c:pt idx="63" formatCode="General">
                  <c:v>8.0429978608535499E-2</c:v>
                </c:pt>
                <c:pt idx="64" formatCode="General">
                  <c:v>3.65110068529595E-2</c:v>
                </c:pt>
                <c:pt idx="65" formatCode="General">
                  <c:v>4.99159419761755E-2</c:v>
                </c:pt>
                <c:pt idx="66" formatCode="General">
                  <c:v>5.64794719548933E-2</c:v>
                </c:pt>
                <c:pt idx="67" formatCode="General">
                  <c:v>1.6065755088222899E-2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FE-4953-B5E8-96A451C2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EA_raw_policy_innovations!$N$1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EA_raw_policy_innovations!$A$2:$A$211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EA_raw_policy_innovations!$N$2:$N$211</c:f>
              <c:numCache>
                <c:formatCode>0.00E+00</c:formatCode>
                <c:ptCount val="210"/>
                <c:pt idx="0">
                  <c:v>3.7149200574819894E-19</c:v>
                </c:pt>
                <c:pt idx="1">
                  <c:v>1.07487653757854E-17</c:v>
                </c:pt>
                <c:pt idx="2">
                  <c:v>-1.72403059112952E-17</c:v>
                </c:pt>
                <c:pt idx="3">
                  <c:v>-3.6165666115960904E-17</c:v>
                </c:pt>
                <c:pt idx="4">
                  <c:v>-6.013989695233881E-17</c:v>
                </c:pt>
                <c:pt idx="5">
                  <c:v>-1.16487380270825E-16</c:v>
                </c:pt>
                <c:pt idx="6">
                  <c:v>-1.3840736032268E-16</c:v>
                </c:pt>
                <c:pt idx="7">
                  <c:v>-1.4981976830693199E-16</c:v>
                </c:pt>
                <c:pt idx="8">
                  <c:v>-1.4759785818385801E-16</c:v>
                </c:pt>
                <c:pt idx="9">
                  <c:v>-1.6288472371195699E-16</c:v>
                </c:pt>
                <c:pt idx="10">
                  <c:v>-1.56288969232978E-16</c:v>
                </c:pt>
                <c:pt idx="11">
                  <c:v>-1.18029883174916E-16</c:v>
                </c:pt>
                <c:pt idx="12">
                  <c:v>-1.0435186317842601E-16</c:v>
                </c:pt>
                <c:pt idx="13">
                  <c:v>-1.02520565546002E-16</c:v>
                </c:pt>
                <c:pt idx="14">
                  <c:v>-1.16354272079522E-16</c:v>
                </c:pt>
                <c:pt idx="15">
                  <c:v>-5.6511609406161397E-17</c:v>
                </c:pt>
                <c:pt idx="16">
                  <c:v>-9.6512913394217712E-17</c:v>
                </c:pt>
                <c:pt idx="17">
                  <c:v>-1.09401077734402E-16</c:v>
                </c:pt>
                <c:pt idx="18">
                  <c:v>-1.08093294248267E-16</c:v>
                </c:pt>
                <c:pt idx="19">
                  <c:v>-7.0773755143204598E-17</c:v>
                </c:pt>
                <c:pt idx="20">
                  <c:v>-7.7945043766654799E-18</c:v>
                </c:pt>
                <c:pt idx="21">
                  <c:v>9.1722870027800994E-19</c:v>
                </c:pt>
                <c:pt idx="22">
                  <c:v>3.4634566427625603E-17</c:v>
                </c:pt>
                <c:pt idx="23">
                  <c:v>6.903060006204571E-17</c:v>
                </c:pt>
                <c:pt idx="24">
                  <c:v>1.2568027650234201E-16</c:v>
                </c:pt>
                <c:pt idx="25">
                  <c:v>9.591565895157009E-17</c:v>
                </c:pt>
                <c:pt idx="26">
                  <c:v>5.6365600811780305E-17</c:v>
                </c:pt>
                <c:pt idx="27">
                  <c:v>1.10201195946975E-16</c:v>
                </c:pt>
                <c:pt idx="28">
                  <c:v>8.1181053562850296E-17</c:v>
                </c:pt>
                <c:pt idx="29">
                  <c:v>6.6010135590668798E-17</c:v>
                </c:pt>
                <c:pt idx="30">
                  <c:v>6.4385917619042098E-17</c:v>
                </c:pt>
                <c:pt idx="31">
                  <c:v>8.0648457786255604E-17</c:v>
                </c:pt>
                <c:pt idx="32">
                  <c:v>1.4061518627805498E-16</c:v>
                </c:pt>
                <c:pt idx="33">
                  <c:v>1.3830015548884699E-16</c:v>
                </c:pt>
                <c:pt idx="34">
                  <c:v>1.53271193327752E-16</c:v>
                </c:pt>
                <c:pt idx="35">
                  <c:v>1.04384784864485E-16</c:v>
                </c:pt>
                <c:pt idx="36">
                  <c:v>2.4503448388571302E-17</c:v>
                </c:pt>
                <c:pt idx="37">
                  <c:v>6.94540767287372E-18</c:v>
                </c:pt>
                <c:pt idx="38">
                  <c:v>1.6833822946385401E-17</c:v>
                </c:pt>
                <c:pt idx="39">
                  <c:v>4.4339356844133199E-17</c:v>
                </c:pt>
                <c:pt idx="40">
                  <c:v>6.17743427400652E-17</c:v>
                </c:pt>
                <c:pt idx="41">
                  <c:v>6.9287459059248292E-17</c:v>
                </c:pt>
                <c:pt idx="42">
                  <c:v>8.9797591716056498E-17</c:v>
                </c:pt>
                <c:pt idx="43">
                  <c:v>7.9583803537004101E-17</c:v>
                </c:pt>
                <c:pt idx="44">
                  <c:v>2.22187526775086E-17</c:v>
                </c:pt>
                <c:pt idx="45">
                  <c:v>-8.9074923869708998E-18</c:v>
                </c:pt>
                <c:pt idx="46">
                  <c:v>9.9246409638570995E-20</c:v>
                </c:pt>
                <c:pt idx="47">
                  <c:v>-1.4702999722922498E-17</c:v>
                </c:pt>
                <c:pt idx="48">
                  <c:v>-9.4579322090869999E-18</c:v>
                </c:pt>
                <c:pt idx="49">
                  <c:v>-6.6369896278417001E-17</c:v>
                </c:pt>
                <c:pt idx="50">
                  <c:v>-1.0199431093330201E-16</c:v>
                </c:pt>
                <c:pt idx="51">
                  <c:v>-8.8918634114894697E-17</c:v>
                </c:pt>
                <c:pt idx="52">
                  <c:v>-1.2999607619241001E-16</c:v>
                </c:pt>
                <c:pt idx="53">
                  <c:v>-1.09657560729303E-16</c:v>
                </c:pt>
                <c:pt idx="54">
                  <c:v>-9.7078829030561801E-17</c:v>
                </c:pt>
                <c:pt idx="55">
                  <c:v>-5.9123698960237803E-17</c:v>
                </c:pt>
                <c:pt idx="56">
                  <c:v>-5.1936681280951702E-17</c:v>
                </c:pt>
                <c:pt idx="57">
                  <c:v>-7.8370418971146101E-17</c:v>
                </c:pt>
                <c:pt idx="58">
                  <c:v>-1.17999834105854E-16</c:v>
                </c:pt>
                <c:pt idx="59">
                  <c:v>-1.9620296824928602E-16</c:v>
                </c:pt>
                <c:pt idx="60">
                  <c:v>-2.9261799807404099E-16</c:v>
                </c:pt>
                <c:pt idx="61">
                  <c:v>-3.5788923175662504E-16</c:v>
                </c:pt>
                <c:pt idx="62">
                  <c:v>-3.1665518137402302E-16</c:v>
                </c:pt>
                <c:pt idx="63">
                  <c:v>-2.76267472902505E-16</c:v>
                </c:pt>
                <c:pt idx="64">
                  <c:v>-2.39252703131175E-16</c:v>
                </c:pt>
                <c:pt idx="65">
                  <c:v>-2.4367325951718599E-16</c:v>
                </c:pt>
                <c:pt idx="66">
                  <c:v>-2.0965094536027099E-16</c:v>
                </c:pt>
                <c:pt idx="67">
                  <c:v>-2.45623192516855E-16</c:v>
                </c:pt>
                <c:pt idx="68">
                  <c:v>-2.4365158529393099E-16</c:v>
                </c:pt>
                <c:pt idx="69">
                  <c:v>-2.3677118777344101E-16</c:v>
                </c:pt>
                <c:pt idx="70">
                  <c:v>-2.6362321497347598E-16</c:v>
                </c:pt>
                <c:pt idx="71">
                  <c:v>-2.7875589527273097E-16</c:v>
                </c:pt>
                <c:pt idx="72">
                  <c:v>-2.3009055603829296E-16</c:v>
                </c:pt>
                <c:pt idx="73">
                  <c:v>-1.9804354148354601E-16</c:v>
                </c:pt>
                <c:pt idx="74">
                  <c:v>-1.9713942088299599E-16</c:v>
                </c:pt>
                <c:pt idx="75">
                  <c:v>-1.6797468079498601E-16</c:v>
                </c:pt>
                <c:pt idx="76">
                  <c:v>-1.6725889123469002E-16</c:v>
                </c:pt>
                <c:pt idx="77">
                  <c:v>-1.76246232467904E-16</c:v>
                </c:pt>
                <c:pt idx="78">
                  <c:v>-1.81359791546537E-16</c:v>
                </c:pt>
                <c:pt idx="79">
                  <c:v>-1.4625866565630099E-16</c:v>
                </c:pt>
                <c:pt idx="80">
                  <c:v>-7.7274120471340995E-17</c:v>
                </c:pt>
                <c:pt idx="81">
                  <c:v>-8.7688259119245495E-17</c:v>
                </c:pt>
                <c:pt idx="82">
                  <c:v>-1.30681372269127E-17</c:v>
                </c:pt>
                <c:pt idx="83">
                  <c:v>4.3005612341552896E-17</c:v>
                </c:pt>
                <c:pt idx="84">
                  <c:v>2.4013687231767E-17</c:v>
                </c:pt>
                <c:pt idx="85">
                  <c:v>2.2630812796600997E-17</c:v>
                </c:pt>
                <c:pt idx="86">
                  <c:v>-5.4057515797429199E-19</c:v>
                </c:pt>
                <c:pt idx="87">
                  <c:v>-5.6293244660136492E-17</c:v>
                </c:pt>
                <c:pt idx="88">
                  <c:v>-1.1919031248272901E-16</c:v>
                </c:pt>
                <c:pt idx="89">
                  <c:v>-1.74914675153659E-16</c:v>
                </c:pt>
                <c:pt idx="90">
                  <c:v>-1.9611655440129401E-16</c:v>
                </c:pt>
                <c:pt idx="91">
                  <c:v>-1.62923130887581E-16</c:v>
                </c:pt>
                <c:pt idx="92">
                  <c:v>-1.51197292768402E-16</c:v>
                </c:pt>
                <c:pt idx="93">
                  <c:v>-8.5645655592982998E-17</c:v>
                </c:pt>
                <c:pt idx="94">
                  <c:v>-8.3708814539622193E-17</c:v>
                </c:pt>
                <c:pt idx="95">
                  <c:v>-6.9792910110955002E-17</c:v>
                </c:pt>
                <c:pt idx="96">
                  <c:v>-8.7624123671506396E-17</c:v>
                </c:pt>
                <c:pt idx="97">
                  <c:v>-1.2199578426761802E-16</c:v>
                </c:pt>
                <c:pt idx="98">
                  <c:v>-1.0984922712874699E-16</c:v>
                </c:pt>
                <c:pt idx="99">
                  <c:v>-1.2283603794666699E-16</c:v>
                </c:pt>
                <c:pt idx="100">
                  <c:v>-1.18207459294427E-16</c:v>
                </c:pt>
                <c:pt idx="101">
                  <c:v>-3.1697964343081602E-17</c:v>
                </c:pt>
                <c:pt idx="102">
                  <c:v>6.0929044234115394E-17</c:v>
                </c:pt>
                <c:pt idx="103">
                  <c:v>1.0975142375449599E-16</c:v>
                </c:pt>
                <c:pt idx="104">
                  <c:v>1.6027472096145699E-16</c:v>
                </c:pt>
                <c:pt idx="105">
                  <c:v>-2.7821181480979599E-17</c:v>
                </c:pt>
                <c:pt idx="106">
                  <c:v>-1.8783783166331601E-16</c:v>
                </c:pt>
                <c:pt idx="107">
                  <c:v>-1.5717503697219198E-16</c:v>
                </c:pt>
                <c:pt idx="108">
                  <c:v>-5.4118192808476801E-17</c:v>
                </c:pt>
                <c:pt idx="109">
                  <c:v>3.66072668979722E-17</c:v>
                </c:pt>
                <c:pt idx="110">
                  <c:v>1.2481288051228701E-16</c:v>
                </c:pt>
                <c:pt idx="111">
                  <c:v>1.8304381333246802E-16</c:v>
                </c:pt>
                <c:pt idx="112">
                  <c:v>6.8585778626666199E-17</c:v>
                </c:pt>
                <c:pt idx="113">
                  <c:v>-1.0054908700586499E-16</c:v>
                </c:pt>
                <c:pt idx="114">
                  <c:v>-3.9758229890069104E-16</c:v>
                </c:pt>
                <c:pt idx="115">
                  <c:v>-4.6891821797626201E-16</c:v>
                </c:pt>
                <c:pt idx="116">
                  <c:v>-4.8554972661699695E-16</c:v>
                </c:pt>
                <c:pt idx="117">
                  <c:v>-5.8294381370426398E-16</c:v>
                </c:pt>
                <c:pt idx="118">
                  <c:v>-7.3231937200204393E-16</c:v>
                </c:pt>
                <c:pt idx="119">
                  <c:v>-5.0182661522947602E-16</c:v>
                </c:pt>
                <c:pt idx="120">
                  <c:v>-3.01234483685331E-16</c:v>
                </c:pt>
                <c:pt idx="121">
                  <c:v>-3.18184613296785E-16</c:v>
                </c:pt>
                <c:pt idx="122">
                  <c:v>-2.6843193181494698E-16</c:v>
                </c:pt>
                <c:pt idx="123">
                  <c:v>5.9700147571796609E-17</c:v>
                </c:pt>
                <c:pt idx="124">
                  <c:v>3.2752605593823802E-16</c:v>
                </c:pt>
                <c:pt idx="125">
                  <c:v>4.1616755760495495E-16</c:v>
                </c:pt>
                <c:pt idx="126">
                  <c:v>4.7741072624403095E-16</c:v>
                </c:pt>
                <c:pt idx="127">
                  <c:v>4.1135103201726099E-16</c:v>
                </c:pt>
                <c:pt idx="128">
                  <c:v>2.9549035551063502E-16</c:v>
                </c:pt>
                <c:pt idx="129">
                  <c:v>2.0482524148077602E-16</c:v>
                </c:pt>
                <c:pt idx="130">
                  <c:v>2.05942388671215E-16</c:v>
                </c:pt>
                <c:pt idx="131">
                  <c:v>2.6246466722728302E-16</c:v>
                </c:pt>
                <c:pt idx="132">
                  <c:v>1.2744998400422301E-16</c:v>
                </c:pt>
                <c:pt idx="133">
                  <c:v>1.7554550371070699E-16</c:v>
                </c:pt>
                <c:pt idx="134">
                  <c:v>2.2507193403065701E-16</c:v>
                </c:pt>
                <c:pt idx="135">
                  <c:v>1.8731475289880201E-16</c:v>
                </c:pt>
                <c:pt idx="136">
                  <c:v>2.3212547893044499E-16</c:v>
                </c:pt>
                <c:pt idx="137">
                  <c:v>2.33770754138224E-16</c:v>
                </c:pt>
                <c:pt idx="138">
                  <c:v>2.78878593343209E-16</c:v>
                </c:pt>
                <c:pt idx="139">
                  <c:v>2.7814897720132501E-16</c:v>
                </c:pt>
                <c:pt idx="140">
                  <c:v>3.4145052644491102E-16</c:v>
                </c:pt>
                <c:pt idx="141">
                  <c:v>2.2813500121396504E-16</c:v>
                </c:pt>
                <c:pt idx="142">
                  <c:v>8.2326317280932694E-17</c:v>
                </c:pt>
                <c:pt idx="143">
                  <c:v>-1.46570608296403E-16</c:v>
                </c:pt>
                <c:pt idx="144">
                  <c:v>-1.4923192408629501E-16</c:v>
                </c:pt>
                <c:pt idx="145">
                  <c:v>-3.0337163129458601E-16</c:v>
                </c:pt>
                <c:pt idx="146">
                  <c:v>-6.2924705200712496E-3</c:v>
                </c:pt>
                <c:pt idx="147">
                  <c:v>5.58414303926424E-3</c:v>
                </c:pt>
                <c:pt idx="148">
                  <c:v>3.7662482321688799E-3</c:v>
                </c:pt>
                <c:pt idx="149">
                  <c:v>3.5338774104016102E-4</c:v>
                </c:pt>
                <c:pt idx="150">
                  <c:v>2.1625004930780502E-4</c:v>
                </c:pt>
                <c:pt idx="151">
                  <c:v>-3.0780742693446101E-3</c:v>
                </c:pt>
                <c:pt idx="152">
                  <c:v>-2.5684633579561799E-3</c:v>
                </c:pt>
                <c:pt idx="153">
                  <c:v>-3.62634158484811E-3</c:v>
                </c:pt>
                <c:pt idx="154">
                  <c:v>-3.6073327373363196E-3</c:v>
                </c:pt>
                <c:pt idx="155">
                  <c:v>-1.7073155001002601E-3</c:v>
                </c:pt>
                <c:pt idx="156">
                  <c:v>-2.8273128206056201E-3</c:v>
                </c:pt>
                <c:pt idx="157">
                  <c:v>-1.03225964966635E-2</c:v>
                </c:pt>
                <c:pt idx="158">
                  <c:v>-1.4285197616390698E-2</c:v>
                </c:pt>
                <c:pt idx="159">
                  <c:v>-2.4906281461304102E-3</c:v>
                </c:pt>
                <c:pt idx="160">
                  <c:v>-6.75815354815248E-4</c:v>
                </c:pt>
                <c:pt idx="161">
                  <c:v>3.16508951834337E-4</c:v>
                </c:pt>
                <c:pt idx="162">
                  <c:v>-3.4058528135477001E-4</c:v>
                </c:pt>
                <c:pt idx="163">
                  <c:v>1.07516793924588E-3</c:v>
                </c:pt>
                <c:pt idx="164">
                  <c:v>-1.02772822732889E-4</c:v>
                </c:pt>
                <c:pt idx="165">
                  <c:v>-2.8944540043666304E-4</c:v>
                </c:pt>
                <c:pt idx="166">
                  <c:v>2.7735766295823502E-4</c:v>
                </c:pt>
                <c:pt idx="167">
                  <c:v>3.0972878917172699E-4</c:v>
                </c:pt>
                <c:pt idx="168">
                  <c:v>1.8147684666897299E-3</c:v>
                </c:pt>
                <c:pt idx="169">
                  <c:v>1.7626296539229099E-3</c:v>
                </c:pt>
                <c:pt idx="170">
                  <c:v>4.3190070241970599E-3</c:v>
                </c:pt>
                <c:pt idx="171">
                  <c:v>3.7247883703693798E-3</c:v>
                </c:pt>
                <c:pt idx="172">
                  <c:v>-4.0770481515464799E-4</c:v>
                </c:pt>
                <c:pt idx="173">
                  <c:v>3.1266190300889298E-3</c:v>
                </c:pt>
                <c:pt idx="174">
                  <c:v>4.9631157570643103E-4</c:v>
                </c:pt>
                <c:pt idx="175">
                  <c:v>2.2992386932249699E-3</c:v>
                </c:pt>
                <c:pt idx="176">
                  <c:v>2.7049095928908698E-3</c:v>
                </c:pt>
                <c:pt idx="177">
                  <c:v>7.8937751789710396E-4</c:v>
                </c:pt>
                <c:pt idx="178">
                  <c:v>3.8705805529818901E-4</c:v>
                </c:pt>
                <c:pt idx="179">
                  <c:v>1.6215568577604798E-5</c:v>
                </c:pt>
                <c:pt idx="180">
                  <c:v>-7.9805442144560094E-4</c:v>
                </c:pt>
                <c:pt idx="181">
                  <c:v>1.73205498236496E-3</c:v>
                </c:pt>
                <c:pt idx="182">
                  <c:v>2.2921848527516299E-4</c:v>
                </c:pt>
                <c:pt idx="183">
                  <c:v>-2.54855706104349E-3</c:v>
                </c:pt>
                <c:pt idx="184">
                  <c:v>-2.2782253916245701E-3</c:v>
                </c:pt>
                <c:pt idx="185">
                  <c:v>-2.9218829869696698E-3</c:v>
                </c:pt>
                <c:pt idx="186">
                  <c:v>-2.41347177101364E-3</c:v>
                </c:pt>
                <c:pt idx="187">
                  <c:v>-5.7412894115646399E-4</c:v>
                </c:pt>
                <c:pt idx="188">
                  <c:v>-3.2999534364331401E-3</c:v>
                </c:pt>
                <c:pt idx="189">
                  <c:v>5.5944438790615802E-4</c:v>
                </c:pt>
                <c:pt idx="190">
                  <c:v>-1.9895497699789402E-3</c:v>
                </c:pt>
                <c:pt idx="191">
                  <c:v>1.6998586958282599E-3</c:v>
                </c:pt>
                <c:pt idx="192">
                  <c:v>3.8060780148908096E-3</c:v>
                </c:pt>
                <c:pt idx="193">
                  <c:v>6.1487794992014597E-3</c:v>
                </c:pt>
                <c:pt idx="194">
                  <c:v>9.4567898041968898E-3</c:v>
                </c:pt>
                <c:pt idx="195">
                  <c:v>6.5117668311579103E-3</c:v>
                </c:pt>
                <c:pt idx="196">
                  <c:v>-2.4867750547304798E-3</c:v>
                </c:pt>
                <c:pt idx="197">
                  <c:v>-3.3276084344473302E-3</c:v>
                </c:pt>
                <c:pt idx="198">
                  <c:v>-4.0294974451643894E-4</c:v>
                </c:pt>
                <c:pt idx="199">
                  <c:v>-2.8635933055124099E-3</c:v>
                </c:pt>
                <c:pt idx="200">
                  <c:v>1.4278272149815001E-3</c:v>
                </c:pt>
                <c:pt idx="201">
                  <c:v>4.0674004269464197E-3</c:v>
                </c:pt>
                <c:pt idx="202">
                  <c:v>4.3311666416656095E-3</c:v>
                </c:pt>
                <c:pt idx="203">
                  <c:v>4.1435394030272504E-3</c:v>
                </c:pt>
                <c:pt idx="204">
                  <c:v>2.9643422887094199E-4</c:v>
                </c:pt>
                <c:pt idx="205">
                  <c:v>8.4556108529052908E-4</c:v>
                </c:pt>
                <c:pt idx="206">
                  <c:v>7.1751511631156601E-4</c:v>
                </c:pt>
                <c:pt idx="207">
                  <c:v>-1.92670646632675E-3</c:v>
                </c:pt>
                <c:pt idx="208">
                  <c:v>-2.7110770959999399E-3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9F0-BA65-12F1F27D1D58}"/>
            </c:ext>
          </c:extLst>
        </c:ser>
        <c:ser>
          <c:idx val="1"/>
          <c:order val="1"/>
          <c:tx>
            <c:strRef>
              <c:f>EA_raw_policy_innovations!$O$1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EA_raw_policy_innovations!$A$2:$A$211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EA_raw_policy_innovations!$O$2:$O$211</c:f>
              <c:numCache>
                <c:formatCode>0.00E+00</c:formatCode>
                <c:ptCount val="210"/>
                <c:pt idx="0">
                  <c:v>-2.4097873438486502E-15</c:v>
                </c:pt>
                <c:pt idx="1">
                  <c:v>-2.2114482834630402E-15</c:v>
                </c:pt>
                <c:pt idx="2">
                  <c:v>-2.7881125960746299E-15</c:v>
                </c:pt>
                <c:pt idx="3">
                  <c:v>-2.7979513828236698E-15</c:v>
                </c:pt>
                <c:pt idx="4">
                  <c:v>-3.00790825175393E-15</c:v>
                </c:pt>
                <c:pt idx="5">
                  <c:v>-3.3597909610713598E-15</c:v>
                </c:pt>
                <c:pt idx="6">
                  <c:v>-3.4392079744386798E-15</c:v>
                </c:pt>
                <c:pt idx="7">
                  <c:v>-3.3884135958035198E-15</c:v>
                </c:pt>
                <c:pt idx="8">
                  <c:v>-3.2938203779411999E-15</c:v>
                </c:pt>
                <c:pt idx="9">
                  <c:v>-3.4864397245467201E-15</c:v>
                </c:pt>
                <c:pt idx="10">
                  <c:v>-3.1607289130464098E-15</c:v>
                </c:pt>
                <c:pt idx="11">
                  <c:v>-2.9547281230228599E-15</c:v>
                </c:pt>
                <c:pt idx="12">
                  <c:v>-2.9486695559653902E-15</c:v>
                </c:pt>
                <c:pt idx="13">
                  <c:v>-3.1389687436043098E-15</c:v>
                </c:pt>
                <c:pt idx="14">
                  <c:v>-3.0355645513433102E-15</c:v>
                </c:pt>
                <c:pt idx="15">
                  <c:v>-3.0915305092184801E-15</c:v>
                </c:pt>
                <c:pt idx="16">
                  <c:v>-3.36102778403823E-15</c:v>
                </c:pt>
                <c:pt idx="17">
                  <c:v>-3.4018928481449498E-15</c:v>
                </c:pt>
                <c:pt idx="18">
                  <c:v>-3.4978569398441299E-15</c:v>
                </c:pt>
                <c:pt idx="19">
                  <c:v>-3.14238595280178E-15</c:v>
                </c:pt>
                <c:pt idx="20">
                  <c:v>-2.9299208053411902E-15</c:v>
                </c:pt>
                <c:pt idx="21">
                  <c:v>-2.9371301274410702E-15</c:v>
                </c:pt>
                <c:pt idx="22">
                  <c:v>-3.0254889161445101E-15</c:v>
                </c:pt>
                <c:pt idx="23">
                  <c:v>-2.5050520494941299E-15</c:v>
                </c:pt>
                <c:pt idx="24">
                  <c:v>-2.6148994619956E-15</c:v>
                </c:pt>
                <c:pt idx="25">
                  <c:v>-3.1186575172126098E-15</c:v>
                </c:pt>
                <c:pt idx="26">
                  <c:v>-3.2277769079197201E-15</c:v>
                </c:pt>
                <c:pt idx="27">
                  <c:v>-2.86128275824151E-15</c:v>
                </c:pt>
                <c:pt idx="28">
                  <c:v>-3.49100772931186E-15</c:v>
                </c:pt>
                <c:pt idx="29">
                  <c:v>-3.3004013359449298E-15</c:v>
                </c:pt>
                <c:pt idx="30">
                  <c:v>-3.4917551531750901E-15</c:v>
                </c:pt>
                <c:pt idx="31">
                  <c:v>-3.3098152879697299E-15</c:v>
                </c:pt>
                <c:pt idx="32">
                  <c:v>-3.19255019106196E-15</c:v>
                </c:pt>
                <c:pt idx="33">
                  <c:v>-2.7837082544168302E-15</c:v>
                </c:pt>
                <c:pt idx="34">
                  <c:v>-3.2708426390768202E-15</c:v>
                </c:pt>
                <c:pt idx="35">
                  <c:v>-3.35547026397984E-15</c:v>
                </c:pt>
                <c:pt idx="36">
                  <c:v>-3.8595348703685098E-15</c:v>
                </c:pt>
                <c:pt idx="37">
                  <c:v>-4.1272208365399597E-15</c:v>
                </c:pt>
                <c:pt idx="38">
                  <c:v>-3.7217874906742896E-15</c:v>
                </c:pt>
                <c:pt idx="39">
                  <c:v>-3.6442952790665998E-15</c:v>
                </c:pt>
                <c:pt idx="40">
                  <c:v>-3.5311664320470901E-15</c:v>
                </c:pt>
                <c:pt idx="41">
                  <c:v>-3.3966136638676599E-15</c:v>
                </c:pt>
                <c:pt idx="42">
                  <c:v>-3.4911528422386001E-15</c:v>
                </c:pt>
                <c:pt idx="43">
                  <c:v>-3.7505217612975497E-15</c:v>
                </c:pt>
                <c:pt idx="44">
                  <c:v>-3.8872055766707099E-15</c:v>
                </c:pt>
                <c:pt idx="45">
                  <c:v>-4.1052524859623201E-15</c:v>
                </c:pt>
                <c:pt idx="46">
                  <c:v>-4.0716110113637399E-15</c:v>
                </c:pt>
                <c:pt idx="47">
                  <c:v>-4.1886029871060501E-15</c:v>
                </c:pt>
                <c:pt idx="48">
                  <c:v>-3.9765439018350496E-15</c:v>
                </c:pt>
                <c:pt idx="49">
                  <c:v>-4.4525834619204799E-15</c:v>
                </c:pt>
                <c:pt idx="50">
                  <c:v>-4.4847248031444697E-15</c:v>
                </c:pt>
                <c:pt idx="51">
                  <c:v>-4.4763109233667299E-15</c:v>
                </c:pt>
                <c:pt idx="52">
                  <c:v>-4.4761874589358404E-15</c:v>
                </c:pt>
                <c:pt idx="53">
                  <c:v>-4.5599654877784997E-15</c:v>
                </c:pt>
                <c:pt idx="54">
                  <c:v>-4.0323991256021201E-15</c:v>
                </c:pt>
                <c:pt idx="55">
                  <c:v>-3.9108307813775803E-15</c:v>
                </c:pt>
                <c:pt idx="56">
                  <c:v>-4.11212062119538E-15</c:v>
                </c:pt>
                <c:pt idx="57">
                  <c:v>-4.0647165420637399E-15</c:v>
                </c:pt>
                <c:pt idx="58">
                  <c:v>-4.4337170210445397E-15</c:v>
                </c:pt>
                <c:pt idx="59">
                  <c:v>-4.79855508801345E-15</c:v>
                </c:pt>
                <c:pt idx="60">
                  <c:v>-5.5500206598378103E-15</c:v>
                </c:pt>
                <c:pt idx="61">
                  <c:v>-5.3208338969684101E-15</c:v>
                </c:pt>
                <c:pt idx="62">
                  <c:v>-4.9502796278019603E-15</c:v>
                </c:pt>
                <c:pt idx="63">
                  <c:v>-4.3623839483400203E-15</c:v>
                </c:pt>
                <c:pt idx="64">
                  <c:v>-4.32250382201384E-15</c:v>
                </c:pt>
                <c:pt idx="65">
                  <c:v>-4.05697767884822E-15</c:v>
                </c:pt>
                <c:pt idx="66">
                  <c:v>-4.02674392170131E-15</c:v>
                </c:pt>
                <c:pt idx="67">
                  <c:v>-4.2608423344661703E-15</c:v>
                </c:pt>
                <c:pt idx="68">
                  <c:v>-4.0598347248653599E-15</c:v>
                </c:pt>
                <c:pt idx="69">
                  <c:v>-3.9672358620368003E-15</c:v>
                </c:pt>
                <c:pt idx="70">
                  <c:v>-4.1158387626640303E-15</c:v>
                </c:pt>
                <c:pt idx="71">
                  <c:v>-4.0990203534940299E-15</c:v>
                </c:pt>
                <c:pt idx="72">
                  <c:v>-3.5215088502478101E-15</c:v>
                </c:pt>
                <c:pt idx="73">
                  <c:v>-3.5126093987644701E-15</c:v>
                </c:pt>
                <c:pt idx="74">
                  <c:v>-3.5740840112041101E-15</c:v>
                </c:pt>
                <c:pt idx="75">
                  <c:v>-3.3329098086460701E-15</c:v>
                </c:pt>
                <c:pt idx="76">
                  <c:v>-3.4472990763702802E-15</c:v>
                </c:pt>
                <c:pt idx="77">
                  <c:v>-3.72216240478089E-15</c:v>
                </c:pt>
                <c:pt idx="78">
                  <c:v>-3.64358639644264E-15</c:v>
                </c:pt>
                <c:pt idx="79">
                  <c:v>-3.3221481932620898E-15</c:v>
                </c:pt>
                <c:pt idx="80">
                  <c:v>-3.0902921304128701E-15</c:v>
                </c:pt>
                <c:pt idx="81">
                  <c:v>-3.1774838442876998E-15</c:v>
                </c:pt>
                <c:pt idx="82">
                  <c:v>-2.88020115742201E-15</c:v>
                </c:pt>
                <c:pt idx="83">
                  <c:v>-2.8560659854118499E-15</c:v>
                </c:pt>
                <c:pt idx="84">
                  <c:v>-3.1344848746887201E-15</c:v>
                </c:pt>
                <c:pt idx="85">
                  <c:v>-3.45157051492103E-15</c:v>
                </c:pt>
                <c:pt idx="86">
                  <c:v>-3.6687419205428004E-15</c:v>
                </c:pt>
                <c:pt idx="87">
                  <c:v>-4.0552419716716803E-15</c:v>
                </c:pt>
                <c:pt idx="88">
                  <c:v>-4.5821850765795501E-15</c:v>
                </c:pt>
                <c:pt idx="89">
                  <c:v>-4.6561263613005098E-15</c:v>
                </c:pt>
                <c:pt idx="90">
                  <c:v>-4.6530239601595598E-15</c:v>
                </c:pt>
                <c:pt idx="91">
                  <c:v>-4.4161860383948499E-15</c:v>
                </c:pt>
                <c:pt idx="92">
                  <c:v>-4.1900691741837199E-15</c:v>
                </c:pt>
                <c:pt idx="93">
                  <c:v>-3.7936300359541699E-15</c:v>
                </c:pt>
                <c:pt idx="94">
                  <c:v>-4.0497136052527197E-15</c:v>
                </c:pt>
                <c:pt idx="95">
                  <c:v>-3.8268992177052203E-15</c:v>
                </c:pt>
                <c:pt idx="96">
                  <c:v>-4.3705016149867101E-15</c:v>
                </c:pt>
                <c:pt idx="97">
                  <c:v>-4.2986160568949996E-15</c:v>
                </c:pt>
                <c:pt idx="98">
                  <c:v>-4.3164025725524399E-15</c:v>
                </c:pt>
                <c:pt idx="99">
                  <c:v>-4.2451330721294896E-15</c:v>
                </c:pt>
                <c:pt idx="100">
                  <c:v>-4.4192403586545799E-15</c:v>
                </c:pt>
                <c:pt idx="101">
                  <c:v>-3.5502748288139199E-15</c:v>
                </c:pt>
                <c:pt idx="102">
                  <c:v>-3.3169313805437198E-15</c:v>
                </c:pt>
                <c:pt idx="103">
                  <c:v>-3.2130366668090802E-15</c:v>
                </c:pt>
                <c:pt idx="104">
                  <c:v>-3.1820017720620802E-15</c:v>
                </c:pt>
                <c:pt idx="105">
                  <c:v>-4.4825201220022797E-15</c:v>
                </c:pt>
                <c:pt idx="106">
                  <c:v>-5.5937187686102203E-15</c:v>
                </c:pt>
                <c:pt idx="107">
                  <c:v>-4.7472864000037902E-15</c:v>
                </c:pt>
                <c:pt idx="108">
                  <c:v>-4.1490630779880401E-15</c:v>
                </c:pt>
                <c:pt idx="109">
                  <c:v>-3.4485049524981101E-15</c:v>
                </c:pt>
                <c:pt idx="110">
                  <c:v>-2.8995312165876699E-15</c:v>
                </c:pt>
                <c:pt idx="111">
                  <c:v>-3.1681942393151598E-15</c:v>
                </c:pt>
                <c:pt idx="112">
                  <c:v>-4.1100782513750802E-15</c:v>
                </c:pt>
                <c:pt idx="113">
                  <c:v>-4.8719147398861499E-15</c:v>
                </c:pt>
                <c:pt idx="114">
                  <c:v>-6.9397002170573203E-15</c:v>
                </c:pt>
                <c:pt idx="115">
                  <c:v>-6.4289876687322997E-15</c:v>
                </c:pt>
                <c:pt idx="116">
                  <c:v>-6.0951714664903702E-15</c:v>
                </c:pt>
                <c:pt idx="117">
                  <c:v>-6.6236218828279596E-15</c:v>
                </c:pt>
                <c:pt idx="118">
                  <c:v>-7.0127348448921601E-15</c:v>
                </c:pt>
                <c:pt idx="119">
                  <c:v>-4.9722502761491E-15</c:v>
                </c:pt>
                <c:pt idx="120">
                  <c:v>-4.0352815724531697E-15</c:v>
                </c:pt>
                <c:pt idx="121">
                  <c:v>-4.3736056233871696E-15</c:v>
                </c:pt>
                <c:pt idx="122">
                  <c:v>-4.0296820244415497E-15</c:v>
                </c:pt>
                <c:pt idx="123">
                  <c:v>-2.1042473422464001E-15</c:v>
                </c:pt>
                <c:pt idx="124">
                  <c:v>-1.2266320344540199E-15</c:v>
                </c:pt>
                <c:pt idx="125">
                  <c:v>-1.07244187557808E-15</c:v>
                </c:pt>
                <c:pt idx="126">
                  <c:v>-1.41265046740838E-15</c:v>
                </c:pt>
                <c:pt idx="127">
                  <c:v>-2.51057565020528E-15</c:v>
                </c:pt>
                <c:pt idx="128">
                  <c:v>-3.4633015139127101E-15</c:v>
                </c:pt>
                <c:pt idx="129">
                  <c:v>-3.9494337713048596E-15</c:v>
                </c:pt>
                <c:pt idx="130">
                  <c:v>-3.6548681249908702E-15</c:v>
                </c:pt>
                <c:pt idx="131">
                  <c:v>-3.4351339828450599E-15</c:v>
                </c:pt>
                <c:pt idx="132">
                  <c:v>-4.5770686604610398E-15</c:v>
                </c:pt>
                <c:pt idx="133">
                  <c:v>-3.7631184466738498E-15</c:v>
                </c:pt>
                <c:pt idx="134">
                  <c:v>-3.8114998769817201E-15</c:v>
                </c:pt>
                <c:pt idx="135">
                  <c:v>-4.0143375006243599E-15</c:v>
                </c:pt>
                <c:pt idx="136">
                  <c:v>-3.7008016695310397E-15</c:v>
                </c:pt>
                <c:pt idx="137">
                  <c:v>-3.5670960324053701E-15</c:v>
                </c:pt>
                <c:pt idx="138">
                  <c:v>-3.6528126162892399E-15</c:v>
                </c:pt>
                <c:pt idx="139">
                  <c:v>-3.54390718671859E-15</c:v>
                </c:pt>
                <c:pt idx="140">
                  <c:v>-3.0439715861635901E-15</c:v>
                </c:pt>
                <c:pt idx="141">
                  <c:v>-4.2738873531425901E-15</c:v>
                </c:pt>
                <c:pt idx="142">
                  <c:v>-4.9056363419289499E-15</c:v>
                </c:pt>
                <c:pt idx="143">
                  <c:v>-6.2442519622946497E-15</c:v>
                </c:pt>
                <c:pt idx="144">
                  <c:v>-5.3909185232871399E-15</c:v>
                </c:pt>
                <c:pt idx="145">
                  <c:v>-6.5421696403603702E-15</c:v>
                </c:pt>
                <c:pt idx="146">
                  <c:v>1.08248113065792E-2</c:v>
                </c:pt>
                <c:pt idx="147">
                  <c:v>6.6290195054513196E-2</c:v>
                </c:pt>
                <c:pt idx="148">
                  <c:v>2.4496482847909101E-2</c:v>
                </c:pt>
                <c:pt idx="149">
                  <c:v>1.13376681525137E-2</c:v>
                </c:pt>
                <c:pt idx="150">
                  <c:v>1.49904066896594E-2</c:v>
                </c:pt>
                <c:pt idx="151">
                  <c:v>1.16909791261651E-2</c:v>
                </c:pt>
                <c:pt idx="152">
                  <c:v>-1.53303315651895E-3</c:v>
                </c:pt>
                <c:pt idx="153">
                  <c:v>1.12410369790913E-2</c:v>
                </c:pt>
                <c:pt idx="154">
                  <c:v>2.4090015843093698E-2</c:v>
                </c:pt>
                <c:pt idx="155">
                  <c:v>3.7003135417451601E-2</c:v>
                </c:pt>
                <c:pt idx="156">
                  <c:v>5.56273320693743E-2</c:v>
                </c:pt>
                <c:pt idx="157">
                  <c:v>3.5548901652231603E-2</c:v>
                </c:pt>
                <c:pt idx="158">
                  <c:v>3.3250628529609402E-2</c:v>
                </c:pt>
                <c:pt idx="159">
                  <c:v>1.07107122758658E-2</c:v>
                </c:pt>
                <c:pt idx="160">
                  <c:v>-2.7147848252600799E-3</c:v>
                </c:pt>
                <c:pt idx="161">
                  <c:v>-4.1988574005580297E-3</c:v>
                </c:pt>
                <c:pt idx="162">
                  <c:v>9.4315756418121999E-4</c:v>
                </c:pt>
                <c:pt idx="163">
                  <c:v>1.4922802208688199E-2</c:v>
                </c:pt>
                <c:pt idx="164">
                  <c:v>2.1697724939497899E-3</c:v>
                </c:pt>
                <c:pt idx="165">
                  <c:v>2.1878837515110498E-3</c:v>
                </c:pt>
                <c:pt idx="166">
                  <c:v>1.08651050927386E-2</c:v>
                </c:pt>
                <c:pt idx="167">
                  <c:v>2.2782337640927401E-2</c:v>
                </c:pt>
                <c:pt idx="168">
                  <c:v>3.74405707678796E-2</c:v>
                </c:pt>
                <c:pt idx="169">
                  <c:v>1.6756378399511301E-2</c:v>
                </c:pt>
                <c:pt idx="170">
                  <c:v>2.60469622004143E-2</c:v>
                </c:pt>
                <c:pt idx="171">
                  <c:v>3.1623425723236502E-2</c:v>
                </c:pt>
                <c:pt idx="172">
                  <c:v>1.42391802709736E-2</c:v>
                </c:pt>
                <c:pt idx="173">
                  <c:v>3.2510205425828997E-2</c:v>
                </c:pt>
                <c:pt idx="174">
                  <c:v>7.4477155090279402E-3</c:v>
                </c:pt>
                <c:pt idx="175">
                  <c:v>1.0558669256352999E-2</c:v>
                </c:pt>
                <c:pt idx="176">
                  <c:v>4.6783301781770899E-3</c:v>
                </c:pt>
                <c:pt idx="177">
                  <c:v>-5.8038415842859396E-3</c:v>
                </c:pt>
                <c:pt idx="178">
                  <c:v>-4.49611157435753E-3</c:v>
                </c:pt>
                <c:pt idx="179">
                  <c:v>-7.7175210605255002E-3</c:v>
                </c:pt>
                <c:pt idx="180">
                  <c:v>-1.0360795694355201E-2</c:v>
                </c:pt>
                <c:pt idx="181">
                  <c:v>9.2493717523609402E-3</c:v>
                </c:pt>
                <c:pt idx="182">
                  <c:v>-5.3041038976974399E-3</c:v>
                </c:pt>
                <c:pt idx="183">
                  <c:v>-2.1147936579196999E-2</c:v>
                </c:pt>
                <c:pt idx="184">
                  <c:v>-1.7562675336122002E-2</c:v>
                </c:pt>
                <c:pt idx="185">
                  <c:v>-2.46759760614245E-2</c:v>
                </c:pt>
                <c:pt idx="186">
                  <c:v>-2.6779825459803001E-2</c:v>
                </c:pt>
                <c:pt idx="187">
                  <c:v>-1.2911733970758101E-2</c:v>
                </c:pt>
                <c:pt idx="188">
                  <c:v>-3.0780435866294899E-2</c:v>
                </c:pt>
                <c:pt idx="189">
                  <c:v>-1.10649190174971E-2</c:v>
                </c:pt>
                <c:pt idx="190">
                  <c:v>-1.6101691485530999E-2</c:v>
                </c:pt>
                <c:pt idx="191">
                  <c:v>3.0904085855693701E-3</c:v>
                </c:pt>
                <c:pt idx="192">
                  <c:v>1.8200530507933299E-2</c:v>
                </c:pt>
                <c:pt idx="193">
                  <c:v>2.62663415301655E-2</c:v>
                </c:pt>
                <c:pt idx="194">
                  <c:v>2.8067507495561299E-2</c:v>
                </c:pt>
                <c:pt idx="195">
                  <c:v>1.40551037593183E-2</c:v>
                </c:pt>
                <c:pt idx="196">
                  <c:v>-4.1761827369391803E-2</c:v>
                </c:pt>
                <c:pt idx="197">
                  <c:v>-4.8285690684055797E-2</c:v>
                </c:pt>
                <c:pt idx="198">
                  <c:v>-3.8201320750806601E-2</c:v>
                </c:pt>
                <c:pt idx="199">
                  <c:v>-1.5232096510049699E-2</c:v>
                </c:pt>
                <c:pt idx="200">
                  <c:v>2.4446597109481698E-2</c:v>
                </c:pt>
                <c:pt idx="201">
                  <c:v>2.36828339978538E-2</c:v>
                </c:pt>
                <c:pt idx="202">
                  <c:v>5.2307671556407503E-2</c:v>
                </c:pt>
                <c:pt idx="203">
                  <c:v>4.3886303609311497E-3</c:v>
                </c:pt>
                <c:pt idx="204">
                  <c:v>4.9317176166744203E-3</c:v>
                </c:pt>
                <c:pt idx="205">
                  <c:v>-5.7305121648797896E-3</c:v>
                </c:pt>
                <c:pt idx="206">
                  <c:v>-4.2408401272856699E-3</c:v>
                </c:pt>
                <c:pt idx="207">
                  <c:v>-3.5676220759558702E-2</c:v>
                </c:pt>
                <c:pt idx="208">
                  <c:v>-1.8482684204911601E-2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C-49F0-BA65-12F1F27D1D58}"/>
            </c:ext>
          </c:extLst>
        </c:ser>
        <c:ser>
          <c:idx val="2"/>
          <c:order val="2"/>
          <c:tx>
            <c:strRef>
              <c:f>EA_raw_policy_innovations!$P$1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EA_raw_policy_innovations!$A$2:$A$211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EA_raw_policy_innovations!$P$2:$P$211</c:f>
              <c:numCache>
                <c:formatCode>0.00E+00</c:formatCode>
                <c:ptCount val="210"/>
                <c:pt idx="0">
                  <c:v>-2.1346650809060499E-15</c:v>
                </c:pt>
                <c:pt idx="1">
                  <c:v>-2.2931418302717299E-15</c:v>
                </c:pt>
                <c:pt idx="2">
                  <c:v>-2.7370623107252301E-15</c:v>
                </c:pt>
                <c:pt idx="3">
                  <c:v>-2.7836170214081899E-15</c:v>
                </c:pt>
                <c:pt idx="4">
                  <c:v>-2.9069039158094798E-15</c:v>
                </c:pt>
                <c:pt idx="5">
                  <c:v>-3.2342145797829202E-15</c:v>
                </c:pt>
                <c:pt idx="6">
                  <c:v>-3.2094054928007901E-15</c:v>
                </c:pt>
                <c:pt idx="7">
                  <c:v>-3.1121354804572298E-15</c:v>
                </c:pt>
                <c:pt idx="8">
                  <c:v>-3.1240666040500301E-15</c:v>
                </c:pt>
                <c:pt idx="9">
                  <c:v>-3.1682249541241001E-15</c:v>
                </c:pt>
                <c:pt idx="10">
                  <c:v>-2.8228885569945901E-15</c:v>
                </c:pt>
                <c:pt idx="11">
                  <c:v>-2.5299028073605099E-15</c:v>
                </c:pt>
                <c:pt idx="12">
                  <c:v>-2.6727246921616699E-15</c:v>
                </c:pt>
                <c:pt idx="13">
                  <c:v>-2.5488605541248102E-15</c:v>
                </c:pt>
                <c:pt idx="14">
                  <c:v>-2.92210064611332E-15</c:v>
                </c:pt>
                <c:pt idx="15">
                  <c:v>-2.8033254002096802E-15</c:v>
                </c:pt>
                <c:pt idx="16">
                  <c:v>-3.0206270751295701E-15</c:v>
                </c:pt>
                <c:pt idx="17">
                  <c:v>-3.0502087492044899E-15</c:v>
                </c:pt>
                <c:pt idx="18">
                  <c:v>-3.1041362144761099E-15</c:v>
                </c:pt>
                <c:pt idx="19">
                  <c:v>-2.89493814259229E-15</c:v>
                </c:pt>
                <c:pt idx="20">
                  <c:v>-2.54343411607223E-15</c:v>
                </c:pt>
                <c:pt idx="21">
                  <c:v>-2.7820635931855298E-15</c:v>
                </c:pt>
                <c:pt idx="22">
                  <c:v>-2.5069695310632302E-15</c:v>
                </c:pt>
                <c:pt idx="23">
                  <c:v>-2.3861332865446099E-15</c:v>
                </c:pt>
                <c:pt idx="24">
                  <c:v>-2.65503235309497E-15</c:v>
                </c:pt>
                <c:pt idx="25">
                  <c:v>-2.82590560310852E-15</c:v>
                </c:pt>
                <c:pt idx="26">
                  <c:v>-2.9404026546635699E-15</c:v>
                </c:pt>
                <c:pt idx="27">
                  <c:v>-2.7196486904663901E-15</c:v>
                </c:pt>
                <c:pt idx="28">
                  <c:v>-3.1495518335211301E-15</c:v>
                </c:pt>
                <c:pt idx="29">
                  <c:v>-3.03369749893607E-15</c:v>
                </c:pt>
                <c:pt idx="30">
                  <c:v>-3.1763914054913898E-15</c:v>
                </c:pt>
                <c:pt idx="31">
                  <c:v>-3.4115727975767501E-15</c:v>
                </c:pt>
                <c:pt idx="32">
                  <c:v>-2.5692440823350298E-15</c:v>
                </c:pt>
                <c:pt idx="33">
                  <c:v>-2.7900752170353099E-15</c:v>
                </c:pt>
                <c:pt idx="34">
                  <c:v>-2.9292139818725899E-15</c:v>
                </c:pt>
                <c:pt idx="35">
                  <c:v>-2.9112515621861598E-15</c:v>
                </c:pt>
                <c:pt idx="36">
                  <c:v>-3.7271001228913899E-15</c:v>
                </c:pt>
                <c:pt idx="37">
                  <c:v>-3.5540224605507997E-15</c:v>
                </c:pt>
                <c:pt idx="38">
                  <c:v>-3.1481408586465799E-15</c:v>
                </c:pt>
                <c:pt idx="39">
                  <c:v>-3.0462307031317002E-15</c:v>
                </c:pt>
                <c:pt idx="40">
                  <c:v>-2.8564468941273201E-15</c:v>
                </c:pt>
                <c:pt idx="41">
                  <c:v>-2.9162935512356899E-15</c:v>
                </c:pt>
                <c:pt idx="42">
                  <c:v>-3.0751047604893901E-15</c:v>
                </c:pt>
                <c:pt idx="43">
                  <c:v>-2.94039865269348E-15</c:v>
                </c:pt>
                <c:pt idx="44">
                  <c:v>-3.1820616594264299E-15</c:v>
                </c:pt>
                <c:pt idx="45">
                  <c:v>-3.4505858593593699E-15</c:v>
                </c:pt>
                <c:pt idx="46">
                  <c:v>-3.3390236674260499E-15</c:v>
                </c:pt>
                <c:pt idx="47">
                  <c:v>-3.3237610836803899E-15</c:v>
                </c:pt>
                <c:pt idx="48">
                  <c:v>-3.0442515167798499E-15</c:v>
                </c:pt>
                <c:pt idx="49">
                  <c:v>-3.4524025729542598E-15</c:v>
                </c:pt>
                <c:pt idx="50">
                  <c:v>-3.66220187640751E-15</c:v>
                </c:pt>
                <c:pt idx="51">
                  <c:v>-3.30097385780558E-15</c:v>
                </c:pt>
                <c:pt idx="52">
                  <c:v>-3.6604003318295097E-15</c:v>
                </c:pt>
                <c:pt idx="53">
                  <c:v>-3.3062889171157298E-15</c:v>
                </c:pt>
                <c:pt idx="54">
                  <c:v>-3.0173684474886801E-15</c:v>
                </c:pt>
                <c:pt idx="55">
                  <c:v>-3.1379781838171099E-15</c:v>
                </c:pt>
                <c:pt idx="56">
                  <c:v>-3.0943389074563301E-15</c:v>
                </c:pt>
                <c:pt idx="57">
                  <c:v>-3.1596011138382099E-15</c:v>
                </c:pt>
                <c:pt idx="58">
                  <c:v>-3.42277910963512E-15</c:v>
                </c:pt>
                <c:pt idx="59">
                  <c:v>-3.9402459316323197E-15</c:v>
                </c:pt>
                <c:pt idx="60">
                  <c:v>-4.1944180084959803E-15</c:v>
                </c:pt>
                <c:pt idx="61">
                  <c:v>-4.1209695049718397E-15</c:v>
                </c:pt>
                <c:pt idx="62">
                  <c:v>-3.5811911996631397E-15</c:v>
                </c:pt>
                <c:pt idx="63">
                  <c:v>-3.3607963964134502E-15</c:v>
                </c:pt>
                <c:pt idx="64">
                  <c:v>-3.1338417422854899E-15</c:v>
                </c:pt>
                <c:pt idx="65">
                  <c:v>-3.2740428466154898E-15</c:v>
                </c:pt>
                <c:pt idx="66">
                  <c:v>-3.2415928370478602E-15</c:v>
                </c:pt>
                <c:pt idx="67">
                  <c:v>-3.4085937343235598E-15</c:v>
                </c:pt>
                <c:pt idx="68">
                  <c:v>-3.2137878381003899E-15</c:v>
                </c:pt>
                <c:pt idx="69">
                  <c:v>-3.1439834121491699E-15</c:v>
                </c:pt>
                <c:pt idx="70">
                  <c:v>-3.3014014574781498E-15</c:v>
                </c:pt>
                <c:pt idx="71">
                  <c:v>-3.1799722189940799E-15</c:v>
                </c:pt>
                <c:pt idx="72">
                  <c:v>-2.8104011162734998E-15</c:v>
                </c:pt>
                <c:pt idx="73">
                  <c:v>-2.8372299755167001E-15</c:v>
                </c:pt>
                <c:pt idx="74">
                  <c:v>-2.8643873072887699E-15</c:v>
                </c:pt>
                <c:pt idx="75">
                  <c:v>-2.6276001898210598E-15</c:v>
                </c:pt>
                <c:pt idx="76">
                  <c:v>-2.9841893489791302E-15</c:v>
                </c:pt>
                <c:pt idx="77">
                  <c:v>-3.0634184869823998E-15</c:v>
                </c:pt>
                <c:pt idx="78">
                  <c:v>-2.8774107539323101E-15</c:v>
                </c:pt>
                <c:pt idx="79">
                  <c:v>-2.7545102962648401E-15</c:v>
                </c:pt>
                <c:pt idx="80">
                  <c:v>-2.3196201392239802E-15</c:v>
                </c:pt>
                <c:pt idx="81">
                  <c:v>-2.5575518568256501E-15</c:v>
                </c:pt>
                <c:pt idx="82">
                  <c:v>-2.4117821321739101E-15</c:v>
                </c:pt>
                <c:pt idx="83">
                  <c:v>-2.1891996280621701E-15</c:v>
                </c:pt>
                <c:pt idx="84">
                  <c:v>-2.6340738295440502E-15</c:v>
                </c:pt>
                <c:pt idx="85">
                  <c:v>-2.7710721048243202E-15</c:v>
                </c:pt>
                <c:pt idx="86">
                  <c:v>-2.8039490498643001E-15</c:v>
                </c:pt>
                <c:pt idx="87">
                  <c:v>-3.2438521015887699E-15</c:v>
                </c:pt>
                <c:pt idx="88">
                  <c:v>-3.4662191336368601E-15</c:v>
                </c:pt>
                <c:pt idx="89">
                  <c:v>-3.4572998155377902E-15</c:v>
                </c:pt>
                <c:pt idx="90">
                  <c:v>-3.5515395236341798E-15</c:v>
                </c:pt>
                <c:pt idx="91">
                  <c:v>-3.0994595737381398E-15</c:v>
                </c:pt>
                <c:pt idx="92">
                  <c:v>-2.9832182985582E-15</c:v>
                </c:pt>
                <c:pt idx="93">
                  <c:v>-2.73837137517915E-15</c:v>
                </c:pt>
                <c:pt idx="94">
                  <c:v>-2.8359316903380099E-15</c:v>
                </c:pt>
                <c:pt idx="95">
                  <c:v>-2.9696507356645699E-15</c:v>
                </c:pt>
                <c:pt idx="96">
                  <c:v>-3.1245364919184698E-15</c:v>
                </c:pt>
                <c:pt idx="97">
                  <c:v>-3.1983768749033999E-15</c:v>
                </c:pt>
                <c:pt idx="98">
                  <c:v>-3.0038216961597999E-15</c:v>
                </c:pt>
                <c:pt idx="99">
                  <c:v>-3.1162493534481901E-15</c:v>
                </c:pt>
                <c:pt idx="100">
                  <c:v>-3.0396050710547798E-15</c:v>
                </c:pt>
                <c:pt idx="101">
                  <c:v>-2.46970844986575E-15</c:v>
                </c:pt>
                <c:pt idx="102">
                  <c:v>-2.37528529146097E-15</c:v>
                </c:pt>
                <c:pt idx="103">
                  <c:v>-2.4309490297984298E-15</c:v>
                </c:pt>
                <c:pt idx="104">
                  <c:v>-2.1261310509254E-15</c:v>
                </c:pt>
                <c:pt idx="105">
                  <c:v>-3.7555975940848797E-15</c:v>
                </c:pt>
                <c:pt idx="106">
                  <c:v>-4.3272061040709099E-15</c:v>
                </c:pt>
                <c:pt idx="107">
                  <c:v>-3.3985448618794202E-15</c:v>
                </c:pt>
                <c:pt idx="108">
                  <c:v>-2.8099674303507901E-15</c:v>
                </c:pt>
                <c:pt idx="109">
                  <c:v>-2.1465918706241299E-15</c:v>
                </c:pt>
                <c:pt idx="110">
                  <c:v>-2.2827081521033599E-15</c:v>
                </c:pt>
                <c:pt idx="111">
                  <c:v>-2.56012554885874E-15</c:v>
                </c:pt>
                <c:pt idx="112">
                  <c:v>-3.0989213021367398E-15</c:v>
                </c:pt>
                <c:pt idx="113">
                  <c:v>-3.98459949309328E-15</c:v>
                </c:pt>
                <c:pt idx="114">
                  <c:v>-5.5151341175039804E-15</c:v>
                </c:pt>
                <c:pt idx="115">
                  <c:v>-4.6367148069540498E-15</c:v>
                </c:pt>
                <c:pt idx="116">
                  <c:v>-4.4108347878761701E-15</c:v>
                </c:pt>
                <c:pt idx="117">
                  <c:v>-4.6600808226783702E-15</c:v>
                </c:pt>
                <c:pt idx="118">
                  <c:v>-5.1751406385319596E-15</c:v>
                </c:pt>
                <c:pt idx="119">
                  <c:v>-3.35496368805537E-15</c:v>
                </c:pt>
                <c:pt idx="120">
                  <c:v>-2.5550999770526E-15</c:v>
                </c:pt>
                <c:pt idx="121">
                  <c:v>-3.0868720470271698E-15</c:v>
                </c:pt>
                <c:pt idx="122">
                  <c:v>-3.0396612212410202E-15</c:v>
                </c:pt>
                <c:pt idx="123">
                  <c:v>-1.4483517201578E-15</c:v>
                </c:pt>
                <c:pt idx="124">
                  <c:v>-4.26025778058509E-16</c:v>
                </c:pt>
                <c:pt idx="125">
                  <c:v>-7.7673247543765101E-16</c:v>
                </c:pt>
                <c:pt idx="126">
                  <c:v>-1.3492660744575801E-15</c:v>
                </c:pt>
                <c:pt idx="127">
                  <c:v>-2.23454519015952E-15</c:v>
                </c:pt>
                <c:pt idx="128">
                  <c:v>-2.7978259204990798E-15</c:v>
                </c:pt>
                <c:pt idx="129">
                  <c:v>-2.8273229631489298E-15</c:v>
                </c:pt>
                <c:pt idx="130">
                  <c:v>-2.60714690973811E-15</c:v>
                </c:pt>
                <c:pt idx="131">
                  <c:v>-2.3537954488109099E-15</c:v>
                </c:pt>
                <c:pt idx="132">
                  <c:v>-3.3458420064071701E-15</c:v>
                </c:pt>
                <c:pt idx="133">
                  <c:v>-2.7362963391755001E-15</c:v>
                </c:pt>
                <c:pt idx="134">
                  <c:v>-2.6605568715882398E-15</c:v>
                </c:pt>
                <c:pt idx="135">
                  <c:v>-2.9763480221279901E-15</c:v>
                </c:pt>
                <c:pt idx="136">
                  <c:v>-2.4517189080640799E-15</c:v>
                </c:pt>
                <c:pt idx="137">
                  <c:v>-2.8115491412716401E-15</c:v>
                </c:pt>
                <c:pt idx="138">
                  <c:v>-2.6915987945837E-15</c:v>
                </c:pt>
                <c:pt idx="139">
                  <c:v>-2.51585621235616E-15</c:v>
                </c:pt>
                <c:pt idx="140">
                  <c:v>-2.3523014244576898E-15</c:v>
                </c:pt>
                <c:pt idx="141">
                  <c:v>-3.3436428722225201E-15</c:v>
                </c:pt>
                <c:pt idx="142">
                  <c:v>-3.82452798506327E-15</c:v>
                </c:pt>
                <c:pt idx="143">
                  <c:v>-4.7761183263065804E-15</c:v>
                </c:pt>
                <c:pt idx="144">
                  <c:v>-3.9592532971499599E-15</c:v>
                </c:pt>
                <c:pt idx="145">
                  <c:v>-4.6656216943090304E-15</c:v>
                </c:pt>
                <c:pt idx="146">
                  <c:v>2.38640391248333E-2</c:v>
                </c:pt>
                <c:pt idx="147">
                  <c:v>2.7200391130327399E-2</c:v>
                </c:pt>
                <c:pt idx="148">
                  <c:v>1.45115019178013E-2</c:v>
                </c:pt>
                <c:pt idx="149">
                  <c:v>6.9020475569436497E-3</c:v>
                </c:pt>
                <c:pt idx="150">
                  <c:v>1.9716201507600801E-2</c:v>
                </c:pt>
                <c:pt idx="151">
                  <c:v>5.9763775295607197E-3</c:v>
                </c:pt>
                <c:pt idx="152">
                  <c:v>-1.3989517035623299E-2</c:v>
                </c:pt>
                <c:pt idx="153">
                  <c:v>-2.06877328246657E-3</c:v>
                </c:pt>
                <c:pt idx="154">
                  <c:v>7.3852652981611297E-3</c:v>
                </c:pt>
                <c:pt idx="155">
                  <c:v>2.00680126157292E-2</c:v>
                </c:pt>
                <c:pt idx="156">
                  <c:v>3.1424407927767697E-2</c:v>
                </c:pt>
                <c:pt idx="157">
                  <c:v>-1.7733212816796701E-3</c:v>
                </c:pt>
                <c:pt idx="158">
                  <c:v>-1.28474672198592E-2</c:v>
                </c:pt>
                <c:pt idx="159">
                  <c:v>-1.44179226512904E-2</c:v>
                </c:pt>
                <c:pt idx="160">
                  <c:v>-1.3109601347184901E-2</c:v>
                </c:pt>
                <c:pt idx="161">
                  <c:v>-1.29407270920612E-2</c:v>
                </c:pt>
                <c:pt idx="162">
                  <c:v>-3.3565681443372998E-3</c:v>
                </c:pt>
                <c:pt idx="163">
                  <c:v>4.8401467666106196E-3</c:v>
                </c:pt>
                <c:pt idx="164">
                  <c:v>-4.9839973723782103E-3</c:v>
                </c:pt>
                <c:pt idx="165">
                  <c:v>-1.0813045013817199E-3</c:v>
                </c:pt>
                <c:pt idx="166">
                  <c:v>5.3106546481543199E-3</c:v>
                </c:pt>
                <c:pt idx="167">
                  <c:v>1.17372313631267E-2</c:v>
                </c:pt>
                <c:pt idx="168">
                  <c:v>2.58274979811727E-2</c:v>
                </c:pt>
                <c:pt idx="169">
                  <c:v>5.26940860685432E-3</c:v>
                </c:pt>
                <c:pt idx="170">
                  <c:v>1.8187361170142899E-2</c:v>
                </c:pt>
                <c:pt idx="171">
                  <c:v>2.3476193488177002E-2</c:v>
                </c:pt>
                <c:pt idx="172">
                  <c:v>8.2170303647824908E-3</c:v>
                </c:pt>
                <c:pt idx="173">
                  <c:v>2.2328105845015399E-2</c:v>
                </c:pt>
                <c:pt idx="174">
                  <c:v>3.4096377130895801E-3</c:v>
                </c:pt>
                <c:pt idx="175">
                  <c:v>6.3453131140163797E-3</c:v>
                </c:pt>
                <c:pt idx="176">
                  <c:v>3.2889333847415502E-3</c:v>
                </c:pt>
                <c:pt idx="177">
                  <c:v>-4.1900405047257698E-3</c:v>
                </c:pt>
                <c:pt idx="178">
                  <c:v>-4.8741228053916204E-3</c:v>
                </c:pt>
                <c:pt idx="179">
                  <c:v>-7.6189249611582502E-3</c:v>
                </c:pt>
                <c:pt idx="180">
                  <c:v>-9.8399896061041603E-3</c:v>
                </c:pt>
                <c:pt idx="181">
                  <c:v>5.2703157904662899E-3</c:v>
                </c:pt>
                <c:pt idx="182">
                  <c:v>-5.9117569684508601E-3</c:v>
                </c:pt>
                <c:pt idx="183">
                  <c:v>-1.81037665541086E-2</c:v>
                </c:pt>
                <c:pt idx="184">
                  <c:v>-1.6843785431095999E-2</c:v>
                </c:pt>
                <c:pt idx="185">
                  <c:v>-2.408745619022E-2</c:v>
                </c:pt>
                <c:pt idx="186">
                  <c:v>-2.46821073500068E-2</c:v>
                </c:pt>
                <c:pt idx="187">
                  <c:v>-1.38839713128849E-2</c:v>
                </c:pt>
                <c:pt idx="188">
                  <c:v>-2.6042349751849599E-2</c:v>
                </c:pt>
                <c:pt idx="189">
                  <c:v>-6.0925785266572104E-3</c:v>
                </c:pt>
                <c:pt idx="190">
                  <c:v>-1.5936370756721201E-2</c:v>
                </c:pt>
                <c:pt idx="191">
                  <c:v>5.2174775087707301E-4</c:v>
                </c:pt>
                <c:pt idx="192">
                  <c:v>1.1910533183139E-2</c:v>
                </c:pt>
                <c:pt idx="193">
                  <c:v>2.26768858903286E-2</c:v>
                </c:pt>
                <c:pt idx="194">
                  <c:v>1.94497562408786E-2</c:v>
                </c:pt>
                <c:pt idx="195">
                  <c:v>1.31401793492093E-2</c:v>
                </c:pt>
                <c:pt idx="196">
                  <c:v>-3.0152436346291601E-2</c:v>
                </c:pt>
                <c:pt idx="197">
                  <c:v>-3.40473937051868E-2</c:v>
                </c:pt>
                <c:pt idx="198">
                  <c:v>-2.1969341651982301E-2</c:v>
                </c:pt>
                <c:pt idx="199">
                  <c:v>-2.6758316678113501E-3</c:v>
                </c:pt>
                <c:pt idx="200">
                  <c:v>2.31306302751468E-2</c:v>
                </c:pt>
                <c:pt idx="201">
                  <c:v>4.0300245939031198E-2</c:v>
                </c:pt>
                <c:pt idx="202">
                  <c:v>1.47655919143206E-2</c:v>
                </c:pt>
                <c:pt idx="203">
                  <c:v>5.1707779408656203E-3</c:v>
                </c:pt>
                <c:pt idx="204">
                  <c:v>-5.4223978143280597E-3</c:v>
                </c:pt>
                <c:pt idx="205">
                  <c:v>-8.5910144321421893E-3</c:v>
                </c:pt>
                <c:pt idx="206">
                  <c:v>-2.3119289769440401E-2</c:v>
                </c:pt>
                <c:pt idx="207">
                  <c:v>-2.2861864050057999E-2</c:v>
                </c:pt>
                <c:pt idx="208">
                  <c:v>-1.2157127543457E-2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C-49F0-BA65-12F1F27D1D58}"/>
            </c:ext>
          </c:extLst>
        </c:ser>
        <c:ser>
          <c:idx val="3"/>
          <c:order val="3"/>
          <c:tx>
            <c:strRef>
              <c:f>EA_raw_policy_innovations!$Q$1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EA_raw_policy_innovations!$A$2:$A$211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EA_raw_policy_innovations!$Q$2:$Q$211</c:f>
              <c:numCache>
                <c:formatCode>0.00E+00</c:formatCode>
                <c:ptCount val="210"/>
                <c:pt idx="0">
                  <c:v>-1.37698524217825E-15</c:v>
                </c:pt>
                <c:pt idx="1">
                  <c:v>-1.4723040343825299E-15</c:v>
                </c:pt>
                <c:pt idx="2">
                  <c:v>-1.7989368784269701E-15</c:v>
                </c:pt>
                <c:pt idx="3">
                  <c:v>-1.7561753895316999E-15</c:v>
                </c:pt>
                <c:pt idx="4">
                  <c:v>-1.8318481522634099E-15</c:v>
                </c:pt>
                <c:pt idx="5">
                  <c:v>-1.9195573672616201E-15</c:v>
                </c:pt>
                <c:pt idx="6">
                  <c:v>-1.8336257729404701E-15</c:v>
                </c:pt>
                <c:pt idx="7">
                  <c:v>-1.8065765750958498E-15</c:v>
                </c:pt>
                <c:pt idx="8">
                  <c:v>-1.6851820247021199E-15</c:v>
                </c:pt>
                <c:pt idx="9">
                  <c:v>-1.72189899742747E-15</c:v>
                </c:pt>
                <c:pt idx="10">
                  <c:v>-1.3271789390907599E-15</c:v>
                </c:pt>
                <c:pt idx="11">
                  <c:v>-1.2754037267325201E-15</c:v>
                </c:pt>
                <c:pt idx="12">
                  <c:v>-1.1458089307086899E-15</c:v>
                </c:pt>
                <c:pt idx="13">
                  <c:v>-1.49963043295008E-15</c:v>
                </c:pt>
                <c:pt idx="14">
                  <c:v>-1.66204918422677E-15</c:v>
                </c:pt>
                <c:pt idx="15">
                  <c:v>-1.56810639835782E-15</c:v>
                </c:pt>
                <c:pt idx="16">
                  <c:v>-1.71394124388896E-15</c:v>
                </c:pt>
                <c:pt idx="17">
                  <c:v>-1.6342233814777699E-15</c:v>
                </c:pt>
                <c:pt idx="18">
                  <c:v>-1.8233171627830101E-15</c:v>
                </c:pt>
                <c:pt idx="19">
                  <c:v>-1.50740592785181E-15</c:v>
                </c:pt>
                <c:pt idx="20">
                  <c:v>-1.4680336034794099E-15</c:v>
                </c:pt>
                <c:pt idx="21">
                  <c:v>-1.3683742713444101E-15</c:v>
                </c:pt>
                <c:pt idx="22">
                  <c:v>-1.50765496427817E-15</c:v>
                </c:pt>
                <c:pt idx="23">
                  <c:v>-1.5628654996000301E-15</c:v>
                </c:pt>
                <c:pt idx="24">
                  <c:v>-1.57543983079553E-15</c:v>
                </c:pt>
                <c:pt idx="25">
                  <c:v>-1.7211986573313801E-15</c:v>
                </c:pt>
                <c:pt idx="26">
                  <c:v>-1.9585865579844899E-15</c:v>
                </c:pt>
                <c:pt idx="27">
                  <c:v>-1.61588389527288E-15</c:v>
                </c:pt>
                <c:pt idx="28">
                  <c:v>-2.0971872854287102E-15</c:v>
                </c:pt>
                <c:pt idx="29">
                  <c:v>-1.8578691372083902E-15</c:v>
                </c:pt>
                <c:pt idx="30">
                  <c:v>-2.3673350530198499E-15</c:v>
                </c:pt>
                <c:pt idx="31">
                  <c:v>-1.9279280211828099E-15</c:v>
                </c:pt>
                <c:pt idx="32">
                  <c:v>-1.76151870251998E-15</c:v>
                </c:pt>
                <c:pt idx="33">
                  <c:v>-1.7465148262465199E-15</c:v>
                </c:pt>
                <c:pt idx="34">
                  <c:v>-1.7852720137248398E-15</c:v>
                </c:pt>
                <c:pt idx="35">
                  <c:v>-2.1347615656030598E-15</c:v>
                </c:pt>
                <c:pt idx="36">
                  <c:v>-2.3984078567746699E-15</c:v>
                </c:pt>
                <c:pt idx="37">
                  <c:v>-2.2360630261947899E-15</c:v>
                </c:pt>
                <c:pt idx="38">
                  <c:v>-1.9307132159629601E-15</c:v>
                </c:pt>
                <c:pt idx="39">
                  <c:v>-1.8076903849778601E-15</c:v>
                </c:pt>
                <c:pt idx="40">
                  <c:v>-1.8825911098100398E-15</c:v>
                </c:pt>
                <c:pt idx="41">
                  <c:v>-2.0473180227787198E-15</c:v>
                </c:pt>
                <c:pt idx="42">
                  <c:v>-1.90176731325608E-15</c:v>
                </c:pt>
                <c:pt idx="43">
                  <c:v>-1.93385989960417E-15</c:v>
                </c:pt>
                <c:pt idx="44">
                  <c:v>-2.2129778922653E-15</c:v>
                </c:pt>
                <c:pt idx="45">
                  <c:v>-2.3484158084203001E-15</c:v>
                </c:pt>
                <c:pt idx="46">
                  <c:v>-2.17998115401639E-15</c:v>
                </c:pt>
                <c:pt idx="47">
                  <c:v>-2.1761112761374699E-15</c:v>
                </c:pt>
                <c:pt idx="48">
                  <c:v>-1.92211025625511E-15</c:v>
                </c:pt>
                <c:pt idx="49">
                  <c:v>-2.41140221440926E-15</c:v>
                </c:pt>
                <c:pt idx="50">
                  <c:v>-2.25027401157849E-15</c:v>
                </c:pt>
                <c:pt idx="51">
                  <c:v>-2.31989241188959E-15</c:v>
                </c:pt>
                <c:pt idx="52">
                  <c:v>-2.1854123867637602E-15</c:v>
                </c:pt>
                <c:pt idx="53">
                  <c:v>-2.0517860179297601E-15</c:v>
                </c:pt>
                <c:pt idx="54">
                  <c:v>-2.0881872672359499E-15</c:v>
                </c:pt>
                <c:pt idx="55">
                  <c:v>-1.9559319268961399E-15</c:v>
                </c:pt>
                <c:pt idx="56">
                  <c:v>-2.0542648226624599E-15</c:v>
                </c:pt>
                <c:pt idx="57">
                  <c:v>-2.0152411494106398E-15</c:v>
                </c:pt>
                <c:pt idx="58">
                  <c:v>-2.4429232854156501E-15</c:v>
                </c:pt>
                <c:pt idx="59">
                  <c:v>-2.3958948531945698E-15</c:v>
                </c:pt>
                <c:pt idx="60">
                  <c:v>-2.6792838230162102E-15</c:v>
                </c:pt>
                <c:pt idx="61">
                  <c:v>-2.32396886547573E-15</c:v>
                </c:pt>
                <c:pt idx="62">
                  <c:v>-2.1220742391066799E-15</c:v>
                </c:pt>
                <c:pt idx="63">
                  <c:v>-1.6939818479152801E-15</c:v>
                </c:pt>
                <c:pt idx="64">
                  <c:v>-1.8298459221384101E-15</c:v>
                </c:pt>
                <c:pt idx="65">
                  <c:v>-1.9271172043270099E-15</c:v>
                </c:pt>
                <c:pt idx="66">
                  <c:v>-1.8204531325729299E-15</c:v>
                </c:pt>
                <c:pt idx="67">
                  <c:v>-1.8960598224523701E-15</c:v>
                </c:pt>
                <c:pt idx="68">
                  <c:v>-1.7422015023725001E-15</c:v>
                </c:pt>
                <c:pt idx="69">
                  <c:v>-1.70685827232883E-15</c:v>
                </c:pt>
                <c:pt idx="70">
                  <c:v>-1.68366400148827E-15</c:v>
                </c:pt>
                <c:pt idx="71">
                  <c:v>-1.66793811720307E-15</c:v>
                </c:pt>
                <c:pt idx="72">
                  <c:v>-1.39847547745686E-15</c:v>
                </c:pt>
                <c:pt idx="73">
                  <c:v>-1.37316249223921E-15</c:v>
                </c:pt>
                <c:pt idx="74">
                  <c:v>-1.4081313628623599E-15</c:v>
                </c:pt>
                <c:pt idx="75">
                  <c:v>-1.4540794651229099E-15</c:v>
                </c:pt>
                <c:pt idx="76">
                  <c:v>-1.61701336257663E-15</c:v>
                </c:pt>
                <c:pt idx="77">
                  <c:v>-1.55105159349669E-15</c:v>
                </c:pt>
                <c:pt idx="78">
                  <c:v>-1.5686585619733799E-15</c:v>
                </c:pt>
                <c:pt idx="79">
                  <c:v>-1.2447618278705299E-15</c:v>
                </c:pt>
                <c:pt idx="80">
                  <c:v>-1.0964199425219999E-15</c:v>
                </c:pt>
                <c:pt idx="81">
                  <c:v>-1.4185438549921801E-15</c:v>
                </c:pt>
                <c:pt idx="82">
                  <c:v>-1.2793840652833E-15</c:v>
                </c:pt>
                <c:pt idx="83">
                  <c:v>-1.3309708892186599E-15</c:v>
                </c:pt>
                <c:pt idx="84">
                  <c:v>-1.6210402467183999E-15</c:v>
                </c:pt>
                <c:pt idx="85">
                  <c:v>-1.6642020898847499E-15</c:v>
                </c:pt>
                <c:pt idx="86">
                  <c:v>-1.8399825552310301E-15</c:v>
                </c:pt>
                <c:pt idx="87">
                  <c:v>-1.9770054276931701E-15</c:v>
                </c:pt>
                <c:pt idx="88">
                  <c:v>-2.0697394931049002E-15</c:v>
                </c:pt>
                <c:pt idx="89">
                  <c:v>-2.14296994776202E-15</c:v>
                </c:pt>
                <c:pt idx="90">
                  <c:v>-1.98140806629375E-15</c:v>
                </c:pt>
                <c:pt idx="91">
                  <c:v>-1.68537450058451E-15</c:v>
                </c:pt>
                <c:pt idx="92">
                  <c:v>-1.75157478746283E-15</c:v>
                </c:pt>
                <c:pt idx="93">
                  <c:v>-1.47759534638287E-15</c:v>
                </c:pt>
                <c:pt idx="94">
                  <c:v>-1.9207006889096101E-15</c:v>
                </c:pt>
                <c:pt idx="95">
                  <c:v>-1.7841362233575101E-15</c:v>
                </c:pt>
                <c:pt idx="96">
                  <c:v>-2.0264819508621699E-15</c:v>
                </c:pt>
                <c:pt idx="97">
                  <c:v>-1.89247691479724E-15</c:v>
                </c:pt>
                <c:pt idx="98">
                  <c:v>-1.9090709187588298E-15</c:v>
                </c:pt>
                <c:pt idx="99">
                  <c:v>-1.74763712058647E-15</c:v>
                </c:pt>
                <c:pt idx="100">
                  <c:v>-1.8849190727810799E-15</c:v>
                </c:pt>
                <c:pt idx="101">
                  <c:v>-1.5686668185322299E-15</c:v>
                </c:pt>
                <c:pt idx="102">
                  <c:v>-1.7183685086028299E-15</c:v>
                </c:pt>
                <c:pt idx="103">
                  <c:v>-1.5036191324218299E-15</c:v>
                </c:pt>
                <c:pt idx="104">
                  <c:v>-1.8012534542263799E-15</c:v>
                </c:pt>
                <c:pt idx="105">
                  <c:v>-2.7260703718088498E-15</c:v>
                </c:pt>
                <c:pt idx="106">
                  <c:v>-2.9014190958569099E-15</c:v>
                </c:pt>
                <c:pt idx="107">
                  <c:v>-2.04653896395347E-15</c:v>
                </c:pt>
                <c:pt idx="108">
                  <c:v>-1.60435286794262E-15</c:v>
                </c:pt>
                <c:pt idx="109">
                  <c:v>-1.6385863784872E-15</c:v>
                </c:pt>
                <c:pt idx="110">
                  <c:v>-1.8257848775231702E-15</c:v>
                </c:pt>
                <c:pt idx="111">
                  <c:v>-1.8474916987962102E-15</c:v>
                </c:pt>
                <c:pt idx="112">
                  <c:v>-2.4416591453891101E-15</c:v>
                </c:pt>
                <c:pt idx="113">
                  <c:v>-2.85575297149928E-15</c:v>
                </c:pt>
                <c:pt idx="114">
                  <c:v>-3.4772843482556199E-15</c:v>
                </c:pt>
                <c:pt idx="115">
                  <c:v>-2.8126791889387201E-15</c:v>
                </c:pt>
                <c:pt idx="116">
                  <c:v>-2.3649086406214901E-15</c:v>
                </c:pt>
                <c:pt idx="117">
                  <c:v>-2.6122626404272899E-15</c:v>
                </c:pt>
                <c:pt idx="118">
                  <c:v>-2.8594942138145999E-15</c:v>
                </c:pt>
                <c:pt idx="119">
                  <c:v>-1.47910356893501E-15</c:v>
                </c:pt>
                <c:pt idx="120">
                  <c:v>-1.1204509039337199E-15</c:v>
                </c:pt>
                <c:pt idx="121">
                  <c:v>-1.7413926009059401E-15</c:v>
                </c:pt>
                <c:pt idx="122">
                  <c:v>-1.8351142570062298E-15</c:v>
                </c:pt>
                <c:pt idx="123">
                  <c:v>-5.4837741011992404E-16</c:v>
                </c:pt>
                <c:pt idx="124">
                  <c:v>-3.4475277008319502E-16</c:v>
                </c:pt>
                <c:pt idx="125">
                  <c:v>-1.0468819817794101E-15</c:v>
                </c:pt>
                <c:pt idx="126">
                  <c:v>-1.58982612281429E-15</c:v>
                </c:pt>
                <c:pt idx="127">
                  <c:v>-2.1179968607276499E-15</c:v>
                </c:pt>
                <c:pt idx="128">
                  <c:v>-2.2560283728943401E-15</c:v>
                </c:pt>
                <c:pt idx="129">
                  <c:v>-2.3364946741956598E-15</c:v>
                </c:pt>
                <c:pt idx="130">
                  <c:v>-2.19771524931474E-15</c:v>
                </c:pt>
                <c:pt idx="131">
                  <c:v>-2.0223664028602799E-15</c:v>
                </c:pt>
                <c:pt idx="132">
                  <c:v>-2.9197939131354599E-15</c:v>
                </c:pt>
                <c:pt idx="133">
                  <c:v>-2.3438695092578401E-15</c:v>
                </c:pt>
                <c:pt idx="134">
                  <c:v>-2.4336115144765102E-15</c:v>
                </c:pt>
                <c:pt idx="135">
                  <c:v>-2.45900925484495E-15</c:v>
                </c:pt>
                <c:pt idx="136">
                  <c:v>-2.50510543859083E-15</c:v>
                </c:pt>
                <c:pt idx="137">
                  <c:v>-2.6163473626006E-15</c:v>
                </c:pt>
                <c:pt idx="138">
                  <c:v>-2.4458754876849002E-15</c:v>
                </c:pt>
                <c:pt idx="139">
                  <c:v>-2.5719485233272001E-15</c:v>
                </c:pt>
                <c:pt idx="140">
                  <c:v>-2.43866128355882E-15</c:v>
                </c:pt>
                <c:pt idx="141">
                  <c:v>-3.0995648779988E-15</c:v>
                </c:pt>
                <c:pt idx="142">
                  <c:v>-3.25006733727786E-15</c:v>
                </c:pt>
                <c:pt idx="143">
                  <c:v>-3.8123966122048899E-15</c:v>
                </c:pt>
                <c:pt idx="144">
                  <c:v>-2.8885303618880198E-15</c:v>
                </c:pt>
                <c:pt idx="145">
                  <c:v>-3.2465390554728601E-15</c:v>
                </c:pt>
                <c:pt idx="146">
                  <c:v>6.42723430201699E-3</c:v>
                </c:pt>
                <c:pt idx="147">
                  <c:v>2.1695584909056199E-2</c:v>
                </c:pt>
                <c:pt idx="148">
                  <c:v>1.72733308562532E-2</c:v>
                </c:pt>
                <c:pt idx="149">
                  <c:v>1.04010412660913E-2</c:v>
                </c:pt>
                <c:pt idx="150">
                  <c:v>2.1296758287659201E-2</c:v>
                </c:pt>
                <c:pt idx="151">
                  <c:v>7.5489939417762199E-3</c:v>
                </c:pt>
                <c:pt idx="152">
                  <c:v>-1.20280874226217E-2</c:v>
                </c:pt>
                <c:pt idx="153">
                  <c:v>-2.5057468595976102E-3</c:v>
                </c:pt>
                <c:pt idx="154">
                  <c:v>7.72928275918024E-3</c:v>
                </c:pt>
                <c:pt idx="155">
                  <c:v>1.9483384074450098E-2</c:v>
                </c:pt>
                <c:pt idx="156">
                  <c:v>2.84781577650315E-2</c:v>
                </c:pt>
                <c:pt idx="157">
                  <c:v>-3.4547658667141001E-3</c:v>
                </c:pt>
                <c:pt idx="158">
                  <c:v>-1.6698406972845001E-2</c:v>
                </c:pt>
                <c:pt idx="159">
                  <c:v>-1.6323701097298901E-2</c:v>
                </c:pt>
                <c:pt idx="160">
                  <c:v>-1.5735684586260599E-2</c:v>
                </c:pt>
                <c:pt idx="161">
                  <c:v>-1.55745744885283E-2</c:v>
                </c:pt>
                <c:pt idx="162">
                  <c:v>-6.9603588650439096E-3</c:v>
                </c:pt>
                <c:pt idx="163">
                  <c:v>1.24040170057407E-3</c:v>
                </c:pt>
                <c:pt idx="164">
                  <c:v>-7.8528720969830695E-3</c:v>
                </c:pt>
                <c:pt idx="165">
                  <c:v>-2.5208478617714798E-3</c:v>
                </c:pt>
                <c:pt idx="166">
                  <c:v>1.5121663349599501E-3</c:v>
                </c:pt>
                <c:pt idx="167">
                  <c:v>6.7854201947896197E-3</c:v>
                </c:pt>
                <c:pt idx="168">
                  <c:v>1.9652119037593299E-2</c:v>
                </c:pt>
                <c:pt idx="169">
                  <c:v>2.5843991118115E-3</c:v>
                </c:pt>
                <c:pt idx="170">
                  <c:v>1.4218391060141101E-2</c:v>
                </c:pt>
                <c:pt idx="171">
                  <c:v>1.8343151751158401E-2</c:v>
                </c:pt>
                <c:pt idx="172">
                  <c:v>6.0117168753340599E-3</c:v>
                </c:pt>
                <c:pt idx="173">
                  <c:v>1.7051176755570101E-2</c:v>
                </c:pt>
                <c:pt idx="174">
                  <c:v>1.44002475135532E-3</c:v>
                </c:pt>
                <c:pt idx="175">
                  <c:v>3.96403913493163E-3</c:v>
                </c:pt>
                <c:pt idx="176">
                  <c:v>3.0249741357696899E-4</c:v>
                </c:pt>
                <c:pt idx="177">
                  <c:v>-6.2274163937127303E-3</c:v>
                </c:pt>
                <c:pt idx="178">
                  <c:v>-5.82399432526607E-3</c:v>
                </c:pt>
                <c:pt idx="179">
                  <c:v>-8.0956244474725495E-3</c:v>
                </c:pt>
                <c:pt idx="180">
                  <c:v>-9.2573604479976607E-3</c:v>
                </c:pt>
                <c:pt idx="181">
                  <c:v>3.8403497835271701E-3</c:v>
                </c:pt>
                <c:pt idx="182">
                  <c:v>-6.36678073010645E-3</c:v>
                </c:pt>
                <c:pt idx="183">
                  <c:v>-1.5750892386583899E-2</c:v>
                </c:pt>
                <c:pt idx="184">
                  <c:v>-1.5296824507966199E-2</c:v>
                </c:pt>
                <c:pt idx="185">
                  <c:v>-2.2261519887800198E-2</c:v>
                </c:pt>
                <c:pt idx="186">
                  <c:v>-2.2727698961721599E-2</c:v>
                </c:pt>
                <c:pt idx="187">
                  <c:v>-1.32759479435059E-2</c:v>
                </c:pt>
                <c:pt idx="188">
                  <c:v>-2.33666265960993E-2</c:v>
                </c:pt>
                <c:pt idx="189">
                  <c:v>-6.0286032605031603E-3</c:v>
                </c:pt>
                <c:pt idx="190">
                  <c:v>-1.4399154016329499E-2</c:v>
                </c:pt>
                <c:pt idx="191">
                  <c:v>-1.2312310396587599E-3</c:v>
                </c:pt>
                <c:pt idx="192">
                  <c:v>6.8600779577284799E-3</c:v>
                </c:pt>
                <c:pt idx="193">
                  <c:v>1.4843075857914299E-2</c:v>
                </c:pt>
                <c:pt idx="194">
                  <c:v>1.0654997859662001E-2</c:v>
                </c:pt>
                <c:pt idx="195">
                  <c:v>7.4290895971492396E-3</c:v>
                </c:pt>
                <c:pt idx="196">
                  <c:v>-2.6110892034707098E-2</c:v>
                </c:pt>
                <c:pt idx="197">
                  <c:v>-2.8080578158102401E-2</c:v>
                </c:pt>
                <c:pt idx="198">
                  <c:v>-1.83518139173534E-2</c:v>
                </c:pt>
                <c:pt idx="199">
                  <c:v>8.9280170921685401E-3</c:v>
                </c:pt>
                <c:pt idx="200">
                  <c:v>3.9742186715325797E-2</c:v>
                </c:pt>
                <c:pt idx="201">
                  <c:v>8.1452138550923703E-3</c:v>
                </c:pt>
                <c:pt idx="202">
                  <c:v>1.2746187534520399E-2</c:v>
                </c:pt>
                <c:pt idx="203">
                  <c:v>-4.01373117988144E-3</c:v>
                </c:pt>
                <c:pt idx="204">
                  <c:v>-5.7844490735295996E-3</c:v>
                </c:pt>
                <c:pt idx="205">
                  <c:v>-2.1796390741324199E-2</c:v>
                </c:pt>
                <c:pt idx="206">
                  <c:v>-1.32158097405966E-2</c:v>
                </c:pt>
                <c:pt idx="207">
                  <c:v>-1.5259031669921101E-2</c:v>
                </c:pt>
                <c:pt idx="208">
                  <c:v>-5.8524159786189998E-3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C-49F0-BA65-12F1F27D1D58}"/>
            </c:ext>
          </c:extLst>
        </c:ser>
        <c:ser>
          <c:idx val="4"/>
          <c:order val="4"/>
          <c:tx>
            <c:strRef>
              <c:f>EA_raw_policy_innovations!$R$1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EA_raw_policy_innovations!$A$2:$A$211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EA_raw_policy_innovations!$R$2:$R$211</c:f>
              <c:numCache>
                <c:formatCode>0.00E+00</c:formatCode>
                <c:ptCount val="210"/>
                <c:pt idx="0">
                  <c:v>-9.0487083758056192E-16</c:v>
                </c:pt>
                <c:pt idx="1">
                  <c:v>-1.0347681615313001E-15</c:v>
                </c:pt>
                <c:pt idx="2">
                  <c:v>-1.18995048248095E-15</c:v>
                </c:pt>
                <c:pt idx="3">
                  <c:v>-1.2143603575339901E-15</c:v>
                </c:pt>
                <c:pt idx="4">
                  <c:v>-1.1299721296344599E-15</c:v>
                </c:pt>
                <c:pt idx="5">
                  <c:v>-1.1533944871483601E-15</c:v>
                </c:pt>
                <c:pt idx="6">
                  <c:v>-1.20633563139791E-15</c:v>
                </c:pt>
                <c:pt idx="7">
                  <c:v>-1.0943467068489299E-15</c:v>
                </c:pt>
                <c:pt idx="8">
                  <c:v>-1.0385795046946399E-15</c:v>
                </c:pt>
                <c:pt idx="9">
                  <c:v>-1.0550041345847099E-15</c:v>
                </c:pt>
                <c:pt idx="10">
                  <c:v>-8.5152745756638197E-16</c:v>
                </c:pt>
                <c:pt idx="11">
                  <c:v>-5.4518264926536503E-16</c:v>
                </c:pt>
                <c:pt idx="12">
                  <c:v>-9.1983581225323399E-16</c:v>
                </c:pt>
                <c:pt idx="13">
                  <c:v>-1.0619899187380199E-15</c:v>
                </c:pt>
                <c:pt idx="14">
                  <c:v>-1.1749623955652201E-15</c:v>
                </c:pt>
                <c:pt idx="15">
                  <c:v>-1.1257799861767501E-15</c:v>
                </c:pt>
                <c:pt idx="16">
                  <c:v>-1.12918128097687E-15</c:v>
                </c:pt>
                <c:pt idx="17">
                  <c:v>-1.17971805997396E-15</c:v>
                </c:pt>
                <c:pt idx="18">
                  <c:v>-1.27616703280452E-15</c:v>
                </c:pt>
                <c:pt idx="19">
                  <c:v>-1.2179709531344601E-15</c:v>
                </c:pt>
                <c:pt idx="20">
                  <c:v>-8.8615983949615702E-16</c:v>
                </c:pt>
                <c:pt idx="21">
                  <c:v>-1.1566328317645601E-15</c:v>
                </c:pt>
                <c:pt idx="22">
                  <c:v>-1.4189828935515199E-15</c:v>
                </c:pt>
                <c:pt idx="23">
                  <c:v>-1.2192099903848E-15</c:v>
                </c:pt>
                <c:pt idx="24">
                  <c:v>-1.2809180715271399E-15</c:v>
                </c:pt>
                <c:pt idx="25">
                  <c:v>-1.49577634755856E-15</c:v>
                </c:pt>
                <c:pt idx="26">
                  <c:v>-1.53119918848205E-15</c:v>
                </c:pt>
                <c:pt idx="27">
                  <c:v>-1.37092250240147E-15</c:v>
                </c:pt>
                <c:pt idx="28">
                  <c:v>-1.6848926159158E-15</c:v>
                </c:pt>
                <c:pt idx="29">
                  <c:v>-1.7921254657248699E-15</c:v>
                </c:pt>
                <c:pt idx="30">
                  <c:v>-1.59373655900288E-15</c:v>
                </c:pt>
                <c:pt idx="31">
                  <c:v>-1.8304752604778602E-15</c:v>
                </c:pt>
                <c:pt idx="32">
                  <c:v>-1.3977699164397E-15</c:v>
                </c:pt>
                <c:pt idx="33">
                  <c:v>-1.38901207185449E-15</c:v>
                </c:pt>
                <c:pt idx="34">
                  <c:v>-1.7666956191947999E-15</c:v>
                </c:pt>
                <c:pt idx="35">
                  <c:v>-1.6862912716536501E-15</c:v>
                </c:pt>
                <c:pt idx="36">
                  <c:v>-1.8511853779355002E-15</c:v>
                </c:pt>
                <c:pt idx="37">
                  <c:v>-1.7134098131650301E-15</c:v>
                </c:pt>
                <c:pt idx="38">
                  <c:v>-1.4201497586967001E-15</c:v>
                </c:pt>
                <c:pt idx="39">
                  <c:v>-1.56190976606186E-15</c:v>
                </c:pt>
                <c:pt idx="40">
                  <c:v>-1.72382176612061E-15</c:v>
                </c:pt>
                <c:pt idx="41">
                  <c:v>-1.5284859608803801E-15</c:v>
                </c:pt>
                <c:pt idx="42">
                  <c:v>-1.50932110972542E-15</c:v>
                </c:pt>
                <c:pt idx="43">
                  <c:v>-1.61553954368791E-15</c:v>
                </c:pt>
                <c:pt idx="44">
                  <c:v>-1.7592592376763801E-15</c:v>
                </c:pt>
                <c:pt idx="45">
                  <c:v>-1.70868908032973E-15</c:v>
                </c:pt>
                <c:pt idx="46">
                  <c:v>-1.5717080584289001E-15</c:v>
                </c:pt>
                <c:pt idx="47">
                  <c:v>-1.59514725206782E-15</c:v>
                </c:pt>
                <c:pt idx="48">
                  <c:v>-1.49226008111307E-15</c:v>
                </c:pt>
                <c:pt idx="49">
                  <c:v>-1.56826054923823E-15</c:v>
                </c:pt>
                <c:pt idx="50">
                  <c:v>-1.7944014005277399E-15</c:v>
                </c:pt>
                <c:pt idx="51">
                  <c:v>-1.4088702390053999E-15</c:v>
                </c:pt>
                <c:pt idx="52">
                  <c:v>-1.4251141967976099E-15</c:v>
                </c:pt>
                <c:pt idx="53">
                  <c:v>-1.5574151507407199E-15</c:v>
                </c:pt>
                <c:pt idx="54">
                  <c:v>-1.3676318820478101E-15</c:v>
                </c:pt>
                <c:pt idx="55">
                  <c:v>-1.28894869480662E-15</c:v>
                </c:pt>
                <c:pt idx="56">
                  <c:v>-1.3453668417904301E-15</c:v>
                </c:pt>
                <c:pt idx="57">
                  <c:v>-1.50209623122673E-15</c:v>
                </c:pt>
                <c:pt idx="58">
                  <c:v>-1.42831643607472E-15</c:v>
                </c:pt>
                <c:pt idx="59">
                  <c:v>-1.4542463736557699E-15</c:v>
                </c:pt>
                <c:pt idx="60">
                  <c:v>-1.46525148483104E-15</c:v>
                </c:pt>
                <c:pt idx="61">
                  <c:v>-1.3802272517127601E-15</c:v>
                </c:pt>
                <c:pt idx="62">
                  <c:v>-9.6445052838858794E-16</c:v>
                </c:pt>
                <c:pt idx="63">
                  <c:v>-9.4517565637654601E-16</c:v>
                </c:pt>
                <c:pt idx="64">
                  <c:v>-1.0500786543825601E-15</c:v>
                </c:pt>
                <c:pt idx="65">
                  <c:v>-1.0521859217718901E-15</c:v>
                </c:pt>
                <c:pt idx="66">
                  <c:v>-9.1673630103585193E-16</c:v>
                </c:pt>
                <c:pt idx="67">
                  <c:v>-9.6935171660099395E-16</c:v>
                </c:pt>
                <c:pt idx="68">
                  <c:v>-8.9199028277157392E-16</c:v>
                </c:pt>
                <c:pt idx="69">
                  <c:v>-7.4421391472396298E-16</c:v>
                </c:pt>
                <c:pt idx="70">
                  <c:v>-8.0117018479239895E-16</c:v>
                </c:pt>
                <c:pt idx="71">
                  <c:v>-7.9187598875684395E-16</c:v>
                </c:pt>
                <c:pt idx="72">
                  <c:v>-5.2142508088958698E-16</c:v>
                </c:pt>
                <c:pt idx="73">
                  <c:v>-5.15676329829666E-16</c:v>
                </c:pt>
                <c:pt idx="74">
                  <c:v>-7.7327517210026199E-16</c:v>
                </c:pt>
                <c:pt idx="75">
                  <c:v>-6.9089467424863002E-16</c:v>
                </c:pt>
                <c:pt idx="76">
                  <c:v>-7.7157693320622197E-16</c:v>
                </c:pt>
                <c:pt idx="77">
                  <c:v>-8.75249569821823E-16</c:v>
                </c:pt>
                <c:pt idx="78">
                  <c:v>-6.8455522348293597E-16</c:v>
                </c:pt>
                <c:pt idx="79">
                  <c:v>-6.3967907849006298E-16</c:v>
                </c:pt>
                <c:pt idx="80">
                  <c:v>-6.4825034079207805E-16</c:v>
                </c:pt>
                <c:pt idx="81">
                  <c:v>-8.1305714482409897E-16</c:v>
                </c:pt>
                <c:pt idx="82">
                  <c:v>-9.9457596476990704E-16</c:v>
                </c:pt>
                <c:pt idx="83">
                  <c:v>-9.25007677636103E-16</c:v>
                </c:pt>
                <c:pt idx="84">
                  <c:v>-1.12084447585792E-15</c:v>
                </c:pt>
                <c:pt idx="85">
                  <c:v>-1.32859527596828E-15</c:v>
                </c:pt>
                <c:pt idx="86">
                  <c:v>-1.26019395387944E-15</c:v>
                </c:pt>
                <c:pt idx="87">
                  <c:v>-1.3224598364811501E-15</c:v>
                </c:pt>
                <c:pt idx="88">
                  <c:v>-1.4771062124475399E-15</c:v>
                </c:pt>
                <c:pt idx="89">
                  <c:v>-1.2878376899406401E-15</c:v>
                </c:pt>
                <c:pt idx="90">
                  <c:v>-1.1975738804412E-15</c:v>
                </c:pt>
                <c:pt idx="91">
                  <c:v>-1.06844842820792E-15</c:v>
                </c:pt>
                <c:pt idx="92">
                  <c:v>-1.03318139934837E-15</c:v>
                </c:pt>
                <c:pt idx="93">
                  <c:v>-1.1694804913087099E-15</c:v>
                </c:pt>
                <c:pt idx="94">
                  <c:v>-1.2557526387465001E-15</c:v>
                </c:pt>
                <c:pt idx="95">
                  <c:v>-1.2956769194857699E-15</c:v>
                </c:pt>
                <c:pt idx="96">
                  <c:v>-1.2755023677322301E-15</c:v>
                </c:pt>
                <c:pt idx="97">
                  <c:v>-1.3300204016673601E-15</c:v>
                </c:pt>
                <c:pt idx="98">
                  <c:v>-1.1121775612347201E-15</c:v>
                </c:pt>
                <c:pt idx="99">
                  <c:v>-1.1471596338019399E-15</c:v>
                </c:pt>
                <c:pt idx="100">
                  <c:v>-1.36224000233512E-15</c:v>
                </c:pt>
                <c:pt idx="101">
                  <c:v>-1.2811765587114301E-15</c:v>
                </c:pt>
                <c:pt idx="102">
                  <c:v>-1.14815633847549E-15</c:v>
                </c:pt>
                <c:pt idx="103">
                  <c:v>-1.44842243736404E-15</c:v>
                </c:pt>
                <c:pt idx="104">
                  <c:v>-1.44876674021943E-15</c:v>
                </c:pt>
                <c:pt idx="105">
                  <c:v>-1.95235397846427E-15</c:v>
                </c:pt>
                <c:pt idx="106">
                  <c:v>-1.7817774115394901E-15</c:v>
                </c:pt>
                <c:pt idx="107">
                  <c:v>-1.0959161824705301E-15</c:v>
                </c:pt>
                <c:pt idx="108">
                  <c:v>-1.38449425797614E-15</c:v>
                </c:pt>
                <c:pt idx="109">
                  <c:v>-1.4453479923210101E-15</c:v>
                </c:pt>
                <c:pt idx="110">
                  <c:v>-1.3705766237109E-15</c:v>
                </c:pt>
                <c:pt idx="111">
                  <c:v>-1.67631723526932E-15</c:v>
                </c:pt>
                <c:pt idx="112">
                  <c:v>-1.8492375998317798E-15</c:v>
                </c:pt>
                <c:pt idx="113">
                  <c:v>-1.74979875172974E-15</c:v>
                </c:pt>
                <c:pt idx="114">
                  <c:v>-2.1032776459211601E-15</c:v>
                </c:pt>
                <c:pt idx="115">
                  <c:v>-1.42334182253176E-15</c:v>
                </c:pt>
                <c:pt idx="116">
                  <c:v>-1.21113639653521E-15</c:v>
                </c:pt>
                <c:pt idx="117">
                  <c:v>-1.3070252805755801E-15</c:v>
                </c:pt>
                <c:pt idx="118">
                  <c:v>-1.3535865031458101E-15</c:v>
                </c:pt>
                <c:pt idx="119">
                  <c:v>-5.8345785970954399E-16</c:v>
                </c:pt>
                <c:pt idx="120">
                  <c:v>-6.5607413556298298E-16</c:v>
                </c:pt>
                <c:pt idx="121">
                  <c:v>-1.1762069698577999E-15</c:v>
                </c:pt>
                <c:pt idx="122">
                  <c:v>-9.9640226250060206E-16</c:v>
                </c:pt>
                <c:pt idx="123">
                  <c:v>-5.8190281430809201E-16</c:v>
                </c:pt>
                <c:pt idx="124">
                  <c:v>-8.4178890745218903E-16</c:v>
                </c:pt>
                <c:pt idx="125">
                  <c:v>-1.4857202155667301E-15</c:v>
                </c:pt>
                <c:pt idx="126">
                  <c:v>-1.7534420399818E-15</c:v>
                </c:pt>
                <c:pt idx="127">
                  <c:v>-1.81394117406087E-15</c:v>
                </c:pt>
                <c:pt idx="128">
                  <c:v>-1.9501777814082399E-15</c:v>
                </c:pt>
                <c:pt idx="129">
                  <c:v>-1.94563466452163E-15</c:v>
                </c:pt>
                <c:pt idx="130">
                  <c:v>-1.8247817207698002E-15</c:v>
                </c:pt>
                <c:pt idx="131">
                  <c:v>-1.8422357379786699E-15</c:v>
                </c:pt>
                <c:pt idx="132">
                  <c:v>-2.3440737621883001E-15</c:v>
                </c:pt>
                <c:pt idx="133">
                  <c:v>-1.9846004217838002E-15</c:v>
                </c:pt>
                <c:pt idx="134">
                  <c:v>-1.8203609562181402E-15</c:v>
                </c:pt>
                <c:pt idx="135">
                  <c:v>-2.2674106822318399E-15</c:v>
                </c:pt>
                <c:pt idx="136">
                  <c:v>-2.1062123071415199E-15</c:v>
                </c:pt>
                <c:pt idx="137">
                  <c:v>-2.0661088404606299E-15</c:v>
                </c:pt>
                <c:pt idx="138">
                  <c:v>-2.1922428137305999E-15</c:v>
                </c:pt>
                <c:pt idx="139">
                  <c:v>-2.2267660133698201E-15</c:v>
                </c:pt>
                <c:pt idx="140">
                  <c:v>-2.1318954583823001E-15</c:v>
                </c:pt>
                <c:pt idx="141">
                  <c:v>-2.40710861685175E-15</c:v>
                </c:pt>
                <c:pt idx="142">
                  <c:v>-2.4845698980406498E-15</c:v>
                </c:pt>
                <c:pt idx="143">
                  <c:v>-2.5269650566543102E-15</c:v>
                </c:pt>
                <c:pt idx="144">
                  <c:v>-1.8020480672583499E-15</c:v>
                </c:pt>
                <c:pt idx="145">
                  <c:v>-2.06421647796101E-15</c:v>
                </c:pt>
                <c:pt idx="146">
                  <c:v>4.7491528835860702E-3</c:v>
                </c:pt>
                <c:pt idx="147">
                  <c:v>2.0473859939250001E-2</c:v>
                </c:pt>
                <c:pt idx="148">
                  <c:v>1.4855620296338801E-2</c:v>
                </c:pt>
                <c:pt idx="149">
                  <c:v>1.15788077846075E-2</c:v>
                </c:pt>
                <c:pt idx="150">
                  <c:v>1.761825356611E-2</c:v>
                </c:pt>
                <c:pt idx="151">
                  <c:v>5.8323897679328799E-3</c:v>
                </c:pt>
                <c:pt idx="152">
                  <c:v>-9.0953215606401003E-3</c:v>
                </c:pt>
                <c:pt idx="153">
                  <c:v>-2.7252132216555001E-3</c:v>
                </c:pt>
                <c:pt idx="154">
                  <c:v>8.4887596903045395E-3</c:v>
                </c:pt>
                <c:pt idx="155">
                  <c:v>1.8442797033485399E-2</c:v>
                </c:pt>
                <c:pt idx="156">
                  <c:v>2.5735527769219599E-2</c:v>
                </c:pt>
                <c:pt idx="157">
                  <c:v>-3.3335034823260999E-3</c:v>
                </c:pt>
                <c:pt idx="158">
                  <c:v>-1.5538949416107801E-2</c:v>
                </c:pt>
                <c:pt idx="159">
                  <c:v>-1.58730229547689E-2</c:v>
                </c:pt>
                <c:pt idx="160">
                  <c:v>-1.5820559235370599E-2</c:v>
                </c:pt>
                <c:pt idx="161">
                  <c:v>-1.5643877008115498E-2</c:v>
                </c:pt>
                <c:pt idx="162">
                  <c:v>-7.7959018512562201E-3</c:v>
                </c:pt>
                <c:pt idx="163">
                  <c:v>-1.2889374624605199E-3</c:v>
                </c:pt>
                <c:pt idx="164">
                  <c:v>-9.2651156479417792E-3</c:v>
                </c:pt>
                <c:pt idx="165">
                  <c:v>-4.4467807962507398E-3</c:v>
                </c:pt>
                <c:pt idx="166">
                  <c:v>-5.0207309344443504E-4</c:v>
                </c:pt>
                <c:pt idx="167">
                  <c:v>4.1764029214087098E-3</c:v>
                </c:pt>
                <c:pt idx="168">
                  <c:v>1.5460289927887999E-2</c:v>
                </c:pt>
                <c:pt idx="169">
                  <c:v>1.67441029355589E-3</c:v>
                </c:pt>
                <c:pt idx="170">
                  <c:v>1.1721127858108899E-2</c:v>
                </c:pt>
                <c:pt idx="171">
                  <c:v>1.45496978630913E-2</c:v>
                </c:pt>
                <c:pt idx="172">
                  <c:v>4.4184659474622197E-3</c:v>
                </c:pt>
                <c:pt idx="173">
                  <c:v>1.3392111807329399E-2</c:v>
                </c:pt>
                <c:pt idx="174">
                  <c:v>1.2567697456115201E-5</c:v>
                </c:pt>
                <c:pt idx="175">
                  <c:v>2.3789635973619498E-3</c:v>
                </c:pt>
                <c:pt idx="176">
                  <c:v>-1.7754652258318499E-3</c:v>
                </c:pt>
                <c:pt idx="177">
                  <c:v>-7.7083415792309198E-3</c:v>
                </c:pt>
                <c:pt idx="178">
                  <c:v>-6.7020924432843196E-3</c:v>
                </c:pt>
                <c:pt idx="179">
                  <c:v>-8.7374120504347796E-3</c:v>
                </c:pt>
                <c:pt idx="180">
                  <c:v>-9.2524505799221994E-3</c:v>
                </c:pt>
                <c:pt idx="181">
                  <c:v>2.28523677754969E-3</c:v>
                </c:pt>
                <c:pt idx="182">
                  <c:v>-6.4466554363746698E-3</c:v>
                </c:pt>
                <c:pt idx="183">
                  <c:v>-1.3137501851749901E-2</c:v>
                </c:pt>
                <c:pt idx="184">
                  <c:v>-1.3457264156163801E-2</c:v>
                </c:pt>
                <c:pt idx="185">
                  <c:v>-1.9428840098438802E-2</c:v>
                </c:pt>
                <c:pt idx="186">
                  <c:v>-1.96194498768506E-2</c:v>
                </c:pt>
                <c:pt idx="187">
                  <c:v>-1.2405590356812201E-2</c:v>
                </c:pt>
                <c:pt idx="188">
                  <c:v>-2.0263573143752201E-2</c:v>
                </c:pt>
                <c:pt idx="189">
                  <c:v>-5.8334468179663396E-3</c:v>
                </c:pt>
                <c:pt idx="190">
                  <c:v>-1.2414623617349199E-2</c:v>
                </c:pt>
                <c:pt idx="191">
                  <c:v>-1.74963522073951E-3</c:v>
                </c:pt>
                <c:pt idx="192">
                  <c:v>3.50231375846449E-3</c:v>
                </c:pt>
                <c:pt idx="193">
                  <c:v>8.9871566327449706E-3</c:v>
                </c:pt>
                <c:pt idx="194">
                  <c:v>5.3198716850731201E-3</c:v>
                </c:pt>
                <c:pt idx="195">
                  <c:v>3.9739709928798602E-3</c:v>
                </c:pt>
                <c:pt idx="196">
                  <c:v>-2.2055694261354401E-2</c:v>
                </c:pt>
                <c:pt idx="197">
                  <c:v>-2.2753427647530699E-2</c:v>
                </c:pt>
                <c:pt idx="198">
                  <c:v>2.6136925326860302E-3</c:v>
                </c:pt>
                <c:pt idx="199">
                  <c:v>2.72630324219055E-2</c:v>
                </c:pt>
                <c:pt idx="200">
                  <c:v>1.11669829822929E-2</c:v>
                </c:pt>
                <c:pt idx="201">
                  <c:v>5.9915565741759597E-3</c:v>
                </c:pt>
                <c:pt idx="202">
                  <c:v>2.8924204517759098E-3</c:v>
                </c:pt>
                <c:pt idx="203">
                  <c:v>-2.90693712937068E-3</c:v>
                </c:pt>
                <c:pt idx="204">
                  <c:v>-1.4961585912818201E-2</c:v>
                </c:pt>
                <c:pt idx="205">
                  <c:v>-1.1597694335807899E-2</c:v>
                </c:pt>
                <c:pt idx="206">
                  <c:v>-7.6369898242944299E-3</c:v>
                </c:pt>
                <c:pt idx="207">
                  <c:v>-8.0980005813044691E-3</c:v>
                </c:pt>
                <c:pt idx="208">
                  <c:v>-3.2937908317254199E-3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C-49F0-BA65-12F1F27D1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EA_raw_policy_innovations!$M$1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EA_raw_policy_innovations!$M$141:$M$211</c:f>
              <c:numCache>
                <c:formatCode>0.00E+00</c:formatCode>
                <c:ptCount val="7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8-4FD9-AFB2-13B9C3567D27}"/>
            </c:ext>
          </c:extLst>
        </c:ser>
        <c:ser>
          <c:idx val="1"/>
          <c:order val="1"/>
          <c:tx>
            <c:strRef>
              <c:f>EA_raw_policy_innovations!$N$1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EA_raw_policy_innovations!$N$141:$N$211</c:f>
              <c:numCache>
                <c:formatCode>0.00E+00</c:formatCode>
                <c:ptCount val="71"/>
                <c:pt idx="0">
                  <c:v>2.7814897720132501E-16</c:v>
                </c:pt>
                <c:pt idx="1">
                  <c:v>3.4145052644491102E-16</c:v>
                </c:pt>
                <c:pt idx="2">
                  <c:v>2.2813500121396504E-16</c:v>
                </c:pt>
                <c:pt idx="3">
                  <c:v>8.2326317280932694E-17</c:v>
                </c:pt>
                <c:pt idx="4">
                  <c:v>-1.46570608296403E-16</c:v>
                </c:pt>
                <c:pt idx="5">
                  <c:v>-1.4923192408629501E-16</c:v>
                </c:pt>
                <c:pt idx="6">
                  <c:v>-3.0337163129458601E-16</c:v>
                </c:pt>
                <c:pt idx="7">
                  <c:v>-6.2924705200712496E-3</c:v>
                </c:pt>
                <c:pt idx="8">
                  <c:v>5.58414303926424E-3</c:v>
                </c:pt>
                <c:pt idx="9">
                  <c:v>3.7662482321688799E-3</c:v>
                </c:pt>
                <c:pt idx="10">
                  <c:v>3.5338774104016102E-4</c:v>
                </c:pt>
                <c:pt idx="11">
                  <c:v>2.1625004930780502E-4</c:v>
                </c:pt>
                <c:pt idx="12">
                  <c:v>-3.0780742693446101E-3</c:v>
                </c:pt>
                <c:pt idx="13">
                  <c:v>-2.5684633579561799E-3</c:v>
                </c:pt>
                <c:pt idx="14">
                  <c:v>-3.62634158484811E-3</c:v>
                </c:pt>
                <c:pt idx="15">
                  <c:v>-3.6073327373363196E-3</c:v>
                </c:pt>
                <c:pt idx="16">
                  <c:v>-1.7073155001002601E-3</c:v>
                </c:pt>
                <c:pt idx="17">
                  <c:v>-2.8273128206056201E-3</c:v>
                </c:pt>
                <c:pt idx="18">
                  <c:v>-1.03225964966635E-2</c:v>
                </c:pt>
                <c:pt idx="19">
                  <c:v>-1.4285197616390698E-2</c:v>
                </c:pt>
                <c:pt idx="20">
                  <c:v>-2.4906281461304102E-3</c:v>
                </c:pt>
                <c:pt idx="21">
                  <c:v>-6.75815354815248E-4</c:v>
                </c:pt>
                <c:pt idx="22">
                  <c:v>3.16508951834337E-4</c:v>
                </c:pt>
                <c:pt idx="23">
                  <c:v>-3.4058528135477001E-4</c:v>
                </c:pt>
                <c:pt idx="24">
                  <c:v>1.07516793924588E-3</c:v>
                </c:pt>
                <c:pt idx="25">
                  <c:v>-1.02772822732889E-4</c:v>
                </c:pt>
                <c:pt idx="26">
                  <c:v>-2.8944540043666304E-4</c:v>
                </c:pt>
                <c:pt idx="27">
                  <c:v>2.7735766295823502E-4</c:v>
                </c:pt>
                <c:pt idx="28">
                  <c:v>3.0972878917172699E-4</c:v>
                </c:pt>
                <c:pt idx="29">
                  <c:v>1.8147684666897299E-3</c:v>
                </c:pt>
                <c:pt idx="30">
                  <c:v>1.7626296539229099E-3</c:v>
                </c:pt>
                <c:pt idx="31">
                  <c:v>4.3190070241970599E-3</c:v>
                </c:pt>
                <c:pt idx="32">
                  <c:v>3.7247883703693798E-3</c:v>
                </c:pt>
                <c:pt idx="33">
                  <c:v>-4.0770481515464799E-4</c:v>
                </c:pt>
                <c:pt idx="34">
                  <c:v>3.1266190300889298E-3</c:v>
                </c:pt>
                <c:pt idx="35">
                  <c:v>4.9631157570643103E-4</c:v>
                </c:pt>
                <c:pt idx="36">
                  <c:v>2.2992386932249699E-3</c:v>
                </c:pt>
                <c:pt idx="37">
                  <c:v>2.7049095928908698E-3</c:v>
                </c:pt>
                <c:pt idx="38">
                  <c:v>7.8937751789710396E-4</c:v>
                </c:pt>
                <c:pt idx="39">
                  <c:v>3.8705805529818901E-4</c:v>
                </c:pt>
                <c:pt idx="40">
                  <c:v>1.6215568577604798E-5</c:v>
                </c:pt>
                <c:pt idx="41">
                  <c:v>-7.9805442144560094E-4</c:v>
                </c:pt>
                <c:pt idx="42">
                  <c:v>1.73205498236496E-3</c:v>
                </c:pt>
                <c:pt idx="43">
                  <c:v>2.2921848527516299E-4</c:v>
                </c:pt>
                <c:pt idx="44">
                  <c:v>-2.54855706104349E-3</c:v>
                </c:pt>
                <c:pt idx="45">
                  <c:v>-2.2782253916245701E-3</c:v>
                </c:pt>
                <c:pt idx="46">
                  <c:v>-2.9218829869696698E-3</c:v>
                </c:pt>
                <c:pt idx="47">
                  <c:v>-2.41347177101364E-3</c:v>
                </c:pt>
                <c:pt idx="48">
                  <c:v>-5.7412894115646399E-4</c:v>
                </c:pt>
                <c:pt idx="49">
                  <c:v>-3.2999534364331401E-3</c:v>
                </c:pt>
                <c:pt idx="50">
                  <c:v>5.5944438790615802E-4</c:v>
                </c:pt>
                <c:pt idx="51">
                  <c:v>-1.9895497699789402E-3</c:v>
                </c:pt>
                <c:pt idx="52">
                  <c:v>1.6998586958282599E-3</c:v>
                </c:pt>
                <c:pt idx="53">
                  <c:v>3.8060780148908096E-3</c:v>
                </c:pt>
                <c:pt idx="54">
                  <c:v>6.1487794992014597E-3</c:v>
                </c:pt>
                <c:pt idx="55">
                  <c:v>9.4567898041968898E-3</c:v>
                </c:pt>
                <c:pt idx="56">
                  <c:v>6.5117668311579103E-3</c:v>
                </c:pt>
                <c:pt idx="57">
                  <c:v>-2.4867750547304798E-3</c:v>
                </c:pt>
                <c:pt idx="58">
                  <c:v>-3.3276084344473302E-3</c:v>
                </c:pt>
                <c:pt idx="59">
                  <c:v>-4.0294974451643894E-4</c:v>
                </c:pt>
                <c:pt idx="60">
                  <c:v>-2.8635933055124099E-3</c:v>
                </c:pt>
                <c:pt idx="61">
                  <c:v>1.4278272149815001E-3</c:v>
                </c:pt>
                <c:pt idx="62">
                  <c:v>4.0674004269464197E-3</c:v>
                </c:pt>
                <c:pt idx="63">
                  <c:v>4.3311666416656095E-3</c:v>
                </c:pt>
                <c:pt idx="64">
                  <c:v>4.1435394030272504E-3</c:v>
                </c:pt>
                <c:pt idx="65">
                  <c:v>2.9643422887094199E-4</c:v>
                </c:pt>
                <c:pt idx="66">
                  <c:v>8.4556108529052908E-4</c:v>
                </c:pt>
                <c:pt idx="67">
                  <c:v>7.1751511631156601E-4</c:v>
                </c:pt>
                <c:pt idx="68">
                  <c:v>-1.92670646632675E-3</c:v>
                </c:pt>
                <c:pt idx="69">
                  <c:v>-2.7110770959999399E-3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8-4FD9-AFB2-13B9C3567D27}"/>
            </c:ext>
          </c:extLst>
        </c:ser>
        <c:ser>
          <c:idx val="2"/>
          <c:order val="2"/>
          <c:tx>
            <c:strRef>
              <c:f>EA_raw_policy_innovations!$O$1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EA_raw_policy_innovations!$O$141:$O$211</c:f>
              <c:numCache>
                <c:formatCode>0.00E+00</c:formatCode>
                <c:ptCount val="71"/>
                <c:pt idx="0">
                  <c:v>-3.54390718671859E-15</c:v>
                </c:pt>
                <c:pt idx="1">
                  <c:v>-3.0439715861635901E-15</c:v>
                </c:pt>
                <c:pt idx="2">
                  <c:v>-4.2738873531425901E-15</c:v>
                </c:pt>
                <c:pt idx="3">
                  <c:v>-4.9056363419289499E-15</c:v>
                </c:pt>
                <c:pt idx="4">
                  <c:v>-6.2442519622946497E-15</c:v>
                </c:pt>
                <c:pt idx="5">
                  <c:v>-5.3909185232871399E-15</c:v>
                </c:pt>
                <c:pt idx="6">
                  <c:v>-6.5421696403603702E-15</c:v>
                </c:pt>
                <c:pt idx="7">
                  <c:v>1.08248113065792E-2</c:v>
                </c:pt>
                <c:pt idx="8">
                  <c:v>6.6290195054513196E-2</c:v>
                </c:pt>
                <c:pt idx="9">
                  <c:v>2.4496482847909101E-2</c:v>
                </c:pt>
                <c:pt idx="10">
                  <c:v>1.13376681525137E-2</c:v>
                </c:pt>
                <c:pt idx="11">
                  <c:v>1.49904066896594E-2</c:v>
                </c:pt>
                <c:pt idx="12">
                  <c:v>1.16909791261651E-2</c:v>
                </c:pt>
                <c:pt idx="13">
                  <c:v>-1.53303315651895E-3</c:v>
                </c:pt>
                <c:pt idx="14">
                  <c:v>1.12410369790913E-2</c:v>
                </c:pt>
                <c:pt idx="15">
                  <c:v>2.4090015843093698E-2</c:v>
                </c:pt>
                <c:pt idx="16">
                  <c:v>3.7003135417451601E-2</c:v>
                </c:pt>
                <c:pt idx="17">
                  <c:v>5.56273320693743E-2</c:v>
                </c:pt>
                <c:pt idx="18">
                  <c:v>3.5548901652231603E-2</c:v>
                </c:pt>
                <c:pt idx="19">
                  <c:v>3.3250628529609402E-2</c:v>
                </c:pt>
                <c:pt idx="20">
                  <c:v>1.07107122758658E-2</c:v>
                </c:pt>
                <c:pt idx="21">
                  <c:v>-2.7147848252600799E-3</c:v>
                </c:pt>
                <c:pt idx="22">
                  <c:v>-4.1988574005580297E-3</c:v>
                </c:pt>
                <c:pt idx="23">
                  <c:v>9.4315756418121999E-4</c:v>
                </c:pt>
                <c:pt idx="24">
                  <c:v>1.4922802208688199E-2</c:v>
                </c:pt>
                <c:pt idx="25">
                  <c:v>2.1697724939497899E-3</c:v>
                </c:pt>
                <c:pt idx="26">
                  <c:v>2.1878837515110498E-3</c:v>
                </c:pt>
                <c:pt idx="27">
                  <c:v>1.08651050927386E-2</c:v>
                </c:pt>
                <c:pt idx="28">
                  <c:v>2.2782337640927401E-2</c:v>
                </c:pt>
                <c:pt idx="29">
                  <c:v>3.74405707678796E-2</c:v>
                </c:pt>
                <c:pt idx="30">
                  <c:v>1.6756378399511301E-2</c:v>
                </c:pt>
                <c:pt idx="31">
                  <c:v>2.60469622004143E-2</c:v>
                </c:pt>
                <c:pt idx="32">
                  <c:v>3.1623425723236502E-2</c:v>
                </c:pt>
                <c:pt idx="33">
                  <c:v>1.42391802709736E-2</c:v>
                </c:pt>
                <c:pt idx="34">
                  <c:v>3.2510205425828997E-2</c:v>
                </c:pt>
                <c:pt idx="35">
                  <c:v>7.4477155090279402E-3</c:v>
                </c:pt>
                <c:pt idx="36">
                  <c:v>1.0558669256352999E-2</c:v>
                </c:pt>
                <c:pt idx="37">
                  <c:v>4.6783301781770899E-3</c:v>
                </c:pt>
                <c:pt idx="38">
                  <c:v>-5.8038415842859396E-3</c:v>
                </c:pt>
                <c:pt idx="39">
                  <c:v>-4.49611157435753E-3</c:v>
                </c:pt>
                <c:pt idx="40">
                  <c:v>-7.7175210605255002E-3</c:v>
                </c:pt>
                <c:pt idx="41">
                  <c:v>-1.0360795694355201E-2</c:v>
                </c:pt>
                <c:pt idx="42">
                  <c:v>9.2493717523609402E-3</c:v>
                </c:pt>
                <c:pt idx="43">
                  <c:v>-5.3041038976974399E-3</c:v>
                </c:pt>
                <c:pt idx="44">
                  <c:v>-2.1147936579196999E-2</c:v>
                </c:pt>
                <c:pt idx="45">
                  <c:v>-1.7562675336122002E-2</c:v>
                </c:pt>
                <c:pt idx="46">
                  <c:v>-2.46759760614245E-2</c:v>
                </c:pt>
                <c:pt idx="47">
                  <c:v>-2.6779825459803001E-2</c:v>
                </c:pt>
                <c:pt idx="48">
                  <c:v>-1.2911733970758101E-2</c:v>
                </c:pt>
                <c:pt idx="49">
                  <c:v>-3.0780435866294899E-2</c:v>
                </c:pt>
                <c:pt idx="50">
                  <c:v>-1.10649190174971E-2</c:v>
                </c:pt>
                <c:pt idx="51">
                  <c:v>-1.6101691485530999E-2</c:v>
                </c:pt>
                <c:pt idx="52">
                  <c:v>3.0904085855693701E-3</c:v>
                </c:pt>
                <c:pt idx="53">
                  <c:v>1.8200530507933299E-2</c:v>
                </c:pt>
                <c:pt idx="54">
                  <c:v>2.62663415301655E-2</c:v>
                </c:pt>
                <c:pt idx="55">
                  <c:v>2.8067507495561299E-2</c:v>
                </c:pt>
                <c:pt idx="56">
                  <c:v>1.40551037593183E-2</c:v>
                </c:pt>
                <c:pt idx="57">
                  <c:v>-4.1761827369391803E-2</c:v>
                </c:pt>
                <c:pt idx="58">
                  <c:v>-4.8285690684055797E-2</c:v>
                </c:pt>
                <c:pt idx="59">
                  <c:v>-3.8201320750806601E-2</c:v>
                </c:pt>
                <c:pt idx="60">
                  <c:v>-1.5232096510049699E-2</c:v>
                </c:pt>
                <c:pt idx="61">
                  <c:v>2.4446597109481698E-2</c:v>
                </c:pt>
                <c:pt idx="62">
                  <c:v>2.36828339978538E-2</c:v>
                </c:pt>
                <c:pt idx="63">
                  <c:v>5.2307671556407503E-2</c:v>
                </c:pt>
                <c:pt idx="64">
                  <c:v>4.3886303609311497E-3</c:v>
                </c:pt>
                <c:pt idx="65">
                  <c:v>4.9317176166744203E-3</c:v>
                </c:pt>
                <c:pt idx="66">
                  <c:v>-5.7305121648797896E-3</c:v>
                </c:pt>
                <c:pt idx="67">
                  <c:v>-4.2408401272856699E-3</c:v>
                </c:pt>
                <c:pt idx="68">
                  <c:v>-3.5676220759558702E-2</c:v>
                </c:pt>
                <c:pt idx="69">
                  <c:v>-1.8482684204911601E-2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8-4FD9-AFB2-13B9C3567D27}"/>
            </c:ext>
          </c:extLst>
        </c:ser>
        <c:ser>
          <c:idx val="3"/>
          <c:order val="3"/>
          <c:tx>
            <c:strRef>
              <c:f>EA_raw_policy_innovations!$P$1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EA_raw_policy_innovations!$P$141:$P$211</c:f>
              <c:numCache>
                <c:formatCode>0.00E+00</c:formatCode>
                <c:ptCount val="71"/>
                <c:pt idx="0">
                  <c:v>-2.51585621235616E-15</c:v>
                </c:pt>
                <c:pt idx="1">
                  <c:v>-2.3523014244576898E-15</c:v>
                </c:pt>
                <c:pt idx="2">
                  <c:v>-3.3436428722225201E-15</c:v>
                </c:pt>
                <c:pt idx="3">
                  <c:v>-3.82452798506327E-15</c:v>
                </c:pt>
                <c:pt idx="4">
                  <c:v>-4.7761183263065804E-15</c:v>
                </c:pt>
                <c:pt idx="5">
                  <c:v>-3.9592532971499599E-15</c:v>
                </c:pt>
                <c:pt idx="6">
                  <c:v>-4.6656216943090304E-15</c:v>
                </c:pt>
                <c:pt idx="7">
                  <c:v>2.38640391248333E-2</c:v>
                </c:pt>
                <c:pt idx="8">
                  <c:v>2.7200391130327399E-2</c:v>
                </c:pt>
                <c:pt idx="9">
                  <c:v>1.45115019178013E-2</c:v>
                </c:pt>
                <c:pt idx="10">
                  <c:v>6.9020475569436497E-3</c:v>
                </c:pt>
                <c:pt idx="11">
                  <c:v>1.9716201507600801E-2</c:v>
                </c:pt>
                <c:pt idx="12">
                  <c:v>5.9763775295607197E-3</c:v>
                </c:pt>
                <c:pt idx="13">
                  <c:v>-1.3989517035623299E-2</c:v>
                </c:pt>
                <c:pt idx="14">
                  <c:v>-2.06877328246657E-3</c:v>
                </c:pt>
                <c:pt idx="15">
                  <c:v>7.3852652981611297E-3</c:v>
                </c:pt>
                <c:pt idx="16">
                  <c:v>2.00680126157292E-2</c:v>
                </c:pt>
                <c:pt idx="17">
                  <c:v>3.1424407927767697E-2</c:v>
                </c:pt>
                <c:pt idx="18">
                  <c:v>-1.7733212816796701E-3</c:v>
                </c:pt>
                <c:pt idx="19">
                  <c:v>-1.28474672198592E-2</c:v>
                </c:pt>
                <c:pt idx="20">
                  <c:v>-1.44179226512904E-2</c:v>
                </c:pt>
                <c:pt idx="21">
                  <c:v>-1.3109601347184901E-2</c:v>
                </c:pt>
                <c:pt idx="22">
                  <c:v>-1.29407270920612E-2</c:v>
                </c:pt>
                <c:pt idx="23">
                  <c:v>-3.3565681443372998E-3</c:v>
                </c:pt>
                <c:pt idx="24">
                  <c:v>4.8401467666106196E-3</c:v>
                </c:pt>
                <c:pt idx="25">
                  <c:v>-4.9839973723782103E-3</c:v>
                </c:pt>
                <c:pt idx="26">
                  <c:v>-1.0813045013817199E-3</c:v>
                </c:pt>
                <c:pt idx="27">
                  <c:v>5.3106546481543199E-3</c:v>
                </c:pt>
                <c:pt idx="28">
                  <c:v>1.17372313631267E-2</c:v>
                </c:pt>
                <c:pt idx="29">
                  <c:v>2.58274979811727E-2</c:v>
                </c:pt>
                <c:pt idx="30">
                  <c:v>5.26940860685432E-3</c:v>
                </c:pt>
                <c:pt idx="31">
                  <c:v>1.8187361170142899E-2</c:v>
                </c:pt>
                <c:pt idx="32">
                  <c:v>2.3476193488177002E-2</c:v>
                </c:pt>
                <c:pt idx="33">
                  <c:v>8.2170303647824908E-3</c:v>
                </c:pt>
                <c:pt idx="34">
                  <c:v>2.2328105845015399E-2</c:v>
                </c:pt>
                <c:pt idx="35">
                  <c:v>3.4096377130895801E-3</c:v>
                </c:pt>
                <c:pt idx="36">
                  <c:v>6.3453131140163797E-3</c:v>
                </c:pt>
                <c:pt idx="37">
                  <c:v>3.2889333847415502E-3</c:v>
                </c:pt>
                <c:pt idx="38">
                  <c:v>-4.1900405047257698E-3</c:v>
                </c:pt>
                <c:pt idx="39">
                  <c:v>-4.8741228053916204E-3</c:v>
                </c:pt>
                <c:pt idx="40">
                  <c:v>-7.6189249611582502E-3</c:v>
                </c:pt>
                <c:pt idx="41">
                  <c:v>-9.8399896061041603E-3</c:v>
                </c:pt>
                <c:pt idx="42">
                  <c:v>5.2703157904662899E-3</c:v>
                </c:pt>
                <c:pt idx="43">
                  <c:v>-5.9117569684508601E-3</c:v>
                </c:pt>
                <c:pt idx="44">
                  <c:v>-1.81037665541086E-2</c:v>
                </c:pt>
                <c:pt idx="45">
                  <c:v>-1.6843785431095999E-2</c:v>
                </c:pt>
                <c:pt idx="46">
                  <c:v>-2.408745619022E-2</c:v>
                </c:pt>
                <c:pt idx="47">
                  <c:v>-2.46821073500068E-2</c:v>
                </c:pt>
                <c:pt idx="48">
                  <c:v>-1.38839713128849E-2</c:v>
                </c:pt>
                <c:pt idx="49">
                  <c:v>-2.6042349751849599E-2</c:v>
                </c:pt>
                <c:pt idx="50">
                  <c:v>-6.0925785266572104E-3</c:v>
                </c:pt>
                <c:pt idx="51">
                  <c:v>-1.5936370756721201E-2</c:v>
                </c:pt>
                <c:pt idx="52">
                  <c:v>5.2174775087707301E-4</c:v>
                </c:pt>
                <c:pt idx="53">
                  <c:v>1.1910533183139E-2</c:v>
                </c:pt>
                <c:pt idx="54">
                  <c:v>2.26768858903286E-2</c:v>
                </c:pt>
                <c:pt idx="55">
                  <c:v>1.94497562408786E-2</c:v>
                </c:pt>
                <c:pt idx="56">
                  <c:v>1.31401793492093E-2</c:v>
                </c:pt>
                <c:pt idx="57">
                  <c:v>-3.0152436346291601E-2</c:v>
                </c:pt>
                <c:pt idx="58">
                  <c:v>-3.40473937051868E-2</c:v>
                </c:pt>
                <c:pt idx="59">
                  <c:v>-2.1969341651982301E-2</c:v>
                </c:pt>
                <c:pt idx="60">
                  <c:v>-2.6758316678113501E-3</c:v>
                </c:pt>
                <c:pt idx="61">
                  <c:v>2.31306302751468E-2</c:v>
                </c:pt>
                <c:pt idx="62">
                  <c:v>4.0300245939031198E-2</c:v>
                </c:pt>
                <c:pt idx="63">
                  <c:v>1.47655919143206E-2</c:v>
                </c:pt>
                <c:pt idx="64">
                  <c:v>5.1707779408656203E-3</c:v>
                </c:pt>
                <c:pt idx="65">
                  <c:v>-5.4223978143280597E-3</c:v>
                </c:pt>
                <c:pt idx="66">
                  <c:v>-8.5910144321421893E-3</c:v>
                </c:pt>
                <c:pt idx="67">
                  <c:v>-2.3119289769440401E-2</c:v>
                </c:pt>
                <c:pt idx="68">
                  <c:v>-2.2861864050057999E-2</c:v>
                </c:pt>
                <c:pt idx="69">
                  <c:v>-1.2157127543457E-2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8-4FD9-AFB2-13B9C3567D27}"/>
            </c:ext>
          </c:extLst>
        </c:ser>
        <c:ser>
          <c:idx val="4"/>
          <c:order val="4"/>
          <c:tx>
            <c:strRef>
              <c:f>EA_raw_policy_innovations!$Q$1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EA_raw_policy_innovations!$Q$141:$Q$211</c:f>
              <c:numCache>
                <c:formatCode>0.00E+00</c:formatCode>
                <c:ptCount val="71"/>
                <c:pt idx="0">
                  <c:v>-2.5719485233272001E-15</c:v>
                </c:pt>
                <c:pt idx="1">
                  <c:v>-2.43866128355882E-15</c:v>
                </c:pt>
                <c:pt idx="2">
                  <c:v>-3.0995648779988E-15</c:v>
                </c:pt>
                <c:pt idx="3">
                  <c:v>-3.25006733727786E-15</c:v>
                </c:pt>
                <c:pt idx="4">
                  <c:v>-3.8123966122048899E-15</c:v>
                </c:pt>
                <c:pt idx="5">
                  <c:v>-2.8885303618880198E-15</c:v>
                </c:pt>
                <c:pt idx="6">
                  <c:v>-3.2465390554728601E-15</c:v>
                </c:pt>
                <c:pt idx="7">
                  <c:v>6.42723430201699E-3</c:v>
                </c:pt>
                <c:pt idx="8">
                  <c:v>2.1695584909056199E-2</c:v>
                </c:pt>
                <c:pt idx="9">
                  <c:v>1.72733308562532E-2</c:v>
                </c:pt>
                <c:pt idx="10">
                  <c:v>1.04010412660913E-2</c:v>
                </c:pt>
                <c:pt idx="11">
                  <c:v>2.1296758287659201E-2</c:v>
                </c:pt>
                <c:pt idx="12">
                  <c:v>7.5489939417762199E-3</c:v>
                </c:pt>
                <c:pt idx="13">
                  <c:v>-1.20280874226217E-2</c:v>
                </c:pt>
                <c:pt idx="14">
                  <c:v>-2.5057468595976102E-3</c:v>
                </c:pt>
                <c:pt idx="15">
                  <c:v>7.72928275918024E-3</c:v>
                </c:pt>
                <c:pt idx="16">
                  <c:v>1.9483384074450098E-2</c:v>
                </c:pt>
                <c:pt idx="17">
                  <c:v>2.84781577650315E-2</c:v>
                </c:pt>
                <c:pt idx="18">
                  <c:v>-3.4547658667141001E-3</c:v>
                </c:pt>
                <c:pt idx="19">
                  <c:v>-1.6698406972845001E-2</c:v>
                </c:pt>
                <c:pt idx="20">
                  <c:v>-1.6323701097298901E-2</c:v>
                </c:pt>
                <c:pt idx="21">
                  <c:v>-1.5735684586260599E-2</c:v>
                </c:pt>
                <c:pt idx="22">
                  <c:v>-1.55745744885283E-2</c:v>
                </c:pt>
                <c:pt idx="23">
                  <c:v>-6.9603588650439096E-3</c:v>
                </c:pt>
                <c:pt idx="24">
                  <c:v>1.24040170057407E-3</c:v>
                </c:pt>
                <c:pt idx="25">
                  <c:v>-7.8528720969830695E-3</c:v>
                </c:pt>
                <c:pt idx="26">
                  <c:v>-2.5208478617714798E-3</c:v>
                </c:pt>
                <c:pt idx="27">
                  <c:v>1.5121663349599501E-3</c:v>
                </c:pt>
                <c:pt idx="28">
                  <c:v>6.7854201947896197E-3</c:v>
                </c:pt>
                <c:pt idx="29">
                  <c:v>1.9652119037593299E-2</c:v>
                </c:pt>
                <c:pt idx="30">
                  <c:v>2.5843991118115E-3</c:v>
                </c:pt>
                <c:pt idx="31">
                  <c:v>1.4218391060141101E-2</c:v>
                </c:pt>
                <c:pt idx="32">
                  <c:v>1.8343151751158401E-2</c:v>
                </c:pt>
                <c:pt idx="33">
                  <c:v>6.0117168753340599E-3</c:v>
                </c:pt>
                <c:pt idx="34">
                  <c:v>1.7051176755570101E-2</c:v>
                </c:pt>
                <c:pt idx="35">
                  <c:v>1.44002475135532E-3</c:v>
                </c:pt>
                <c:pt idx="36">
                  <c:v>3.96403913493163E-3</c:v>
                </c:pt>
                <c:pt idx="37">
                  <c:v>3.0249741357696899E-4</c:v>
                </c:pt>
                <c:pt idx="38">
                  <c:v>-6.2274163937127303E-3</c:v>
                </c:pt>
                <c:pt idx="39">
                  <c:v>-5.82399432526607E-3</c:v>
                </c:pt>
                <c:pt idx="40">
                  <c:v>-8.0956244474725495E-3</c:v>
                </c:pt>
                <c:pt idx="41">
                  <c:v>-9.2573604479976607E-3</c:v>
                </c:pt>
                <c:pt idx="42">
                  <c:v>3.8403497835271701E-3</c:v>
                </c:pt>
                <c:pt idx="43">
                  <c:v>-6.36678073010645E-3</c:v>
                </c:pt>
                <c:pt idx="44">
                  <c:v>-1.5750892386583899E-2</c:v>
                </c:pt>
                <c:pt idx="45">
                  <c:v>-1.5296824507966199E-2</c:v>
                </c:pt>
                <c:pt idx="46">
                  <c:v>-2.2261519887800198E-2</c:v>
                </c:pt>
                <c:pt idx="47">
                  <c:v>-2.2727698961721599E-2</c:v>
                </c:pt>
                <c:pt idx="48">
                  <c:v>-1.32759479435059E-2</c:v>
                </c:pt>
                <c:pt idx="49">
                  <c:v>-2.33666265960993E-2</c:v>
                </c:pt>
                <c:pt idx="50">
                  <c:v>-6.0286032605031603E-3</c:v>
                </c:pt>
                <c:pt idx="51">
                  <c:v>-1.4399154016329499E-2</c:v>
                </c:pt>
                <c:pt idx="52">
                  <c:v>-1.2312310396587599E-3</c:v>
                </c:pt>
                <c:pt idx="53">
                  <c:v>6.8600779577284799E-3</c:v>
                </c:pt>
                <c:pt idx="54">
                  <c:v>1.4843075857914299E-2</c:v>
                </c:pt>
                <c:pt idx="55">
                  <c:v>1.0654997859662001E-2</c:v>
                </c:pt>
                <c:pt idx="56">
                  <c:v>7.4290895971492396E-3</c:v>
                </c:pt>
                <c:pt idx="57">
                  <c:v>-2.6110892034707098E-2</c:v>
                </c:pt>
                <c:pt idx="58">
                  <c:v>-2.8080578158102401E-2</c:v>
                </c:pt>
                <c:pt idx="59">
                  <c:v>-1.83518139173534E-2</c:v>
                </c:pt>
                <c:pt idx="60">
                  <c:v>8.9280170921685401E-3</c:v>
                </c:pt>
                <c:pt idx="61">
                  <c:v>3.9742186715325797E-2</c:v>
                </c:pt>
                <c:pt idx="62">
                  <c:v>8.1452138550923703E-3</c:v>
                </c:pt>
                <c:pt idx="63">
                  <c:v>1.2746187534520399E-2</c:v>
                </c:pt>
                <c:pt idx="64">
                  <c:v>-4.01373117988144E-3</c:v>
                </c:pt>
                <c:pt idx="65">
                  <c:v>-5.7844490735295996E-3</c:v>
                </c:pt>
                <c:pt idx="66">
                  <c:v>-2.1796390741324199E-2</c:v>
                </c:pt>
                <c:pt idx="67">
                  <c:v>-1.32158097405966E-2</c:v>
                </c:pt>
                <c:pt idx="68">
                  <c:v>-1.5259031669921101E-2</c:v>
                </c:pt>
                <c:pt idx="69">
                  <c:v>-5.8524159786189998E-3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8-4FD9-AFB2-13B9C3567D27}"/>
            </c:ext>
          </c:extLst>
        </c:ser>
        <c:ser>
          <c:idx val="5"/>
          <c:order val="5"/>
          <c:tx>
            <c:strRef>
              <c:f>EA_raw_policy_innovations!$R$1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EA_raw_policy_innovations!$R$141:$R$211</c:f>
              <c:numCache>
                <c:formatCode>0.00E+00</c:formatCode>
                <c:ptCount val="71"/>
                <c:pt idx="0">
                  <c:v>-2.2267660133698201E-15</c:v>
                </c:pt>
                <c:pt idx="1">
                  <c:v>-2.1318954583823001E-15</c:v>
                </c:pt>
                <c:pt idx="2">
                  <c:v>-2.40710861685175E-15</c:v>
                </c:pt>
                <c:pt idx="3">
                  <c:v>-2.4845698980406498E-15</c:v>
                </c:pt>
                <c:pt idx="4">
                  <c:v>-2.5269650566543102E-15</c:v>
                </c:pt>
                <c:pt idx="5">
                  <c:v>-1.8020480672583499E-15</c:v>
                </c:pt>
                <c:pt idx="6">
                  <c:v>-2.06421647796101E-15</c:v>
                </c:pt>
                <c:pt idx="7">
                  <c:v>4.7491528835860702E-3</c:v>
                </c:pt>
                <c:pt idx="8">
                  <c:v>2.0473859939250001E-2</c:v>
                </c:pt>
                <c:pt idx="9">
                  <c:v>1.4855620296338801E-2</c:v>
                </c:pt>
                <c:pt idx="10">
                  <c:v>1.15788077846075E-2</c:v>
                </c:pt>
                <c:pt idx="11">
                  <c:v>1.761825356611E-2</c:v>
                </c:pt>
                <c:pt idx="12">
                  <c:v>5.8323897679328799E-3</c:v>
                </c:pt>
                <c:pt idx="13">
                  <c:v>-9.0953215606401003E-3</c:v>
                </c:pt>
                <c:pt idx="14">
                  <c:v>-2.7252132216555001E-3</c:v>
                </c:pt>
                <c:pt idx="15">
                  <c:v>8.4887596903045395E-3</c:v>
                </c:pt>
                <c:pt idx="16">
                  <c:v>1.8442797033485399E-2</c:v>
                </c:pt>
                <c:pt idx="17">
                  <c:v>2.5735527769219599E-2</c:v>
                </c:pt>
                <c:pt idx="18">
                  <c:v>-3.3335034823260999E-3</c:v>
                </c:pt>
                <c:pt idx="19">
                  <c:v>-1.5538949416107801E-2</c:v>
                </c:pt>
                <c:pt idx="20">
                  <c:v>-1.58730229547689E-2</c:v>
                </c:pt>
                <c:pt idx="21">
                  <c:v>-1.5820559235370599E-2</c:v>
                </c:pt>
                <c:pt idx="22">
                  <c:v>-1.5643877008115498E-2</c:v>
                </c:pt>
                <c:pt idx="23">
                  <c:v>-7.7959018512562201E-3</c:v>
                </c:pt>
                <c:pt idx="24">
                  <c:v>-1.2889374624605199E-3</c:v>
                </c:pt>
                <c:pt idx="25">
                  <c:v>-9.2651156479417792E-3</c:v>
                </c:pt>
                <c:pt idx="26">
                  <c:v>-4.4467807962507398E-3</c:v>
                </c:pt>
                <c:pt idx="27">
                  <c:v>-5.0207309344443504E-4</c:v>
                </c:pt>
                <c:pt idx="28">
                  <c:v>4.1764029214087098E-3</c:v>
                </c:pt>
                <c:pt idx="29">
                  <c:v>1.5460289927887999E-2</c:v>
                </c:pt>
                <c:pt idx="30">
                  <c:v>1.67441029355589E-3</c:v>
                </c:pt>
                <c:pt idx="31">
                  <c:v>1.1721127858108899E-2</c:v>
                </c:pt>
                <c:pt idx="32">
                  <c:v>1.45496978630913E-2</c:v>
                </c:pt>
                <c:pt idx="33">
                  <c:v>4.4184659474622197E-3</c:v>
                </c:pt>
                <c:pt idx="34">
                  <c:v>1.3392111807329399E-2</c:v>
                </c:pt>
                <c:pt idx="35">
                  <c:v>1.2567697456115201E-5</c:v>
                </c:pt>
                <c:pt idx="36">
                  <c:v>2.3789635973619498E-3</c:v>
                </c:pt>
                <c:pt idx="37">
                  <c:v>-1.7754652258318499E-3</c:v>
                </c:pt>
                <c:pt idx="38">
                  <c:v>-7.7083415792309198E-3</c:v>
                </c:pt>
                <c:pt idx="39">
                  <c:v>-6.7020924432843196E-3</c:v>
                </c:pt>
                <c:pt idx="40">
                  <c:v>-8.7374120504347796E-3</c:v>
                </c:pt>
                <c:pt idx="41">
                  <c:v>-9.2524505799221994E-3</c:v>
                </c:pt>
                <c:pt idx="42">
                  <c:v>2.28523677754969E-3</c:v>
                </c:pt>
                <c:pt idx="43">
                  <c:v>-6.4466554363746698E-3</c:v>
                </c:pt>
                <c:pt idx="44">
                  <c:v>-1.3137501851749901E-2</c:v>
                </c:pt>
                <c:pt idx="45">
                  <c:v>-1.3457264156163801E-2</c:v>
                </c:pt>
                <c:pt idx="46">
                  <c:v>-1.9428840098438802E-2</c:v>
                </c:pt>
                <c:pt idx="47">
                  <c:v>-1.96194498768506E-2</c:v>
                </c:pt>
                <c:pt idx="48">
                  <c:v>-1.2405590356812201E-2</c:v>
                </c:pt>
                <c:pt idx="49">
                  <c:v>-2.0263573143752201E-2</c:v>
                </c:pt>
                <c:pt idx="50">
                  <c:v>-5.8334468179663396E-3</c:v>
                </c:pt>
                <c:pt idx="51">
                  <c:v>-1.2414623617349199E-2</c:v>
                </c:pt>
                <c:pt idx="52">
                  <c:v>-1.74963522073951E-3</c:v>
                </c:pt>
                <c:pt idx="53">
                  <c:v>3.50231375846449E-3</c:v>
                </c:pt>
                <c:pt idx="54">
                  <c:v>8.9871566327449706E-3</c:v>
                </c:pt>
                <c:pt idx="55">
                  <c:v>5.3198716850731201E-3</c:v>
                </c:pt>
                <c:pt idx="56">
                  <c:v>3.9739709928798602E-3</c:v>
                </c:pt>
                <c:pt idx="57">
                  <c:v>-2.2055694261354401E-2</c:v>
                </c:pt>
                <c:pt idx="58">
                  <c:v>-2.2753427647530699E-2</c:v>
                </c:pt>
                <c:pt idx="59">
                  <c:v>2.6136925326860302E-3</c:v>
                </c:pt>
                <c:pt idx="60">
                  <c:v>2.72630324219055E-2</c:v>
                </c:pt>
                <c:pt idx="61">
                  <c:v>1.11669829822929E-2</c:v>
                </c:pt>
                <c:pt idx="62">
                  <c:v>5.9915565741759597E-3</c:v>
                </c:pt>
                <c:pt idx="63">
                  <c:v>2.8924204517759098E-3</c:v>
                </c:pt>
                <c:pt idx="64">
                  <c:v>-2.90693712937068E-3</c:v>
                </c:pt>
                <c:pt idx="65">
                  <c:v>-1.4961585912818201E-2</c:v>
                </c:pt>
                <c:pt idx="66">
                  <c:v>-1.1597694335807899E-2</c:v>
                </c:pt>
                <c:pt idx="67">
                  <c:v>-7.6369898242944299E-3</c:v>
                </c:pt>
                <c:pt idx="68">
                  <c:v>-8.0980005813044691E-3</c:v>
                </c:pt>
                <c:pt idx="69">
                  <c:v>-3.2937908317254199E-3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8-4FD9-AFB2-13B9C3567D27}"/>
            </c:ext>
          </c:extLst>
        </c:ser>
        <c:ser>
          <c:idx val="6"/>
          <c:order val="6"/>
          <c:tx>
            <c:strRef>
              <c:f>EA_raw_policy_innovations!$S$1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EA_raw_policy_innovations!$L$141:$L$211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EA_raw_policy_innovations!$S$141:$S$211</c:f>
              <c:numCache>
                <c:formatCode>0.00E+00</c:formatCode>
                <c:ptCount val="71"/>
                <c:pt idx="0">
                  <c:v>-1.55632651329818E-16</c:v>
                </c:pt>
                <c:pt idx="1">
                  <c:v>2.63672189933829E-17</c:v>
                </c:pt>
                <c:pt idx="2">
                  <c:v>-2.61426787426237E-16</c:v>
                </c:pt>
                <c:pt idx="3">
                  <c:v>-2.63741954753108E-16</c:v>
                </c:pt>
                <c:pt idx="4">
                  <c:v>-2.4100112601369101E-16</c:v>
                </c:pt>
                <c:pt idx="5">
                  <c:v>2.77251862471945E-17</c:v>
                </c:pt>
                <c:pt idx="6">
                  <c:v>-1.9727100801273601E-16</c:v>
                </c:pt>
                <c:pt idx="7">
                  <c:v>4.8688031840390502E-3</c:v>
                </c:pt>
                <c:pt idx="8">
                  <c:v>2.2781570813233301E-2</c:v>
                </c:pt>
                <c:pt idx="9">
                  <c:v>1.73607111818792E-2</c:v>
                </c:pt>
                <c:pt idx="10">
                  <c:v>1.47258127515391E-2</c:v>
                </c:pt>
                <c:pt idx="11">
                  <c:v>1.8662960536027499E-2</c:v>
                </c:pt>
                <c:pt idx="12">
                  <c:v>7.27113006236058E-3</c:v>
                </c:pt>
                <c:pt idx="13">
                  <c:v>-7.4111867818483102E-3</c:v>
                </c:pt>
                <c:pt idx="14">
                  <c:v>-2.6090900674959699E-3</c:v>
                </c:pt>
                <c:pt idx="15">
                  <c:v>8.0079965605882198E-3</c:v>
                </c:pt>
                <c:pt idx="16">
                  <c:v>1.78957054776391E-2</c:v>
                </c:pt>
                <c:pt idx="17">
                  <c:v>2.31709975826155E-2</c:v>
                </c:pt>
                <c:pt idx="18">
                  <c:v>-4.0983190522255897E-3</c:v>
                </c:pt>
                <c:pt idx="19">
                  <c:v>-1.35512854039562E-2</c:v>
                </c:pt>
                <c:pt idx="20">
                  <c:v>-1.4198597703980499E-2</c:v>
                </c:pt>
                <c:pt idx="21">
                  <c:v>-1.4901572920317799E-2</c:v>
                </c:pt>
                <c:pt idx="22">
                  <c:v>-1.4838968477251999E-2</c:v>
                </c:pt>
                <c:pt idx="23">
                  <c:v>-7.7673557517737501E-3</c:v>
                </c:pt>
                <c:pt idx="24">
                  <c:v>-2.9267718725164301E-3</c:v>
                </c:pt>
                <c:pt idx="25">
                  <c:v>-9.4139004550053001E-3</c:v>
                </c:pt>
                <c:pt idx="26">
                  <c:v>-4.9134828316064602E-3</c:v>
                </c:pt>
                <c:pt idx="27">
                  <c:v>-1.63189364510644E-3</c:v>
                </c:pt>
                <c:pt idx="28">
                  <c:v>2.2782925008483202E-3</c:v>
                </c:pt>
                <c:pt idx="29">
                  <c:v>1.15825236752979E-2</c:v>
                </c:pt>
                <c:pt idx="30">
                  <c:v>-7.93694701661729E-4</c:v>
                </c:pt>
                <c:pt idx="31">
                  <c:v>7.5540169389795003E-3</c:v>
                </c:pt>
                <c:pt idx="32">
                  <c:v>1.02874642415656E-2</c:v>
                </c:pt>
                <c:pt idx="33">
                  <c:v>2.5955655482279199E-3</c:v>
                </c:pt>
                <c:pt idx="34">
                  <c:v>9.6640638204375899E-3</c:v>
                </c:pt>
                <c:pt idx="35">
                  <c:v>-2.2356307892485898E-3</c:v>
                </c:pt>
                <c:pt idx="36">
                  <c:v>-6.7399137956840804E-4</c:v>
                </c:pt>
                <c:pt idx="37">
                  <c:v>-3.8750120908195101E-3</c:v>
                </c:pt>
                <c:pt idx="38">
                  <c:v>-8.7016960420974992E-3</c:v>
                </c:pt>
                <c:pt idx="39">
                  <c:v>-7.3758496218715996E-3</c:v>
                </c:pt>
                <c:pt idx="40">
                  <c:v>-8.4607272454566493E-3</c:v>
                </c:pt>
                <c:pt idx="41">
                  <c:v>-8.4099722107944305E-3</c:v>
                </c:pt>
                <c:pt idx="42">
                  <c:v>1.58215500634023E-3</c:v>
                </c:pt>
                <c:pt idx="43">
                  <c:v>-5.8860757855745101E-3</c:v>
                </c:pt>
                <c:pt idx="44">
                  <c:v>-9.9376661046039708E-3</c:v>
                </c:pt>
                <c:pt idx="45">
                  <c:v>-1.0955442406345601E-2</c:v>
                </c:pt>
                <c:pt idx="46">
                  <c:v>-1.5797211224214999E-2</c:v>
                </c:pt>
                <c:pt idx="47">
                  <c:v>-1.60986447465888E-2</c:v>
                </c:pt>
                <c:pt idx="48">
                  <c:v>-1.08070418674963E-2</c:v>
                </c:pt>
                <c:pt idx="49">
                  <c:v>-1.7810862391938999E-2</c:v>
                </c:pt>
                <c:pt idx="50">
                  <c:v>-6.3113752544428697E-3</c:v>
                </c:pt>
                <c:pt idx="51">
                  <c:v>-1.1429923739358401E-2</c:v>
                </c:pt>
                <c:pt idx="52">
                  <c:v>-3.30540605986756E-3</c:v>
                </c:pt>
                <c:pt idx="53">
                  <c:v>7.0669299155421599E-4</c:v>
                </c:pt>
                <c:pt idx="54">
                  <c:v>4.3231284601443799E-3</c:v>
                </c:pt>
                <c:pt idx="55">
                  <c:v>1.0304913934177299E-3</c:v>
                </c:pt>
                <c:pt idx="56">
                  <c:v>1.14412389147376E-3</c:v>
                </c:pt>
                <c:pt idx="57">
                  <c:v>-1.9951832587264601E-2</c:v>
                </c:pt>
                <c:pt idx="58">
                  <c:v>-1.9847768355553099E-2</c:v>
                </c:pt>
                <c:pt idx="59">
                  <c:v>2.04851648721735E-2</c:v>
                </c:pt>
                <c:pt idx="60">
                  <c:v>3.5348685536075201E-3</c:v>
                </c:pt>
                <c:pt idx="61">
                  <c:v>7.8201314869196792E-3</c:v>
                </c:pt>
                <c:pt idx="62">
                  <c:v>-2.4869440103947901E-3</c:v>
                </c:pt>
                <c:pt idx="63">
                  <c:v>3.81324182105971E-3</c:v>
                </c:pt>
                <c:pt idx="64">
                  <c:v>-8.63401377754653E-3</c:v>
                </c:pt>
                <c:pt idx="65">
                  <c:v>-5.3626113645082402E-3</c:v>
                </c:pt>
                <c:pt idx="66">
                  <c:v>-5.8128839275354898E-3</c:v>
                </c:pt>
                <c:pt idx="67">
                  <c:v>-1.9723235548954401E-3</c:v>
                </c:pt>
                <c:pt idx="68">
                  <c:v>-4.9361232806307302E-3</c:v>
                </c:pt>
                <c:pt idx="69">
                  <c:v>1.1952302463265601E-3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8-4FD9-AFB2-13B9C3567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EA_raw_policy_innovations!$M$1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EA_raw_policy_innovations!$M$144:$M$211</c:f>
              <c:numCache>
                <c:formatCode>0.00E+00</c:formatCode>
                <c:ptCount val="68"/>
                <c:pt idx="0">
                  <c:v>-8.9819542168629002E-2</c:v>
                </c:pt>
                <c:pt idx="1">
                  <c:v>-0.14491432837811799</c:v>
                </c:pt>
                <c:pt idx="2">
                  <c:v>6.54171086147394E-2</c:v>
                </c:pt>
                <c:pt idx="3">
                  <c:v>9.8499101159246996E-2</c:v>
                </c:pt>
                <c:pt idx="4">
                  <c:v>1.7668286999281201E-2</c:v>
                </c:pt>
                <c:pt idx="5">
                  <c:v>-0.21119259737476601</c:v>
                </c:pt>
                <c:pt idx="6">
                  <c:v>-2.7768160911512602E-2</c:v>
                </c:pt>
                <c:pt idx="7">
                  <c:v>2.6948247303760699E-2</c:v>
                </c:pt>
                <c:pt idx="8">
                  <c:v>6.2528698771621302E-2</c:v>
                </c:pt>
                <c:pt idx="9">
                  <c:v>-4.1806314749415402E-2</c:v>
                </c:pt>
                <c:pt idx="10">
                  <c:v>2.6291022304074298E-4</c:v>
                </c:pt>
                <c:pt idx="11">
                  <c:v>5.9432247091283003E-2</c:v>
                </c:pt>
                <c:pt idx="12">
                  <c:v>4.26904542872781E-2</c:v>
                </c:pt>
                <c:pt idx="13">
                  <c:v>-2.0559393152613601E-2</c:v>
                </c:pt>
                <c:pt idx="14">
                  <c:v>0.143008216601543</c:v>
                </c:pt>
                <c:pt idx="15">
                  <c:v>0.13236237018913499</c:v>
                </c:pt>
                <c:pt idx="16">
                  <c:v>8.43407568231586E-2</c:v>
                </c:pt>
                <c:pt idx="17">
                  <c:v>-2.84894525700429E-2</c:v>
                </c:pt>
                <c:pt idx="18">
                  <c:v>0.13316222068410299</c:v>
                </c:pt>
                <c:pt idx="19">
                  <c:v>0.124236900254334</c:v>
                </c:pt>
                <c:pt idx="20">
                  <c:v>0.18903261558874301</c:v>
                </c:pt>
                <c:pt idx="21">
                  <c:v>0.26863732531501</c:v>
                </c:pt>
                <c:pt idx="22">
                  <c:v>0.158751939138048</c:v>
                </c:pt>
                <c:pt idx="23">
                  <c:v>0.13650560478849399</c:v>
                </c:pt>
                <c:pt idx="24">
                  <c:v>0.13299804474565399</c:v>
                </c:pt>
                <c:pt idx="25">
                  <c:v>0.27751354444445298</c:v>
                </c:pt>
                <c:pt idx="26">
                  <c:v>0.17781995286097399</c:v>
                </c:pt>
                <c:pt idx="27">
                  <c:v>0.102443780762229</c:v>
                </c:pt>
                <c:pt idx="28">
                  <c:v>0.10405252587354399</c:v>
                </c:pt>
                <c:pt idx="29">
                  <c:v>0.24105884806757599</c:v>
                </c:pt>
                <c:pt idx="30">
                  <c:v>6.1048571799659598E-2</c:v>
                </c:pt>
                <c:pt idx="31">
                  <c:v>0.123004933412604</c:v>
                </c:pt>
                <c:pt idx="32">
                  <c:v>0.112318958007877</c:v>
                </c:pt>
                <c:pt idx="33">
                  <c:v>1.9373625681624301E-2</c:v>
                </c:pt>
                <c:pt idx="34">
                  <c:v>4.1393981698760199E-2</c:v>
                </c:pt>
                <c:pt idx="35">
                  <c:v>8.08803366549041E-2</c:v>
                </c:pt>
                <c:pt idx="36">
                  <c:v>1.18545827348343E-2</c:v>
                </c:pt>
                <c:pt idx="37">
                  <c:v>4.7772178479286602E-4</c:v>
                </c:pt>
                <c:pt idx="38">
                  <c:v>-5.3846154197835401E-3</c:v>
                </c:pt>
                <c:pt idx="39">
                  <c:v>2.7674623693728799E-2</c:v>
                </c:pt>
                <c:pt idx="40">
                  <c:v>-4.7190922647352203E-2</c:v>
                </c:pt>
                <c:pt idx="41">
                  <c:v>-3.5272544281394903E-2</c:v>
                </c:pt>
                <c:pt idx="42">
                  <c:v>-0.13647831511386299</c:v>
                </c:pt>
                <c:pt idx="43">
                  <c:v>-5.3144367706255302E-2</c:v>
                </c:pt>
                <c:pt idx="44">
                  <c:v>-0.102037412542772</c:v>
                </c:pt>
                <c:pt idx="45">
                  <c:v>-9.8429155042303207E-2</c:v>
                </c:pt>
                <c:pt idx="46">
                  <c:v>-7.8116455584404595E-2</c:v>
                </c:pt>
                <c:pt idx="47">
                  <c:v>-0.105530013140224</c:v>
                </c:pt>
                <c:pt idx="48">
                  <c:v>-4.8879620212975802E-2</c:v>
                </c:pt>
                <c:pt idx="49">
                  <c:v>0.25549312764432103</c:v>
                </c:pt>
                <c:pt idx="50">
                  <c:v>0.44566547179567001</c:v>
                </c:pt>
                <c:pt idx="51">
                  <c:v>0.638207091863357</c:v>
                </c:pt>
                <c:pt idx="52">
                  <c:v>0.58428135466330999</c:v>
                </c:pt>
                <c:pt idx="53">
                  <c:v>0.26997458306090899</c:v>
                </c:pt>
                <c:pt idx="54">
                  <c:v>-0.52720721617412603</c:v>
                </c:pt>
                <c:pt idx="55">
                  <c:v>-0.44702695287873001</c:v>
                </c:pt>
                <c:pt idx="56">
                  <c:v>-0.106449297655619</c:v>
                </c:pt>
                <c:pt idx="57">
                  <c:v>-0.24082499018470899</c:v>
                </c:pt>
                <c:pt idx="58">
                  <c:v>-0.26002079553936802</c:v>
                </c:pt>
                <c:pt idx="59">
                  <c:v>-8.4684901935361906E-2</c:v>
                </c:pt>
                <c:pt idx="60">
                  <c:v>0.19504715455560701</c:v>
                </c:pt>
                <c:pt idx="61">
                  <c:v>6.7853325056823205E-2</c:v>
                </c:pt>
                <c:pt idx="62">
                  <c:v>9.7175789513415295E-2</c:v>
                </c:pt>
                <c:pt idx="63">
                  <c:v>7.2230044057408405E-2</c:v>
                </c:pt>
                <c:pt idx="64">
                  <c:v>0.14282199116419</c:v>
                </c:pt>
                <c:pt idx="65">
                  <c:v>-6.4293396076666497E-3</c:v>
                </c:pt>
                <c:pt idx="66">
                  <c:v>7.5541036338766396E-2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7-41DB-A42A-F6596C1D6337}"/>
            </c:ext>
          </c:extLst>
        </c:ser>
        <c:ser>
          <c:idx val="1"/>
          <c:order val="1"/>
          <c:tx>
            <c:strRef>
              <c:f>EA_raw_policy_innovations!$N$1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EA_raw_policy_innovations!$N$144:$N$211</c:f>
              <c:numCache>
                <c:formatCode>0.00E+00</c:formatCode>
                <c:ptCount val="68"/>
                <c:pt idx="0">
                  <c:v>8.2326317280932694E-17</c:v>
                </c:pt>
                <c:pt idx="1">
                  <c:v>-1.46570608296403E-16</c:v>
                </c:pt>
                <c:pt idx="2">
                  <c:v>-1.4923192408629501E-16</c:v>
                </c:pt>
                <c:pt idx="3">
                  <c:v>-3.0337163129458601E-16</c:v>
                </c:pt>
                <c:pt idx="4">
                  <c:v>-6.2924705200712496E-3</c:v>
                </c:pt>
                <c:pt idx="5">
                  <c:v>5.58414303926424E-3</c:v>
                </c:pt>
                <c:pt idx="6">
                  <c:v>3.7662482321688799E-3</c:v>
                </c:pt>
                <c:pt idx="7">
                  <c:v>3.5338774104016102E-4</c:v>
                </c:pt>
                <c:pt idx="8">
                  <c:v>2.1625004930780502E-4</c:v>
                </c:pt>
                <c:pt idx="9">
                  <c:v>-3.0780742693446101E-3</c:v>
                </c:pt>
                <c:pt idx="10">
                  <c:v>-2.5684633579561799E-3</c:v>
                </c:pt>
                <c:pt idx="11">
                  <c:v>-3.62634158484811E-3</c:v>
                </c:pt>
                <c:pt idx="12">
                  <c:v>-3.6073327373363196E-3</c:v>
                </c:pt>
                <c:pt idx="13">
                  <c:v>-1.7073155001002601E-3</c:v>
                </c:pt>
                <c:pt idx="14">
                  <c:v>-2.8273128206056201E-3</c:v>
                </c:pt>
                <c:pt idx="15">
                  <c:v>-1.03225964966635E-2</c:v>
                </c:pt>
                <c:pt idx="16">
                  <c:v>-1.4285197616390698E-2</c:v>
                </c:pt>
                <c:pt idx="17">
                  <c:v>-2.4906281461304102E-3</c:v>
                </c:pt>
                <c:pt idx="18">
                  <c:v>-6.75815354815248E-4</c:v>
                </c:pt>
                <c:pt idx="19">
                  <c:v>3.16508951834337E-4</c:v>
                </c:pt>
                <c:pt idx="20">
                  <c:v>-3.4058528135477001E-4</c:v>
                </c:pt>
                <c:pt idx="21">
                  <c:v>1.07516793924588E-3</c:v>
                </c:pt>
                <c:pt idx="22">
                  <c:v>-1.02772822732889E-4</c:v>
                </c:pt>
                <c:pt idx="23">
                  <c:v>-2.8944540043666304E-4</c:v>
                </c:pt>
                <c:pt idx="24">
                  <c:v>2.7735766295823502E-4</c:v>
                </c:pt>
                <c:pt idx="25">
                  <c:v>3.0972878917172699E-4</c:v>
                </c:pt>
                <c:pt idx="26">
                  <c:v>1.8147684666897299E-3</c:v>
                </c:pt>
                <c:pt idx="27">
                  <c:v>1.7626296539229099E-3</c:v>
                </c:pt>
                <c:pt idx="28">
                  <c:v>4.3190070241970599E-3</c:v>
                </c:pt>
                <c:pt idx="29">
                  <c:v>3.7247883703693798E-3</c:v>
                </c:pt>
                <c:pt idx="30">
                  <c:v>-4.0770481515464799E-4</c:v>
                </c:pt>
                <c:pt idx="31">
                  <c:v>3.1266190300889298E-3</c:v>
                </c:pt>
                <c:pt idx="32">
                  <c:v>4.9631157570643103E-4</c:v>
                </c:pt>
                <c:pt idx="33">
                  <c:v>2.2992386932249699E-3</c:v>
                </c:pt>
                <c:pt idx="34">
                  <c:v>2.7049095928908698E-3</c:v>
                </c:pt>
                <c:pt idx="35">
                  <c:v>7.8937751789710396E-4</c:v>
                </c:pt>
                <c:pt idx="36">
                  <c:v>3.8705805529818901E-4</c:v>
                </c:pt>
                <c:pt idx="37">
                  <c:v>1.6215568577604798E-5</c:v>
                </c:pt>
                <c:pt idx="38">
                  <c:v>-7.9805442144560094E-4</c:v>
                </c:pt>
                <c:pt idx="39">
                  <c:v>1.73205498236496E-3</c:v>
                </c:pt>
                <c:pt idx="40">
                  <c:v>2.2921848527516299E-4</c:v>
                </c:pt>
                <c:pt idx="41">
                  <c:v>-2.54855706104349E-3</c:v>
                </c:pt>
                <c:pt idx="42">
                  <c:v>-2.2782253916245701E-3</c:v>
                </c:pt>
                <c:pt idx="43">
                  <c:v>-2.9218829869696698E-3</c:v>
                </c:pt>
                <c:pt idx="44">
                  <c:v>-2.41347177101364E-3</c:v>
                </c:pt>
                <c:pt idx="45">
                  <c:v>-5.7412894115646399E-4</c:v>
                </c:pt>
                <c:pt idx="46">
                  <c:v>-3.2999534364331401E-3</c:v>
                </c:pt>
                <c:pt idx="47">
                  <c:v>5.5944438790615802E-4</c:v>
                </c:pt>
                <c:pt idx="48">
                  <c:v>-1.9895497699789402E-3</c:v>
                </c:pt>
                <c:pt idx="49">
                  <c:v>1.6998586958282599E-3</c:v>
                </c:pt>
                <c:pt idx="50">
                  <c:v>3.8060780148908096E-3</c:v>
                </c:pt>
                <c:pt idx="51">
                  <c:v>6.1487794992014597E-3</c:v>
                </c:pt>
                <c:pt idx="52">
                  <c:v>9.4567898041968898E-3</c:v>
                </c:pt>
                <c:pt idx="53">
                  <c:v>6.5117668311579103E-3</c:v>
                </c:pt>
                <c:pt idx="54">
                  <c:v>-2.4867750547304798E-3</c:v>
                </c:pt>
                <c:pt idx="55">
                  <c:v>-3.3276084344473302E-3</c:v>
                </c:pt>
                <c:pt idx="56">
                  <c:v>-4.0294974451643894E-4</c:v>
                </c:pt>
                <c:pt idx="57">
                  <c:v>-2.8635933055124099E-3</c:v>
                </c:pt>
                <c:pt idx="58">
                  <c:v>1.4278272149815001E-3</c:v>
                </c:pt>
                <c:pt idx="59">
                  <c:v>4.0674004269464197E-3</c:v>
                </c:pt>
                <c:pt idx="60">
                  <c:v>4.3311666416656095E-3</c:v>
                </c:pt>
                <c:pt idx="61">
                  <c:v>4.1435394030272504E-3</c:v>
                </c:pt>
                <c:pt idx="62">
                  <c:v>2.9643422887094199E-4</c:v>
                </c:pt>
                <c:pt idx="63">
                  <c:v>8.4556108529052908E-4</c:v>
                </c:pt>
                <c:pt idx="64">
                  <c:v>7.1751511631156601E-4</c:v>
                </c:pt>
                <c:pt idx="65">
                  <c:v>-1.92670646632675E-3</c:v>
                </c:pt>
                <c:pt idx="66">
                  <c:v>-2.7110770959999399E-3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7-41DB-A42A-F6596C1D6337}"/>
            </c:ext>
          </c:extLst>
        </c:ser>
        <c:ser>
          <c:idx val="2"/>
          <c:order val="2"/>
          <c:tx>
            <c:strRef>
              <c:f>EA_raw_policy_innovations!$O$1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EA_raw_policy_innovations!$O$144:$O$211</c:f>
              <c:numCache>
                <c:formatCode>0.00E+00</c:formatCode>
                <c:ptCount val="68"/>
                <c:pt idx="0">
                  <c:v>-4.9056363419289499E-15</c:v>
                </c:pt>
                <c:pt idx="1">
                  <c:v>-6.2442519622946497E-15</c:v>
                </c:pt>
                <c:pt idx="2">
                  <c:v>-5.3909185232871399E-15</c:v>
                </c:pt>
                <c:pt idx="3">
                  <c:v>-6.5421696403603702E-15</c:v>
                </c:pt>
                <c:pt idx="4">
                  <c:v>1.08248113065792E-2</c:v>
                </c:pt>
                <c:pt idx="5">
                  <c:v>6.6290195054513196E-2</c:v>
                </c:pt>
                <c:pt idx="6">
                  <c:v>2.4496482847909101E-2</c:v>
                </c:pt>
                <c:pt idx="7">
                  <c:v>1.13376681525137E-2</c:v>
                </c:pt>
                <c:pt idx="8">
                  <c:v>1.49904066896594E-2</c:v>
                </c:pt>
                <c:pt idx="9">
                  <c:v>1.16909791261651E-2</c:v>
                </c:pt>
                <c:pt idx="10">
                  <c:v>-1.53303315651895E-3</c:v>
                </c:pt>
                <c:pt idx="11">
                  <c:v>1.12410369790913E-2</c:v>
                </c:pt>
                <c:pt idx="12">
                  <c:v>2.4090015843093698E-2</c:v>
                </c:pt>
                <c:pt idx="13">
                  <c:v>3.7003135417451601E-2</c:v>
                </c:pt>
                <c:pt idx="14">
                  <c:v>5.56273320693743E-2</c:v>
                </c:pt>
                <c:pt idx="15">
                  <c:v>3.5548901652231603E-2</c:v>
                </c:pt>
                <c:pt idx="16">
                  <c:v>3.3250628529609402E-2</c:v>
                </c:pt>
                <c:pt idx="17">
                  <c:v>1.07107122758658E-2</c:v>
                </c:pt>
                <c:pt idx="18">
                  <c:v>-2.7147848252600799E-3</c:v>
                </c:pt>
                <c:pt idx="19">
                  <c:v>-4.1988574005580297E-3</c:v>
                </c:pt>
                <c:pt idx="20">
                  <c:v>9.4315756418121999E-4</c:v>
                </c:pt>
                <c:pt idx="21">
                  <c:v>1.4922802208688199E-2</c:v>
                </c:pt>
                <c:pt idx="22">
                  <c:v>2.1697724939497899E-3</c:v>
                </c:pt>
                <c:pt idx="23">
                  <c:v>2.1878837515110498E-3</c:v>
                </c:pt>
                <c:pt idx="24">
                  <c:v>1.08651050927386E-2</c:v>
                </c:pt>
                <c:pt idx="25">
                  <c:v>2.2782337640927401E-2</c:v>
                </c:pt>
                <c:pt idx="26">
                  <c:v>3.74405707678796E-2</c:v>
                </c:pt>
                <c:pt idx="27">
                  <c:v>1.6756378399511301E-2</c:v>
                </c:pt>
                <c:pt idx="28">
                  <c:v>2.60469622004143E-2</c:v>
                </c:pt>
                <c:pt idx="29">
                  <c:v>3.1623425723236502E-2</c:v>
                </c:pt>
                <c:pt idx="30">
                  <c:v>1.42391802709736E-2</c:v>
                </c:pt>
                <c:pt idx="31">
                  <c:v>3.2510205425828997E-2</c:v>
                </c:pt>
                <c:pt idx="32">
                  <c:v>7.4477155090279402E-3</c:v>
                </c:pt>
                <c:pt idx="33">
                  <c:v>1.0558669256352999E-2</c:v>
                </c:pt>
                <c:pt idx="34">
                  <c:v>4.6783301781770899E-3</c:v>
                </c:pt>
                <c:pt idx="35">
                  <c:v>-5.8038415842859396E-3</c:v>
                </c:pt>
                <c:pt idx="36">
                  <c:v>-4.49611157435753E-3</c:v>
                </c:pt>
                <c:pt idx="37">
                  <c:v>-7.7175210605255002E-3</c:v>
                </c:pt>
                <c:pt idx="38">
                  <c:v>-1.0360795694355201E-2</c:v>
                </c:pt>
                <c:pt idx="39">
                  <c:v>9.2493717523609402E-3</c:v>
                </c:pt>
                <c:pt idx="40">
                  <c:v>-5.3041038976974399E-3</c:v>
                </c:pt>
                <c:pt idx="41">
                  <c:v>-2.1147936579196999E-2</c:v>
                </c:pt>
                <c:pt idx="42">
                  <c:v>-1.7562675336122002E-2</c:v>
                </c:pt>
                <c:pt idx="43">
                  <c:v>-2.46759760614245E-2</c:v>
                </c:pt>
                <c:pt idx="44">
                  <c:v>-2.6779825459803001E-2</c:v>
                </c:pt>
                <c:pt idx="45">
                  <c:v>-1.2911733970758101E-2</c:v>
                </c:pt>
                <c:pt idx="46">
                  <c:v>-3.0780435866294899E-2</c:v>
                </c:pt>
                <c:pt idx="47">
                  <c:v>-1.10649190174971E-2</c:v>
                </c:pt>
                <c:pt idx="48">
                  <c:v>-1.6101691485530999E-2</c:v>
                </c:pt>
                <c:pt idx="49">
                  <c:v>3.0904085855693701E-3</c:v>
                </c:pt>
                <c:pt idx="50">
                  <c:v>1.8200530507933299E-2</c:v>
                </c:pt>
                <c:pt idx="51">
                  <c:v>2.62663415301655E-2</c:v>
                </c:pt>
                <c:pt idx="52">
                  <c:v>2.8067507495561299E-2</c:v>
                </c:pt>
                <c:pt idx="53">
                  <c:v>1.40551037593183E-2</c:v>
                </c:pt>
                <c:pt idx="54">
                  <c:v>-4.1761827369391803E-2</c:v>
                </c:pt>
                <c:pt idx="55">
                  <c:v>-4.8285690684055797E-2</c:v>
                </c:pt>
                <c:pt idx="56">
                  <c:v>-3.8201320750806601E-2</c:v>
                </c:pt>
                <c:pt idx="57">
                  <c:v>-1.5232096510049699E-2</c:v>
                </c:pt>
                <c:pt idx="58">
                  <c:v>2.4446597109481698E-2</c:v>
                </c:pt>
                <c:pt idx="59">
                  <c:v>2.36828339978538E-2</c:v>
                </c:pt>
                <c:pt idx="60">
                  <c:v>5.2307671556407503E-2</c:v>
                </c:pt>
                <c:pt idx="61">
                  <c:v>4.3886303609311497E-3</c:v>
                </c:pt>
                <c:pt idx="62">
                  <c:v>4.9317176166744203E-3</c:v>
                </c:pt>
                <c:pt idx="63">
                  <c:v>-5.7305121648797896E-3</c:v>
                </c:pt>
                <c:pt idx="64">
                  <c:v>-4.2408401272856699E-3</c:v>
                </c:pt>
                <c:pt idx="65">
                  <c:v>-3.5676220759558702E-2</c:v>
                </c:pt>
                <c:pt idx="66">
                  <c:v>-1.8482684204911601E-2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7-41DB-A42A-F6596C1D6337}"/>
            </c:ext>
          </c:extLst>
        </c:ser>
        <c:ser>
          <c:idx val="3"/>
          <c:order val="3"/>
          <c:tx>
            <c:strRef>
              <c:f>EA_raw_policy_innovations!$P$1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EA_raw_policy_innovations!$P$144:$P$211</c:f>
              <c:numCache>
                <c:formatCode>0.00E+00</c:formatCode>
                <c:ptCount val="68"/>
                <c:pt idx="0">
                  <c:v>-3.82452798506327E-15</c:v>
                </c:pt>
                <c:pt idx="1">
                  <c:v>-4.7761183263065804E-15</c:v>
                </c:pt>
                <c:pt idx="2">
                  <c:v>-3.9592532971499599E-15</c:v>
                </c:pt>
                <c:pt idx="3">
                  <c:v>-4.6656216943090304E-15</c:v>
                </c:pt>
                <c:pt idx="4">
                  <c:v>2.38640391248333E-2</c:v>
                </c:pt>
                <c:pt idx="5">
                  <c:v>2.7200391130327399E-2</c:v>
                </c:pt>
                <c:pt idx="6">
                  <c:v>1.45115019178013E-2</c:v>
                </c:pt>
                <c:pt idx="7">
                  <c:v>6.9020475569436497E-3</c:v>
                </c:pt>
                <c:pt idx="8">
                  <c:v>1.9716201507600801E-2</c:v>
                </c:pt>
                <c:pt idx="9">
                  <c:v>5.9763775295607197E-3</c:v>
                </c:pt>
                <c:pt idx="10">
                  <c:v>-1.3989517035623299E-2</c:v>
                </c:pt>
                <c:pt idx="11">
                  <c:v>-2.06877328246657E-3</c:v>
                </c:pt>
                <c:pt idx="12">
                  <c:v>7.3852652981611297E-3</c:v>
                </c:pt>
                <c:pt idx="13">
                  <c:v>2.00680126157292E-2</c:v>
                </c:pt>
                <c:pt idx="14">
                  <c:v>3.1424407927767697E-2</c:v>
                </c:pt>
                <c:pt idx="15">
                  <c:v>-1.7733212816796701E-3</c:v>
                </c:pt>
                <c:pt idx="16">
                  <c:v>-1.28474672198592E-2</c:v>
                </c:pt>
                <c:pt idx="17">
                  <c:v>-1.44179226512904E-2</c:v>
                </c:pt>
                <c:pt idx="18">
                  <c:v>-1.3109601347184901E-2</c:v>
                </c:pt>
                <c:pt idx="19">
                  <c:v>-1.29407270920612E-2</c:v>
                </c:pt>
                <c:pt idx="20">
                  <c:v>-3.3565681443372998E-3</c:v>
                </c:pt>
                <c:pt idx="21">
                  <c:v>4.8401467666106196E-3</c:v>
                </c:pt>
                <c:pt idx="22">
                  <c:v>-4.9839973723782103E-3</c:v>
                </c:pt>
                <c:pt idx="23">
                  <c:v>-1.0813045013817199E-3</c:v>
                </c:pt>
                <c:pt idx="24">
                  <c:v>5.3106546481543199E-3</c:v>
                </c:pt>
                <c:pt idx="25">
                  <c:v>1.17372313631267E-2</c:v>
                </c:pt>
                <c:pt idx="26">
                  <c:v>2.58274979811727E-2</c:v>
                </c:pt>
                <c:pt idx="27">
                  <c:v>5.26940860685432E-3</c:v>
                </c:pt>
                <c:pt idx="28">
                  <c:v>1.8187361170142899E-2</c:v>
                </c:pt>
                <c:pt idx="29">
                  <c:v>2.3476193488177002E-2</c:v>
                </c:pt>
                <c:pt idx="30">
                  <c:v>8.2170303647824908E-3</c:v>
                </c:pt>
                <c:pt idx="31">
                  <c:v>2.2328105845015399E-2</c:v>
                </c:pt>
                <c:pt idx="32">
                  <c:v>3.4096377130895801E-3</c:v>
                </c:pt>
                <c:pt idx="33">
                  <c:v>6.3453131140163797E-3</c:v>
                </c:pt>
                <c:pt idx="34">
                  <c:v>3.2889333847415502E-3</c:v>
                </c:pt>
                <c:pt idx="35">
                  <c:v>-4.1900405047257698E-3</c:v>
                </c:pt>
                <c:pt idx="36">
                  <c:v>-4.8741228053916204E-3</c:v>
                </c:pt>
                <c:pt idx="37">
                  <c:v>-7.6189249611582502E-3</c:v>
                </c:pt>
                <c:pt idx="38">
                  <c:v>-9.8399896061041603E-3</c:v>
                </c:pt>
                <c:pt idx="39">
                  <c:v>5.2703157904662899E-3</c:v>
                </c:pt>
                <c:pt idx="40">
                  <c:v>-5.9117569684508601E-3</c:v>
                </c:pt>
                <c:pt idx="41">
                  <c:v>-1.81037665541086E-2</c:v>
                </c:pt>
                <c:pt idx="42">
                  <c:v>-1.6843785431095999E-2</c:v>
                </c:pt>
                <c:pt idx="43">
                  <c:v>-2.408745619022E-2</c:v>
                </c:pt>
                <c:pt idx="44">
                  <c:v>-2.46821073500068E-2</c:v>
                </c:pt>
                <c:pt idx="45">
                  <c:v>-1.38839713128849E-2</c:v>
                </c:pt>
                <c:pt idx="46">
                  <c:v>-2.6042349751849599E-2</c:v>
                </c:pt>
                <c:pt idx="47">
                  <c:v>-6.0925785266572104E-3</c:v>
                </c:pt>
                <c:pt idx="48">
                  <c:v>-1.5936370756721201E-2</c:v>
                </c:pt>
                <c:pt idx="49">
                  <c:v>5.2174775087707301E-4</c:v>
                </c:pt>
                <c:pt idx="50">
                  <c:v>1.1910533183139E-2</c:v>
                </c:pt>
                <c:pt idx="51">
                  <c:v>2.26768858903286E-2</c:v>
                </c:pt>
                <c:pt idx="52">
                  <c:v>1.94497562408786E-2</c:v>
                </c:pt>
                <c:pt idx="53">
                  <c:v>1.31401793492093E-2</c:v>
                </c:pt>
                <c:pt idx="54">
                  <c:v>-3.0152436346291601E-2</c:v>
                </c:pt>
                <c:pt idx="55">
                  <c:v>-3.40473937051868E-2</c:v>
                </c:pt>
                <c:pt idx="56">
                  <c:v>-2.1969341651982301E-2</c:v>
                </c:pt>
                <c:pt idx="57">
                  <c:v>-2.6758316678113501E-3</c:v>
                </c:pt>
                <c:pt idx="58">
                  <c:v>2.31306302751468E-2</c:v>
                </c:pt>
                <c:pt idx="59">
                  <c:v>4.0300245939031198E-2</c:v>
                </c:pt>
                <c:pt idx="60">
                  <c:v>1.47655919143206E-2</c:v>
                </c:pt>
                <c:pt idx="61">
                  <c:v>5.1707779408656203E-3</c:v>
                </c:pt>
                <c:pt idx="62">
                  <c:v>-5.4223978143280597E-3</c:v>
                </c:pt>
                <c:pt idx="63">
                  <c:v>-8.5910144321421893E-3</c:v>
                </c:pt>
                <c:pt idx="64">
                  <c:v>-2.3119289769440401E-2</c:v>
                </c:pt>
                <c:pt idx="65">
                  <c:v>-2.2861864050057999E-2</c:v>
                </c:pt>
                <c:pt idx="66">
                  <c:v>-1.2157127543457E-2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F7-41DB-A42A-F6596C1D6337}"/>
            </c:ext>
          </c:extLst>
        </c:ser>
        <c:ser>
          <c:idx val="4"/>
          <c:order val="4"/>
          <c:tx>
            <c:strRef>
              <c:f>EA_raw_policy_innovations!$Q$1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EA_raw_policy_innovations!$Q$144:$Q$211</c:f>
              <c:numCache>
                <c:formatCode>0.00E+00</c:formatCode>
                <c:ptCount val="68"/>
                <c:pt idx="0">
                  <c:v>-3.25006733727786E-15</c:v>
                </c:pt>
                <c:pt idx="1">
                  <c:v>-3.8123966122048899E-15</c:v>
                </c:pt>
                <c:pt idx="2">
                  <c:v>-2.8885303618880198E-15</c:v>
                </c:pt>
                <c:pt idx="3">
                  <c:v>-3.2465390554728601E-15</c:v>
                </c:pt>
                <c:pt idx="4">
                  <c:v>6.42723430201699E-3</c:v>
                </c:pt>
                <c:pt idx="5">
                  <c:v>2.1695584909056199E-2</c:v>
                </c:pt>
                <c:pt idx="6">
                  <c:v>1.72733308562532E-2</c:v>
                </c:pt>
                <c:pt idx="7">
                  <c:v>1.04010412660913E-2</c:v>
                </c:pt>
                <c:pt idx="8">
                  <c:v>2.1296758287659201E-2</c:v>
                </c:pt>
                <c:pt idx="9">
                  <c:v>7.5489939417762199E-3</c:v>
                </c:pt>
                <c:pt idx="10">
                  <c:v>-1.20280874226217E-2</c:v>
                </c:pt>
                <c:pt idx="11">
                  <c:v>-2.5057468595976102E-3</c:v>
                </c:pt>
                <c:pt idx="12">
                  <c:v>7.72928275918024E-3</c:v>
                </c:pt>
                <c:pt idx="13">
                  <c:v>1.9483384074450098E-2</c:v>
                </c:pt>
                <c:pt idx="14">
                  <c:v>2.84781577650315E-2</c:v>
                </c:pt>
                <c:pt idx="15">
                  <c:v>-3.4547658667141001E-3</c:v>
                </c:pt>
                <c:pt idx="16">
                  <c:v>-1.6698406972845001E-2</c:v>
                </c:pt>
                <c:pt idx="17">
                  <c:v>-1.6323701097298901E-2</c:v>
                </c:pt>
                <c:pt idx="18">
                  <c:v>-1.5735684586260599E-2</c:v>
                </c:pt>
                <c:pt idx="19">
                  <c:v>-1.55745744885283E-2</c:v>
                </c:pt>
                <c:pt idx="20">
                  <c:v>-6.9603588650439096E-3</c:v>
                </c:pt>
                <c:pt idx="21">
                  <c:v>1.24040170057407E-3</c:v>
                </c:pt>
                <c:pt idx="22">
                  <c:v>-7.8528720969830695E-3</c:v>
                </c:pt>
                <c:pt idx="23">
                  <c:v>-2.5208478617714798E-3</c:v>
                </c:pt>
                <c:pt idx="24">
                  <c:v>1.5121663349599501E-3</c:v>
                </c:pt>
                <c:pt idx="25">
                  <c:v>6.7854201947896197E-3</c:v>
                </c:pt>
                <c:pt idx="26">
                  <c:v>1.9652119037593299E-2</c:v>
                </c:pt>
                <c:pt idx="27">
                  <c:v>2.5843991118115E-3</c:v>
                </c:pt>
                <c:pt idx="28">
                  <c:v>1.4218391060141101E-2</c:v>
                </c:pt>
                <c:pt idx="29">
                  <c:v>1.8343151751158401E-2</c:v>
                </c:pt>
                <c:pt idx="30">
                  <c:v>6.0117168753340599E-3</c:v>
                </c:pt>
                <c:pt idx="31">
                  <c:v>1.7051176755570101E-2</c:v>
                </c:pt>
                <c:pt idx="32">
                  <c:v>1.44002475135532E-3</c:v>
                </c:pt>
                <c:pt idx="33">
                  <c:v>3.96403913493163E-3</c:v>
                </c:pt>
                <c:pt idx="34">
                  <c:v>3.0249741357696899E-4</c:v>
                </c:pt>
                <c:pt idx="35">
                  <c:v>-6.2274163937127303E-3</c:v>
                </c:pt>
                <c:pt idx="36">
                  <c:v>-5.82399432526607E-3</c:v>
                </c:pt>
                <c:pt idx="37">
                  <c:v>-8.0956244474725495E-3</c:v>
                </c:pt>
                <c:pt idx="38">
                  <c:v>-9.2573604479976607E-3</c:v>
                </c:pt>
                <c:pt idx="39">
                  <c:v>3.8403497835271701E-3</c:v>
                </c:pt>
                <c:pt idx="40">
                  <c:v>-6.36678073010645E-3</c:v>
                </c:pt>
                <c:pt idx="41">
                  <c:v>-1.5750892386583899E-2</c:v>
                </c:pt>
                <c:pt idx="42">
                  <c:v>-1.5296824507966199E-2</c:v>
                </c:pt>
                <c:pt idx="43">
                  <c:v>-2.2261519887800198E-2</c:v>
                </c:pt>
                <c:pt idx="44">
                  <c:v>-2.2727698961721599E-2</c:v>
                </c:pt>
                <c:pt idx="45">
                  <c:v>-1.32759479435059E-2</c:v>
                </c:pt>
                <c:pt idx="46">
                  <c:v>-2.33666265960993E-2</c:v>
                </c:pt>
                <c:pt idx="47">
                  <c:v>-6.0286032605031603E-3</c:v>
                </c:pt>
                <c:pt idx="48">
                  <c:v>-1.4399154016329499E-2</c:v>
                </c:pt>
                <c:pt idx="49">
                  <c:v>-1.2312310396587599E-3</c:v>
                </c:pt>
                <c:pt idx="50">
                  <c:v>6.8600779577284799E-3</c:v>
                </c:pt>
                <c:pt idx="51">
                  <c:v>1.4843075857914299E-2</c:v>
                </c:pt>
                <c:pt idx="52">
                  <c:v>1.0654997859662001E-2</c:v>
                </c:pt>
                <c:pt idx="53">
                  <c:v>7.4290895971492396E-3</c:v>
                </c:pt>
                <c:pt idx="54">
                  <c:v>-2.6110892034707098E-2</c:v>
                </c:pt>
                <c:pt idx="55">
                  <c:v>-2.8080578158102401E-2</c:v>
                </c:pt>
                <c:pt idx="56">
                  <c:v>-1.83518139173534E-2</c:v>
                </c:pt>
                <c:pt idx="57">
                  <c:v>8.9280170921685401E-3</c:v>
                </c:pt>
                <c:pt idx="58">
                  <c:v>3.9742186715325797E-2</c:v>
                </c:pt>
                <c:pt idx="59">
                  <c:v>8.1452138550923703E-3</c:v>
                </c:pt>
                <c:pt idx="60">
                  <c:v>1.2746187534520399E-2</c:v>
                </c:pt>
                <c:pt idx="61">
                  <c:v>-4.01373117988144E-3</c:v>
                </c:pt>
                <c:pt idx="62">
                  <c:v>-5.7844490735295996E-3</c:v>
                </c:pt>
                <c:pt idx="63">
                  <c:v>-2.1796390741324199E-2</c:v>
                </c:pt>
                <c:pt idx="64">
                  <c:v>-1.32158097405966E-2</c:v>
                </c:pt>
                <c:pt idx="65">
                  <c:v>-1.5259031669921101E-2</c:v>
                </c:pt>
                <c:pt idx="66">
                  <c:v>-5.8524159786189998E-3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F7-41DB-A42A-F6596C1D6337}"/>
            </c:ext>
          </c:extLst>
        </c:ser>
        <c:ser>
          <c:idx val="5"/>
          <c:order val="5"/>
          <c:tx>
            <c:strRef>
              <c:f>EA_raw_policy_innovations!$R$1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EA_raw_policy_innovations!$R$144:$R$211</c:f>
              <c:numCache>
                <c:formatCode>0.00E+00</c:formatCode>
                <c:ptCount val="68"/>
                <c:pt idx="0">
                  <c:v>-2.4845698980406498E-15</c:v>
                </c:pt>
                <c:pt idx="1">
                  <c:v>-2.5269650566543102E-15</c:v>
                </c:pt>
                <c:pt idx="2">
                  <c:v>-1.8020480672583499E-15</c:v>
                </c:pt>
                <c:pt idx="3">
                  <c:v>-2.06421647796101E-15</c:v>
                </c:pt>
                <c:pt idx="4">
                  <c:v>4.7491528835860702E-3</c:v>
                </c:pt>
                <c:pt idx="5">
                  <c:v>2.0473859939250001E-2</c:v>
                </c:pt>
                <c:pt idx="6">
                  <c:v>1.4855620296338801E-2</c:v>
                </c:pt>
                <c:pt idx="7">
                  <c:v>1.15788077846075E-2</c:v>
                </c:pt>
                <c:pt idx="8">
                  <c:v>1.761825356611E-2</c:v>
                </c:pt>
                <c:pt idx="9">
                  <c:v>5.8323897679328799E-3</c:v>
                </c:pt>
                <c:pt idx="10">
                  <c:v>-9.0953215606401003E-3</c:v>
                </c:pt>
                <c:pt idx="11">
                  <c:v>-2.7252132216555001E-3</c:v>
                </c:pt>
                <c:pt idx="12">
                  <c:v>8.4887596903045395E-3</c:v>
                </c:pt>
                <c:pt idx="13">
                  <c:v>1.8442797033485399E-2</c:v>
                </c:pt>
                <c:pt idx="14">
                  <c:v>2.5735527769219599E-2</c:v>
                </c:pt>
                <c:pt idx="15">
                  <c:v>-3.3335034823260999E-3</c:v>
                </c:pt>
                <c:pt idx="16">
                  <c:v>-1.5538949416107801E-2</c:v>
                </c:pt>
                <c:pt idx="17">
                  <c:v>-1.58730229547689E-2</c:v>
                </c:pt>
                <c:pt idx="18">
                  <c:v>-1.5820559235370599E-2</c:v>
                </c:pt>
                <c:pt idx="19">
                  <c:v>-1.5643877008115498E-2</c:v>
                </c:pt>
                <c:pt idx="20">
                  <c:v>-7.7959018512562201E-3</c:v>
                </c:pt>
                <c:pt idx="21">
                  <c:v>-1.2889374624605199E-3</c:v>
                </c:pt>
                <c:pt idx="22">
                  <c:v>-9.2651156479417792E-3</c:v>
                </c:pt>
                <c:pt idx="23">
                  <c:v>-4.4467807962507398E-3</c:v>
                </c:pt>
                <c:pt idx="24">
                  <c:v>-5.0207309344443504E-4</c:v>
                </c:pt>
                <c:pt idx="25">
                  <c:v>4.1764029214087098E-3</c:v>
                </c:pt>
                <c:pt idx="26">
                  <c:v>1.5460289927887999E-2</c:v>
                </c:pt>
                <c:pt idx="27">
                  <c:v>1.67441029355589E-3</c:v>
                </c:pt>
                <c:pt idx="28">
                  <c:v>1.1721127858108899E-2</c:v>
                </c:pt>
                <c:pt idx="29">
                  <c:v>1.45496978630913E-2</c:v>
                </c:pt>
                <c:pt idx="30">
                  <c:v>4.4184659474622197E-3</c:v>
                </c:pt>
                <c:pt idx="31">
                  <c:v>1.3392111807329399E-2</c:v>
                </c:pt>
                <c:pt idx="32">
                  <c:v>1.2567697456115201E-5</c:v>
                </c:pt>
                <c:pt idx="33">
                  <c:v>2.3789635973619498E-3</c:v>
                </c:pt>
                <c:pt idx="34">
                  <c:v>-1.7754652258318499E-3</c:v>
                </c:pt>
                <c:pt idx="35">
                  <c:v>-7.7083415792309198E-3</c:v>
                </c:pt>
                <c:pt idx="36">
                  <c:v>-6.7020924432843196E-3</c:v>
                </c:pt>
                <c:pt idx="37">
                  <c:v>-8.7374120504347796E-3</c:v>
                </c:pt>
                <c:pt idx="38">
                  <c:v>-9.2524505799221994E-3</c:v>
                </c:pt>
                <c:pt idx="39">
                  <c:v>2.28523677754969E-3</c:v>
                </c:pt>
                <c:pt idx="40">
                  <c:v>-6.4466554363746698E-3</c:v>
                </c:pt>
                <c:pt idx="41">
                  <c:v>-1.3137501851749901E-2</c:v>
                </c:pt>
                <c:pt idx="42">
                  <c:v>-1.3457264156163801E-2</c:v>
                </c:pt>
                <c:pt idx="43">
                  <c:v>-1.9428840098438802E-2</c:v>
                </c:pt>
                <c:pt idx="44">
                  <c:v>-1.96194498768506E-2</c:v>
                </c:pt>
                <c:pt idx="45">
                  <c:v>-1.2405590356812201E-2</c:v>
                </c:pt>
                <c:pt idx="46">
                  <c:v>-2.0263573143752201E-2</c:v>
                </c:pt>
                <c:pt idx="47">
                  <c:v>-5.8334468179663396E-3</c:v>
                </c:pt>
                <c:pt idx="48">
                  <c:v>-1.2414623617349199E-2</c:v>
                </c:pt>
                <c:pt idx="49">
                  <c:v>-1.74963522073951E-3</c:v>
                </c:pt>
                <c:pt idx="50">
                  <c:v>3.50231375846449E-3</c:v>
                </c:pt>
                <c:pt idx="51">
                  <c:v>8.9871566327449706E-3</c:v>
                </c:pt>
                <c:pt idx="52">
                  <c:v>5.3198716850731201E-3</c:v>
                </c:pt>
                <c:pt idx="53">
                  <c:v>3.9739709928798602E-3</c:v>
                </c:pt>
                <c:pt idx="54">
                  <c:v>-2.2055694261354401E-2</c:v>
                </c:pt>
                <c:pt idx="55">
                  <c:v>-2.2753427647530699E-2</c:v>
                </c:pt>
                <c:pt idx="56">
                  <c:v>2.6136925326860302E-3</c:v>
                </c:pt>
                <c:pt idx="57">
                  <c:v>2.72630324219055E-2</c:v>
                </c:pt>
                <c:pt idx="58">
                  <c:v>1.11669829822929E-2</c:v>
                </c:pt>
                <c:pt idx="59">
                  <c:v>5.9915565741759597E-3</c:v>
                </c:pt>
                <c:pt idx="60">
                  <c:v>2.8924204517759098E-3</c:v>
                </c:pt>
                <c:pt idx="61">
                  <c:v>-2.90693712937068E-3</c:v>
                </c:pt>
                <c:pt idx="62">
                  <c:v>-1.4961585912818201E-2</c:v>
                </c:pt>
                <c:pt idx="63">
                  <c:v>-1.1597694335807899E-2</c:v>
                </c:pt>
                <c:pt idx="64">
                  <c:v>-7.6369898242944299E-3</c:v>
                </c:pt>
                <c:pt idx="65">
                  <c:v>-8.0980005813044691E-3</c:v>
                </c:pt>
                <c:pt idx="66">
                  <c:v>-3.2937908317254199E-3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F7-41DB-A42A-F6596C1D6337}"/>
            </c:ext>
          </c:extLst>
        </c:ser>
        <c:ser>
          <c:idx val="6"/>
          <c:order val="6"/>
          <c:tx>
            <c:strRef>
              <c:f>EA_raw_policy_innovations!$S$1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EA_raw_policy_innovations!$AD$144:$AD$211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EA_raw_policy_innovations!$S$144:$S$211</c:f>
              <c:numCache>
                <c:formatCode>0.00E+00</c:formatCode>
                <c:ptCount val="68"/>
                <c:pt idx="0">
                  <c:v>-2.63741954753108E-16</c:v>
                </c:pt>
                <c:pt idx="1">
                  <c:v>-2.4100112601369101E-16</c:v>
                </c:pt>
                <c:pt idx="2">
                  <c:v>2.77251862471945E-17</c:v>
                </c:pt>
                <c:pt idx="3">
                  <c:v>-1.9727100801273601E-16</c:v>
                </c:pt>
                <c:pt idx="4">
                  <c:v>4.8688031840390502E-3</c:v>
                </c:pt>
                <c:pt idx="5">
                  <c:v>2.2781570813233301E-2</c:v>
                </c:pt>
                <c:pt idx="6">
                  <c:v>1.73607111818792E-2</c:v>
                </c:pt>
                <c:pt idx="7">
                  <c:v>1.47258127515391E-2</c:v>
                </c:pt>
                <c:pt idx="8">
                  <c:v>1.8662960536027499E-2</c:v>
                </c:pt>
                <c:pt idx="9">
                  <c:v>7.27113006236058E-3</c:v>
                </c:pt>
                <c:pt idx="10">
                  <c:v>-7.4111867818483102E-3</c:v>
                </c:pt>
                <c:pt idx="11">
                  <c:v>-2.6090900674959699E-3</c:v>
                </c:pt>
                <c:pt idx="12">
                  <c:v>8.0079965605882198E-3</c:v>
                </c:pt>
                <c:pt idx="13">
                  <c:v>1.78957054776391E-2</c:v>
                </c:pt>
                <c:pt idx="14">
                  <c:v>2.31709975826155E-2</c:v>
                </c:pt>
                <c:pt idx="15">
                  <c:v>-4.0983190522255897E-3</c:v>
                </c:pt>
                <c:pt idx="16">
                  <c:v>-1.35512854039562E-2</c:v>
                </c:pt>
                <c:pt idx="17">
                  <c:v>-1.4198597703980499E-2</c:v>
                </c:pt>
                <c:pt idx="18">
                  <c:v>-1.4901572920317799E-2</c:v>
                </c:pt>
                <c:pt idx="19">
                  <c:v>-1.4838968477251999E-2</c:v>
                </c:pt>
                <c:pt idx="20">
                  <c:v>-7.7673557517737501E-3</c:v>
                </c:pt>
                <c:pt idx="21">
                  <c:v>-2.9267718725164301E-3</c:v>
                </c:pt>
                <c:pt idx="22">
                  <c:v>-9.4139004550053001E-3</c:v>
                </c:pt>
                <c:pt idx="23">
                  <c:v>-4.9134828316064602E-3</c:v>
                </c:pt>
                <c:pt idx="24">
                  <c:v>-1.63189364510644E-3</c:v>
                </c:pt>
                <c:pt idx="25">
                  <c:v>2.2782925008483202E-3</c:v>
                </c:pt>
                <c:pt idx="26">
                  <c:v>1.15825236752979E-2</c:v>
                </c:pt>
                <c:pt idx="27">
                  <c:v>-7.93694701661729E-4</c:v>
                </c:pt>
                <c:pt idx="28">
                  <c:v>7.5540169389795003E-3</c:v>
                </c:pt>
                <c:pt idx="29">
                  <c:v>1.02874642415656E-2</c:v>
                </c:pt>
                <c:pt idx="30">
                  <c:v>2.5955655482279199E-3</c:v>
                </c:pt>
                <c:pt idx="31">
                  <c:v>9.6640638204375899E-3</c:v>
                </c:pt>
                <c:pt idx="32">
                  <c:v>-2.2356307892485898E-3</c:v>
                </c:pt>
                <c:pt idx="33">
                  <c:v>-6.7399137956840804E-4</c:v>
                </c:pt>
                <c:pt idx="34">
                  <c:v>-3.8750120908195101E-3</c:v>
                </c:pt>
                <c:pt idx="35">
                  <c:v>-8.7016960420974992E-3</c:v>
                </c:pt>
                <c:pt idx="36">
                  <c:v>-7.3758496218715996E-3</c:v>
                </c:pt>
                <c:pt idx="37">
                  <c:v>-8.4607272454566493E-3</c:v>
                </c:pt>
                <c:pt idx="38">
                  <c:v>-8.4099722107944305E-3</c:v>
                </c:pt>
                <c:pt idx="39">
                  <c:v>1.58215500634023E-3</c:v>
                </c:pt>
                <c:pt idx="40">
                  <c:v>-5.8860757855745101E-3</c:v>
                </c:pt>
                <c:pt idx="41">
                  <c:v>-9.9376661046039708E-3</c:v>
                </c:pt>
                <c:pt idx="42">
                  <c:v>-1.0955442406345601E-2</c:v>
                </c:pt>
                <c:pt idx="43">
                  <c:v>-1.5797211224214999E-2</c:v>
                </c:pt>
                <c:pt idx="44">
                  <c:v>-1.60986447465888E-2</c:v>
                </c:pt>
                <c:pt idx="45">
                  <c:v>-1.08070418674963E-2</c:v>
                </c:pt>
                <c:pt idx="46">
                  <c:v>-1.7810862391938999E-2</c:v>
                </c:pt>
                <c:pt idx="47">
                  <c:v>-6.3113752544428697E-3</c:v>
                </c:pt>
                <c:pt idx="48">
                  <c:v>-1.1429923739358401E-2</c:v>
                </c:pt>
                <c:pt idx="49">
                  <c:v>-3.30540605986756E-3</c:v>
                </c:pt>
                <c:pt idx="50">
                  <c:v>7.0669299155421599E-4</c:v>
                </c:pt>
                <c:pt idx="51">
                  <c:v>4.3231284601443799E-3</c:v>
                </c:pt>
                <c:pt idx="52">
                  <c:v>1.0304913934177299E-3</c:v>
                </c:pt>
                <c:pt idx="53">
                  <c:v>1.14412389147376E-3</c:v>
                </c:pt>
                <c:pt idx="54">
                  <c:v>-1.9951832587264601E-2</c:v>
                </c:pt>
                <c:pt idx="55">
                  <c:v>-1.9847768355553099E-2</c:v>
                </c:pt>
                <c:pt idx="56">
                  <c:v>2.04851648721735E-2</c:v>
                </c:pt>
                <c:pt idx="57">
                  <c:v>3.5348685536075201E-3</c:v>
                </c:pt>
                <c:pt idx="58">
                  <c:v>7.8201314869196792E-3</c:v>
                </c:pt>
                <c:pt idx="59">
                  <c:v>-2.4869440103947901E-3</c:v>
                </c:pt>
                <c:pt idx="60">
                  <c:v>3.81324182105971E-3</c:v>
                </c:pt>
                <c:pt idx="61">
                  <c:v>-8.63401377754653E-3</c:v>
                </c:pt>
                <c:pt idx="62">
                  <c:v>-5.3626113645082402E-3</c:v>
                </c:pt>
                <c:pt idx="63">
                  <c:v>-5.8128839275354898E-3</c:v>
                </c:pt>
                <c:pt idx="64">
                  <c:v>-1.9723235548954401E-3</c:v>
                </c:pt>
                <c:pt idx="65">
                  <c:v>-4.9361232806307302E-3</c:v>
                </c:pt>
                <c:pt idx="66">
                  <c:v>1.1952302463265601E-3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F7-41DB-A42A-F6596C1D6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381553</xdr:colOff>
      <xdr:row>227</xdr:row>
      <xdr:rowOff>32923</xdr:rowOff>
    </xdr:from>
    <xdr:to>
      <xdr:col>20</xdr:col>
      <xdr:colOff>76752</xdr:colOff>
      <xdr:row>244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CA7E7-847E-43E6-8CC2-0B38664E1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454083</xdr:colOff>
      <xdr:row>211</xdr:row>
      <xdr:rowOff>97484</xdr:rowOff>
    </xdr:from>
    <xdr:to>
      <xdr:col>28</xdr:col>
      <xdr:colOff>487422</xdr:colOff>
      <xdr:row>237</xdr:row>
      <xdr:rowOff>159396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35852-8F1B-4FF3-A209-A52225803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562169</xdr:colOff>
      <xdr:row>190</xdr:row>
      <xdr:rowOff>94344</xdr:rowOff>
    </xdr:from>
    <xdr:to>
      <xdr:col>18</xdr:col>
      <xdr:colOff>137106</xdr:colOff>
      <xdr:row>216</xdr:row>
      <xdr:rowOff>148368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06E4C9-1F86-4234-A8D0-378EACBFD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519546</xdr:colOff>
      <xdr:row>190</xdr:row>
      <xdr:rowOff>138546</xdr:rowOff>
    </xdr:from>
    <xdr:to>
      <xdr:col>37</xdr:col>
      <xdr:colOff>94483</xdr:colOff>
      <xdr:row>217</xdr:row>
      <xdr:rowOff>36707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FFB3C-6694-47AA-AFFD-E81EA7E23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381553</xdr:colOff>
      <xdr:row>178</xdr:row>
      <xdr:rowOff>32923</xdr:rowOff>
    </xdr:from>
    <xdr:to>
      <xdr:col>29</xdr:col>
      <xdr:colOff>76752</xdr:colOff>
      <xdr:row>195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81AA2-7FAD-4FDD-9D4A-37A6AAFFC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562169</xdr:colOff>
      <xdr:row>141</xdr:row>
      <xdr:rowOff>94344</xdr:rowOff>
    </xdr:from>
    <xdr:to>
      <xdr:col>27</xdr:col>
      <xdr:colOff>137106</xdr:colOff>
      <xdr:row>167</xdr:row>
      <xdr:rowOff>148368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2A080-71B9-43FD-A9A2-6475AC46C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137</xdr:row>
      <xdr:rowOff>0</xdr:rowOff>
    </xdr:from>
    <xdr:to>
      <xdr:col>44</xdr:col>
      <xdr:colOff>181072</xdr:colOff>
      <xdr:row>163</xdr:row>
      <xdr:rowOff>54023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AF9DC-83B2-4692-8378-203AACCEB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Update%20of%20Chart%20US.xlsx" TargetMode="External"/><Relationship Id="rId1" Type="http://schemas.openxmlformats.org/officeDocument/2006/relationships/externalLinkPath" Target="US/Update%20of%20Chart%20U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EA\Charts%20EA%20Final.xlsx" TargetMode="External"/><Relationship Id="rId1" Type="http://schemas.openxmlformats.org/officeDocument/2006/relationships/externalLinkPath" Target="EA/Charts%20EA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charts"/>
      <sheetName val="US_output_policy"/>
      <sheetName val="US_output_with_textbckup"/>
      <sheetName val="US_nominal_obs_with_text"/>
      <sheetName val="US_output_with_text_backup"/>
      <sheetName val="US_output_with_text_backup_1"/>
      <sheetName val="US_core_obs_with_textbckup"/>
      <sheetName val="US_core_obs_with_text_backup"/>
      <sheetName val="US_core_obs"/>
      <sheetName val="Counterfactual_charts"/>
      <sheetName val="US_core_with_text"/>
      <sheetName val="US_output_with_text"/>
      <sheetName val="US_raw_policy_shocks_with_text"/>
      <sheetName val="Output gap"/>
      <sheetName val="Raw_Policy_Shocks"/>
      <sheetName val="Chart 1 -panel 2 - spreads"/>
      <sheetName val="YC Chart - Policy rate"/>
      <sheetName val="Chart 2 - Real rate gaps"/>
      <sheetName val="Chart 3 - rstar"/>
      <sheetName val="rstar_confidence bands Chart"/>
      <sheetName val="US_5yExpectedAveRealRateGap"/>
      <sheetName val="US_5yFWDRealRateGap"/>
      <sheetName val="US_RealRateGap"/>
      <sheetName val="Decomposition"/>
      <sheetName val="DSGE HVD wFG_new"/>
      <sheetName val="DSGE HVD wFG"/>
      <sheetName val="DSGE HVD woFG"/>
      <sheetName val="US_output_withoutFG_DELTA"/>
      <sheetName val="US_output_withoutFG_noYC"/>
      <sheetName val="US_output_w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Chart"/>
      <sheetName val="Counterfactual_charts"/>
      <sheetName val="Ex_post_real_rate_gaps"/>
      <sheetName val="EA_output_obs_with_text"/>
      <sheetName val="EA_output_obs_with_text_backup"/>
      <sheetName val="EA_output_policy"/>
      <sheetName val="EA_core_obs_text"/>
      <sheetName val="EA_rawshocks_with_text_final"/>
      <sheetName val="EA_core_obs_with_text"/>
      <sheetName val="EA_rawshocks_with_text"/>
      <sheetName val="EA_raw_policy_shocks"/>
      <sheetName val="Chart 3 - rstar"/>
      <sheetName val="EA_core_obs"/>
      <sheetName val="rstar_confidence bands Chart"/>
      <sheetName val="EA_5yExpectedAveRealRateGap"/>
      <sheetName val="EA_5yFWDRealRateGap"/>
      <sheetName val="EA_RealRateGap"/>
      <sheetName val="Chart NA - DSGE Raw Data"/>
      <sheetName val="DSGE HVD wFG - difference"/>
      <sheetName val="YC Chart - Policy rate"/>
      <sheetName val="Chart 1 -panel 2 - spreads"/>
      <sheetName val="DSGE HVD wFG"/>
      <sheetName val="Chart 2 - Real rate gaps"/>
      <sheetName val="Decomposition"/>
      <sheetName val="DSGE HVD wFGbackup"/>
      <sheetName val="EA_output_withoutFG_noYC"/>
      <sheetName val="EA_output_wFG"/>
      <sheetName val="EA_policy_rarte_vs_shadow_rate"/>
      <sheetName val="shockdec_obs_nominalrate_cond=n"/>
      <sheetName val="DSGE HVD wo FG"/>
      <sheetName val="2025Q2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ealR_woFG"/>
      <sheetName val="hist_Forward5YearRNat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M1" t="str">
            <v>Monetary Policy</v>
          </cell>
          <cell r="N1" t="str">
            <v>FG1</v>
          </cell>
          <cell r="O1" t="str">
            <v>FG2</v>
          </cell>
          <cell r="P1" t="str">
            <v>FG3</v>
          </cell>
          <cell r="Q1" t="str">
            <v>FG4</v>
          </cell>
          <cell r="R1" t="str">
            <v>FG5</v>
          </cell>
          <cell r="S1" t="str">
            <v>FG6</v>
          </cell>
        </row>
        <row r="2">
          <cell r="A2">
            <v>26480</v>
          </cell>
          <cell r="N2">
            <v>3.7149200574819896E-18</v>
          </cell>
          <cell r="O2">
            <v>-2.4097873438486502E-15</v>
          </cell>
          <cell r="P2">
            <v>-2.1346650809060499E-15</v>
          </cell>
          <cell r="Q2">
            <v>-1.37698524217825E-15</v>
          </cell>
          <cell r="R2">
            <v>-9.0487083758056192E-16</v>
          </cell>
        </row>
        <row r="3">
          <cell r="A3">
            <v>26572</v>
          </cell>
          <cell r="N3">
            <v>1.07487653757854E-16</v>
          </cell>
          <cell r="O3">
            <v>-2.2114482834630402E-15</v>
          </cell>
          <cell r="P3">
            <v>-2.2931418302717299E-15</v>
          </cell>
          <cell r="Q3">
            <v>-1.4723040343825299E-15</v>
          </cell>
          <cell r="R3">
            <v>-1.0347681615313001E-15</v>
          </cell>
        </row>
        <row r="4">
          <cell r="A4">
            <v>26664</v>
          </cell>
          <cell r="N4">
            <v>-1.7240305911295201E-16</v>
          </cell>
          <cell r="O4">
            <v>-2.7881125960746299E-15</v>
          </cell>
          <cell r="P4">
            <v>-2.7370623107252301E-15</v>
          </cell>
          <cell r="Q4">
            <v>-1.7989368784269701E-15</v>
          </cell>
          <cell r="R4">
            <v>-1.18995048248095E-15</v>
          </cell>
        </row>
        <row r="5">
          <cell r="A5">
            <v>26754</v>
          </cell>
          <cell r="N5">
            <v>-3.6165666115960902E-16</v>
          </cell>
          <cell r="O5">
            <v>-2.7979513828236698E-15</v>
          </cell>
          <cell r="P5">
            <v>-2.7836170214081899E-15</v>
          </cell>
          <cell r="Q5">
            <v>-1.7561753895316999E-15</v>
          </cell>
          <cell r="R5">
            <v>-1.2143603575339901E-15</v>
          </cell>
        </row>
        <row r="6">
          <cell r="A6">
            <v>26845</v>
          </cell>
          <cell r="N6">
            <v>-6.0139896952338805E-16</v>
          </cell>
          <cell r="O6">
            <v>-3.00790825175393E-15</v>
          </cell>
          <cell r="P6">
            <v>-2.9069039158094798E-15</v>
          </cell>
          <cell r="Q6">
            <v>-1.8318481522634099E-15</v>
          </cell>
          <cell r="R6">
            <v>-1.1299721296344599E-15</v>
          </cell>
        </row>
        <row r="7">
          <cell r="A7">
            <v>26937</v>
          </cell>
          <cell r="N7">
            <v>-1.16487380270825E-15</v>
          </cell>
          <cell r="O7">
            <v>-3.3597909610713598E-15</v>
          </cell>
          <cell r="P7">
            <v>-3.2342145797829202E-15</v>
          </cell>
          <cell r="Q7">
            <v>-1.9195573672616201E-15</v>
          </cell>
          <cell r="R7">
            <v>-1.1533944871483601E-15</v>
          </cell>
        </row>
        <row r="8">
          <cell r="A8">
            <v>27029</v>
          </cell>
          <cell r="N8">
            <v>-1.3840736032268E-15</v>
          </cell>
          <cell r="O8">
            <v>-3.4392079744386798E-15</v>
          </cell>
          <cell r="P8">
            <v>-3.2094054928007901E-15</v>
          </cell>
          <cell r="Q8">
            <v>-1.8336257729404701E-15</v>
          </cell>
          <cell r="R8">
            <v>-1.20633563139791E-15</v>
          </cell>
        </row>
        <row r="9">
          <cell r="A9">
            <v>27119</v>
          </cell>
          <cell r="N9">
            <v>-1.4981976830693199E-15</v>
          </cell>
          <cell r="O9">
            <v>-3.3884135958035198E-15</v>
          </cell>
          <cell r="P9">
            <v>-3.1121354804572298E-15</v>
          </cell>
          <cell r="Q9">
            <v>-1.8065765750958498E-15</v>
          </cell>
          <cell r="R9">
            <v>-1.0943467068489299E-15</v>
          </cell>
        </row>
        <row r="10">
          <cell r="A10">
            <v>27210</v>
          </cell>
          <cell r="N10">
            <v>-1.47597858183858E-15</v>
          </cell>
          <cell r="O10">
            <v>-3.2938203779411999E-15</v>
          </cell>
          <cell r="P10">
            <v>-3.1240666040500301E-15</v>
          </cell>
          <cell r="Q10">
            <v>-1.6851820247021199E-15</v>
          </cell>
          <cell r="R10">
            <v>-1.0385795046946399E-15</v>
          </cell>
        </row>
        <row r="11">
          <cell r="A11">
            <v>27302</v>
          </cell>
          <cell r="N11">
            <v>-1.62884723711957E-15</v>
          </cell>
          <cell r="O11">
            <v>-3.4864397245467201E-15</v>
          </cell>
          <cell r="P11">
            <v>-3.1682249541241001E-15</v>
          </cell>
          <cell r="Q11">
            <v>-1.72189899742747E-15</v>
          </cell>
          <cell r="R11">
            <v>-1.0550041345847099E-15</v>
          </cell>
        </row>
        <row r="12">
          <cell r="A12">
            <v>27394</v>
          </cell>
          <cell r="N12">
            <v>-1.5628896923297801E-15</v>
          </cell>
          <cell r="O12">
            <v>-3.1607289130464098E-15</v>
          </cell>
          <cell r="P12">
            <v>-2.8228885569945901E-15</v>
          </cell>
          <cell r="Q12">
            <v>-1.3271789390907599E-15</v>
          </cell>
          <cell r="R12">
            <v>-8.5152745756638197E-16</v>
          </cell>
        </row>
        <row r="13">
          <cell r="A13">
            <v>27484</v>
          </cell>
          <cell r="N13">
            <v>-1.1802988317491599E-15</v>
          </cell>
          <cell r="O13">
            <v>-2.9547281230228599E-15</v>
          </cell>
          <cell r="P13">
            <v>-2.5299028073605099E-15</v>
          </cell>
          <cell r="Q13">
            <v>-1.2754037267325201E-15</v>
          </cell>
          <cell r="R13">
            <v>-5.4518264926536503E-16</v>
          </cell>
        </row>
        <row r="14">
          <cell r="A14">
            <v>27575</v>
          </cell>
          <cell r="N14">
            <v>-1.0435186317842601E-15</v>
          </cell>
          <cell r="O14">
            <v>-2.9486695559653902E-15</v>
          </cell>
          <cell r="P14">
            <v>-2.6727246921616699E-15</v>
          </cell>
          <cell r="Q14">
            <v>-1.1458089307086899E-15</v>
          </cell>
          <cell r="R14">
            <v>-9.1983581225323399E-16</v>
          </cell>
        </row>
        <row r="15">
          <cell r="A15">
            <v>27667</v>
          </cell>
          <cell r="N15">
            <v>-1.02520565546002E-15</v>
          </cell>
          <cell r="O15">
            <v>-3.1389687436043098E-15</v>
          </cell>
          <cell r="P15">
            <v>-2.5488605541248102E-15</v>
          </cell>
          <cell r="Q15">
            <v>-1.49963043295008E-15</v>
          </cell>
          <cell r="R15">
            <v>-1.0619899187380199E-15</v>
          </cell>
        </row>
        <row r="16">
          <cell r="A16">
            <v>27759</v>
          </cell>
          <cell r="N16">
            <v>-1.16354272079522E-15</v>
          </cell>
          <cell r="O16">
            <v>-3.0355645513433102E-15</v>
          </cell>
          <cell r="P16">
            <v>-2.92210064611332E-15</v>
          </cell>
          <cell r="Q16">
            <v>-1.66204918422677E-15</v>
          </cell>
          <cell r="R16">
            <v>-1.1749623955652201E-15</v>
          </cell>
        </row>
        <row r="17">
          <cell r="A17">
            <v>27850</v>
          </cell>
          <cell r="N17">
            <v>-5.6511609406161397E-16</v>
          </cell>
          <cell r="O17">
            <v>-3.0915305092184801E-15</v>
          </cell>
          <cell r="P17">
            <v>-2.8033254002096802E-15</v>
          </cell>
          <cell r="Q17">
            <v>-1.56810639835782E-15</v>
          </cell>
          <cell r="R17">
            <v>-1.1257799861767501E-15</v>
          </cell>
        </row>
        <row r="18">
          <cell r="A18">
            <v>27941</v>
          </cell>
          <cell r="N18">
            <v>-9.6512913394217709E-16</v>
          </cell>
          <cell r="O18">
            <v>-3.36102778403823E-15</v>
          </cell>
          <cell r="P18">
            <v>-3.0206270751295701E-15</v>
          </cell>
          <cell r="Q18">
            <v>-1.71394124388896E-15</v>
          </cell>
          <cell r="R18">
            <v>-1.12918128097687E-15</v>
          </cell>
        </row>
        <row r="19">
          <cell r="A19">
            <v>28033</v>
          </cell>
          <cell r="N19">
            <v>-1.09401077734402E-15</v>
          </cell>
          <cell r="O19">
            <v>-3.4018928481449498E-15</v>
          </cell>
          <cell r="P19">
            <v>-3.0502087492044899E-15</v>
          </cell>
          <cell r="Q19">
            <v>-1.6342233814777699E-15</v>
          </cell>
          <cell r="R19">
            <v>-1.17971805997396E-15</v>
          </cell>
        </row>
        <row r="20">
          <cell r="A20">
            <v>28125</v>
          </cell>
          <cell r="N20">
            <v>-1.08093294248267E-15</v>
          </cell>
          <cell r="O20">
            <v>-3.4978569398441299E-15</v>
          </cell>
          <cell r="P20">
            <v>-3.1041362144761099E-15</v>
          </cell>
          <cell r="Q20">
            <v>-1.8233171627830101E-15</v>
          </cell>
          <cell r="R20">
            <v>-1.27616703280452E-15</v>
          </cell>
        </row>
        <row r="21">
          <cell r="A21">
            <v>28215</v>
          </cell>
          <cell r="N21">
            <v>-7.0773755143204601E-16</v>
          </cell>
          <cell r="O21">
            <v>-3.14238595280178E-15</v>
          </cell>
          <cell r="P21">
            <v>-2.89493814259229E-15</v>
          </cell>
          <cell r="Q21">
            <v>-1.50740592785181E-15</v>
          </cell>
          <cell r="R21">
            <v>-1.2179709531344601E-15</v>
          </cell>
        </row>
        <row r="22">
          <cell r="A22">
            <v>28306</v>
          </cell>
          <cell r="N22">
            <v>-7.7945043766654796E-17</v>
          </cell>
          <cell r="O22">
            <v>-2.9299208053411902E-15</v>
          </cell>
          <cell r="P22">
            <v>-2.54343411607223E-15</v>
          </cell>
          <cell r="Q22">
            <v>-1.4680336034794099E-15</v>
          </cell>
          <cell r="R22">
            <v>-8.8615983949615702E-16</v>
          </cell>
        </row>
        <row r="23">
          <cell r="A23">
            <v>28398</v>
          </cell>
          <cell r="N23">
            <v>9.1722870027801002E-18</v>
          </cell>
          <cell r="O23">
            <v>-2.9371301274410702E-15</v>
          </cell>
          <cell r="P23">
            <v>-2.7820635931855298E-15</v>
          </cell>
          <cell r="Q23">
            <v>-1.3683742713444101E-15</v>
          </cell>
          <cell r="R23">
            <v>-1.1566328317645601E-15</v>
          </cell>
        </row>
        <row r="24">
          <cell r="A24">
            <v>28490</v>
          </cell>
          <cell r="N24">
            <v>3.46345664276256E-16</v>
          </cell>
          <cell r="O24">
            <v>-3.0254889161445101E-15</v>
          </cell>
          <cell r="P24">
            <v>-2.5069695310632302E-15</v>
          </cell>
          <cell r="Q24">
            <v>-1.50765496427817E-15</v>
          </cell>
          <cell r="R24">
            <v>-1.4189828935515199E-15</v>
          </cell>
        </row>
        <row r="25">
          <cell r="A25">
            <v>28580</v>
          </cell>
          <cell r="N25">
            <v>6.9030600062045705E-16</v>
          </cell>
          <cell r="O25">
            <v>-2.5050520494941299E-15</v>
          </cell>
          <cell r="P25">
            <v>-2.3861332865446099E-15</v>
          </cell>
          <cell r="Q25">
            <v>-1.5628654996000301E-15</v>
          </cell>
          <cell r="R25">
            <v>-1.2192099903848E-15</v>
          </cell>
        </row>
        <row r="26">
          <cell r="A26">
            <v>28671</v>
          </cell>
          <cell r="N26">
            <v>1.25680276502342E-15</v>
          </cell>
          <cell r="O26">
            <v>-2.6148994619956E-15</v>
          </cell>
          <cell r="P26">
            <v>-2.65503235309497E-15</v>
          </cell>
          <cell r="Q26">
            <v>-1.57543983079553E-15</v>
          </cell>
          <cell r="R26">
            <v>-1.2809180715271399E-15</v>
          </cell>
        </row>
        <row r="27">
          <cell r="A27">
            <v>28763</v>
          </cell>
          <cell r="N27">
            <v>9.5915658951570095E-16</v>
          </cell>
          <cell r="O27">
            <v>-3.1186575172126098E-15</v>
          </cell>
          <cell r="P27">
            <v>-2.82590560310852E-15</v>
          </cell>
          <cell r="Q27">
            <v>-1.7211986573313801E-15</v>
          </cell>
          <cell r="R27">
            <v>-1.49577634755856E-15</v>
          </cell>
        </row>
        <row r="28">
          <cell r="A28">
            <v>28855</v>
          </cell>
          <cell r="N28">
            <v>5.6365600811780303E-16</v>
          </cell>
          <cell r="O28">
            <v>-3.2277769079197201E-15</v>
          </cell>
          <cell r="P28">
            <v>-2.9404026546635699E-15</v>
          </cell>
          <cell r="Q28">
            <v>-1.9585865579844899E-15</v>
          </cell>
          <cell r="R28">
            <v>-1.53119918848205E-15</v>
          </cell>
        </row>
        <row r="29">
          <cell r="A29">
            <v>28945</v>
          </cell>
          <cell r="N29">
            <v>1.10201195946975E-15</v>
          </cell>
          <cell r="O29">
            <v>-2.86128275824151E-15</v>
          </cell>
          <cell r="P29">
            <v>-2.7196486904663901E-15</v>
          </cell>
          <cell r="Q29">
            <v>-1.61588389527288E-15</v>
          </cell>
          <cell r="R29">
            <v>-1.37092250240147E-15</v>
          </cell>
        </row>
        <row r="30">
          <cell r="A30">
            <v>29036</v>
          </cell>
          <cell r="N30">
            <v>8.1181053562850301E-16</v>
          </cell>
          <cell r="O30">
            <v>-3.49100772931186E-15</v>
          </cell>
          <cell r="P30">
            <v>-3.1495518335211301E-15</v>
          </cell>
          <cell r="Q30">
            <v>-2.0971872854287102E-15</v>
          </cell>
          <cell r="R30">
            <v>-1.6848926159158E-15</v>
          </cell>
        </row>
        <row r="31">
          <cell r="A31">
            <v>29128</v>
          </cell>
          <cell r="N31">
            <v>6.60101355906688E-16</v>
          </cell>
          <cell r="O31">
            <v>-3.3004013359449298E-15</v>
          </cell>
          <cell r="P31">
            <v>-3.03369749893607E-15</v>
          </cell>
          <cell r="Q31">
            <v>-1.8578691372083902E-15</v>
          </cell>
          <cell r="R31">
            <v>-1.7921254657248699E-15</v>
          </cell>
        </row>
        <row r="32">
          <cell r="A32">
            <v>29220</v>
          </cell>
          <cell r="N32">
            <v>6.4385917619042101E-16</v>
          </cell>
          <cell r="O32">
            <v>-3.4917551531750901E-15</v>
          </cell>
          <cell r="P32">
            <v>-3.1763914054913898E-15</v>
          </cell>
          <cell r="Q32">
            <v>-2.3673350530198499E-15</v>
          </cell>
          <cell r="R32">
            <v>-1.59373655900288E-15</v>
          </cell>
        </row>
        <row r="33">
          <cell r="A33">
            <v>29311</v>
          </cell>
          <cell r="N33">
            <v>8.0648457786255604E-16</v>
          </cell>
          <cell r="O33">
            <v>-3.3098152879697299E-15</v>
          </cell>
          <cell r="P33">
            <v>-3.4115727975767501E-15</v>
          </cell>
          <cell r="Q33">
            <v>-1.9279280211828099E-15</v>
          </cell>
          <cell r="R33">
            <v>-1.8304752604778602E-15</v>
          </cell>
        </row>
        <row r="34">
          <cell r="A34">
            <v>29402</v>
          </cell>
          <cell r="N34">
            <v>1.4061518627805499E-15</v>
          </cell>
          <cell r="O34">
            <v>-3.19255019106196E-15</v>
          </cell>
          <cell r="P34">
            <v>-2.5692440823350298E-15</v>
          </cell>
          <cell r="Q34">
            <v>-1.76151870251998E-15</v>
          </cell>
          <cell r="R34">
            <v>-1.3977699164397E-15</v>
          </cell>
        </row>
        <row r="35">
          <cell r="A35">
            <v>29494</v>
          </cell>
          <cell r="N35">
            <v>1.38300155488847E-15</v>
          </cell>
          <cell r="O35">
            <v>-2.7837082544168302E-15</v>
          </cell>
          <cell r="P35">
            <v>-2.7900752170353099E-15</v>
          </cell>
          <cell r="Q35">
            <v>-1.7465148262465199E-15</v>
          </cell>
          <cell r="R35">
            <v>-1.38901207185449E-15</v>
          </cell>
        </row>
        <row r="36">
          <cell r="A36">
            <v>29586</v>
          </cell>
          <cell r="N36">
            <v>1.5327119332775199E-15</v>
          </cell>
          <cell r="O36">
            <v>-3.2708426390768202E-15</v>
          </cell>
          <cell r="P36">
            <v>-2.9292139818725899E-15</v>
          </cell>
          <cell r="Q36">
            <v>-1.7852720137248398E-15</v>
          </cell>
          <cell r="R36">
            <v>-1.7666956191947999E-15</v>
          </cell>
        </row>
        <row r="37">
          <cell r="A37">
            <v>29676</v>
          </cell>
          <cell r="N37">
            <v>1.04384784864485E-15</v>
          </cell>
          <cell r="O37">
            <v>-3.35547026397984E-15</v>
          </cell>
          <cell r="P37">
            <v>-2.9112515621861598E-15</v>
          </cell>
          <cell r="Q37">
            <v>-2.1347615656030598E-15</v>
          </cell>
          <cell r="R37">
            <v>-1.6862912716536501E-15</v>
          </cell>
        </row>
        <row r="38">
          <cell r="A38">
            <v>29767</v>
          </cell>
          <cell r="N38">
            <v>2.4503448388571301E-16</v>
          </cell>
          <cell r="O38">
            <v>-3.8595348703685098E-15</v>
          </cell>
          <cell r="P38">
            <v>-3.7271001228913899E-15</v>
          </cell>
          <cell r="Q38">
            <v>-2.3984078567746699E-15</v>
          </cell>
          <cell r="R38">
            <v>-1.8511853779355002E-15</v>
          </cell>
        </row>
        <row r="39">
          <cell r="A39">
            <v>29859</v>
          </cell>
          <cell r="N39">
            <v>6.9454076728737206E-17</v>
          </cell>
          <cell r="O39">
            <v>-4.1272208365399597E-15</v>
          </cell>
          <cell r="P39">
            <v>-3.5540224605507997E-15</v>
          </cell>
          <cell r="Q39">
            <v>-2.2360630261947899E-15</v>
          </cell>
          <cell r="R39">
            <v>-1.7134098131650301E-15</v>
          </cell>
        </row>
        <row r="40">
          <cell r="A40">
            <v>29951</v>
          </cell>
          <cell r="N40">
            <v>1.68338229463854E-16</v>
          </cell>
          <cell r="O40">
            <v>-3.7217874906742896E-15</v>
          </cell>
          <cell r="P40">
            <v>-3.1481408586465799E-15</v>
          </cell>
          <cell r="Q40">
            <v>-1.9307132159629601E-15</v>
          </cell>
          <cell r="R40">
            <v>-1.4201497586967001E-15</v>
          </cell>
        </row>
        <row r="41">
          <cell r="A41">
            <v>30041</v>
          </cell>
          <cell r="N41">
            <v>4.4339356844133198E-16</v>
          </cell>
          <cell r="O41">
            <v>-3.6442952790665998E-15</v>
          </cell>
          <cell r="P41">
            <v>-3.0462307031317002E-15</v>
          </cell>
          <cell r="Q41">
            <v>-1.8076903849778601E-15</v>
          </cell>
          <cell r="R41">
            <v>-1.56190976606186E-15</v>
          </cell>
        </row>
        <row r="42">
          <cell r="A42">
            <v>30132</v>
          </cell>
          <cell r="N42">
            <v>6.1774342740065197E-16</v>
          </cell>
          <cell r="O42">
            <v>-3.5311664320470901E-15</v>
          </cell>
          <cell r="P42">
            <v>-2.8564468941273201E-15</v>
          </cell>
          <cell r="Q42">
            <v>-1.8825911098100398E-15</v>
          </cell>
          <cell r="R42">
            <v>-1.72382176612061E-15</v>
          </cell>
        </row>
        <row r="43">
          <cell r="A43">
            <v>30224</v>
          </cell>
          <cell r="N43">
            <v>6.9287459059248297E-16</v>
          </cell>
          <cell r="O43">
            <v>-3.3966136638676599E-15</v>
          </cell>
          <cell r="P43">
            <v>-2.9162935512356899E-15</v>
          </cell>
          <cell r="Q43">
            <v>-2.0473180227787198E-15</v>
          </cell>
          <cell r="R43">
            <v>-1.5284859608803801E-15</v>
          </cell>
        </row>
        <row r="44">
          <cell r="A44">
            <v>30316</v>
          </cell>
          <cell r="N44">
            <v>8.9797591716056498E-16</v>
          </cell>
          <cell r="O44">
            <v>-3.4911528422386001E-15</v>
          </cell>
          <cell r="P44">
            <v>-3.0751047604893901E-15</v>
          </cell>
          <cell r="Q44">
            <v>-1.90176731325608E-15</v>
          </cell>
          <cell r="R44">
            <v>-1.50932110972542E-15</v>
          </cell>
        </row>
        <row r="45">
          <cell r="A45">
            <v>30406</v>
          </cell>
          <cell r="N45">
            <v>7.9583803537004103E-16</v>
          </cell>
          <cell r="O45">
            <v>-3.7505217612975497E-15</v>
          </cell>
          <cell r="P45">
            <v>-2.94039865269348E-15</v>
          </cell>
          <cell r="Q45">
            <v>-1.93385989960417E-15</v>
          </cell>
          <cell r="R45">
            <v>-1.61553954368791E-15</v>
          </cell>
        </row>
        <row r="46">
          <cell r="A46">
            <v>30497</v>
          </cell>
          <cell r="N46">
            <v>2.22187526775086E-16</v>
          </cell>
          <cell r="O46">
            <v>-3.8872055766707099E-15</v>
          </cell>
          <cell r="P46">
            <v>-3.1820616594264299E-15</v>
          </cell>
          <cell r="Q46">
            <v>-2.2129778922653E-15</v>
          </cell>
          <cell r="R46">
            <v>-1.7592592376763801E-15</v>
          </cell>
        </row>
        <row r="47">
          <cell r="A47">
            <v>30589</v>
          </cell>
          <cell r="N47">
            <v>-8.9074923869709001E-17</v>
          </cell>
          <cell r="O47">
            <v>-4.1052524859623201E-15</v>
          </cell>
          <cell r="P47">
            <v>-3.4505858593593699E-15</v>
          </cell>
          <cell r="Q47">
            <v>-2.3484158084203001E-15</v>
          </cell>
          <cell r="R47">
            <v>-1.70868908032973E-15</v>
          </cell>
        </row>
        <row r="48">
          <cell r="A48">
            <v>30681</v>
          </cell>
          <cell r="N48">
            <v>9.9246409638570992E-19</v>
          </cell>
          <cell r="O48">
            <v>-4.0716110113637399E-15</v>
          </cell>
          <cell r="P48">
            <v>-3.3390236674260499E-15</v>
          </cell>
          <cell r="Q48">
            <v>-2.17998115401639E-15</v>
          </cell>
          <cell r="R48">
            <v>-1.5717080584289001E-15</v>
          </cell>
        </row>
        <row r="49">
          <cell r="A49">
            <v>30772</v>
          </cell>
          <cell r="N49">
            <v>-1.4702999722922499E-16</v>
          </cell>
          <cell r="O49">
            <v>-4.1886029871060501E-15</v>
          </cell>
          <cell r="P49">
            <v>-3.3237610836803899E-15</v>
          </cell>
          <cell r="Q49">
            <v>-2.1761112761374699E-15</v>
          </cell>
          <cell r="R49">
            <v>-1.59514725206782E-15</v>
          </cell>
        </row>
        <row r="50">
          <cell r="A50">
            <v>30863</v>
          </cell>
          <cell r="N50">
            <v>-9.4579322090869999E-17</v>
          </cell>
          <cell r="O50">
            <v>-3.9765439018350496E-15</v>
          </cell>
          <cell r="P50">
            <v>-3.0442515167798499E-15</v>
          </cell>
          <cell r="Q50">
            <v>-1.92211025625511E-15</v>
          </cell>
          <cell r="R50">
            <v>-1.49226008111307E-15</v>
          </cell>
        </row>
        <row r="51">
          <cell r="A51">
            <v>30955</v>
          </cell>
          <cell r="N51">
            <v>-6.6369896278416999E-16</v>
          </cell>
          <cell r="O51">
            <v>-4.4525834619204799E-15</v>
          </cell>
          <cell r="P51">
            <v>-3.4524025729542598E-15</v>
          </cell>
          <cell r="Q51">
            <v>-2.41140221440926E-15</v>
          </cell>
          <cell r="R51">
            <v>-1.56826054923823E-15</v>
          </cell>
        </row>
        <row r="52">
          <cell r="A52">
            <v>31047</v>
          </cell>
          <cell r="N52">
            <v>-1.0199431093330201E-15</v>
          </cell>
          <cell r="O52">
            <v>-4.4847248031444697E-15</v>
          </cell>
          <cell r="P52">
            <v>-3.66220187640751E-15</v>
          </cell>
          <cell r="Q52">
            <v>-2.25027401157849E-15</v>
          </cell>
          <cell r="R52">
            <v>-1.7944014005277399E-15</v>
          </cell>
        </row>
        <row r="53">
          <cell r="A53">
            <v>31137</v>
          </cell>
          <cell r="N53">
            <v>-8.8918634114894694E-16</v>
          </cell>
          <cell r="O53">
            <v>-4.4763109233667299E-15</v>
          </cell>
          <cell r="P53">
            <v>-3.30097385780558E-15</v>
          </cell>
          <cell r="Q53">
            <v>-2.31989241188959E-15</v>
          </cell>
          <cell r="R53">
            <v>-1.4088702390053999E-15</v>
          </cell>
        </row>
        <row r="54">
          <cell r="A54">
            <v>31228</v>
          </cell>
          <cell r="N54">
            <v>-1.2999607619241E-15</v>
          </cell>
          <cell r="O54">
            <v>-4.4761874589358404E-15</v>
          </cell>
          <cell r="P54">
            <v>-3.6604003318295097E-15</v>
          </cell>
          <cell r="Q54">
            <v>-2.1854123867637602E-15</v>
          </cell>
          <cell r="R54">
            <v>-1.4251141967976099E-15</v>
          </cell>
        </row>
        <row r="55">
          <cell r="A55">
            <v>31320</v>
          </cell>
          <cell r="N55">
            <v>-1.0965756072930301E-15</v>
          </cell>
          <cell r="O55">
            <v>-4.5599654877784997E-15</v>
          </cell>
          <cell r="P55">
            <v>-3.3062889171157298E-15</v>
          </cell>
          <cell r="Q55">
            <v>-2.0517860179297601E-15</v>
          </cell>
          <cell r="R55">
            <v>-1.5574151507407199E-15</v>
          </cell>
        </row>
        <row r="56">
          <cell r="A56">
            <v>31412</v>
          </cell>
          <cell r="N56">
            <v>-9.7078829030561798E-16</v>
          </cell>
          <cell r="O56">
            <v>-4.0323991256021201E-15</v>
          </cell>
          <cell r="P56">
            <v>-3.0173684474886801E-15</v>
          </cell>
          <cell r="Q56">
            <v>-2.0881872672359499E-15</v>
          </cell>
          <cell r="R56">
            <v>-1.3676318820478101E-15</v>
          </cell>
        </row>
        <row r="57">
          <cell r="A57">
            <v>31502</v>
          </cell>
          <cell r="N57">
            <v>-5.9123698960237798E-16</v>
          </cell>
          <cell r="O57">
            <v>-3.9108307813775803E-15</v>
          </cell>
          <cell r="P57">
            <v>-3.1379781838171099E-15</v>
          </cell>
          <cell r="Q57">
            <v>-1.9559319268961399E-15</v>
          </cell>
          <cell r="R57">
            <v>-1.28894869480662E-15</v>
          </cell>
        </row>
        <row r="58">
          <cell r="A58">
            <v>31593</v>
          </cell>
          <cell r="N58">
            <v>-5.1936681280951705E-16</v>
          </cell>
          <cell r="O58">
            <v>-4.11212062119538E-15</v>
          </cell>
          <cell r="P58">
            <v>-3.0943389074563301E-15</v>
          </cell>
          <cell r="Q58">
            <v>-2.0542648226624599E-15</v>
          </cell>
          <cell r="R58">
            <v>-1.3453668417904301E-15</v>
          </cell>
        </row>
        <row r="59">
          <cell r="A59">
            <v>31685</v>
          </cell>
          <cell r="N59">
            <v>-7.8370418971146104E-16</v>
          </cell>
          <cell r="O59">
            <v>-4.0647165420637399E-15</v>
          </cell>
          <cell r="P59">
            <v>-3.1596011138382099E-15</v>
          </cell>
          <cell r="Q59">
            <v>-2.0152411494106398E-15</v>
          </cell>
          <cell r="R59">
            <v>-1.50209623122673E-15</v>
          </cell>
        </row>
        <row r="60">
          <cell r="A60">
            <v>31777</v>
          </cell>
          <cell r="N60">
            <v>-1.1799983410585401E-15</v>
          </cell>
          <cell r="O60">
            <v>-4.4337170210445397E-15</v>
          </cell>
          <cell r="P60">
            <v>-3.42277910963512E-15</v>
          </cell>
          <cell r="Q60">
            <v>-2.4429232854156501E-15</v>
          </cell>
          <cell r="R60">
            <v>-1.42831643607472E-15</v>
          </cell>
        </row>
        <row r="61">
          <cell r="A61">
            <v>31867</v>
          </cell>
          <cell r="N61">
            <v>-1.9620296824928601E-15</v>
          </cell>
          <cell r="O61">
            <v>-4.79855508801345E-15</v>
          </cell>
          <cell r="P61">
            <v>-3.9402459316323197E-15</v>
          </cell>
          <cell r="Q61">
            <v>-2.3958948531945698E-15</v>
          </cell>
          <cell r="R61">
            <v>-1.4542463736557699E-15</v>
          </cell>
        </row>
        <row r="62">
          <cell r="A62">
            <v>31958</v>
          </cell>
          <cell r="N62">
            <v>-2.92617998074041E-15</v>
          </cell>
          <cell r="O62">
            <v>-5.5500206598378103E-15</v>
          </cell>
          <cell r="P62">
            <v>-4.1944180084959803E-15</v>
          </cell>
          <cell r="Q62">
            <v>-2.6792838230162102E-15</v>
          </cell>
          <cell r="R62">
            <v>-1.46525148483104E-15</v>
          </cell>
        </row>
        <row r="63">
          <cell r="A63">
            <v>32050</v>
          </cell>
          <cell r="N63">
            <v>-3.5788923175662502E-15</v>
          </cell>
          <cell r="O63">
            <v>-5.3208338969684101E-15</v>
          </cell>
          <cell r="P63">
            <v>-4.1209695049718397E-15</v>
          </cell>
          <cell r="Q63">
            <v>-2.32396886547573E-15</v>
          </cell>
          <cell r="R63">
            <v>-1.3802272517127601E-15</v>
          </cell>
        </row>
        <row r="64">
          <cell r="A64">
            <v>32142</v>
          </cell>
          <cell r="N64">
            <v>-3.16655181374023E-15</v>
          </cell>
          <cell r="O64">
            <v>-4.9502796278019603E-15</v>
          </cell>
          <cell r="P64">
            <v>-3.5811911996631397E-15</v>
          </cell>
          <cell r="Q64">
            <v>-2.1220742391066799E-15</v>
          </cell>
          <cell r="R64">
            <v>-9.6445052838858794E-16</v>
          </cell>
        </row>
        <row r="65">
          <cell r="A65">
            <v>32233</v>
          </cell>
          <cell r="N65">
            <v>-2.7626747290250499E-15</v>
          </cell>
          <cell r="O65">
            <v>-4.3623839483400203E-15</v>
          </cell>
          <cell r="P65">
            <v>-3.3607963964134502E-15</v>
          </cell>
          <cell r="Q65">
            <v>-1.6939818479152801E-15</v>
          </cell>
          <cell r="R65">
            <v>-9.4517565637654601E-16</v>
          </cell>
        </row>
        <row r="66">
          <cell r="A66">
            <v>32324</v>
          </cell>
          <cell r="N66">
            <v>-2.3925270313117499E-15</v>
          </cell>
          <cell r="O66">
            <v>-4.32250382201384E-15</v>
          </cell>
          <cell r="P66">
            <v>-3.1338417422854899E-15</v>
          </cell>
          <cell r="Q66">
            <v>-1.8298459221384101E-15</v>
          </cell>
          <cell r="R66">
            <v>-1.0500786543825601E-15</v>
          </cell>
        </row>
        <row r="67">
          <cell r="A67">
            <v>32416</v>
          </cell>
          <cell r="N67">
            <v>-2.43673259517186E-15</v>
          </cell>
          <cell r="O67">
            <v>-4.05697767884822E-15</v>
          </cell>
          <cell r="P67">
            <v>-3.2740428466154898E-15</v>
          </cell>
          <cell r="Q67">
            <v>-1.9271172043270099E-15</v>
          </cell>
          <cell r="R67">
            <v>-1.0521859217718901E-15</v>
          </cell>
        </row>
        <row r="68">
          <cell r="A68">
            <v>32508</v>
          </cell>
          <cell r="N68">
            <v>-2.0965094536027099E-15</v>
          </cell>
          <cell r="O68">
            <v>-4.02674392170131E-15</v>
          </cell>
          <cell r="P68">
            <v>-3.2415928370478602E-15</v>
          </cell>
          <cell r="Q68">
            <v>-1.8204531325729299E-15</v>
          </cell>
          <cell r="R68">
            <v>-9.1673630103585193E-16</v>
          </cell>
        </row>
        <row r="69">
          <cell r="A69">
            <v>32598</v>
          </cell>
          <cell r="N69">
            <v>-2.4562319251685501E-15</v>
          </cell>
          <cell r="O69">
            <v>-4.2608423344661703E-15</v>
          </cell>
          <cell r="P69">
            <v>-3.4085937343235598E-15</v>
          </cell>
          <cell r="Q69">
            <v>-1.8960598224523701E-15</v>
          </cell>
          <cell r="R69">
            <v>-9.6935171660099395E-16</v>
          </cell>
        </row>
        <row r="70">
          <cell r="A70">
            <v>32689</v>
          </cell>
          <cell r="N70">
            <v>-2.4365158529393099E-15</v>
          </cell>
          <cell r="O70">
            <v>-4.0598347248653599E-15</v>
          </cell>
          <cell r="P70">
            <v>-3.2137878381003899E-15</v>
          </cell>
          <cell r="Q70">
            <v>-1.7422015023725001E-15</v>
          </cell>
          <cell r="R70">
            <v>-8.9199028277157392E-16</v>
          </cell>
        </row>
        <row r="71">
          <cell r="A71">
            <v>32781</v>
          </cell>
          <cell r="N71">
            <v>-2.36771187773441E-15</v>
          </cell>
          <cell r="O71">
            <v>-3.9672358620368003E-15</v>
          </cell>
          <cell r="P71">
            <v>-3.1439834121491699E-15</v>
          </cell>
          <cell r="Q71">
            <v>-1.70685827232883E-15</v>
          </cell>
          <cell r="R71">
            <v>-7.4421391472396298E-16</v>
          </cell>
        </row>
        <row r="72">
          <cell r="A72">
            <v>32873</v>
          </cell>
          <cell r="N72">
            <v>-2.63623214973476E-15</v>
          </cell>
          <cell r="O72">
            <v>-4.1158387626640303E-15</v>
          </cell>
          <cell r="P72">
            <v>-3.3014014574781498E-15</v>
          </cell>
          <cell r="Q72">
            <v>-1.68366400148827E-15</v>
          </cell>
          <cell r="R72">
            <v>-8.0117018479239895E-16</v>
          </cell>
        </row>
        <row r="73">
          <cell r="A73">
            <v>32963</v>
          </cell>
          <cell r="N73">
            <v>-2.7875589527273099E-15</v>
          </cell>
          <cell r="O73">
            <v>-4.0990203534940299E-15</v>
          </cell>
          <cell r="P73">
            <v>-3.1799722189940799E-15</v>
          </cell>
          <cell r="Q73">
            <v>-1.66793811720307E-15</v>
          </cell>
          <cell r="R73">
            <v>-7.9187598875684395E-16</v>
          </cell>
        </row>
        <row r="74">
          <cell r="A74">
            <v>33054</v>
          </cell>
          <cell r="N74">
            <v>-2.3009055603829298E-15</v>
          </cell>
          <cell r="O74">
            <v>-3.5215088502478101E-15</v>
          </cell>
          <cell r="P74">
            <v>-2.8104011162734998E-15</v>
          </cell>
          <cell r="Q74">
            <v>-1.39847547745686E-15</v>
          </cell>
          <cell r="R74">
            <v>-5.2142508088958698E-16</v>
          </cell>
        </row>
        <row r="75">
          <cell r="A75">
            <v>33146</v>
          </cell>
          <cell r="N75">
            <v>-1.9804354148354601E-15</v>
          </cell>
          <cell r="O75">
            <v>-3.5126093987644701E-15</v>
          </cell>
          <cell r="P75">
            <v>-2.8372299755167001E-15</v>
          </cell>
          <cell r="Q75">
            <v>-1.37316249223921E-15</v>
          </cell>
          <cell r="R75">
            <v>-5.15676329829666E-16</v>
          </cell>
        </row>
        <row r="76">
          <cell r="A76">
            <v>33238</v>
          </cell>
          <cell r="N76">
            <v>-1.9713942088299598E-15</v>
          </cell>
          <cell r="O76">
            <v>-3.5740840112041101E-15</v>
          </cell>
          <cell r="P76">
            <v>-2.8643873072887699E-15</v>
          </cell>
          <cell r="Q76">
            <v>-1.4081313628623599E-15</v>
          </cell>
          <cell r="R76">
            <v>-7.7327517210026199E-16</v>
          </cell>
        </row>
        <row r="77">
          <cell r="A77">
            <v>33328</v>
          </cell>
          <cell r="N77">
            <v>-1.6797468079498601E-15</v>
          </cell>
          <cell r="O77">
            <v>-3.3329098086460701E-15</v>
          </cell>
          <cell r="P77">
            <v>-2.6276001898210598E-15</v>
          </cell>
          <cell r="Q77">
            <v>-1.4540794651229099E-15</v>
          </cell>
          <cell r="R77">
            <v>-6.9089467424863002E-16</v>
          </cell>
        </row>
        <row r="78">
          <cell r="A78">
            <v>33419</v>
          </cell>
          <cell r="N78">
            <v>-1.6725889123469001E-15</v>
          </cell>
          <cell r="O78">
            <v>-3.4472990763702802E-15</v>
          </cell>
          <cell r="P78">
            <v>-2.9841893489791302E-15</v>
          </cell>
          <cell r="Q78">
            <v>-1.61701336257663E-15</v>
          </cell>
          <cell r="R78">
            <v>-7.7157693320622197E-16</v>
          </cell>
        </row>
        <row r="79">
          <cell r="A79">
            <v>33511</v>
          </cell>
          <cell r="N79">
            <v>-1.7624623246790399E-15</v>
          </cell>
          <cell r="O79">
            <v>-3.72216240478089E-15</v>
          </cell>
          <cell r="P79">
            <v>-3.0634184869823998E-15</v>
          </cell>
          <cell r="Q79">
            <v>-1.55105159349669E-15</v>
          </cell>
          <cell r="R79">
            <v>-8.75249569821823E-16</v>
          </cell>
        </row>
        <row r="80">
          <cell r="A80">
            <v>33603</v>
          </cell>
          <cell r="N80">
            <v>-1.8135979154653701E-15</v>
          </cell>
          <cell r="O80">
            <v>-3.64358639644264E-15</v>
          </cell>
          <cell r="P80">
            <v>-2.8774107539323101E-15</v>
          </cell>
          <cell r="Q80">
            <v>-1.5686585619733799E-15</v>
          </cell>
          <cell r="R80">
            <v>-6.8455522348293597E-16</v>
          </cell>
        </row>
        <row r="81">
          <cell r="A81">
            <v>33694</v>
          </cell>
          <cell r="N81">
            <v>-1.4625866565630099E-15</v>
          </cell>
          <cell r="O81">
            <v>-3.3221481932620898E-15</v>
          </cell>
          <cell r="P81">
            <v>-2.7545102962648401E-15</v>
          </cell>
          <cell r="Q81">
            <v>-1.2447618278705299E-15</v>
          </cell>
          <cell r="R81">
            <v>-6.3967907849006298E-16</v>
          </cell>
        </row>
        <row r="82">
          <cell r="A82">
            <v>33785</v>
          </cell>
          <cell r="N82">
            <v>-7.7274120471340998E-16</v>
          </cell>
          <cell r="O82">
            <v>-3.0902921304128701E-15</v>
          </cell>
          <cell r="P82">
            <v>-2.3196201392239802E-15</v>
          </cell>
          <cell r="Q82">
            <v>-1.0964199425219999E-15</v>
          </cell>
          <cell r="R82">
            <v>-6.4825034079207805E-16</v>
          </cell>
        </row>
        <row r="83">
          <cell r="A83">
            <v>33877</v>
          </cell>
          <cell r="N83">
            <v>-8.7688259119245495E-16</v>
          </cell>
          <cell r="O83">
            <v>-3.1774838442876998E-15</v>
          </cell>
          <cell r="P83">
            <v>-2.5575518568256501E-15</v>
          </cell>
          <cell r="Q83">
            <v>-1.4185438549921801E-15</v>
          </cell>
          <cell r="R83">
            <v>-8.1305714482409897E-16</v>
          </cell>
        </row>
        <row r="84">
          <cell r="A84">
            <v>33969</v>
          </cell>
          <cell r="N84">
            <v>-1.30681372269127E-16</v>
          </cell>
          <cell r="O84">
            <v>-2.88020115742201E-15</v>
          </cell>
          <cell r="P84">
            <v>-2.4117821321739101E-15</v>
          </cell>
          <cell r="Q84">
            <v>-1.2793840652833E-15</v>
          </cell>
          <cell r="R84">
            <v>-9.9457596476990704E-16</v>
          </cell>
        </row>
        <row r="85">
          <cell r="A85">
            <v>34059</v>
          </cell>
          <cell r="N85">
            <v>4.3005612341552898E-16</v>
          </cell>
          <cell r="O85">
            <v>-2.8560659854118499E-15</v>
          </cell>
          <cell r="P85">
            <v>-2.1891996280621701E-15</v>
          </cell>
          <cell r="Q85">
            <v>-1.3309708892186599E-15</v>
          </cell>
          <cell r="R85">
            <v>-9.25007677636103E-16</v>
          </cell>
        </row>
        <row r="86">
          <cell r="A86">
            <v>34150</v>
          </cell>
          <cell r="N86">
            <v>2.4013687231767E-16</v>
          </cell>
          <cell r="O86">
            <v>-3.1344848746887201E-15</v>
          </cell>
          <cell r="P86">
            <v>-2.6340738295440502E-15</v>
          </cell>
          <cell r="Q86">
            <v>-1.6210402467183999E-15</v>
          </cell>
          <cell r="R86">
            <v>-1.12084447585792E-15</v>
          </cell>
        </row>
        <row r="87">
          <cell r="A87">
            <v>34242</v>
          </cell>
          <cell r="N87">
            <v>2.2630812796600998E-16</v>
          </cell>
          <cell r="O87">
            <v>-3.45157051492103E-15</v>
          </cell>
          <cell r="P87">
            <v>-2.7710721048243202E-15</v>
          </cell>
          <cell r="Q87">
            <v>-1.6642020898847499E-15</v>
          </cell>
          <cell r="R87">
            <v>-1.32859527596828E-15</v>
          </cell>
        </row>
        <row r="88">
          <cell r="A88">
            <v>34334</v>
          </cell>
          <cell r="N88">
            <v>-5.4057515797429198E-18</v>
          </cell>
          <cell r="O88">
            <v>-3.6687419205428004E-15</v>
          </cell>
          <cell r="P88">
            <v>-2.8039490498643001E-15</v>
          </cell>
          <cell r="Q88">
            <v>-1.8399825552310301E-15</v>
          </cell>
          <cell r="R88">
            <v>-1.26019395387944E-15</v>
          </cell>
        </row>
        <row r="89">
          <cell r="A89">
            <v>34424</v>
          </cell>
          <cell r="N89">
            <v>-5.6293244660136497E-16</v>
          </cell>
          <cell r="O89">
            <v>-4.0552419716716803E-15</v>
          </cell>
          <cell r="P89">
            <v>-3.2438521015887699E-15</v>
          </cell>
          <cell r="Q89">
            <v>-1.9770054276931701E-15</v>
          </cell>
          <cell r="R89">
            <v>-1.3224598364811501E-15</v>
          </cell>
        </row>
        <row r="90">
          <cell r="A90">
            <v>34515</v>
          </cell>
          <cell r="N90">
            <v>-1.1919031248272901E-15</v>
          </cell>
          <cell r="O90">
            <v>-4.5821850765795501E-15</v>
          </cell>
          <cell r="P90">
            <v>-3.4662191336368601E-15</v>
          </cell>
          <cell r="Q90">
            <v>-2.0697394931049002E-15</v>
          </cell>
          <cell r="R90">
            <v>-1.4771062124475399E-15</v>
          </cell>
        </row>
        <row r="91">
          <cell r="A91">
            <v>34607</v>
          </cell>
          <cell r="N91">
            <v>-1.74914675153659E-15</v>
          </cell>
          <cell r="O91">
            <v>-4.6561263613005098E-15</v>
          </cell>
          <cell r="P91">
            <v>-3.4572998155377902E-15</v>
          </cell>
          <cell r="Q91">
            <v>-2.14296994776202E-15</v>
          </cell>
          <cell r="R91">
            <v>-1.2878376899406401E-15</v>
          </cell>
        </row>
        <row r="92">
          <cell r="A92">
            <v>34699</v>
          </cell>
          <cell r="N92">
            <v>-1.96116554401294E-15</v>
          </cell>
          <cell r="O92">
            <v>-4.6530239601595598E-15</v>
          </cell>
          <cell r="P92">
            <v>-3.5515395236341798E-15</v>
          </cell>
          <cell r="Q92">
            <v>-1.98140806629375E-15</v>
          </cell>
          <cell r="R92">
            <v>-1.1975738804412E-15</v>
          </cell>
        </row>
        <row r="93">
          <cell r="A93">
            <v>34789</v>
          </cell>
          <cell r="N93">
            <v>-1.6292313088758099E-15</v>
          </cell>
          <cell r="O93">
            <v>-4.4161860383948499E-15</v>
          </cell>
          <cell r="P93">
            <v>-3.0994595737381398E-15</v>
          </cell>
          <cell r="Q93">
            <v>-1.68537450058451E-15</v>
          </cell>
          <cell r="R93">
            <v>-1.06844842820792E-15</v>
          </cell>
        </row>
        <row r="94">
          <cell r="A94">
            <v>34880</v>
          </cell>
          <cell r="N94">
            <v>-1.51197292768402E-15</v>
          </cell>
          <cell r="O94">
            <v>-4.1900691741837199E-15</v>
          </cell>
          <cell r="P94">
            <v>-2.9832182985582E-15</v>
          </cell>
          <cell r="Q94">
            <v>-1.75157478746283E-15</v>
          </cell>
          <cell r="R94">
            <v>-1.03318139934837E-15</v>
          </cell>
        </row>
        <row r="95">
          <cell r="A95">
            <v>34972</v>
          </cell>
          <cell r="N95">
            <v>-8.5645655592983E-16</v>
          </cell>
          <cell r="O95">
            <v>-3.7936300359541699E-15</v>
          </cell>
          <cell r="P95">
            <v>-2.73837137517915E-15</v>
          </cell>
          <cell r="Q95">
            <v>-1.47759534638287E-15</v>
          </cell>
          <cell r="R95">
            <v>-1.1694804913087099E-15</v>
          </cell>
        </row>
        <row r="96">
          <cell r="A96">
            <v>35064</v>
          </cell>
          <cell r="N96">
            <v>-8.3708814539622195E-16</v>
          </cell>
          <cell r="O96">
            <v>-4.0497136052527197E-15</v>
          </cell>
          <cell r="P96">
            <v>-2.8359316903380099E-15</v>
          </cell>
          <cell r="Q96">
            <v>-1.9207006889096101E-15</v>
          </cell>
          <cell r="R96">
            <v>-1.2557526387465001E-15</v>
          </cell>
        </row>
        <row r="97">
          <cell r="A97">
            <v>35155</v>
          </cell>
          <cell r="N97">
            <v>-6.9792910110954997E-16</v>
          </cell>
          <cell r="O97">
            <v>-3.8268992177052203E-15</v>
          </cell>
          <cell r="P97">
            <v>-2.9696507356645699E-15</v>
          </cell>
          <cell r="Q97">
            <v>-1.7841362233575101E-15</v>
          </cell>
          <cell r="R97">
            <v>-1.2956769194857699E-15</v>
          </cell>
        </row>
        <row r="98">
          <cell r="A98">
            <v>35246</v>
          </cell>
          <cell r="N98">
            <v>-8.7624123671506396E-16</v>
          </cell>
          <cell r="O98">
            <v>-4.3705016149867101E-15</v>
          </cell>
          <cell r="P98">
            <v>-3.1245364919184698E-15</v>
          </cell>
          <cell r="Q98">
            <v>-2.0264819508621699E-15</v>
          </cell>
          <cell r="R98">
            <v>-1.2755023677322301E-15</v>
          </cell>
        </row>
        <row r="99">
          <cell r="A99">
            <v>35338</v>
          </cell>
          <cell r="N99">
            <v>-1.2199578426761801E-15</v>
          </cell>
          <cell r="O99">
            <v>-4.2986160568949996E-15</v>
          </cell>
          <cell r="P99">
            <v>-3.1983768749033999E-15</v>
          </cell>
          <cell r="Q99">
            <v>-1.89247691479724E-15</v>
          </cell>
          <cell r="R99">
            <v>-1.3300204016673601E-15</v>
          </cell>
        </row>
        <row r="100">
          <cell r="A100">
            <v>35430</v>
          </cell>
          <cell r="N100">
            <v>-1.0984922712874699E-15</v>
          </cell>
          <cell r="O100">
            <v>-4.3164025725524399E-15</v>
          </cell>
          <cell r="P100">
            <v>-3.0038216961597999E-15</v>
          </cell>
          <cell r="Q100">
            <v>-1.9090709187588298E-15</v>
          </cell>
          <cell r="R100">
            <v>-1.1121775612347201E-15</v>
          </cell>
        </row>
        <row r="101">
          <cell r="A101">
            <v>35520</v>
          </cell>
          <cell r="N101">
            <v>-1.2283603794666699E-15</v>
          </cell>
          <cell r="O101">
            <v>-4.2451330721294896E-15</v>
          </cell>
          <cell r="P101">
            <v>-3.1162493534481901E-15</v>
          </cell>
          <cell r="Q101">
            <v>-1.74763712058647E-15</v>
          </cell>
          <cell r="R101">
            <v>-1.1471596338019399E-15</v>
          </cell>
        </row>
        <row r="102">
          <cell r="A102">
            <v>35611</v>
          </cell>
          <cell r="N102">
            <v>-1.18207459294427E-15</v>
          </cell>
          <cell r="O102">
            <v>-4.4192403586545799E-15</v>
          </cell>
          <cell r="P102">
            <v>-3.0396050710547798E-15</v>
          </cell>
          <cell r="Q102">
            <v>-1.8849190727810799E-15</v>
          </cell>
          <cell r="R102">
            <v>-1.36224000233512E-15</v>
          </cell>
        </row>
        <row r="103">
          <cell r="A103">
            <v>35703</v>
          </cell>
          <cell r="N103">
            <v>-3.1697964343081602E-16</v>
          </cell>
          <cell r="O103">
            <v>-3.5502748288139199E-15</v>
          </cell>
          <cell r="P103">
            <v>-2.46970844986575E-15</v>
          </cell>
          <cell r="Q103">
            <v>-1.5686668185322299E-15</v>
          </cell>
          <cell r="R103">
            <v>-1.2811765587114301E-15</v>
          </cell>
        </row>
        <row r="104">
          <cell r="A104">
            <v>35795</v>
          </cell>
          <cell r="N104">
            <v>6.0929044234115399E-16</v>
          </cell>
          <cell r="O104">
            <v>-3.3169313805437198E-15</v>
          </cell>
          <cell r="P104">
            <v>-2.37528529146097E-15</v>
          </cell>
          <cell r="Q104">
            <v>-1.7183685086028299E-15</v>
          </cell>
          <cell r="R104">
            <v>-1.14815633847549E-15</v>
          </cell>
        </row>
        <row r="105">
          <cell r="A105">
            <v>35885</v>
          </cell>
          <cell r="N105">
            <v>1.0975142375449599E-15</v>
          </cell>
          <cell r="O105">
            <v>-3.2130366668090802E-15</v>
          </cell>
          <cell r="P105">
            <v>-2.4309490297984298E-15</v>
          </cell>
          <cell r="Q105">
            <v>-1.5036191324218299E-15</v>
          </cell>
          <cell r="R105">
            <v>-1.44842243736404E-15</v>
          </cell>
        </row>
        <row r="106">
          <cell r="A106">
            <v>35976</v>
          </cell>
          <cell r="N106">
            <v>1.60274720961457E-15</v>
          </cell>
          <cell r="O106">
            <v>-3.1820017720620802E-15</v>
          </cell>
          <cell r="P106">
            <v>-2.1261310509254E-15</v>
          </cell>
          <cell r="Q106">
            <v>-1.8012534542263799E-15</v>
          </cell>
          <cell r="R106">
            <v>-1.44876674021943E-15</v>
          </cell>
        </row>
        <row r="107">
          <cell r="A107">
            <v>36068</v>
          </cell>
          <cell r="N107">
            <v>-2.7821181480979598E-16</v>
          </cell>
          <cell r="O107">
            <v>-4.4825201220022797E-15</v>
          </cell>
          <cell r="P107">
            <v>-3.7555975940848797E-15</v>
          </cell>
          <cell r="Q107">
            <v>-2.7260703718088498E-15</v>
          </cell>
          <cell r="R107">
            <v>-1.95235397846427E-15</v>
          </cell>
        </row>
        <row r="108">
          <cell r="A108">
            <v>36160</v>
          </cell>
          <cell r="N108">
            <v>-1.8783783166331601E-15</v>
          </cell>
          <cell r="O108">
            <v>-5.5937187686102203E-15</v>
          </cell>
          <cell r="P108">
            <v>-4.3272061040709099E-15</v>
          </cell>
          <cell r="Q108">
            <v>-2.9014190958569099E-15</v>
          </cell>
          <cell r="R108">
            <v>-1.7817774115394901E-15</v>
          </cell>
        </row>
        <row r="109">
          <cell r="A109">
            <v>36250</v>
          </cell>
          <cell r="N109">
            <v>-1.5717503697219199E-15</v>
          </cell>
          <cell r="O109">
            <v>-4.7472864000037902E-15</v>
          </cell>
          <cell r="P109">
            <v>-3.3985448618794202E-15</v>
          </cell>
          <cell r="Q109">
            <v>-2.04653896395347E-15</v>
          </cell>
          <cell r="R109">
            <v>-1.0959161824705301E-15</v>
          </cell>
        </row>
        <row r="110">
          <cell r="A110">
            <v>36341</v>
          </cell>
          <cell r="N110">
            <v>-5.4118192808476799E-16</v>
          </cell>
          <cell r="O110">
            <v>-4.1490630779880401E-15</v>
          </cell>
          <cell r="P110">
            <v>-2.8099674303507901E-15</v>
          </cell>
          <cell r="Q110">
            <v>-1.60435286794262E-15</v>
          </cell>
          <cell r="R110">
            <v>-1.38449425797614E-15</v>
          </cell>
        </row>
        <row r="111">
          <cell r="A111">
            <v>36433</v>
          </cell>
          <cell r="N111">
            <v>3.6607266897972198E-16</v>
          </cell>
          <cell r="O111">
            <v>-3.4485049524981101E-15</v>
          </cell>
          <cell r="P111">
            <v>-2.1465918706241299E-15</v>
          </cell>
          <cell r="Q111">
            <v>-1.6385863784872E-15</v>
          </cell>
          <cell r="R111">
            <v>-1.4453479923210101E-15</v>
          </cell>
        </row>
        <row r="112">
          <cell r="A112">
            <v>36525</v>
          </cell>
          <cell r="N112">
            <v>1.2481288051228701E-15</v>
          </cell>
          <cell r="O112">
            <v>-2.8995312165876699E-15</v>
          </cell>
          <cell r="P112">
            <v>-2.2827081521033599E-15</v>
          </cell>
          <cell r="Q112">
            <v>-1.8257848775231702E-15</v>
          </cell>
          <cell r="R112">
            <v>-1.3705766237109E-15</v>
          </cell>
        </row>
        <row r="113">
          <cell r="A113">
            <v>36616</v>
          </cell>
          <cell r="N113">
            <v>1.8304381333246801E-15</v>
          </cell>
          <cell r="O113">
            <v>-3.1681942393151598E-15</v>
          </cell>
          <cell r="P113">
            <v>-2.56012554885874E-15</v>
          </cell>
          <cell r="Q113">
            <v>-1.8474916987962102E-15</v>
          </cell>
          <cell r="R113">
            <v>-1.67631723526932E-15</v>
          </cell>
        </row>
        <row r="114">
          <cell r="A114">
            <v>36707</v>
          </cell>
          <cell r="N114">
            <v>6.8585778626666199E-16</v>
          </cell>
          <cell r="O114">
            <v>-4.1100782513750802E-15</v>
          </cell>
          <cell r="P114">
            <v>-3.0989213021367398E-15</v>
          </cell>
          <cell r="Q114">
            <v>-2.4416591453891101E-15</v>
          </cell>
          <cell r="R114">
            <v>-1.8492375998317798E-15</v>
          </cell>
        </row>
        <row r="115">
          <cell r="A115">
            <v>36799</v>
          </cell>
          <cell r="N115">
            <v>-1.00549087005865E-15</v>
          </cell>
          <cell r="O115">
            <v>-4.8719147398861499E-15</v>
          </cell>
          <cell r="P115">
            <v>-3.98459949309328E-15</v>
          </cell>
          <cell r="Q115">
            <v>-2.85575297149928E-15</v>
          </cell>
          <cell r="R115">
            <v>-1.74979875172974E-15</v>
          </cell>
        </row>
        <row r="116">
          <cell r="A116">
            <v>36891</v>
          </cell>
          <cell r="N116">
            <v>-3.9758229890069103E-15</v>
          </cell>
          <cell r="O116">
            <v>-6.9397002170573203E-15</v>
          </cell>
          <cell r="P116">
            <v>-5.5151341175039804E-15</v>
          </cell>
          <cell r="Q116">
            <v>-3.4772843482556199E-15</v>
          </cell>
          <cell r="R116">
            <v>-2.1032776459211601E-15</v>
          </cell>
        </row>
        <row r="117">
          <cell r="A117">
            <v>36981</v>
          </cell>
          <cell r="N117">
            <v>-4.6891821797626197E-15</v>
          </cell>
          <cell r="O117">
            <v>-6.4289876687322997E-15</v>
          </cell>
          <cell r="P117">
            <v>-4.6367148069540498E-15</v>
          </cell>
          <cell r="Q117">
            <v>-2.8126791889387201E-15</v>
          </cell>
          <cell r="R117">
            <v>-1.42334182253176E-15</v>
          </cell>
        </row>
        <row r="118">
          <cell r="A118">
            <v>37072</v>
          </cell>
          <cell r="N118">
            <v>-4.8554972661699697E-15</v>
          </cell>
          <cell r="O118">
            <v>-6.0951714664903702E-15</v>
          </cell>
          <cell r="P118">
            <v>-4.4108347878761701E-15</v>
          </cell>
          <cell r="Q118">
            <v>-2.3649086406214901E-15</v>
          </cell>
          <cell r="R118">
            <v>-1.21113639653521E-15</v>
          </cell>
        </row>
        <row r="119">
          <cell r="A119">
            <v>37164</v>
          </cell>
          <cell r="N119">
            <v>-5.82943813704264E-15</v>
          </cell>
          <cell r="O119">
            <v>-6.6236218828279596E-15</v>
          </cell>
          <cell r="P119">
            <v>-4.6600808226783702E-15</v>
          </cell>
          <cell r="Q119">
            <v>-2.6122626404272899E-15</v>
          </cell>
          <cell r="R119">
            <v>-1.3070252805755801E-15</v>
          </cell>
        </row>
        <row r="120">
          <cell r="A120">
            <v>37256</v>
          </cell>
          <cell r="N120">
            <v>-7.3231937200204393E-15</v>
          </cell>
          <cell r="O120">
            <v>-7.0127348448921601E-15</v>
          </cell>
          <cell r="P120">
            <v>-5.1751406385319596E-15</v>
          </cell>
          <cell r="Q120">
            <v>-2.8594942138145999E-15</v>
          </cell>
          <cell r="R120">
            <v>-1.3535865031458101E-15</v>
          </cell>
        </row>
        <row r="121">
          <cell r="A121">
            <v>37346</v>
          </cell>
          <cell r="N121">
            <v>-5.0182661522947602E-15</v>
          </cell>
          <cell r="O121">
            <v>-4.9722502761491E-15</v>
          </cell>
          <cell r="P121">
            <v>-3.35496368805537E-15</v>
          </cell>
          <cell r="Q121">
            <v>-1.47910356893501E-15</v>
          </cell>
          <cell r="R121">
            <v>-5.8345785970954399E-16</v>
          </cell>
        </row>
        <row r="122">
          <cell r="A122">
            <v>37437</v>
          </cell>
          <cell r="N122">
            <v>-3.0123448368533098E-15</v>
          </cell>
          <cell r="O122">
            <v>-4.0352815724531697E-15</v>
          </cell>
          <cell r="P122">
            <v>-2.5550999770526E-15</v>
          </cell>
          <cell r="Q122">
            <v>-1.1204509039337199E-15</v>
          </cell>
          <cell r="R122">
            <v>-6.5607413556298298E-16</v>
          </cell>
        </row>
        <row r="123">
          <cell r="A123">
            <v>37529</v>
          </cell>
          <cell r="N123">
            <v>-3.1818461329678499E-15</v>
          </cell>
          <cell r="O123">
            <v>-4.3736056233871696E-15</v>
          </cell>
          <cell r="P123">
            <v>-3.0868720470271698E-15</v>
          </cell>
          <cell r="Q123">
            <v>-1.7413926009059401E-15</v>
          </cell>
          <cell r="R123">
            <v>-1.1762069698577999E-15</v>
          </cell>
        </row>
        <row r="124">
          <cell r="A124">
            <v>37621</v>
          </cell>
          <cell r="N124">
            <v>-2.6843193181494699E-15</v>
          </cell>
          <cell r="O124">
            <v>-4.0296820244415497E-15</v>
          </cell>
          <cell r="P124">
            <v>-3.0396612212410202E-15</v>
          </cell>
          <cell r="Q124">
            <v>-1.8351142570062298E-15</v>
          </cell>
          <cell r="R124">
            <v>-9.9640226250060206E-16</v>
          </cell>
        </row>
        <row r="125">
          <cell r="A125">
            <v>37711</v>
          </cell>
          <cell r="N125">
            <v>5.9700147571796604E-16</v>
          </cell>
          <cell r="O125">
            <v>-2.1042473422464001E-15</v>
          </cell>
          <cell r="P125">
            <v>-1.4483517201578E-15</v>
          </cell>
          <cell r="Q125">
            <v>-5.4837741011992404E-16</v>
          </cell>
          <cell r="R125">
            <v>-5.8190281430809201E-16</v>
          </cell>
        </row>
        <row r="126">
          <cell r="A126">
            <v>37802</v>
          </cell>
          <cell r="N126">
            <v>3.2752605593823801E-15</v>
          </cell>
          <cell r="O126">
            <v>-1.2266320344540199E-15</v>
          </cell>
          <cell r="P126">
            <v>-4.26025778058509E-16</v>
          </cell>
          <cell r="Q126">
            <v>-3.4475277008319502E-16</v>
          </cell>
          <cell r="R126">
            <v>-8.4178890745218903E-16</v>
          </cell>
        </row>
        <row r="127">
          <cell r="A127">
            <v>37894</v>
          </cell>
          <cell r="N127">
            <v>4.1616755760495497E-15</v>
          </cell>
          <cell r="O127">
            <v>-1.07244187557808E-15</v>
          </cell>
          <cell r="P127">
            <v>-7.7673247543765101E-16</v>
          </cell>
          <cell r="Q127">
            <v>-1.0468819817794101E-15</v>
          </cell>
          <cell r="R127">
            <v>-1.4857202155667301E-15</v>
          </cell>
        </row>
        <row r="128">
          <cell r="A128">
            <v>37986</v>
          </cell>
          <cell r="N128">
            <v>4.7741072624403099E-15</v>
          </cell>
          <cell r="O128">
            <v>-1.41265046740838E-15</v>
          </cell>
          <cell r="P128">
            <v>-1.3492660744575801E-15</v>
          </cell>
          <cell r="Q128">
            <v>-1.58982612281429E-15</v>
          </cell>
          <cell r="R128">
            <v>-1.7534420399818E-15</v>
          </cell>
        </row>
        <row r="129">
          <cell r="A129">
            <v>38077</v>
          </cell>
          <cell r="N129">
            <v>4.1135103201726099E-15</v>
          </cell>
          <cell r="O129">
            <v>-2.51057565020528E-15</v>
          </cell>
          <cell r="P129">
            <v>-2.23454519015952E-15</v>
          </cell>
          <cell r="Q129">
            <v>-2.1179968607276499E-15</v>
          </cell>
          <cell r="R129">
            <v>-1.81394117406087E-15</v>
          </cell>
        </row>
        <row r="130">
          <cell r="A130">
            <v>38168</v>
          </cell>
          <cell r="N130">
            <v>2.95490355510635E-15</v>
          </cell>
          <cell r="O130">
            <v>-3.4633015139127101E-15</v>
          </cell>
          <cell r="P130">
            <v>-2.7978259204990798E-15</v>
          </cell>
          <cell r="Q130">
            <v>-2.2560283728943401E-15</v>
          </cell>
          <cell r="R130">
            <v>-1.9501777814082399E-15</v>
          </cell>
        </row>
        <row r="131">
          <cell r="A131">
            <v>38260</v>
          </cell>
          <cell r="N131">
            <v>2.0482524148077602E-15</v>
          </cell>
          <cell r="O131">
            <v>-3.9494337713048596E-15</v>
          </cell>
          <cell r="P131">
            <v>-2.8273229631489298E-15</v>
          </cell>
          <cell r="Q131">
            <v>-2.3364946741956598E-15</v>
          </cell>
          <cell r="R131">
            <v>-1.94563466452163E-15</v>
          </cell>
        </row>
        <row r="132">
          <cell r="A132">
            <v>38352</v>
          </cell>
          <cell r="N132">
            <v>2.05942388671215E-15</v>
          </cell>
          <cell r="O132">
            <v>-3.6548681249908702E-15</v>
          </cell>
          <cell r="P132">
            <v>-2.60714690973811E-15</v>
          </cell>
          <cell r="Q132">
            <v>-2.19771524931474E-15</v>
          </cell>
          <cell r="R132">
            <v>-1.8247817207698002E-15</v>
          </cell>
        </row>
        <row r="133">
          <cell r="A133">
            <v>38442</v>
          </cell>
          <cell r="N133">
            <v>2.6246466722728301E-15</v>
          </cell>
          <cell r="O133">
            <v>-3.4351339828450599E-15</v>
          </cell>
          <cell r="P133">
            <v>-2.3537954488109099E-15</v>
          </cell>
          <cell r="Q133">
            <v>-2.0223664028602799E-15</v>
          </cell>
          <cell r="R133">
            <v>-1.8422357379786699E-15</v>
          </cell>
        </row>
        <row r="134">
          <cell r="A134">
            <v>38533</v>
          </cell>
          <cell r="N134">
            <v>1.27449984004223E-15</v>
          </cell>
          <cell r="O134">
            <v>-4.5770686604610398E-15</v>
          </cell>
          <cell r="P134">
            <v>-3.3458420064071701E-15</v>
          </cell>
          <cell r="Q134">
            <v>-2.9197939131354599E-15</v>
          </cell>
          <cell r="R134">
            <v>-2.3440737621883001E-15</v>
          </cell>
        </row>
        <row r="135">
          <cell r="A135">
            <v>38625</v>
          </cell>
          <cell r="N135">
            <v>1.75545503710707E-15</v>
          </cell>
          <cell r="O135">
            <v>-3.7631184466738498E-15</v>
          </cell>
          <cell r="P135">
            <v>-2.7362963391755001E-15</v>
          </cell>
          <cell r="Q135">
            <v>-2.3438695092578401E-15</v>
          </cell>
          <cell r="R135">
            <v>-1.9846004217838002E-15</v>
          </cell>
        </row>
        <row r="136">
          <cell r="A136">
            <v>38717</v>
          </cell>
          <cell r="N136">
            <v>2.25071934030657E-15</v>
          </cell>
          <cell r="O136">
            <v>-3.8114998769817201E-15</v>
          </cell>
          <cell r="P136">
            <v>-2.6605568715882398E-15</v>
          </cell>
          <cell r="Q136">
            <v>-2.4336115144765102E-15</v>
          </cell>
          <cell r="R136">
            <v>-1.8203609562181402E-15</v>
          </cell>
        </row>
        <row r="137">
          <cell r="A137">
            <v>38807</v>
          </cell>
          <cell r="N137">
            <v>1.8731475289880202E-15</v>
          </cell>
          <cell r="O137">
            <v>-4.0143375006243599E-15</v>
          </cell>
          <cell r="P137">
            <v>-2.9763480221279901E-15</v>
          </cell>
          <cell r="Q137">
            <v>-2.45900925484495E-15</v>
          </cell>
          <cell r="R137">
            <v>-2.2674106822318399E-15</v>
          </cell>
        </row>
        <row r="138">
          <cell r="A138">
            <v>38898</v>
          </cell>
          <cell r="N138">
            <v>2.3212547893044498E-15</v>
          </cell>
          <cell r="O138">
            <v>-3.7008016695310397E-15</v>
          </cell>
          <cell r="P138">
            <v>-2.4517189080640799E-15</v>
          </cell>
          <cell r="Q138">
            <v>-2.50510543859083E-15</v>
          </cell>
          <cell r="R138">
            <v>-2.1062123071415199E-15</v>
          </cell>
        </row>
        <row r="139">
          <cell r="A139">
            <v>38990</v>
          </cell>
          <cell r="N139">
            <v>2.33770754138224E-15</v>
          </cell>
          <cell r="O139">
            <v>-3.5670960324053701E-15</v>
          </cell>
          <cell r="P139">
            <v>-2.8115491412716401E-15</v>
          </cell>
          <cell r="Q139">
            <v>-2.6163473626006E-15</v>
          </cell>
          <cell r="R139">
            <v>-2.0661088404606299E-15</v>
          </cell>
        </row>
        <row r="140">
          <cell r="A140">
            <v>39082</v>
          </cell>
          <cell r="N140">
            <v>2.7887859334320901E-15</v>
          </cell>
          <cell r="O140">
            <v>-3.6528126162892399E-15</v>
          </cell>
          <cell r="P140">
            <v>-2.6915987945837E-15</v>
          </cell>
          <cell r="Q140">
            <v>-2.4458754876849002E-15</v>
          </cell>
          <cell r="R140">
            <v>-2.1922428137305999E-15</v>
          </cell>
        </row>
        <row r="141">
          <cell r="A141">
            <v>39172</v>
          </cell>
          <cell r="L141" t="str">
            <v>2007Q1</v>
          </cell>
          <cell r="M141">
            <v>-2.4990917942303702E-2</v>
          </cell>
          <cell r="N141">
            <v>2.7814897720132501E-15</v>
          </cell>
          <cell r="O141">
            <v>-3.54390718671859E-15</v>
          </cell>
          <cell r="P141">
            <v>-2.51585621235616E-15</v>
          </cell>
          <cell r="Q141">
            <v>-2.5719485233272001E-15</v>
          </cell>
          <cell r="R141">
            <v>-2.2267660133698201E-15</v>
          </cell>
          <cell r="S141">
            <v>-1.55632651329818E-16</v>
          </cell>
        </row>
        <row r="142">
          <cell r="A142">
            <v>39263</v>
          </cell>
          <cell r="L142" t="str">
            <v>2007Q2</v>
          </cell>
          <cell r="M142">
            <v>-0.11419290290127</v>
          </cell>
          <cell r="N142">
            <v>3.41450526444911E-15</v>
          </cell>
          <cell r="O142">
            <v>-3.0439715861635901E-15</v>
          </cell>
          <cell r="P142">
            <v>-2.3523014244576898E-15</v>
          </cell>
          <cell r="Q142">
            <v>-2.43866128355882E-15</v>
          </cell>
          <cell r="R142">
            <v>-2.1318954583823001E-15</v>
          </cell>
          <cell r="S142">
            <v>2.63672189933829E-17</v>
          </cell>
        </row>
        <row r="143">
          <cell r="A143">
            <v>39355</v>
          </cell>
          <cell r="L143" t="str">
            <v>2007Q3</v>
          </cell>
          <cell r="M143">
            <v>-9.0478080471159093E-3</v>
          </cell>
          <cell r="N143">
            <v>2.2813500121396502E-15</v>
          </cell>
          <cell r="O143">
            <v>-4.2738873531425901E-15</v>
          </cell>
          <cell r="P143">
            <v>-3.3436428722225201E-15</v>
          </cell>
          <cell r="Q143">
            <v>-3.0995648779988E-15</v>
          </cell>
          <cell r="R143">
            <v>-2.40710861685175E-15</v>
          </cell>
          <cell r="S143">
            <v>-2.61426787426237E-16</v>
          </cell>
        </row>
        <row r="144">
          <cell r="A144">
            <v>39447</v>
          </cell>
          <cell r="L144" t="str">
            <v>2007Q4</v>
          </cell>
          <cell r="M144">
            <v>-8.9819542168629002E-2</v>
          </cell>
          <cell r="N144">
            <v>8.2326317280932697E-16</v>
          </cell>
          <cell r="O144">
            <v>-4.9056363419289499E-15</v>
          </cell>
          <cell r="P144">
            <v>-3.82452798506327E-15</v>
          </cell>
          <cell r="Q144">
            <v>-3.25006733727786E-15</v>
          </cell>
          <cell r="R144">
            <v>-2.4845698980406498E-15</v>
          </cell>
          <cell r="S144">
            <v>-2.63741954753108E-16</v>
          </cell>
          <cell r="AD144">
            <v>2008</v>
          </cell>
        </row>
        <row r="145">
          <cell r="A145">
            <v>39538</v>
          </cell>
          <cell r="L145" t="str">
            <v>2008Q1</v>
          </cell>
          <cell r="M145">
            <v>-0.14491432837811799</v>
          </cell>
          <cell r="N145">
            <v>-1.4657060829640301E-15</v>
          </cell>
          <cell r="O145">
            <v>-6.2442519622946497E-15</v>
          </cell>
          <cell r="P145">
            <v>-4.7761183263065804E-15</v>
          </cell>
          <cell r="Q145">
            <v>-3.8123966122048899E-15</v>
          </cell>
          <cell r="R145">
            <v>-2.5269650566543102E-15</v>
          </cell>
          <cell r="S145">
            <v>-2.4100112601369101E-16</v>
          </cell>
          <cell r="AD145">
            <v>2009</v>
          </cell>
        </row>
        <row r="146">
          <cell r="A146">
            <v>39629</v>
          </cell>
          <cell r="L146" t="str">
            <v>2008Q2</v>
          </cell>
          <cell r="M146">
            <v>6.54171086147394E-2</v>
          </cell>
          <cell r="N146">
            <v>-1.49231924086295E-15</v>
          </cell>
          <cell r="O146">
            <v>-5.3909185232871399E-15</v>
          </cell>
          <cell r="P146">
            <v>-3.9592532971499599E-15</v>
          </cell>
          <cell r="Q146">
            <v>-2.8885303618880198E-15</v>
          </cell>
          <cell r="R146">
            <v>-1.8020480672583499E-15</v>
          </cell>
          <cell r="S146">
            <v>2.77251862471945E-17</v>
          </cell>
          <cell r="AD146">
            <v>2009</v>
          </cell>
        </row>
        <row r="147">
          <cell r="A147">
            <v>39721</v>
          </cell>
          <cell r="L147" t="str">
            <v>2008Q3</v>
          </cell>
          <cell r="M147">
            <v>9.8499101159246996E-2</v>
          </cell>
          <cell r="N147">
            <v>-3.03371631294586E-15</v>
          </cell>
          <cell r="O147">
            <v>-6.5421696403603702E-15</v>
          </cell>
          <cell r="P147">
            <v>-4.6656216943090304E-15</v>
          </cell>
          <cell r="Q147">
            <v>-3.2465390554728601E-15</v>
          </cell>
          <cell r="R147">
            <v>-2.06421647796101E-15</v>
          </cell>
          <cell r="S147">
            <v>-1.9727100801273601E-16</v>
          </cell>
          <cell r="AD147">
            <v>2009</v>
          </cell>
        </row>
        <row r="148">
          <cell r="A148">
            <v>39813</v>
          </cell>
          <cell r="L148" t="str">
            <v>2008Q4</v>
          </cell>
          <cell r="M148">
            <v>1.7668286999281201E-2</v>
          </cell>
          <cell r="N148">
            <v>-6.29247052007125E-2</v>
          </cell>
          <cell r="O148">
            <v>1.08248113065792E-2</v>
          </cell>
          <cell r="P148">
            <v>2.38640391248333E-2</v>
          </cell>
          <cell r="Q148">
            <v>6.42723430201699E-3</v>
          </cell>
          <cell r="R148">
            <v>4.7491528835860702E-3</v>
          </cell>
          <cell r="S148">
            <v>4.8688031840390502E-3</v>
          </cell>
          <cell r="AD148">
            <v>2009</v>
          </cell>
        </row>
        <row r="149">
          <cell r="A149">
            <v>39903</v>
          </cell>
          <cell r="L149" t="str">
            <v>2009Q1</v>
          </cell>
          <cell r="M149">
            <v>-0.21119259737476601</v>
          </cell>
          <cell r="N149">
            <v>5.5841430392642402E-2</v>
          </cell>
          <cell r="O149">
            <v>6.6290195054513196E-2</v>
          </cell>
          <cell r="P149">
            <v>2.7200391130327399E-2</v>
          </cell>
          <cell r="Q149">
            <v>2.1695584909056199E-2</v>
          </cell>
          <cell r="R149">
            <v>2.0473859939250001E-2</v>
          </cell>
          <cell r="S149">
            <v>2.2781570813233301E-2</v>
          </cell>
          <cell r="AD149">
            <v>2010</v>
          </cell>
        </row>
        <row r="150">
          <cell r="A150">
            <v>39994</v>
          </cell>
          <cell r="L150" t="str">
            <v>2009Q2</v>
          </cell>
          <cell r="M150">
            <v>-2.7768160911512602E-2</v>
          </cell>
          <cell r="N150">
            <v>3.7662482321688798E-2</v>
          </cell>
          <cell r="O150">
            <v>2.4496482847909101E-2</v>
          </cell>
          <cell r="P150">
            <v>1.45115019178013E-2</v>
          </cell>
          <cell r="Q150">
            <v>1.72733308562532E-2</v>
          </cell>
          <cell r="R150">
            <v>1.4855620296338801E-2</v>
          </cell>
          <cell r="S150">
            <v>1.73607111818792E-2</v>
          </cell>
          <cell r="AD150">
            <v>2010</v>
          </cell>
        </row>
        <row r="151">
          <cell r="A151">
            <v>40086</v>
          </cell>
          <cell r="L151" t="str">
            <v>2009Q3</v>
          </cell>
          <cell r="M151">
            <v>2.6948247303760699E-2</v>
          </cell>
          <cell r="N151">
            <v>3.5338774104016102E-3</v>
          </cell>
          <cell r="O151">
            <v>1.13376681525137E-2</v>
          </cell>
          <cell r="P151">
            <v>6.9020475569436497E-3</v>
          </cell>
          <cell r="Q151">
            <v>1.04010412660913E-2</v>
          </cell>
          <cell r="R151">
            <v>1.15788077846075E-2</v>
          </cell>
          <cell r="S151">
            <v>1.47258127515391E-2</v>
          </cell>
          <cell r="AD151">
            <v>2010</v>
          </cell>
        </row>
        <row r="152">
          <cell r="A152">
            <v>40178</v>
          </cell>
          <cell r="L152" t="str">
            <v>2009Q4</v>
          </cell>
          <cell r="M152">
            <v>6.2528698771621302E-2</v>
          </cell>
          <cell r="N152">
            <v>2.1625004930780501E-3</v>
          </cell>
          <cell r="O152">
            <v>1.49904066896594E-2</v>
          </cell>
          <cell r="P152">
            <v>1.9716201507600801E-2</v>
          </cell>
          <cell r="Q152">
            <v>2.1296758287659201E-2</v>
          </cell>
          <cell r="R152">
            <v>1.761825356611E-2</v>
          </cell>
          <cell r="S152">
            <v>1.8662960536027499E-2</v>
          </cell>
          <cell r="AD152">
            <v>2010</v>
          </cell>
        </row>
        <row r="153">
          <cell r="A153">
            <v>40268</v>
          </cell>
          <cell r="L153" t="str">
            <v>2010Q1</v>
          </cell>
          <cell r="M153">
            <v>-4.1806314749415402E-2</v>
          </cell>
          <cell r="N153">
            <v>-3.0780742693446099E-2</v>
          </cell>
          <cell r="O153">
            <v>1.16909791261651E-2</v>
          </cell>
          <cell r="P153">
            <v>5.9763775295607197E-3</v>
          </cell>
          <cell r="Q153">
            <v>7.5489939417762199E-3</v>
          </cell>
          <cell r="R153">
            <v>5.8323897679328799E-3</v>
          </cell>
          <cell r="S153">
            <v>7.27113006236058E-3</v>
          </cell>
          <cell r="AD153">
            <v>2011</v>
          </cell>
        </row>
        <row r="154">
          <cell r="A154">
            <v>40359</v>
          </cell>
          <cell r="L154" t="str">
            <v>2010Q2</v>
          </cell>
          <cell r="M154">
            <v>2.6291022304074298E-4</v>
          </cell>
          <cell r="N154">
            <v>-2.56846335795618E-2</v>
          </cell>
          <cell r="O154">
            <v>-1.53303315651895E-3</v>
          </cell>
          <cell r="P154">
            <v>-1.3989517035623299E-2</v>
          </cell>
          <cell r="Q154">
            <v>-1.20280874226217E-2</v>
          </cell>
          <cell r="R154">
            <v>-9.0953215606401003E-3</v>
          </cell>
          <cell r="S154">
            <v>-7.4111867818483102E-3</v>
          </cell>
          <cell r="AD154">
            <v>2011</v>
          </cell>
        </row>
        <row r="155">
          <cell r="A155">
            <v>40451</v>
          </cell>
          <cell r="L155" t="str">
            <v>2010Q3</v>
          </cell>
          <cell r="M155">
            <v>5.9432247091283003E-2</v>
          </cell>
          <cell r="N155">
            <v>-3.6263415848481098E-2</v>
          </cell>
          <cell r="O155">
            <v>1.12410369790913E-2</v>
          </cell>
          <cell r="P155">
            <v>-2.06877328246657E-3</v>
          </cell>
          <cell r="Q155">
            <v>-2.5057468595976102E-3</v>
          </cell>
          <cell r="R155">
            <v>-2.7252132216555001E-3</v>
          </cell>
          <cell r="S155">
            <v>-2.6090900674959699E-3</v>
          </cell>
          <cell r="AD155">
            <v>2011</v>
          </cell>
        </row>
        <row r="156">
          <cell r="A156">
            <v>40543</v>
          </cell>
          <cell r="L156" t="str">
            <v>2010Q4</v>
          </cell>
          <cell r="M156">
            <v>4.26904542872781E-2</v>
          </cell>
          <cell r="N156">
            <v>-3.6073327373363197E-2</v>
          </cell>
          <cell r="O156">
            <v>2.4090015843093698E-2</v>
          </cell>
          <cell r="P156">
            <v>7.3852652981611297E-3</v>
          </cell>
          <cell r="Q156">
            <v>7.72928275918024E-3</v>
          </cell>
          <cell r="R156">
            <v>8.4887596903045395E-3</v>
          </cell>
          <cell r="S156">
            <v>8.0079965605882198E-3</v>
          </cell>
          <cell r="AD156">
            <v>2011</v>
          </cell>
        </row>
        <row r="157">
          <cell r="A157">
            <v>40633</v>
          </cell>
          <cell r="L157" t="str">
            <v>2011Q1</v>
          </cell>
          <cell r="M157">
            <v>-2.0559393152613601E-2</v>
          </cell>
          <cell r="N157">
            <v>-1.70731550010026E-2</v>
          </cell>
          <cell r="O157">
            <v>3.7003135417451601E-2</v>
          </cell>
          <cell r="P157">
            <v>2.00680126157292E-2</v>
          </cell>
          <cell r="Q157">
            <v>1.9483384074450098E-2</v>
          </cell>
          <cell r="R157">
            <v>1.8442797033485399E-2</v>
          </cell>
          <cell r="S157">
            <v>1.78957054776391E-2</v>
          </cell>
          <cell r="AD157">
            <v>2012</v>
          </cell>
        </row>
        <row r="158">
          <cell r="A158">
            <v>40724</v>
          </cell>
          <cell r="L158" t="str">
            <v>2011Q2</v>
          </cell>
          <cell r="M158">
            <v>0.143008216601543</v>
          </cell>
          <cell r="N158">
            <v>-2.8273128206056201E-2</v>
          </cell>
          <cell r="O158">
            <v>5.56273320693743E-2</v>
          </cell>
          <cell r="P158">
            <v>3.1424407927767697E-2</v>
          </cell>
          <cell r="Q158">
            <v>2.84781577650315E-2</v>
          </cell>
          <cell r="R158">
            <v>2.5735527769219599E-2</v>
          </cell>
          <cell r="S158">
            <v>2.31709975826155E-2</v>
          </cell>
          <cell r="AD158">
            <v>2012</v>
          </cell>
        </row>
        <row r="159">
          <cell r="A159">
            <v>40816</v>
          </cell>
          <cell r="L159" t="str">
            <v>2011Q3</v>
          </cell>
          <cell r="M159">
            <v>0.13236237018913499</v>
          </cell>
          <cell r="N159">
            <v>-0.103225964966635</v>
          </cell>
          <cell r="O159">
            <v>3.5548901652231603E-2</v>
          </cell>
          <cell r="P159">
            <v>-1.7733212816796701E-3</v>
          </cell>
          <cell r="Q159">
            <v>-3.4547658667141001E-3</v>
          </cell>
          <cell r="R159">
            <v>-3.3335034823260999E-3</v>
          </cell>
          <cell r="S159">
            <v>-4.0983190522255897E-3</v>
          </cell>
          <cell r="AD159">
            <v>2012</v>
          </cell>
        </row>
        <row r="160">
          <cell r="A160">
            <v>40908</v>
          </cell>
          <cell r="L160" t="str">
            <v>2011Q4</v>
          </cell>
          <cell r="M160">
            <v>8.43407568231586E-2</v>
          </cell>
          <cell r="N160">
            <v>-0.14285197616390699</v>
          </cell>
          <cell r="O160">
            <v>3.3250628529609402E-2</v>
          </cell>
          <cell r="P160">
            <v>-1.28474672198592E-2</v>
          </cell>
          <cell r="Q160">
            <v>-1.6698406972845001E-2</v>
          </cell>
          <cell r="R160">
            <v>-1.5538949416107801E-2</v>
          </cell>
          <cell r="S160">
            <v>-1.35512854039562E-2</v>
          </cell>
          <cell r="AD160">
            <v>2012</v>
          </cell>
        </row>
        <row r="161">
          <cell r="A161">
            <v>40999</v>
          </cell>
          <cell r="L161" t="str">
            <v>2012Q1</v>
          </cell>
          <cell r="M161">
            <v>-2.84894525700429E-2</v>
          </cell>
          <cell r="N161">
            <v>-2.4906281461304101E-2</v>
          </cell>
          <cell r="O161">
            <v>1.07107122758658E-2</v>
          </cell>
          <cell r="P161">
            <v>-1.44179226512904E-2</v>
          </cell>
          <cell r="Q161">
            <v>-1.6323701097298901E-2</v>
          </cell>
          <cell r="R161">
            <v>-1.58730229547689E-2</v>
          </cell>
          <cell r="S161">
            <v>-1.4198597703980499E-2</v>
          </cell>
          <cell r="AD161">
            <v>2013</v>
          </cell>
        </row>
        <row r="162">
          <cell r="A162">
            <v>41090</v>
          </cell>
          <cell r="L162" t="str">
            <v>2012Q2</v>
          </cell>
          <cell r="M162">
            <v>0.13316222068410299</v>
          </cell>
          <cell r="N162">
            <v>-6.7581535481524803E-3</v>
          </cell>
          <cell r="O162">
            <v>-2.7147848252600799E-3</v>
          </cell>
          <cell r="P162">
            <v>-1.3109601347184901E-2</v>
          </cell>
          <cell r="Q162">
            <v>-1.5735684586260599E-2</v>
          </cell>
          <cell r="R162">
            <v>-1.5820559235370599E-2</v>
          </cell>
          <cell r="S162">
            <v>-1.4901572920317799E-2</v>
          </cell>
          <cell r="AD162">
            <v>2013</v>
          </cell>
        </row>
        <row r="163">
          <cell r="A163">
            <v>41182</v>
          </cell>
          <cell r="L163" t="str">
            <v>2012Q3</v>
          </cell>
          <cell r="M163">
            <v>0.124236900254334</v>
          </cell>
          <cell r="N163">
            <v>3.1650895183433698E-3</v>
          </cell>
          <cell r="O163">
            <v>-4.1988574005580297E-3</v>
          </cell>
          <cell r="P163">
            <v>-1.29407270920612E-2</v>
          </cell>
          <cell r="Q163">
            <v>-1.55745744885283E-2</v>
          </cell>
          <cell r="R163">
            <v>-1.5643877008115498E-2</v>
          </cell>
          <cell r="S163">
            <v>-1.4838968477251999E-2</v>
          </cell>
          <cell r="AD163">
            <v>2013</v>
          </cell>
        </row>
        <row r="164">
          <cell r="A164">
            <v>41274</v>
          </cell>
          <cell r="L164" t="str">
            <v>2012Q4</v>
          </cell>
          <cell r="M164">
            <v>0.18903261558874301</v>
          </cell>
          <cell r="N164">
            <v>-3.4058528135477001E-3</v>
          </cell>
          <cell r="O164">
            <v>9.4315756418121999E-4</v>
          </cell>
          <cell r="P164">
            <v>-3.3565681443372998E-3</v>
          </cell>
          <cell r="Q164">
            <v>-6.9603588650439096E-3</v>
          </cell>
          <cell r="R164">
            <v>-7.7959018512562201E-3</v>
          </cell>
          <cell r="S164">
            <v>-7.7673557517737501E-3</v>
          </cell>
          <cell r="AD164">
            <v>2013</v>
          </cell>
        </row>
        <row r="165">
          <cell r="A165">
            <v>41364</v>
          </cell>
          <cell r="L165" t="str">
            <v>2013Q1</v>
          </cell>
          <cell r="M165">
            <v>0.26863732531501</v>
          </cell>
          <cell r="N165">
            <v>1.07516793924588E-2</v>
          </cell>
          <cell r="O165">
            <v>1.4922802208688199E-2</v>
          </cell>
          <cell r="P165">
            <v>4.8401467666106196E-3</v>
          </cell>
          <cell r="Q165">
            <v>1.24040170057407E-3</v>
          </cell>
          <cell r="R165">
            <v>-1.2889374624605199E-3</v>
          </cell>
          <cell r="S165">
            <v>-2.9267718725164301E-3</v>
          </cell>
          <cell r="AD165">
            <v>2014</v>
          </cell>
        </row>
        <row r="166">
          <cell r="A166">
            <v>41455</v>
          </cell>
          <cell r="L166" t="str">
            <v>2013Q2</v>
          </cell>
          <cell r="M166">
            <v>0.158751939138048</v>
          </cell>
          <cell r="N166">
            <v>-1.02772822732889E-3</v>
          </cell>
          <cell r="O166">
            <v>2.1697724939497899E-3</v>
          </cell>
          <cell r="P166">
            <v>-4.9839973723782103E-3</v>
          </cell>
          <cell r="Q166">
            <v>-7.8528720969830695E-3</v>
          </cell>
          <cell r="R166">
            <v>-9.2651156479417792E-3</v>
          </cell>
          <cell r="S166">
            <v>-9.4139004550053001E-3</v>
          </cell>
          <cell r="AD166">
            <v>2014</v>
          </cell>
        </row>
        <row r="167">
          <cell r="A167">
            <v>41547</v>
          </cell>
          <cell r="L167" t="str">
            <v>2013Q3</v>
          </cell>
          <cell r="M167">
            <v>0.13650560478849399</v>
          </cell>
          <cell r="N167">
            <v>-2.8944540043666302E-3</v>
          </cell>
          <cell r="O167">
            <v>2.1878837515110498E-3</v>
          </cell>
          <cell r="P167">
            <v>-1.0813045013817199E-3</v>
          </cell>
          <cell r="Q167">
            <v>-2.5208478617714798E-3</v>
          </cell>
          <cell r="R167">
            <v>-4.4467807962507398E-3</v>
          </cell>
          <cell r="S167">
            <v>-4.9134828316064602E-3</v>
          </cell>
          <cell r="AD167">
            <v>2014</v>
          </cell>
        </row>
        <row r="168">
          <cell r="A168">
            <v>41639</v>
          </cell>
          <cell r="L168" t="str">
            <v>2013Q4</v>
          </cell>
          <cell r="M168">
            <v>0.13299804474565399</v>
          </cell>
          <cell r="N168">
            <v>2.77357662958235E-3</v>
          </cell>
          <cell r="O168">
            <v>1.08651050927386E-2</v>
          </cell>
          <cell r="P168">
            <v>5.3106546481543199E-3</v>
          </cell>
          <cell r="Q168">
            <v>1.5121663349599501E-3</v>
          </cell>
          <cell r="R168">
            <v>-5.0207309344443504E-4</v>
          </cell>
          <cell r="S168">
            <v>-1.63189364510644E-3</v>
          </cell>
          <cell r="AD168">
            <v>2014</v>
          </cell>
        </row>
        <row r="169">
          <cell r="A169">
            <v>41729</v>
          </cell>
          <cell r="L169" t="str">
            <v>2014Q1</v>
          </cell>
          <cell r="M169">
            <v>0.27751354444445298</v>
          </cell>
          <cell r="N169">
            <v>3.0972878917172701E-3</v>
          </cell>
          <cell r="O169">
            <v>2.2782337640927401E-2</v>
          </cell>
          <cell r="P169">
            <v>1.17372313631267E-2</v>
          </cell>
          <cell r="Q169">
            <v>6.7854201947896197E-3</v>
          </cell>
          <cell r="R169">
            <v>4.1764029214087098E-3</v>
          </cell>
          <cell r="S169">
            <v>2.2782925008483202E-3</v>
          </cell>
          <cell r="AD169">
            <v>2015</v>
          </cell>
        </row>
        <row r="170">
          <cell r="A170">
            <v>41820</v>
          </cell>
          <cell r="L170" t="str">
            <v>2014Q2</v>
          </cell>
          <cell r="M170">
            <v>0.17781995286097399</v>
          </cell>
          <cell r="N170">
            <v>1.8147684666897299E-2</v>
          </cell>
          <cell r="O170">
            <v>3.74405707678796E-2</v>
          </cell>
          <cell r="P170">
            <v>2.58274979811727E-2</v>
          </cell>
          <cell r="Q170">
            <v>1.9652119037593299E-2</v>
          </cell>
          <cell r="R170">
            <v>1.5460289927887999E-2</v>
          </cell>
          <cell r="S170">
            <v>1.15825236752979E-2</v>
          </cell>
          <cell r="AD170">
            <v>2015</v>
          </cell>
        </row>
        <row r="171">
          <cell r="A171">
            <v>41912</v>
          </cell>
          <cell r="L171" t="str">
            <v>2014Q3</v>
          </cell>
          <cell r="M171">
            <v>0.102443780762229</v>
          </cell>
          <cell r="N171">
            <v>1.7626296539229099E-2</v>
          </cell>
          <cell r="O171">
            <v>1.6756378399511301E-2</v>
          </cell>
          <cell r="P171">
            <v>5.26940860685432E-3</v>
          </cell>
          <cell r="Q171">
            <v>2.5843991118115E-3</v>
          </cell>
          <cell r="R171">
            <v>1.67441029355589E-3</v>
          </cell>
          <cell r="S171">
            <v>-7.93694701661729E-4</v>
          </cell>
          <cell r="AD171">
            <v>2015</v>
          </cell>
        </row>
        <row r="172">
          <cell r="A172">
            <v>42004</v>
          </cell>
          <cell r="L172" t="str">
            <v>2014Q4</v>
          </cell>
          <cell r="M172">
            <v>0.10405252587354399</v>
          </cell>
          <cell r="N172">
            <v>4.31900702419706E-2</v>
          </cell>
          <cell r="O172">
            <v>2.60469622004143E-2</v>
          </cell>
          <cell r="P172">
            <v>1.8187361170142899E-2</v>
          </cell>
          <cell r="Q172">
            <v>1.4218391060141101E-2</v>
          </cell>
          <cell r="R172">
            <v>1.1721127858108899E-2</v>
          </cell>
          <cell r="S172">
            <v>7.5540169389795003E-3</v>
          </cell>
          <cell r="AD172">
            <v>2015</v>
          </cell>
        </row>
        <row r="173">
          <cell r="A173">
            <v>42094</v>
          </cell>
          <cell r="L173" t="str">
            <v>2015Q1</v>
          </cell>
          <cell r="M173">
            <v>0.24105884806757599</v>
          </cell>
          <cell r="N173">
            <v>3.72478837036938E-2</v>
          </cell>
          <cell r="O173">
            <v>3.1623425723236502E-2</v>
          </cell>
          <cell r="P173">
            <v>2.3476193488177002E-2</v>
          </cell>
          <cell r="Q173">
            <v>1.8343151751158401E-2</v>
          </cell>
          <cell r="R173">
            <v>1.45496978630913E-2</v>
          </cell>
          <cell r="S173">
            <v>1.02874642415656E-2</v>
          </cell>
          <cell r="AD173">
            <v>2016</v>
          </cell>
        </row>
        <row r="174">
          <cell r="A174">
            <v>42185</v>
          </cell>
          <cell r="L174" t="str">
            <v>2015Q2</v>
          </cell>
          <cell r="M174">
            <v>6.1048571799659598E-2</v>
          </cell>
          <cell r="N174">
            <v>-4.07704815154648E-3</v>
          </cell>
          <cell r="O174">
            <v>1.42391802709736E-2</v>
          </cell>
          <cell r="P174">
            <v>8.2170303647824908E-3</v>
          </cell>
          <cell r="Q174">
            <v>6.0117168753340599E-3</v>
          </cell>
          <cell r="R174">
            <v>4.4184659474622197E-3</v>
          </cell>
          <cell r="S174">
            <v>2.5955655482279199E-3</v>
          </cell>
          <cell r="AD174">
            <v>2016</v>
          </cell>
        </row>
        <row r="175">
          <cell r="A175">
            <v>42277</v>
          </cell>
          <cell r="L175" t="str">
            <v>2015Q3</v>
          </cell>
          <cell r="M175">
            <v>0.123004933412604</v>
          </cell>
          <cell r="N175">
            <v>3.1266190300889299E-2</v>
          </cell>
          <cell r="O175">
            <v>3.2510205425828997E-2</v>
          </cell>
          <cell r="P175">
            <v>2.2328105845015399E-2</v>
          </cell>
          <cell r="Q175">
            <v>1.7051176755570101E-2</v>
          </cell>
          <cell r="R175">
            <v>1.3392111807329399E-2</v>
          </cell>
          <cell r="S175">
            <v>9.6640638204375899E-3</v>
          </cell>
          <cell r="AD175">
            <v>2016</v>
          </cell>
        </row>
        <row r="176">
          <cell r="A176">
            <v>42369</v>
          </cell>
          <cell r="L176" t="str">
            <v>2015Q4</v>
          </cell>
          <cell r="M176">
            <v>0.112318958007877</v>
          </cell>
          <cell r="N176">
            <v>4.9631157570643103E-3</v>
          </cell>
          <cell r="O176">
            <v>7.4477155090279402E-3</v>
          </cell>
          <cell r="P176">
            <v>3.4096377130895801E-3</v>
          </cell>
          <cell r="Q176">
            <v>1.44002475135532E-3</v>
          </cell>
          <cell r="R176">
            <v>1.2567697456115201E-5</v>
          </cell>
          <cell r="S176">
            <v>-2.2356307892485898E-3</v>
          </cell>
          <cell r="AD176">
            <v>2016</v>
          </cell>
        </row>
        <row r="177">
          <cell r="A177">
            <v>42460</v>
          </cell>
          <cell r="L177" t="str">
            <v>2016Q1</v>
          </cell>
          <cell r="M177">
            <v>1.9373625681624301E-2</v>
          </cell>
          <cell r="N177">
            <v>2.2992386932249701E-2</v>
          </cell>
          <cell r="O177">
            <v>1.0558669256352999E-2</v>
          </cell>
          <cell r="P177">
            <v>6.3453131140163797E-3</v>
          </cell>
          <cell r="Q177">
            <v>3.96403913493163E-3</v>
          </cell>
          <cell r="R177">
            <v>2.3789635973619498E-3</v>
          </cell>
          <cell r="S177">
            <v>-6.7399137956840804E-4</v>
          </cell>
          <cell r="AD177">
            <v>2017</v>
          </cell>
        </row>
        <row r="178">
          <cell r="A178">
            <v>42551</v>
          </cell>
          <cell r="L178" t="str">
            <v>2016Q2</v>
          </cell>
          <cell r="M178">
            <v>4.1393981698760199E-2</v>
          </cell>
          <cell r="N178">
            <v>2.7049095928908699E-2</v>
          </cell>
          <cell r="O178">
            <v>4.6783301781770899E-3</v>
          </cell>
          <cell r="P178">
            <v>3.2889333847415502E-3</v>
          </cell>
          <cell r="Q178">
            <v>3.0249741357696899E-4</v>
          </cell>
          <cell r="R178">
            <v>-1.7754652258318499E-3</v>
          </cell>
          <cell r="S178">
            <v>-3.8750120908195101E-3</v>
          </cell>
          <cell r="AD178">
            <v>2017</v>
          </cell>
        </row>
        <row r="179">
          <cell r="A179">
            <v>42643</v>
          </cell>
          <cell r="L179" t="str">
            <v>2016Q3</v>
          </cell>
          <cell r="M179">
            <v>8.08803366549041E-2</v>
          </cell>
          <cell r="N179">
            <v>7.8937751789710398E-3</v>
          </cell>
          <cell r="O179">
            <v>-5.8038415842859396E-3</v>
          </cell>
          <cell r="P179">
            <v>-4.1900405047257698E-3</v>
          </cell>
          <cell r="Q179">
            <v>-6.2274163937127303E-3</v>
          </cell>
          <cell r="R179">
            <v>-7.7083415792309198E-3</v>
          </cell>
          <cell r="S179">
            <v>-8.7016960420974992E-3</v>
          </cell>
          <cell r="AD179">
            <v>2017</v>
          </cell>
        </row>
        <row r="180">
          <cell r="A180">
            <v>42735</v>
          </cell>
          <cell r="L180" t="str">
            <v>2016Q4</v>
          </cell>
          <cell r="M180">
            <v>1.18545827348343E-2</v>
          </cell>
          <cell r="N180">
            <v>3.8705805529818901E-3</v>
          </cell>
          <cell r="O180">
            <v>-4.49611157435753E-3</v>
          </cell>
          <cell r="P180">
            <v>-4.8741228053916204E-3</v>
          </cell>
          <cell r="Q180">
            <v>-5.82399432526607E-3</v>
          </cell>
          <cell r="R180">
            <v>-6.7020924432843196E-3</v>
          </cell>
          <cell r="S180">
            <v>-7.3758496218715996E-3</v>
          </cell>
          <cell r="AD180">
            <v>2017</v>
          </cell>
        </row>
        <row r="181">
          <cell r="A181">
            <v>42825</v>
          </cell>
          <cell r="L181" t="str">
            <v>2017Q1</v>
          </cell>
          <cell r="M181">
            <v>4.7772178479286602E-4</v>
          </cell>
          <cell r="N181">
            <v>1.6215568577604799E-4</v>
          </cell>
          <cell r="O181">
            <v>-7.7175210605255002E-3</v>
          </cell>
          <cell r="P181">
            <v>-7.6189249611582502E-3</v>
          </cell>
          <cell r="Q181">
            <v>-8.0956244474725495E-3</v>
          </cell>
          <cell r="R181">
            <v>-8.7374120504347796E-3</v>
          </cell>
          <cell r="S181">
            <v>-8.4607272454566493E-3</v>
          </cell>
          <cell r="AD181">
            <v>2018</v>
          </cell>
        </row>
        <row r="182">
          <cell r="A182">
            <v>42916</v>
          </cell>
          <cell r="L182" t="str">
            <v>2017Q2</v>
          </cell>
          <cell r="M182">
            <v>-5.3846154197835401E-3</v>
          </cell>
          <cell r="N182">
            <v>-7.9805442144560094E-3</v>
          </cell>
          <cell r="O182">
            <v>-1.0360795694355201E-2</v>
          </cell>
          <cell r="P182">
            <v>-9.8399896061041603E-3</v>
          </cell>
          <cell r="Q182">
            <v>-9.2573604479976607E-3</v>
          </cell>
          <cell r="R182">
            <v>-9.2524505799221994E-3</v>
          </cell>
          <cell r="S182">
            <v>-8.4099722107944305E-3</v>
          </cell>
          <cell r="AD182">
            <v>2018</v>
          </cell>
        </row>
        <row r="183">
          <cell r="A183">
            <v>43008</v>
          </cell>
          <cell r="L183" t="str">
            <v>2017Q3</v>
          </cell>
          <cell r="M183">
            <v>2.7674623693728799E-2</v>
          </cell>
          <cell r="N183">
            <v>1.7320549823649601E-2</v>
          </cell>
          <cell r="O183">
            <v>9.2493717523609402E-3</v>
          </cell>
          <cell r="P183">
            <v>5.2703157904662899E-3</v>
          </cell>
          <cell r="Q183">
            <v>3.8403497835271701E-3</v>
          </cell>
          <cell r="R183">
            <v>2.28523677754969E-3</v>
          </cell>
          <cell r="S183">
            <v>1.58215500634023E-3</v>
          </cell>
          <cell r="AD183">
            <v>2018</v>
          </cell>
        </row>
        <row r="184">
          <cell r="A184">
            <v>43100</v>
          </cell>
          <cell r="L184" t="str">
            <v>2017Q4</v>
          </cell>
          <cell r="M184">
            <v>-4.7190922647352203E-2</v>
          </cell>
          <cell r="N184">
            <v>2.2921848527516298E-3</v>
          </cell>
          <cell r="O184">
            <v>-5.3041038976974399E-3</v>
          </cell>
          <cell r="P184">
            <v>-5.9117569684508601E-3</v>
          </cell>
          <cell r="Q184">
            <v>-6.36678073010645E-3</v>
          </cell>
          <cell r="R184">
            <v>-6.4466554363746698E-3</v>
          </cell>
          <cell r="S184">
            <v>-5.8860757855745101E-3</v>
          </cell>
          <cell r="AD184">
            <v>2018</v>
          </cell>
        </row>
        <row r="185">
          <cell r="A185">
            <v>43190</v>
          </cell>
          <cell r="L185" t="str">
            <v>2018Q1</v>
          </cell>
          <cell r="M185">
            <v>-3.5272544281394903E-2</v>
          </cell>
          <cell r="N185">
            <v>-2.54855706104349E-2</v>
          </cell>
          <cell r="O185">
            <v>-2.1147936579196999E-2</v>
          </cell>
          <cell r="P185">
            <v>-1.81037665541086E-2</v>
          </cell>
          <cell r="Q185">
            <v>-1.5750892386583899E-2</v>
          </cell>
          <cell r="R185">
            <v>-1.3137501851749901E-2</v>
          </cell>
          <cell r="S185">
            <v>-9.9376661046039708E-3</v>
          </cell>
          <cell r="AD185">
            <v>2019</v>
          </cell>
        </row>
        <row r="186">
          <cell r="A186">
            <v>43281</v>
          </cell>
          <cell r="L186" t="str">
            <v>2018Q2</v>
          </cell>
          <cell r="M186">
            <v>-0.13647831511386299</v>
          </cell>
          <cell r="N186">
            <v>-2.27822539162457E-2</v>
          </cell>
          <cell r="O186">
            <v>-1.7562675336122002E-2</v>
          </cell>
          <cell r="P186">
            <v>-1.6843785431095999E-2</v>
          </cell>
          <cell r="Q186">
            <v>-1.5296824507966199E-2</v>
          </cell>
          <cell r="R186">
            <v>-1.3457264156163801E-2</v>
          </cell>
          <cell r="S186">
            <v>-1.0955442406345601E-2</v>
          </cell>
          <cell r="AD186">
            <v>2019</v>
          </cell>
        </row>
        <row r="187">
          <cell r="A187">
            <v>43373</v>
          </cell>
          <cell r="L187" t="str">
            <v>2018Q3</v>
          </cell>
          <cell r="M187">
            <v>-5.3144367706255302E-2</v>
          </cell>
          <cell r="N187">
            <v>-2.9218829869696698E-2</v>
          </cell>
          <cell r="O187">
            <v>-2.46759760614245E-2</v>
          </cell>
          <cell r="P187">
            <v>-2.408745619022E-2</v>
          </cell>
          <cell r="Q187">
            <v>-2.2261519887800198E-2</v>
          </cell>
          <cell r="R187">
            <v>-1.9428840098438802E-2</v>
          </cell>
          <cell r="S187">
            <v>-1.5797211224214999E-2</v>
          </cell>
          <cell r="AD187">
            <v>2019</v>
          </cell>
        </row>
        <row r="188">
          <cell r="A188">
            <v>43465</v>
          </cell>
          <cell r="L188" t="str">
            <v>2018Q4</v>
          </cell>
          <cell r="M188">
            <v>-0.102037412542772</v>
          </cell>
          <cell r="N188">
            <v>-2.4134717710136401E-2</v>
          </cell>
          <cell r="O188">
            <v>-2.6779825459803001E-2</v>
          </cell>
          <cell r="P188">
            <v>-2.46821073500068E-2</v>
          </cell>
          <cell r="Q188">
            <v>-2.2727698961721599E-2</v>
          </cell>
          <cell r="R188">
            <v>-1.96194498768506E-2</v>
          </cell>
          <cell r="S188">
            <v>-1.60986447465888E-2</v>
          </cell>
          <cell r="AD188">
            <v>2019</v>
          </cell>
        </row>
        <row r="189">
          <cell r="A189">
            <v>43555</v>
          </cell>
          <cell r="L189" t="str">
            <v>2019Q1</v>
          </cell>
          <cell r="M189">
            <v>-9.8429155042303207E-2</v>
          </cell>
          <cell r="N189">
            <v>-5.7412894115646401E-3</v>
          </cell>
          <cell r="O189">
            <v>-1.2911733970758101E-2</v>
          </cell>
          <cell r="P189">
            <v>-1.38839713128849E-2</v>
          </cell>
          <cell r="Q189">
            <v>-1.32759479435059E-2</v>
          </cell>
          <cell r="R189">
            <v>-1.2405590356812201E-2</v>
          </cell>
          <cell r="S189">
            <v>-1.08070418674963E-2</v>
          </cell>
          <cell r="AD189">
            <v>2020</v>
          </cell>
        </row>
        <row r="190">
          <cell r="A190">
            <v>43646</v>
          </cell>
          <cell r="L190" t="str">
            <v>2019Q2</v>
          </cell>
          <cell r="M190">
            <v>-7.8116455584404595E-2</v>
          </cell>
          <cell r="N190">
            <v>-3.2999534364331402E-2</v>
          </cell>
          <cell r="O190">
            <v>-3.0780435866294899E-2</v>
          </cell>
          <cell r="P190">
            <v>-2.6042349751849599E-2</v>
          </cell>
          <cell r="Q190">
            <v>-2.33666265960993E-2</v>
          </cell>
          <cell r="R190">
            <v>-2.0263573143752201E-2</v>
          </cell>
          <cell r="S190">
            <v>-1.7810862391938999E-2</v>
          </cell>
          <cell r="AD190">
            <v>2020</v>
          </cell>
        </row>
        <row r="191">
          <cell r="A191">
            <v>43738</v>
          </cell>
          <cell r="L191" t="str">
            <v>2019Q3</v>
          </cell>
          <cell r="M191">
            <v>-0.105530013140224</v>
          </cell>
          <cell r="N191">
            <v>5.5944438790615798E-3</v>
          </cell>
          <cell r="O191">
            <v>-1.10649190174971E-2</v>
          </cell>
          <cell r="P191">
            <v>-6.0925785266572104E-3</v>
          </cell>
          <cell r="Q191">
            <v>-6.0286032605031603E-3</v>
          </cell>
          <cell r="R191">
            <v>-5.8334468179663396E-3</v>
          </cell>
          <cell r="S191">
            <v>-6.3113752544428697E-3</v>
          </cell>
          <cell r="AD191">
            <v>2020</v>
          </cell>
        </row>
        <row r="192">
          <cell r="A192">
            <v>43830</v>
          </cell>
          <cell r="L192" t="str">
            <v>2019Q4</v>
          </cell>
          <cell r="M192">
            <v>-4.8879620212975802E-2</v>
          </cell>
          <cell r="N192">
            <v>-1.9895497699789402E-2</v>
          </cell>
          <cell r="O192">
            <v>-1.6101691485530999E-2</v>
          </cell>
          <cell r="P192">
            <v>-1.5936370756721201E-2</v>
          </cell>
          <cell r="Q192">
            <v>-1.4399154016329499E-2</v>
          </cell>
          <cell r="R192">
            <v>-1.2414623617349199E-2</v>
          </cell>
          <cell r="S192">
            <v>-1.1429923739358401E-2</v>
          </cell>
          <cell r="AD192">
            <v>2020</v>
          </cell>
        </row>
        <row r="193">
          <cell r="A193">
            <v>43921</v>
          </cell>
          <cell r="L193" t="str">
            <v>2020Q1</v>
          </cell>
          <cell r="M193">
            <v>0.25549312764432103</v>
          </cell>
          <cell r="N193">
            <v>1.6998586958282599E-2</v>
          </cell>
          <cell r="O193">
            <v>3.0904085855693701E-3</v>
          </cell>
          <cell r="P193">
            <v>5.2174775087707301E-4</v>
          </cell>
          <cell r="Q193">
            <v>-1.2312310396587599E-3</v>
          </cell>
          <cell r="R193">
            <v>-1.74963522073951E-3</v>
          </cell>
          <cell r="S193">
            <v>-3.30540605986756E-3</v>
          </cell>
          <cell r="AD193">
            <v>2021</v>
          </cell>
        </row>
        <row r="194">
          <cell r="A194">
            <v>44012</v>
          </cell>
          <cell r="L194" t="str">
            <v>2020Q2</v>
          </cell>
          <cell r="M194">
            <v>0.44566547179567001</v>
          </cell>
          <cell r="N194">
            <v>3.8060780148908097E-2</v>
          </cell>
          <cell r="O194">
            <v>1.8200530507933299E-2</v>
          </cell>
          <cell r="P194">
            <v>1.1910533183139E-2</v>
          </cell>
          <cell r="Q194">
            <v>6.8600779577284799E-3</v>
          </cell>
          <cell r="R194">
            <v>3.50231375846449E-3</v>
          </cell>
          <cell r="S194">
            <v>7.0669299155421599E-4</v>
          </cell>
          <cell r="AD194">
            <v>2021</v>
          </cell>
        </row>
        <row r="195">
          <cell r="A195">
            <v>44104</v>
          </cell>
          <cell r="L195" t="str">
            <v>2020Q3</v>
          </cell>
          <cell r="M195">
            <v>0.638207091863357</v>
          </cell>
          <cell r="N195">
            <v>6.1487794992014601E-2</v>
          </cell>
          <cell r="O195">
            <v>2.62663415301655E-2</v>
          </cell>
          <cell r="P195">
            <v>2.26768858903286E-2</v>
          </cell>
          <cell r="Q195">
            <v>1.4843075857914299E-2</v>
          </cell>
          <cell r="R195">
            <v>8.9871566327449706E-3</v>
          </cell>
          <cell r="S195">
            <v>4.3231284601443799E-3</v>
          </cell>
          <cell r="AD195">
            <v>2021</v>
          </cell>
        </row>
        <row r="196">
          <cell r="A196">
            <v>44196</v>
          </cell>
          <cell r="L196" t="str">
            <v>2020Q4</v>
          </cell>
          <cell r="M196">
            <v>0.58428135466330999</v>
          </cell>
          <cell r="N196">
            <v>9.4567898041968898E-2</v>
          </cell>
          <cell r="O196">
            <v>2.8067507495561299E-2</v>
          </cell>
          <cell r="P196">
            <v>1.94497562408786E-2</v>
          </cell>
          <cell r="Q196">
            <v>1.0654997859662001E-2</v>
          </cell>
          <cell r="R196">
            <v>5.3198716850731201E-3</v>
          </cell>
          <cell r="S196">
            <v>1.0304913934177299E-3</v>
          </cell>
          <cell r="AD196">
            <v>2021</v>
          </cell>
        </row>
        <row r="197">
          <cell r="A197">
            <v>44286</v>
          </cell>
          <cell r="L197" t="str">
            <v>2021Q1</v>
          </cell>
          <cell r="M197">
            <v>0.26997458306090899</v>
          </cell>
          <cell r="N197">
            <v>6.5117668311579099E-2</v>
          </cell>
          <cell r="O197">
            <v>1.40551037593183E-2</v>
          </cell>
          <cell r="P197">
            <v>1.31401793492093E-2</v>
          </cell>
          <cell r="Q197">
            <v>7.4290895971492396E-3</v>
          </cell>
          <cell r="R197">
            <v>3.9739709928798602E-3</v>
          </cell>
          <cell r="S197">
            <v>1.14412389147376E-3</v>
          </cell>
          <cell r="AD197">
            <v>2022</v>
          </cell>
        </row>
        <row r="198">
          <cell r="A198">
            <v>44377</v>
          </cell>
          <cell r="L198" t="str">
            <v>2021Q2</v>
          </cell>
          <cell r="M198">
            <v>-0.52720721617412603</v>
          </cell>
          <cell r="N198">
            <v>-2.48677505473048E-2</v>
          </cell>
          <cell r="O198">
            <v>-4.1761827369391803E-2</v>
          </cell>
          <cell r="P198">
            <v>-3.0152436346291601E-2</v>
          </cell>
          <cell r="Q198">
            <v>-2.6110892034707098E-2</v>
          </cell>
          <cell r="R198">
            <v>-2.2055694261354401E-2</v>
          </cell>
          <cell r="S198">
            <v>-1.9951832587264601E-2</v>
          </cell>
          <cell r="AD198">
            <v>2022</v>
          </cell>
        </row>
        <row r="199">
          <cell r="A199">
            <v>44469</v>
          </cell>
          <cell r="L199" t="str">
            <v>2021Q3</v>
          </cell>
          <cell r="M199">
            <v>-0.44702695287873001</v>
          </cell>
          <cell r="N199">
            <v>-3.3276084344473301E-2</v>
          </cell>
          <cell r="O199">
            <v>-4.8285690684055797E-2</v>
          </cell>
          <cell r="P199">
            <v>-3.40473937051868E-2</v>
          </cell>
          <cell r="Q199">
            <v>-2.8080578158102401E-2</v>
          </cell>
          <cell r="R199">
            <v>-2.2753427647530699E-2</v>
          </cell>
          <cell r="S199">
            <v>-1.9847768355553099E-2</v>
          </cell>
          <cell r="AD199">
            <v>2022</v>
          </cell>
        </row>
        <row r="200">
          <cell r="A200">
            <v>44561</v>
          </cell>
          <cell r="L200" t="str">
            <v>2021Q4</v>
          </cell>
          <cell r="M200">
            <v>-0.106449297655619</v>
          </cell>
          <cell r="N200">
            <v>-4.0294974451643897E-3</v>
          </cell>
          <cell r="O200">
            <v>-3.8201320750806601E-2</v>
          </cell>
          <cell r="P200">
            <v>-2.1969341651982301E-2</v>
          </cell>
          <cell r="Q200">
            <v>-1.83518139173534E-2</v>
          </cell>
          <cell r="R200">
            <v>2.6136925326860302E-3</v>
          </cell>
          <cell r="S200">
            <v>2.04851648721735E-2</v>
          </cell>
          <cell r="AD200">
            <v>2022</v>
          </cell>
        </row>
        <row r="201">
          <cell r="A201">
            <v>44651</v>
          </cell>
          <cell r="L201" t="str">
            <v>2022Q1</v>
          </cell>
          <cell r="M201">
            <v>-0.24082499018470899</v>
          </cell>
          <cell r="N201">
            <v>-2.8635933055124099E-2</v>
          </cell>
          <cell r="O201">
            <v>-1.5232096510049699E-2</v>
          </cell>
          <cell r="P201">
            <v>-2.6758316678113501E-3</v>
          </cell>
          <cell r="Q201">
            <v>8.9280170921685401E-3</v>
          </cell>
          <cell r="R201">
            <v>2.72630324219055E-2</v>
          </cell>
          <cell r="S201">
            <v>3.5348685536075201E-3</v>
          </cell>
          <cell r="AD201">
            <v>2023</v>
          </cell>
        </row>
        <row r="202">
          <cell r="A202">
            <v>44742</v>
          </cell>
          <cell r="L202" t="str">
            <v>2022Q2</v>
          </cell>
          <cell r="M202">
            <v>-0.26002079553936802</v>
          </cell>
          <cell r="N202">
            <v>1.4278272149815001E-2</v>
          </cell>
          <cell r="O202">
            <v>2.4446597109481698E-2</v>
          </cell>
          <cell r="P202">
            <v>2.31306302751468E-2</v>
          </cell>
          <cell r="Q202">
            <v>3.9742186715325797E-2</v>
          </cell>
          <cell r="R202">
            <v>1.11669829822929E-2</v>
          </cell>
          <cell r="S202">
            <v>7.8201314869196792E-3</v>
          </cell>
          <cell r="AD202">
            <v>2023</v>
          </cell>
        </row>
        <row r="203">
          <cell r="A203">
            <v>44834</v>
          </cell>
          <cell r="L203" t="str">
            <v>2022Q3</v>
          </cell>
          <cell r="M203">
            <v>-8.4684901935361906E-2</v>
          </cell>
          <cell r="N203">
            <v>4.0674004269464201E-2</v>
          </cell>
          <cell r="O203">
            <v>2.36828339978538E-2</v>
          </cell>
          <cell r="P203">
            <v>4.0300245939031198E-2</v>
          </cell>
          <cell r="Q203">
            <v>8.1452138550923703E-3</v>
          </cell>
          <cell r="R203">
            <v>5.9915565741759597E-3</v>
          </cell>
          <cell r="S203">
            <v>-2.4869440103947901E-3</v>
          </cell>
          <cell r="AD203">
            <v>2023</v>
          </cell>
        </row>
        <row r="204">
          <cell r="A204">
            <v>44926</v>
          </cell>
          <cell r="L204" t="str">
            <v>2022Q4</v>
          </cell>
          <cell r="M204">
            <v>0.19504715455560701</v>
          </cell>
          <cell r="N204">
            <v>4.3311666416656097E-2</v>
          </cell>
          <cell r="O204">
            <v>5.2307671556407503E-2</v>
          </cell>
          <cell r="P204">
            <v>1.47655919143206E-2</v>
          </cell>
          <cell r="Q204">
            <v>1.2746187534520399E-2</v>
          </cell>
          <cell r="R204">
            <v>2.8924204517759098E-3</v>
          </cell>
          <cell r="S204">
            <v>3.81324182105971E-3</v>
          </cell>
          <cell r="AD204">
            <v>2023</v>
          </cell>
        </row>
        <row r="205">
          <cell r="A205">
            <v>45016</v>
          </cell>
          <cell r="L205" t="str">
            <v>2023Q1</v>
          </cell>
          <cell r="M205">
            <v>6.7853325056823205E-2</v>
          </cell>
          <cell r="N205">
            <v>4.14353940302725E-2</v>
          </cell>
          <cell r="O205">
            <v>4.3886303609311497E-3</v>
          </cell>
          <cell r="P205">
            <v>5.1707779408656203E-3</v>
          </cell>
          <cell r="Q205">
            <v>-4.01373117988144E-3</v>
          </cell>
          <cell r="R205">
            <v>-2.90693712937068E-3</v>
          </cell>
          <cell r="S205">
            <v>-8.63401377754653E-3</v>
          </cell>
          <cell r="AD205">
            <v>2024</v>
          </cell>
        </row>
        <row r="206">
          <cell r="A206">
            <v>45107</v>
          </cell>
          <cell r="L206" t="str">
            <v>2023Q2</v>
          </cell>
          <cell r="M206">
            <v>9.7175789513415295E-2</v>
          </cell>
          <cell r="N206">
            <v>2.9643422887094201E-3</v>
          </cell>
          <cell r="O206">
            <v>4.9317176166744203E-3</v>
          </cell>
          <cell r="P206">
            <v>-5.4223978143280597E-3</v>
          </cell>
          <cell r="Q206">
            <v>-5.7844490735295996E-3</v>
          </cell>
          <cell r="R206">
            <v>-1.4961585912818201E-2</v>
          </cell>
          <cell r="S206">
            <v>-5.3626113645082402E-3</v>
          </cell>
          <cell r="AD206">
            <v>2024</v>
          </cell>
        </row>
        <row r="207">
          <cell r="A207">
            <v>45199</v>
          </cell>
          <cell r="L207" t="str">
            <v>2023Q3</v>
          </cell>
          <cell r="M207">
            <v>7.2230044057408405E-2</v>
          </cell>
          <cell r="N207">
            <v>8.4556108529052904E-3</v>
          </cell>
          <cell r="O207">
            <v>-5.7305121648797896E-3</v>
          </cell>
          <cell r="P207">
            <v>-8.5910144321421893E-3</v>
          </cell>
          <cell r="Q207">
            <v>-2.1796390741324199E-2</v>
          </cell>
          <cell r="R207">
            <v>-1.1597694335807899E-2</v>
          </cell>
          <cell r="S207">
            <v>-5.8128839275354898E-3</v>
          </cell>
          <cell r="AD207">
            <v>2024</v>
          </cell>
        </row>
        <row r="208">
          <cell r="A208">
            <v>45291</v>
          </cell>
          <cell r="L208" t="str">
            <v>2023Q4</v>
          </cell>
          <cell r="M208">
            <v>0.14282199116419</v>
          </cell>
          <cell r="N208">
            <v>7.1751511631156601E-3</v>
          </cell>
          <cell r="O208">
            <v>-4.2408401272856699E-3</v>
          </cell>
          <cell r="P208">
            <v>-2.3119289769440401E-2</v>
          </cell>
          <cell r="Q208">
            <v>-1.32158097405966E-2</v>
          </cell>
          <cell r="R208">
            <v>-7.6369898242944299E-3</v>
          </cell>
          <cell r="S208">
            <v>-1.9723235548954401E-3</v>
          </cell>
          <cell r="AD208">
            <v>2024</v>
          </cell>
        </row>
        <row r="209">
          <cell r="A209">
            <v>45382</v>
          </cell>
          <cell r="L209" t="str">
            <v>2024Q1</v>
          </cell>
          <cell r="M209">
            <v>-6.4293396076666497E-3</v>
          </cell>
          <cell r="N209">
            <v>-1.92670646632675E-2</v>
          </cell>
          <cell r="O209">
            <v>-3.5676220759558702E-2</v>
          </cell>
          <cell r="P209">
            <v>-2.2861864050057999E-2</v>
          </cell>
          <cell r="Q209">
            <v>-1.5259031669921101E-2</v>
          </cell>
          <cell r="R209">
            <v>-8.0980005813044691E-3</v>
          </cell>
          <cell r="S209">
            <v>-4.9361232806307302E-3</v>
          </cell>
          <cell r="AD209">
            <v>2025</v>
          </cell>
        </row>
        <row r="210">
          <cell r="A210">
            <v>45473</v>
          </cell>
          <cell r="L210" t="str">
            <v>2024Q2</v>
          </cell>
          <cell r="M210">
            <v>7.5541036338766396E-2</v>
          </cell>
          <cell r="N210">
            <v>-2.7110770959999399E-2</v>
          </cell>
          <cell r="O210">
            <v>-1.8482684204911601E-2</v>
          </cell>
          <cell r="P210">
            <v>-1.2157127543457E-2</v>
          </cell>
          <cell r="Q210">
            <v>-5.8524159786189998E-3</v>
          </cell>
          <cell r="R210">
            <v>-3.2937908317254199E-3</v>
          </cell>
          <cell r="S210">
            <v>1.1952302463265601E-3</v>
          </cell>
          <cell r="AD210">
            <v>2025</v>
          </cell>
        </row>
        <row r="211">
          <cell r="A211">
            <v>45565</v>
          </cell>
          <cell r="L211" t="str">
            <v>2024Q3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AD211">
            <v>2025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F503-03AB-4B5A-A2C5-529B4D2B66BA}">
  <sheetPr codeName="Sheet1"/>
  <dimension ref="A1:AC263"/>
  <sheetViews>
    <sheetView tabSelected="1" topLeftCell="A181" zoomScaleNormal="100" workbookViewId="0">
      <selection activeCell="C36" sqref="B1:C1048576"/>
    </sheetView>
  </sheetViews>
  <sheetFormatPr defaultColWidth="9.140625" defaultRowHeight="12.75" x14ac:dyDescent="0.2"/>
  <cols>
    <col min="1" max="1" width="10.7109375" style="5" bestFit="1" customWidth="1"/>
    <col min="2" max="3" width="0" style="5" hidden="1" customWidth="1"/>
    <col min="4" max="8" width="9.28515625" style="5" bestFit="1" customWidth="1"/>
    <col min="9" max="9" width="9.42578125" style="5" bestFit="1" customWidth="1"/>
    <col min="10" max="15" width="9.140625" style="5"/>
    <col min="16" max="16" width="9" style="5" customWidth="1"/>
    <col min="17" max="22" width="9.140625" style="5"/>
    <col min="23" max="27" width="9.28515625" style="5" bestFit="1" customWidth="1"/>
    <col min="28" max="28" width="9.42578125" style="5" bestFit="1" customWidth="1"/>
    <col min="29" max="16384" width="9.140625" style="5"/>
  </cols>
  <sheetData>
    <row r="1" spans="1:29" x14ac:dyDescent="0.2">
      <c r="A1" s="5" t="s">
        <v>79</v>
      </c>
      <c r="C1" s="5" t="s">
        <v>77</v>
      </c>
      <c r="D1" s="5" t="s">
        <v>76</v>
      </c>
      <c r="E1" s="5" t="s">
        <v>75</v>
      </c>
      <c r="F1" s="5" t="s">
        <v>74</v>
      </c>
      <c r="G1" s="5" t="s">
        <v>73</v>
      </c>
      <c r="H1" s="5" t="s">
        <v>72</v>
      </c>
      <c r="I1" s="5" t="s">
        <v>71</v>
      </c>
      <c r="J1" s="5" t="s">
        <v>70</v>
      </c>
      <c r="V1" s="5" t="s">
        <v>77</v>
      </c>
      <c r="W1" s="5" t="s">
        <v>76</v>
      </c>
      <c r="X1" s="5" t="s">
        <v>75</v>
      </c>
      <c r="Y1" s="5" t="s">
        <v>74</v>
      </c>
      <c r="Z1" s="5" t="s">
        <v>73</v>
      </c>
      <c r="AA1" s="5" t="s">
        <v>72</v>
      </c>
      <c r="AB1" s="5" t="s">
        <v>71</v>
      </c>
      <c r="AC1" s="5" t="s">
        <v>70</v>
      </c>
    </row>
    <row r="2" spans="1:29" ht="15" x14ac:dyDescent="0.25">
      <c r="A2" s="6">
        <v>22006</v>
      </c>
      <c r="B2" s="6"/>
      <c r="C2" s="6"/>
      <c r="D2">
        <v>6.3297254901760705E-2</v>
      </c>
      <c r="E2" s="4">
        <v>3.1393742981536999E-17</v>
      </c>
      <c r="F2" s="4">
        <v>2.4914083996689401E-16</v>
      </c>
      <c r="G2" s="4">
        <v>-1.7215472103470301E-16</v>
      </c>
      <c r="H2" s="4">
        <v>-2.02648383642204E-16</v>
      </c>
      <c r="I2" s="4">
        <v>-1.3660718398158201E-16</v>
      </c>
      <c r="J2" s="4">
        <v>6.4785310250765902E-18</v>
      </c>
      <c r="V2" s="6"/>
      <c r="W2" s="5">
        <v>4.8357661637989803E-2</v>
      </c>
      <c r="X2" s="7">
        <v>-8.4068542996111398E-16</v>
      </c>
      <c r="Y2" s="7">
        <v>-4.20487822809129E-16</v>
      </c>
      <c r="Z2" s="7">
        <v>-6.4617746932729299E-16</v>
      </c>
      <c r="AA2" s="7">
        <v>-5.5875796604387696E-16</v>
      </c>
      <c r="AB2" s="7">
        <v>-4.9970092460195602E-16</v>
      </c>
      <c r="AC2" s="7">
        <v>7.05937671805246E-17</v>
      </c>
    </row>
    <row r="3" spans="1:29" ht="15" x14ac:dyDescent="0.25">
      <c r="A3" s="6">
        <v>22097</v>
      </c>
      <c r="B3" s="6"/>
      <c r="C3" s="6"/>
      <c r="D3">
        <v>-0.228908142668239</v>
      </c>
      <c r="E3" s="4">
        <v>-5.6090799964071904E-17</v>
      </c>
      <c r="F3" s="4">
        <v>-1.3748632229639001E-16</v>
      </c>
      <c r="G3" s="4">
        <v>-2.4311785754282798E-16</v>
      </c>
      <c r="H3" s="4">
        <v>-3.65510607661736E-16</v>
      </c>
      <c r="I3" s="4">
        <v>-1.38591791606668E-16</v>
      </c>
      <c r="J3" s="4">
        <v>5.1223965396142103E-18</v>
      </c>
      <c r="V3" s="6"/>
      <c r="W3" s="5">
        <v>-0.223124095295578</v>
      </c>
      <c r="X3" s="7">
        <v>-5.2733170632572702E-16</v>
      </c>
      <c r="Y3" s="7">
        <v>-3.2043497034541202E-16</v>
      </c>
      <c r="Z3" s="7">
        <v>-2.4090041966913902E-16</v>
      </c>
      <c r="AA3" s="7">
        <v>-3.3838682413808598E-16</v>
      </c>
      <c r="AB3" s="7">
        <v>-2.5232413049308202E-16</v>
      </c>
      <c r="AC3" s="7">
        <v>5.2649550479545799E-17</v>
      </c>
    </row>
    <row r="4" spans="1:29" ht="15" x14ac:dyDescent="0.25">
      <c r="A4" s="6">
        <v>22189</v>
      </c>
      <c r="B4" s="6"/>
      <c r="C4" s="6"/>
      <c r="D4">
        <v>3.6207994186799999E-2</v>
      </c>
      <c r="E4" s="4">
        <v>-3.0240886724728301E-16</v>
      </c>
      <c r="F4" s="4">
        <v>2.4824593012398501E-17</v>
      </c>
      <c r="G4" s="4">
        <v>-2.81029104963961E-16</v>
      </c>
      <c r="H4" s="4">
        <v>-3.3630561526897902E-16</v>
      </c>
      <c r="I4" s="4">
        <v>-1.1711837817638099E-16</v>
      </c>
      <c r="J4" s="4">
        <v>1.7000152600632899E-17</v>
      </c>
      <c r="V4" s="6"/>
      <c r="W4" s="5">
        <v>7.5637484940809102E-2</v>
      </c>
      <c r="X4" s="7">
        <v>-8.0935265134463702E-16</v>
      </c>
      <c r="Y4" s="7">
        <v>-1.2405042219860801E-16</v>
      </c>
      <c r="Z4" s="7">
        <v>-4.7799047514750596E-16</v>
      </c>
      <c r="AA4" s="7">
        <v>-4.2189400686666801E-16</v>
      </c>
      <c r="AB4" s="7">
        <v>-5.7267200357985496E-16</v>
      </c>
      <c r="AC4" s="7">
        <v>-6.3675629180242499E-17</v>
      </c>
    </row>
    <row r="5" spans="1:29" ht="15" x14ac:dyDescent="0.25">
      <c r="A5" s="6">
        <v>22281</v>
      </c>
      <c r="B5" s="6"/>
      <c r="C5" s="6"/>
      <c r="D5">
        <v>-0.11082459499514</v>
      </c>
      <c r="E5" s="4">
        <v>-6.6360740799604695E-17</v>
      </c>
      <c r="F5" s="4">
        <v>8.11103211424066E-17</v>
      </c>
      <c r="G5" s="4">
        <v>-3.0434402066821E-16</v>
      </c>
      <c r="H5" s="4">
        <v>-2.6293710038323698E-16</v>
      </c>
      <c r="I5" s="4">
        <v>-8.2523910791395004E-17</v>
      </c>
      <c r="J5" s="4">
        <v>7.1149792561229099E-17</v>
      </c>
      <c r="V5" s="6"/>
      <c r="W5" s="5">
        <v>-7.7487568008197893E-2</v>
      </c>
      <c r="X5" s="7">
        <v>-5.41654247992459E-16</v>
      </c>
      <c r="Y5" s="7">
        <v>-1.9002362141920501E-16</v>
      </c>
      <c r="Z5" s="7">
        <v>-5.116357887279E-16</v>
      </c>
      <c r="AA5" s="7">
        <v>-6.6075173514113996E-16</v>
      </c>
      <c r="AB5" s="7">
        <v>-6.5338049640602701E-16</v>
      </c>
      <c r="AC5" s="7">
        <v>-1.12379909468945E-17</v>
      </c>
    </row>
    <row r="6" spans="1:29" ht="15" x14ac:dyDescent="0.25">
      <c r="A6" s="6">
        <v>22371</v>
      </c>
      <c r="B6" s="6"/>
      <c r="C6" s="6"/>
      <c r="D6">
        <v>7.0452024500466906E-2</v>
      </c>
      <c r="E6" s="4">
        <v>-1.00124645816888E-16</v>
      </c>
      <c r="F6" s="4">
        <v>-1.5380871065708599E-17</v>
      </c>
      <c r="G6" s="4">
        <v>-2.4495699595460999E-16</v>
      </c>
      <c r="H6" s="4">
        <v>-2.8807481328867398E-16</v>
      </c>
      <c r="I6" s="4">
        <v>-7.2458475457951605E-17</v>
      </c>
      <c r="J6" s="4">
        <v>2.07293446497869E-17</v>
      </c>
      <c r="V6" s="6"/>
      <c r="W6" s="5">
        <v>0.103176684994722</v>
      </c>
      <c r="X6" s="7">
        <v>-6.8909812061713697E-16</v>
      </c>
      <c r="Y6" s="7">
        <v>-3.1242251733018901E-16</v>
      </c>
      <c r="Z6" s="7">
        <v>-7.5536264044953695E-16</v>
      </c>
      <c r="AA6" s="7">
        <v>-7.8964395135960998E-16</v>
      </c>
      <c r="AB6" s="7">
        <v>-6.22348439846424E-16</v>
      </c>
      <c r="AC6" s="7">
        <v>-3.09569832528455E-17</v>
      </c>
    </row>
    <row r="7" spans="1:29" ht="15" x14ac:dyDescent="0.25">
      <c r="A7" s="6">
        <v>22462</v>
      </c>
      <c r="B7" s="6"/>
      <c r="C7" s="6"/>
      <c r="D7">
        <v>-3.8164047525377401E-2</v>
      </c>
      <c r="E7" s="4">
        <v>-2.7380229157131198E-16</v>
      </c>
      <c r="F7" s="4">
        <v>-2.0710052390866901E-17</v>
      </c>
      <c r="G7" s="4">
        <v>-4.7199532761834899E-16</v>
      </c>
      <c r="H7" s="4">
        <v>-3.7548708300614898E-16</v>
      </c>
      <c r="I7" s="4">
        <v>-2.0593248804052601E-16</v>
      </c>
      <c r="J7" s="4">
        <v>-3.8101816279073899E-17</v>
      </c>
      <c r="V7" s="6"/>
      <c r="W7" s="5">
        <v>-4.9991598206594601E-2</v>
      </c>
      <c r="X7" s="7">
        <v>-9.320609892302191E-16</v>
      </c>
      <c r="Y7" s="7">
        <v>-5.6817847470173896E-16</v>
      </c>
      <c r="Z7" s="7">
        <v>-9.8985751822846702E-16</v>
      </c>
      <c r="AA7" s="7">
        <v>-7.82021882580733E-16</v>
      </c>
      <c r="AB7" s="7">
        <v>-6.2306293699316897E-16</v>
      </c>
      <c r="AC7" s="7">
        <v>4.7434832398077803E-17</v>
      </c>
    </row>
    <row r="8" spans="1:29" ht="15" x14ac:dyDescent="0.25">
      <c r="A8" s="6">
        <v>22554</v>
      </c>
      <c r="B8" s="6"/>
      <c r="C8" s="6"/>
      <c r="D8">
        <v>-3.0488004546154201E-2</v>
      </c>
      <c r="E8" s="4">
        <v>-2.04664323950754E-16</v>
      </c>
      <c r="F8" s="4">
        <v>-1.27062444297008E-16</v>
      </c>
      <c r="G8" s="4">
        <v>-4.7406737889067304E-16</v>
      </c>
      <c r="H8" s="4">
        <v>-4.1953627136908402E-16</v>
      </c>
      <c r="I8" s="4">
        <v>-1.93424406102271E-16</v>
      </c>
      <c r="J8" s="4">
        <v>1.7006637233165099E-17</v>
      </c>
      <c r="V8" s="6"/>
      <c r="W8" s="5">
        <v>-5.7027305793062102E-2</v>
      </c>
      <c r="X8" s="7">
        <v>-1.13717710423872E-15</v>
      </c>
      <c r="Y8" s="7">
        <v>-7.9095168534974499E-16</v>
      </c>
      <c r="Z8" s="7">
        <v>-9.4878632305913598E-16</v>
      </c>
      <c r="AA8" s="7">
        <v>-7.9647093800714204E-16</v>
      </c>
      <c r="AB8" s="7">
        <v>-5.9795176311307505E-16</v>
      </c>
      <c r="AC8" s="7">
        <v>8.9597078506341E-19</v>
      </c>
    </row>
    <row r="9" spans="1:29" ht="15" x14ac:dyDescent="0.25">
      <c r="A9" s="6">
        <v>22646</v>
      </c>
      <c r="B9" s="6"/>
      <c r="C9" s="6"/>
      <c r="D9">
        <v>-5.6413649756575701E-2</v>
      </c>
      <c r="E9" s="4">
        <v>-3.47138990212903E-16</v>
      </c>
      <c r="F9" s="4">
        <v>-2.1190135512241899E-16</v>
      </c>
      <c r="G9" s="4">
        <v>-5.5815558044981903E-16</v>
      </c>
      <c r="H9" s="4">
        <v>-4.0514305283392502E-16</v>
      </c>
      <c r="I9" s="4">
        <v>-1.3846322005205599E-16</v>
      </c>
      <c r="J9" s="4">
        <v>-2.1323670978086101E-18</v>
      </c>
      <c r="V9" s="6"/>
      <c r="W9" s="5">
        <v>-0.11829278319154</v>
      </c>
      <c r="X9" s="7">
        <v>-1.3118712790947899E-15</v>
      </c>
      <c r="Y9" s="7">
        <v>-7.1735177250486598E-16</v>
      </c>
      <c r="Z9" s="7">
        <v>-8.6551815412628995E-16</v>
      </c>
      <c r="AA9" s="7">
        <v>-6.7990282001917696E-16</v>
      </c>
      <c r="AB9" s="7">
        <v>-5.5352088533155903E-16</v>
      </c>
      <c r="AC9" s="7">
        <v>6.3818799771835001E-17</v>
      </c>
    </row>
    <row r="10" spans="1:29" ht="15" x14ac:dyDescent="0.25">
      <c r="A10" s="6">
        <v>22736</v>
      </c>
      <c r="B10" s="6"/>
      <c r="C10" s="6"/>
      <c r="D10">
        <v>-0.122788432165542</v>
      </c>
      <c r="E10" s="4">
        <v>-5.3906590896139396E-16</v>
      </c>
      <c r="F10" s="4">
        <v>-4.0846119798187698E-16</v>
      </c>
      <c r="G10" s="4">
        <v>-5.5107840959786204E-16</v>
      </c>
      <c r="H10" s="4">
        <v>-3.9741504001204202E-16</v>
      </c>
      <c r="I10" s="4">
        <v>-1.48202635874134E-16</v>
      </c>
      <c r="J10" s="4">
        <v>-1.0559621003461199E-18</v>
      </c>
      <c r="V10" s="6"/>
      <c r="W10" s="5">
        <v>-0.154106999161636</v>
      </c>
      <c r="X10" s="7">
        <v>-1.15933553937331E-15</v>
      </c>
      <c r="Y10" s="7">
        <v>-5.8604022923384203E-16</v>
      </c>
      <c r="Z10" s="7">
        <v>-6.8406629004579995E-16</v>
      </c>
      <c r="AA10" s="7">
        <v>-6.2309142976208396E-16</v>
      </c>
      <c r="AB10" s="7">
        <v>-5.2022778891815998E-16</v>
      </c>
      <c r="AC10" s="7">
        <v>2.3731922289169199E-17</v>
      </c>
    </row>
    <row r="11" spans="1:29" ht="15" x14ac:dyDescent="0.25">
      <c r="A11" s="6">
        <v>22827</v>
      </c>
      <c r="B11" s="6"/>
      <c r="C11" s="6"/>
      <c r="D11">
        <v>-0.18111038793206499</v>
      </c>
      <c r="E11" s="4">
        <v>-6.2711913276511197E-16</v>
      </c>
      <c r="F11" s="4">
        <v>-2.7832245887480101E-16</v>
      </c>
      <c r="G11" s="4">
        <v>-4.5070128191628304E-16</v>
      </c>
      <c r="H11" s="4">
        <v>-3.3155251182833698E-16</v>
      </c>
      <c r="I11" s="4">
        <v>-8.4109892952999499E-17</v>
      </c>
      <c r="J11" s="4">
        <v>4.2767836840983903E-17</v>
      </c>
      <c r="V11" s="6"/>
      <c r="W11" s="5">
        <v>-0.21772282873064699</v>
      </c>
      <c r="X11" s="7">
        <v>-1.0458337073730699E-15</v>
      </c>
      <c r="Y11" s="7">
        <v>-3.9661105848289299E-16</v>
      </c>
      <c r="Z11" s="7">
        <v>-6.6910304655516405E-16</v>
      </c>
      <c r="AA11" s="7">
        <v>-5.7468463422838897E-16</v>
      </c>
      <c r="AB11" s="7">
        <v>-5.7478653945154598E-16</v>
      </c>
      <c r="AC11" s="7">
        <v>4.0601355054748801E-17</v>
      </c>
    </row>
    <row r="12" spans="1:29" ht="15" x14ac:dyDescent="0.25">
      <c r="A12" s="6">
        <v>22919</v>
      </c>
      <c r="B12" s="6"/>
      <c r="C12" s="6"/>
      <c r="D12">
        <v>4.5291861277478203E-2</v>
      </c>
      <c r="E12" s="4">
        <v>-6.6060362183861099E-16</v>
      </c>
      <c r="F12" s="4">
        <v>-3.7499078379692299E-16</v>
      </c>
      <c r="G12" s="4">
        <v>-4.1095540709804999E-16</v>
      </c>
      <c r="H12" s="4">
        <v>-3.6251616442092302E-16</v>
      </c>
      <c r="I12" s="4">
        <v>-8.2093928887261404E-17</v>
      </c>
      <c r="J12" s="4">
        <v>-2.6945838693597301E-17</v>
      </c>
      <c r="V12" s="6"/>
      <c r="W12" s="5">
        <v>3.0005588475216002E-2</v>
      </c>
      <c r="X12" s="7">
        <v>-8.9053180254488398E-16</v>
      </c>
      <c r="Y12" s="7">
        <v>-4.69764738376422E-16</v>
      </c>
      <c r="Z12" s="7">
        <v>-6.0086767335444903E-16</v>
      </c>
      <c r="AA12" s="7">
        <v>-6.6342270934475798E-16</v>
      </c>
      <c r="AB12" s="7">
        <v>-5.7989349776841002E-16</v>
      </c>
      <c r="AC12" s="7">
        <v>-1.00425813799356E-17</v>
      </c>
    </row>
    <row r="13" spans="1:29" ht="15" x14ac:dyDescent="0.25">
      <c r="A13" s="6">
        <v>23011</v>
      </c>
      <c r="B13" s="6"/>
      <c r="C13" s="6"/>
      <c r="D13">
        <v>-2.5355232065856301E-2</v>
      </c>
      <c r="E13" s="4">
        <v>-8.1533624703741299E-16</v>
      </c>
      <c r="F13" s="4">
        <v>-4.04821683541635E-16</v>
      </c>
      <c r="G13" s="4">
        <v>-5.3542468489011096E-16</v>
      </c>
      <c r="H13" s="4">
        <v>-4.0227036986912399E-16</v>
      </c>
      <c r="I13" s="4">
        <v>-1.55078195746706E-16</v>
      </c>
      <c r="J13" s="4">
        <v>-3.06517922801049E-17</v>
      </c>
      <c r="V13" s="6"/>
      <c r="W13" s="5">
        <v>-3.8033335154869702E-2</v>
      </c>
      <c r="X13" s="7">
        <v>-9.9418157148188293E-16</v>
      </c>
      <c r="Y13" s="7">
        <v>-2.5330516091071699E-16</v>
      </c>
      <c r="Z13" s="7">
        <v>-6.55625945837288E-16</v>
      </c>
      <c r="AA13" s="7">
        <v>-6.2446541939322802E-16</v>
      </c>
      <c r="AB13" s="7">
        <v>-6.0818642691496703E-16</v>
      </c>
      <c r="AC13" s="7">
        <v>2.7667141111398099E-17</v>
      </c>
    </row>
    <row r="14" spans="1:29" ht="15" x14ac:dyDescent="0.25">
      <c r="A14" s="6">
        <v>23101</v>
      </c>
      <c r="B14" s="6"/>
      <c r="C14" s="6"/>
      <c r="D14">
        <v>-2.5190643640663202E-2</v>
      </c>
      <c r="E14" s="4">
        <v>-6.8434920298638295E-16</v>
      </c>
      <c r="F14" s="4">
        <v>-2.90720476638569E-16</v>
      </c>
      <c r="G14" s="4">
        <v>-4.5682734250079602E-16</v>
      </c>
      <c r="H14" s="4">
        <v>-3.6477648988423902E-16</v>
      </c>
      <c r="I14" s="4">
        <v>-7.4209157978092596E-17</v>
      </c>
      <c r="J14" s="4">
        <v>4.7559148281103101E-17</v>
      </c>
      <c r="V14" s="6"/>
      <c r="W14" s="5">
        <v>-4.15541663618181E-2</v>
      </c>
      <c r="X14" s="7">
        <v>-8.4737205236209797E-16</v>
      </c>
      <c r="Y14" s="7">
        <v>-2.9043491461152601E-16</v>
      </c>
      <c r="Z14" s="7">
        <v>-7.7451040024613196E-16</v>
      </c>
      <c r="AA14" s="7">
        <v>-7.4065922162127998E-16</v>
      </c>
      <c r="AB14" s="7">
        <v>-6.8760163199250603E-16</v>
      </c>
      <c r="AC14" s="7">
        <v>-7.9522841863029694E-18</v>
      </c>
    </row>
    <row r="15" spans="1:29" ht="15" x14ac:dyDescent="0.25">
      <c r="A15" s="6">
        <v>23192</v>
      </c>
      <c r="B15" s="6"/>
      <c r="C15" s="6"/>
      <c r="D15">
        <v>-0.159073598932856</v>
      </c>
      <c r="E15" s="4">
        <v>-4.8483569936312004E-16</v>
      </c>
      <c r="F15" s="4">
        <v>-1.31613833484905E-16</v>
      </c>
      <c r="G15" s="4">
        <v>-3.5366988257494998E-16</v>
      </c>
      <c r="H15" s="4">
        <v>-2.1757943354426501E-16</v>
      </c>
      <c r="I15" s="4">
        <v>2.5043851440255901E-17</v>
      </c>
      <c r="J15" s="4">
        <v>5.9178578494547898E-17</v>
      </c>
      <c r="V15" s="6"/>
      <c r="W15" s="5">
        <v>-0.20001574713546399</v>
      </c>
      <c r="X15" s="7">
        <v>-8.66983805653777E-16</v>
      </c>
      <c r="Y15" s="7">
        <v>-5.0493357567415397E-16</v>
      </c>
      <c r="Z15" s="7">
        <v>-9.1487734731861492E-16</v>
      </c>
      <c r="AA15" s="7">
        <v>-7.90624491891947E-16</v>
      </c>
      <c r="AB15" s="7">
        <v>-6.8581161810376505E-16</v>
      </c>
      <c r="AC15" s="7">
        <v>3.2626427608094703E-17</v>
      </c>
    </row>
    <row r="16" spans="1:29" ht="15" x14ac:dyDescent="0.25">
      <c r="A16" s="6">
        <v>23284</v>
      </c>
      <c r="B16" s="6"/>
      <c r="C16" s="6"/>
      <c r="D16">
        <v>-6.3563135003988094E-2</v>
      </c>
      <c r="E16" s="4">
        <v>-6.3564315565011598E-16</v>
      </c>
      <c r="F16" s="4">
        <v>-4.2562862560777599E-16</v>
      </c>
      <c r="G16" s="4">
        <v>-3.5394903484298699E-16</v>
      </c>
      <c r="H16" s="4">
        <v>-2.98081085313485E-16</v>
      </c>
      <c r="I16" s="4">
        <v>-5.99116415581373E-17</v>
      </c>
      <c r="J16" s="4">
        <v>-5.7304914239289896E-17</v>
      </c>
      <c r="V16" s="6"/>
      <c r="W16" s="5">
        <v>-0.114557737583894</v>
      </c>
      <c r="X16" s="7">
        <v>-9.9369446062114096E-16</v>
      </c>
      <c r="Y16" s="7">
        <v>-6.8239675083792795E-16</v>
      </c>
      <c r="Z16" s="7">
        <v>-7.5717185219264796E-16</v>
      </c>
      <c r="AA16" s="7">
        <v>-6.8255125819677598E-16</v>
      </c>
      <c r="AB16" s="7">
        <v>-5.3192306222536499E-16</v>
      </c>
      <c r="AC16" s="7">
        <v>5.0334975410423801E-17</v>
      </c>
    </row>
    <row r="17" spans="1:29" ht="15" x14ac:dyDescent="0.25">
      <c r="A17" s="6">
        <v>23376</v>
      </c>
      <c r="B17" s="6"/>
      <c r="C17" s="6"/>
      <c r="D17">
        <v>-6.4907788262030294E-2</v>
      </c>
      <c r="E17" s="4">
        <v>-7.0830181216661699E-16</v>
      </c>
      <c r="F17" s="4">
        <v>-1.55781004778822E-16</v>
      </c>
      <c r="G17" s="4">
        <v>-2.3834651850334001E-16</v>
      </c>
      <c r="H17" s="4">
        <v>-2.2439135612526402E-16</v>
      </c>
      <c r="I17" s="4">
        <v>-4.5764492600576199E-17</v>
      </c>
      <c r="J17" s="4">
        <v>5.7220918235770594E-17</v>
      </c>
      <c r="V17" s="6"/>
      <c r="W17" s="5">
        <v>-0.122259614161949</v>
      </c>
      <c r="X17" s="7">
        <v>-1.17199963230774E-15</v>
      </c>
      <c r="Y17" s="7">
        <v>-5.0560035302410795E-16</v>
      </c>
      <c r="Z17" s="7">
        <v>-7.7487659181784102E-16</v>
      </c>
      <c r="AA17" s="7">
        <v>-5.96741329940432E-16</v>
      </c>
      <c r="AB17" s="7">
        <v>-6.3388180392299101E-16</v>
      </c>
      <c r="AC17" s="7">
        <v>-2.07686434197313E-17</v>
      </c>
    </row>
    <row r="18" spans="1:29" ht="15" x14ac:dyDescent="0.25">
      <c r="A18" s="6">
        <v>23467</v>
      </c>
      <c r="B18" s="6"/>
      <c r="C18" s="6"/>
      <c r="D18">
        <v>-0.28986326400515999</v>
      </c>
      <c r="E18" s="4">
        <v>-4.9127830284139502E-16</v>
      </c>
      <c r="F18" s="4">
        <v>-1.7267437627655701E-16</v>
      </c>
      <c r="G18" s="4">
        <v>-2.0389592388316701E-16</v>
      </c>
      <c r="H18" s="4">
        <v>-2.3734539629245101E-16</v>
      </c>
      <c r="I18" s="4">
        <v>3.7256533563334398E-17</v>
      </c>
      <c r="J18" s="4">
        <v>-1.4893163896712201E-17</v>
      </c>
      <c r="V18" s="6"/>
      <c r="W18" s="5">
        <v>-0.35538406644375098</v>
      </c>
      <c r="X18" s="7">
        <v>-1.03321570557599E-15</v>
      </c>
      <c r="Y18" s="7">
        <v>-6.1142344912815098E-16</v>
      </c>
      <c r="Z18" s="7">
        <v>-6.4465528758000003E-16</v>
      </c>
      <c r="AA18" s="7">
        <v>-6.3616617356581601E-16</v>
      </c>
      <c r="AB18" s="7">
        <v>-5.9923613804858704E-16</v>
      </c>
      <c r="AC18" s="7">
        <v>4.9126578243694097E-17</v>
      </c>
    </row>
    <row r="19" spans="1:29" ht="15" x14ac:dyDescent="0.25">
      <c r="A19" s="6">
        <v>23558</v>
      </c>
      <c r="B19" s="6"/>
      <c r="C19" s="6"/>
      <c r="D19">
        <v>-0.36257608412975301</v>
      </c>
      <c r="E19" s="4">
        <v>-5.8576277242889096E-16</v>
      </c>
      <c r="F19" s="4">
        <v>-2.2412714074514201E-16</v>
      </c>
      <c r="G19" s="4">
        <v>-1.50021797105562E-16</v>
      </c>
      <c r="H19" s="4">
        <v>-1.2934648347559201E-16</v>
      </c>
      <c r="I19" s="4">
        <v>3.8405554199982103E-17</v>
      </c>
      <c r="J19" s="4">
        <v>3.3212901495449698E-17</v>
      </c>
      <c r="V19" s="6"/>
      <c r="W19" s="5">
        <v>-0.44078258240671397</v>
      </c>
      <c r="X19" s="7">
        <v>-9.8763657234600196E-16</v>
      </c>
      <c r="Y19" s="7">
        <v>-2.6318284956563302E-16</v>
      </c>
      <c r="Z19" s="7">
        <v>-4.8612045518887402E-16</v>
      </c>
      <c r="AA19" s="7">
        <v>-4.8677118964659702E-16</v>
      </c>
      <c r="AB19" s="7">
        <v>-4.8047185134440797E-16</v>
      </c>
      <c r="AC19" s="7">
        <v>5.4902501787091401E-17</v>
      </c>
    </row>
    <row r="20" spans="1:29" ht="15" x14ac:dyDescent="0.25">
      <c r="A20" s="6">
        <v>23650</v>
      </c>
      <c r="B20" s="6"/>
      <c r="C20" s="6"/>
      <c r="D20">
        <v>-9.2320354502876706E-2</v>
      </c>
      <c r="E20" s="4">
        <v>-7.7245002436295997E-16</v>
      </c>
      <c r="F20" s="4">
        <v>-2.71872284223125E-16</v>
      </c>
      <c r="G20" s="4">
        <v>-1.6332115199865099E-16</v>
      </c>
      <c r="H20" s="4">
        <v>-2.8776820428696398E-16</v>
      </c>
      <c r="I20" s="4">
        <v>-2.8788567805777302E-18</v>
      </c>
      <c r="J20" s="4">
        <v>-5.4479739866525601E-17</v>
      </c>
      <c r="V20" s="6"/>
      <c r="W20" s="5">
        <v>-0.10289244810805501</v>
      </c>
      <c r="X20" s="7">
        <v>-8.8476134540782004E-16</v>
      </c>
      <c r="Y20" s="7">
        <v>-3.23156375008344E-16</v>
      </c>
      <c r="Z20" s="7">
        <v>-6.3865760991178104E-16</v>
      </c>
      <c r="AA20" s="7">
        <v>-5.6038258901455897E-16</v>
      </c>
      <c r="AB20" s="7">
        <v>-6.3686529910846697E-16</v>
      </c>
      <c r="AC20" s="7">
        <v>1.1531926928625999E-17</v>
      </c>
    </row>
    <row r="21" spans="1:29" ht="15" x14ac:dyDescent="0.25">
      <c r="A21" s="6">
        <v>23742</v>
      </c>
      <c r="B21" s="6"/>
      <c r="C21" s="6"/>
      <c r="D21">
        <v>5.3878680404666202E-2</v>
      </c>
      <c r="E21" s="4">
        <v>-6.0446557982725302E-16</v>
      </c>
      <c r="F21" s="4">
        <v>-2.70496268159614E-17</v>
      </c>
      <c r="G21" s="4">
        <v>-1.0626667043895E-16</v>
      </c>
      <c r="H21" s="4">
        <v>-1.3520940451146299E-16</v>
      </c>
      <c r="I21" s="4">
        <v>4.4258314357788601E-17</v>
      </c>
      <c r="J21" s="4">
        <v>5.86905914696138E-17</v>
      </c>
      <c r="V21" s="6"/>
      <c r="W21" s="5">
        <v>4.5025457707063697E-2</v>
      </c>
      <c r="X21" s="7">
        <v>-8.975159839087251E-16</v>
      </c>
      <c r="Y21" s="7">
        <v>-4.1762496780381599E-16</v>
      </c>
      <c r="Z21" s="7">
        <v>-6.98120617342957E-16</v>
      </c>
      <c r="AA21" s="7">
        <v>-7.1853095983332403E-16</v>
      </c>
      <c r="AB21" s="7">
        <v>-7.3024364080823202E-16</v>
      </c>
      <c r="AC21" s="7">
        <v>-4.57438028235171E-17</v>
      </c>
    </row>
    <row r="22" spans="1:29" ht="15" x14ac:dyDescent="0.25">
      <c r="A22" s="6">
        <v>23832</v>
      </c>
      <c r="B22" s="6"/>
      <c r="C22" s="6"/>
      <c r="D22">
        <v>-0.138258582070619</v>
      </c>
      <c r="E22" s="4">
        <v>-3.9827153633131601E-16</v>
      </c>
      <c r="F22" s="4">
        <v>-8.7698922910649701E-17</v>
      </c>
      <c r="G22" s="4">
        <v>-6.4998794713726301E-17</v>
      </c>
      <c r="H22" s="4">
        <v>-1.2550094053438899E-16</v>
      </c>
      <c r="I22" s="4">
        <v>9.6812295465750697E-17</v>
      </c>
      <c r="J22" s="4">
        <v>-1.9026522966642101E-17</v>
      </c>
      <c r="V22" s="6"/>
      <c r="W22" s="5">
        <v>-0.180163820581484</v>
      </c>
      <c r="X22" s="7">
        <v>-1.03798696535696E-15</v>
      </c>
      <c r="Y22" s="7">
        <v>-5.8035893446294401E-16</v>
      </c>
      <c r="Z22" s="7">
        <v>-8.86579599853254E-16</v>
      </c>
      <c r="AA22" s="7">
        <v>-7.6460685173599205E-16</v>
      </c>
      <c r="AB22" s="7">
        <v>-6.6277656868465798E-16</v>
      </c>
      <c r="AC22" s="7">
        <v>5.1985838765898301E-17</v>
      </c>
    </row>
    <row r="23" spans="1:29" ht="15" x14ac:dyDescent="0.25">
      <c r="A23" s="6">
        <v>23923</v>
      </c>
      <c r="B23" s="6"/>
      <c r="C23" s="6"/>
      <c r="D23">
        <v>-0.13218655455918499</v>
      </c>
      <c r="E23" s="4">
        <v>-4.6399581899897003E-16</v>
      </c>
      <c r="F23" s="4">
        <v>-7.69126408864912E-17</v>
      </c>
      <c r="G23" s="4">
        <v>4.57680056230262E-17</v>
      </c>
      <c r="H23" s="4">
        <v>-1.88458526745398E-17</v>
      </c>
      <c r="I23" s="4">
        <v>8.3642003939969205E-17</v>
      </c>
      <c r="J23" s="4">
        <v>2.45956632121991E-17</v>
      </c>
      <c r="V23" s="6"/>
      <c r="W23" s="5">
        <v>-0.15305304507564299</v>
      </c>
      <c r="X23" s="7">
        <v>-1.0451899177783199E-15</v>
      </c>
      <c r="Y23" s="7">
        <v>-7.5429583586575E-16</v>
      </c>
      <c r="Z23" s="7">
        <v>-7.9801913197084597E-16</v>
      </c>
      <c r="AA23" s="7">
        <v>-6.6345801207971E-16</v>
      </c>
      <c r="AB23" s="7">
        <v>-5.6843190790992496E-16</v>
      </c>
      <c r="AC23" s="7">
        <v>-1.15845773141004E-17</v>
      </c>
    </row>
    <row r="24" spans="1:29" ht="15" x14ac:dyDescent="0.25">
      <c r="A24" s="6">
        <v>24015</v>
      </c>
      <c r="B24" s="6"/>
      <c r="C24" s="6"/>
      <c r="D24">
        <v>-0.112461237408171</v>
      </c>
      <c r="E24" s="4">
        <v>-5.2292386697657602E-16</v>
      </c>
      <c r="F24" s="4">
        <v>-1.00986365094649E-16</v>
      </c>
      <c r="G24" s="4">
        <v>7.3170906362313195E-17</v>
      </c>
      <c r="H24" s="4">
        <v>-9.7976571036358797E-17</v>
      </c>
      <c r="I24" s="4">
        <v>7.5380097448733395E-17</v>
      </c>
      <c r="J24" s="4">
        <v>-3.9379295901073598E-17</v>
      </c>
      <c r="V24" s="6"/>
      <c r="W24" s="5">
        <v>-0.11049301371589799</v>
      </c>
      <c r="X24" s="7">
        <v>-1.2753488784973901E-15</v>
      </c>
      <c r="Y24" s="7">
        <v>-7.5081284906574803E-16</v>
      </c>
      <c r="Z24" s="7">
        <v>-7.3416407763656103E-16</v>
      </c>
      <c r="AA24" s="7">
        <v>-5.6579626941342702E-16</v>
      </c>
      <c r="AB24" s="7">
        <v>-5.8087752576046205E-16</v>
      </c>
      <c r="AC24" s="7">
        <v>2.3667525742071901E-17</v>
      </c>
    </row>
    <row r="25" spans="1:29" ht="15" x14ac:dyDescent="0.25">
      <c r="A25" s="6">
        <v>24107</v>
      </c>
      <c r="B25" s="6"/>
      <c r="C25" s="6"/>
      <c r="D25">
        <v>-0.17402862274545</v>
      </c>
      <c r="E25" s="4">
        <v>-6.1357556737091703E-16</v>
      </c>
      <c r="F25" s="4">
        <v>-1.6686513927457601E-16</v>
      </c>
      <c r="G25" s="4">
        <v>-1.02954162269548E-16</v>
      </c>
      <c r="H25" s="4">
        <v>-1.5371030013236399E-16</v>
      </c>
      <c r="I25" s="4">
        <v>-5.3422573508465901E-18</v>
      </c>
      <c r="J25" s="4">
        <v>-6.2921095400279605E-17</v>
      </c>
      <c r="V25" s="6"/>
      <c r="W25" s="5">
        <v>-0.17951279547975499</v>
      </c>
      <c r="X25" s="7">
        <v>-1.26552181508212E-15</v>
      </c>
      <c r="Y25" s="7">
        <v>-6.5332045768777596E-16</v>
      </c>
      <c r="Z25" s="7">
        <v>-6.2373828767376196E-16</v>
      </c>
      <c r="AA25" s="7">
        <v>-5.5127371170960605E-16</v>
      </c>
      <c r="AB25" s="7">
        <v>-5.11257019035762E-16</v>
      </c>
      <c r="AC25" s="7">
        <v>5.3334914052138502E-17</v>
      </c>
    </row>
    <row r="26" spans="1:29" ht="15" x14ac:dyDescent="0.25">
      <c r="A26" s="6">
        <v>24197</v>
      </c>
      <c r="B26" s="6"/>
      <c r="C26" s="6"/>
      <c r="D26">
        <v>1.28730285962329E-3</v>
      </c>
      <c r="E26" s="4">
        <v>-6.3105635116308805E-16</v>
      </c>
      <c r="F26" s="4">
        <v>-2.8860183984357999E-16</v>
      </c>
      <c r="G26" s="4">
        <v>-1.00944487604532E-16</v>
      </c>
      <c r="H26" s="4">
        <v>-1.8956816769271801E-16</v>
      </c>
      <c r="I26" s="4">
        <v>8.09914193039269E-18</v>
      </c>
      <c r="J26" s="4">
        <v>-4.1245791057676203E-17</v>
      </c>
      <c r="V26" s="6"/>
      <c r="W26" s="5">
        <v>-5.6641877348641203E-3</v>
      </c>
      <c r="X26" s="7">
        <v>-1.17855465627246E-15</v>
      </c>
      <c r="Y26" s="7"/>
      <c r="Z26" s="7">
        <v>-6.4006805609899104E-16</v>
      </c>
      <c r="AA26" s="7">
        <v>-5.1147056012421296E-16</v>
      </c>
      <c r="AB26" s="7">
        <v>-5.28037197106289E-16</v>
      </c>
      <c r="AC26" s="7">
        <v>2.466334358559E-17</v>
      </c>
    </row>
    <row r="27" spans="1:29" ht="15" x14ac:dyDescent="0.25">
      <c r="A27" s="6">
        <v>24288</v>
      </c>
      <c r="B27" s="6"/>
      <c r="C27" s="6"/>
      <c r="D27">
        <v>7.2449213225792994E-2</v>
      </c>
      <c r="E27" s="4">
        <v>-7.1772251618685296E-16</v>
      </c>
      <c r="F27" s="4">
        <v>-2.7208064307807299E-16</v>
      </c>
      <c r="G27" s="4">
        <v>-6.1539001097286505E-17</v>
      </c>
      <c r="H27" s="4">
        <v>-1.1212260735828401E-16</v>
      </c>
      <c r="I27" s="4">
        <v>9.7279434442001904E-17</v>
      </c>
      <c r="J27" s="4">
        <v>2.3106902828304601E-17</v>
      </c>
      <c r="V27" s="6"/>
      <c r="W27" s="5">
        <v>5.8452231279587798E-2</v>
      </c>
      <c r="X27" s="7">
        <v>-9.2532087438677292E-16</v>
      </c>
      <c r="Y27" s="7">
        <v>-4.3576578147714599E-16</v>
      </c>
      <c r="Z27" s="7">
        <v>-4.11666710347243E-16</v>
      </c>
      <c r="AA27" s="7">
        <v>-4.37323261524118E-16</v>
      </c>
      <c r="AB27" s="7">
        <v>-5.3485957756311198E-16</v>
      </c>
      <c r="AC27" s="7">
        <v>-3.1697360595549003E-17</v>
      </c>
    </row>
    <row r="28" spans="1:29" ht="15" x14ac:dyDescent="0.25">
      <c r="A28" s="6">
        <v>24380</v>
      </c>
      <c r="B28" s="6"/>
      <c r="C28" s="6"/>
      <c r="D28">
        <v>3.18339795712521E-2</v>
      </c>
      <c r="E28" s="4">
        <v>-6.8389363184482301E-16</v>
      </c>
      <c r="F28" s="4">
        <v>-2.37954165643193E-16</v>
      </c>
      <c r="G28" s="4">
        <v>-4.46511875835708E-17</v>
      </c>
      <c r="H28" s="4">
        <v>-4.0887474518374202E-17</v>
      </c>
      <c r="I28" s="4">
        <v>1.4154951425769201E-16</v>
      </c>
      <c r="J28" s="4">
        <v>3.4639899372249499E-18</v>
      </c>
      <c r="V28" s="6"/>
      <c r="W28" s="5">
        <v>8.9555922779904294E-3</v>
      </c>
      <c r="X28" s="7">
        <v>-8.4604809070594005E-16</v>
      </c>
      <c r="Y28" s="7">
        <v>-1.5188499385161199E-16</v>
      </c>
      <c r="Z28" s="7">
        <v>-3.49135481640193E-16</v>
      </c>
      <c r="AA28" s="7">
        <v>-4.2945176750180002E-16</v>
      </c>
      <c r="AB28" s="7">
        <v>-5.4070294318264803E-16</v>
      </c>
      <c r="AC28" s="7">
        <v>1.5218190565008E-17</v>
      </c>
    </row>
    <row r="29" spans="1:29" ht="15" x14ac:dyDescent="0.25">
      <c r="A29" s="6">
        <v>24472</v>
      </c>
      <c r="B29" s="6"/>
      <c r="C29" s="6"/>
      <c r="D29">
        <v>3.49677650982346E-3</v>
      </c>
      <c r="E29" s="4">
        <v>-6.1640268754316896E-16</v>
      </c>
      <c r="F29" s="4">
        <v>-1.40267377619204E-16</v>
      </c>
      <c r="G29" s="4">
        <v>5.49856986866863E-17</v>
      </c>
      <c r="H29" s="4">
        <v>3.4904892216691599E-17</v>
      </c>
      <c r="I29" s="4">
        <v>1.5026679763025699E-16</v>
      </c>
      <c r="J29" s="4">
        <v>2.9635272465755302E-17</v>
      </c>
      <c r="V29" s="6"/>
      <c r="W29" s="5">
        <v>-1.5750740962156701E-2</v>
      </c>
      <c r="X29" s="7">
        <v>-6.3209463843060702E-16</v>
      </c>
      <c r="Y29" s="7">
        <v>-1.44336555366544E-17</v>
      </c>
      <c r="Z29" s="7">
        <v>-3.4999899459214402E-16</v>
      </c>
      <c r="AA29" s="7">
        <v>-4.9306100762857199E-16</v>
      </c>
      <c r="AB29" s="7">
        <v>-5.4381375100945202E-16</v>
      </c>
      <c r="AC29" s="7">
        <v>-1.1097969774841501E-17</v>
      </c>
    </row>
    <row r="30" spans="1:29" ht="15" x14ac:dyDescent="0.25">
      <c r="A30" s="6">
        <v>24562</v>
      </c>
      <c r="B30" s="6"/>
      <c r="C30" s="6"/>
      <c r="D30">
        <v>5.5747123343257703E-2</v>
      </c>
      <c r="E30" s="4">
        <v>-6.2106089105190196E-16</v>
      </c>
      <c r="F30" s="4">
        <v>-1.18846894803765E-16</v>
      </c>
      <c r="G30" s="4">
        <v>-8.8499351754134999E-17</v>
      </c>
      <c r="H30" s="4">
        <v>-9.5415047336943594E-17</v>
      </c>
      <c r="I30" s="4">
        <v>5.7752934964111097E-17</v>
      </c>
      <c r="J30" s="4">
        <v>-4.1401917428241698E-17</v>
      </c>
      <c r="V30" s="6"/>
      <c r="W30" s="5">
        <v>0.107763618617642</v>
      </c>
      <c r="X30" s="7">
        <v>-6.5177338987671703E-16</v>
      </c>
      <c r="Y30" s="7">
        <v>-6.5584156877912895E-17</v>
      </c>
      <c r="Z30" s="7">
        <v>-5.64308380950923E-16</v>
      </c>
      <c r="AA30" s="7">
        <v>-6.25022943960695E-16</v>
      </c>
      <c r="AB30" s="7">
        <v>-6.5226769200763598E-16</v>
      </c>
      <c r="AC30" s="7">
        <v>-1.2466187941500301E-17</v>
      </c>
    </row>
    <row r="31" spans="1:29" ht="15" x14ac:dyDescent="0.25">
      <c r="A31" s="6">
        <v>24653</v>
      </c>
      <c r="B31" s="6"/>
      <c r="C31" s="6"/>
      <c r="D31">
        <v>-0.22626095726707601</v>
      </c>
      <c r="E31" s="4">
        <v>-4.8328661562981297E-16</v>
      </c>
      <c r="F31" s="4">
        <v>-1.01176097064875E-16</v>
      </c>
      <c r="G31" s="4">
        <v>-3.0824701924842202E-16</v>
      </c>
      <c r="H31" s="4">
        <v>-1.3855145214098399E-16</v>
      </c>
      <c r="I31" s="4">
        <v>-3.6475477642942199E-18</v>
      </c>
      <c r="J31" s="4">
        <v>2.2510015836637599E-17</v>
      </c>
      <c r="V31" s="6"/>
      <c r="W31" s="5">
        <v>-0.22810099037112699</v>
      </c>
      <c r="X31" s="7">
        <v>-6.0335667854056504E-16</v>
      </c>
      <c r="Y31" s="7">
        <v>-1.2850877363349199E-16</v>
      </c>
      <c r="Z31" s="7">
        <v>-7.1359517850732102E-16</v>
      </c>
      <c r="AA31" s="7">
        <v>-6.7810599775039305E-16</v>
      </c>
      <c r="AB31" s="7">
        <v>-6.28975703696213E-16</v>
      </c>
      <c r="AC31" s="7">
        <v>4.8171037450236602E-17</v>
      </c>
    </row>
    <row r="32" spans="1:29" ht="15" x14ac:dyDescent="0.25">
      <c r="A32" s="6">
        <v>24745</v>
      </c>
      <c r="B32" s="6"/>
      <c r="C32" s="6"/>
      <c r="D32">
        <v>-0.139609475364953</v>
      </c>
      <c r="E32" s="4">
        <v>-5.0543858299641996E-16</v>
      </c>
      <c r="F32" s="4">
        <v>-3.5700013843276502E-16</v>
      </c>
      <c r="G32" s="4">
        <v>-2.4161559256569602E-16</v>
      </c>
      <c r="H32" s="4">
        <v>-1.7335681387509199E-16</v>
      </c>
      <c r="I32" s="4">
        <v>9.2424024290517603E-17</v>
      </c>
      <c r="J32" s="4">
        <v>2.4872018874365399E-17</v>
      </c>
      <c r="V32" s="6"/>
      <c r="W32" s="5">
        <v>-0.19070333988735999</v>
      </c>
      <c r="X32" s="7">
        <v>-5.4740664046351699E-16</v>
      </c>
      <c r="Y32" s="7">
        <v>-3.2000622350157502E-16</v>
      </c>
      <c r="Z32" s="7">
        <v>-5.9799395748971696E-16</v>
      </c>
      <c r="AA32" s="7">
        <v>-5.9839729324946097E-16</v>
      </c>
      <c r="AB32" s="7">
        <v>-5.3325264171485804E-16</v>
      </c>
      <c r="AC32" s="7">
        <v>-1.0908094781420101E-17</v>
      </c>
    </row>
    <row r="33" spans="1:29" ht="15" x14ac:dyDescent="0.25">
      <c r="A33" s="6">
        <v>24837</v>
      </c>
      <c r="B33" s="6"/>
      <c r="C33" s="6"/>
      <c r="D33">
        <v>-7.2771113644288898E-2</v>
      </c>
      <c r="E33" s="4">
        <v>-5.9681858047881999E-16</v>
      </c>
      <c r="F33" s="4">
        <v>-1.31131803865125E-16</v>
      </c>
      <c r="G33" s="4">
        <v>-1.9048439145823001E-16</v>
      </c>
      <c r="H33" s="4">
        <v>9.0202971976846505E-18</v>
      </c>
      <c r="I33" s="4">
        <v>1.2111366243284599E-16</v>
      </c>
      <c r="J33" s="4">
        <v>5.6070565988254301E-17</v>
      </c>
      <c r="V33" s="6"/>
      <c r="W33" s="5">
        <v>-0.117068983376181</v>
      </c>
      <c r="X33" s="7">
        <v>-7.80153282862861E-16</v>
      </c>
      <c r="Y33" s="7">
        <v>-3.4082672328034402E-16</v>
      </c>
      <c r="Z33" s="7">
        <v>-6.5968602283154099E-16</v>
      </c>
      <c r="AA33" s="7">
        <v>-5.57086963113471E-16</v>
      </c>
      <c r="AB33" s="7">
        <v>-6.2087247628376602E-16</v>
      </c>
      <c r="AC33" s="7">
        <v>-1.0753748250792999E-17</v>
      </c>
    </row>
    <row r="34" spans="1:29" ht="15" x14ac:dyDescent="0.25">
      <c r="A34" s="6">
        <v>24928</v>
      </c>
      <c r="B34" s="6"/>
      <c r="C34" s="6"/>
      <c r="D34">
        <v>-1.84683702213254E-3</v>
      </c>
      <c r="E34" s="4">
        <v>-7.5633415875476398E-16</v>
      </c>
      <c r="F34" s="4">
        <v>-5.7891485766707698E-16</v>
      </c>
      <c r="G34" s="4">
        <v>-3.41135312394973E-16</v>
      </c>
      <c r="H34" s="4">
        <v>-2.5261824610382799E-16</v>
      </c>
      <c r="I34" s="4">
        <v>-4.1464046556343401E-17</v>
      </c>
      <c r="J34" s="4">
        <v>-1.1360279579810899E-16</v>
      </c>
      <c r="V34" s="6"/>
      <c r="W34" s="5">
        <v>-2.60724979899601E-2</v>
      </c>
      <c r="X34" s="7">
        <v>-7.7389434364845195E-16</v>
      </c>
      <c r="Y34" s="7">
        <v>-4.66727105942285E-16</v>
      </c>
      <c r="Z34" s="7">
        <v>-4.6096762353855304E-16</v>
      </c>
      <c r="AA34" s="7">
        <v>-5.46673682718087E-16</v>
      </c>
      <c r="AB34" s="7">
        <v>-4.7080236182975996E-16</v>
      </c>
      <c r="AC34" s="7">
        <v>6.1412586687605302E-17</v>
      </c>
    </row>
    <row r="35" spans="1:29" ht="15" x14ac:dyDescent="0.25">
      <c r="A35" s="6">
        <v>25019</v>
      </c>
      <c r="B35" s="6"/>
      <c r="C35" s="6"/>
      <c r="D35">
        <v>0.127918146686889</v>
      </c>
      <c r="E35" s="4">
        <v>-1.0483637835697201E-15</v>
      </c>
      <c r="F35" s="4">
        <v>-5.0148253643902503E-16</v>
      </c>
      <c r="G35" s="4">
        <v>-4.2080577682920002E-16</v>
      </c>
      <c r="H35" s="4">
        <v>-2.6802791881028502E-16</v>
      </c>
      <c r="I35" s="4">
        <v>-6.0414831561349604E-17</v>
      </c>
      <c r="J35" s="4">
        <v>-9.2194282453165306E-18</v>
      </c>
      <c r="V35" s="6"/>
      <c r="W35" s="5">
        <v>6.8421447259405896E-2</v>
      </c>
      <c r="X35" s="7">
        <v>-9.1217811557476909E-16</v>
      </c>
      <c r="Y35" s="7">
        <v>-7.3525657048462096E-17</v>
      </c>
      <c r="Z35" s="7">
        <v>-4.14408642996758E-16</v>
      </c>
      <c r="AA35" s="7">
        <v>-4.0831883500138199E-16</v>
      </c>
      <c r="AB35" s="7">
        <v>-4.4305840695666301E-16</v>
      </c>
      <c r="AC35" s="7">
        <v>1.7059778390206399E-17</v>
      </c>
    </row>
    <row r="36" spans="1:29" ht="15" x14ac:dyDescent="0.25">
      <c r="A36" s="6">
        <v>25111</v>
      </c>
      <c r="B36" s="6"/>
      <c r="C36" s="6"/>
      <c r="D36">
        <v>-0.118205364891</v>
      </c>
      <c r="E36" s="4">
        <v>-9.9266459738043196E-16</v>
      </c>
      <c r="F36" s="4">
        <v>-6.0942882394023197E-16</v>
      </c>
      <c r="G36" s="4">
        <v>-5.5643821871644802E-16</v>
      </c>
      <c r="H36" s="4">
        <v>-3.5206981394560802E-16</v>
      </c>
      <c r="I36" s="4">
        <v>-4.8248842346409398E-18</v>
      </c>
      <c r="J36" s="4">
        <v>-3.3633798222069801E-17</v>
      </c>
      <c r="V36" s="6"/>
      <c r="W36" s="5">
        <v>-0.149659929176505</v>
      </c>
      <c r="X36" s="7">
        <v>-6.0244333794800799E-16</v>
      </c>
      <c r="Y36" s="7">
        <v>-2.7142634999632901E-17</v>
      </c>
      <c r="Z36" s="7">
        <v>-4.2362427807997398E-16</v>
      </c>
      <c r="AA36" s="7">
        <v>-4.4476657302848499E-16</v>
      </c>
      <c r="AB36" s="7">
        <v>-5.2747629133190903E-16</v>
      </c>
      <c r="AC36" s="7">
        <v>4.8469627686064999E-17</v>
      </c>
    </row>
    <row r="37" spans="1:29" ht="15" x14ac:dyDescent="0.25">
      <c r="A37" s="6">
        <v>25203</v>
      </c>
      <c r="B37" s="6"/>
      <c r="C37" s="6"/>
      <c r="D37">
        <v>6.1474675279156697E-2</v>
      </c>
      <c r="E37" s="4">
        <v>-9.2992634758246907E-16</v>
      </c>
      <c r="F37" s="4">
        <v>-5.2938183358859896E-16</v>
      </c>
      <c r="G37" s="4">
        <v>-4.7441843735093597E-16</v>
      </c>
      <c r="H37" s="4">
        <v>-1.7581168682323801E-16</v>
      </c>
      <c r="I37" s="4">
        <v>3.5509147386623797E-17</v>
      </c>
      <c r="J37" s="4">
        <v>3.6146323173219402E-17</v>
      </c>
      <c r="V37" s="6"/>
      <c r="W37" s="5">
        <v>4.67816248572979E-2</v>
      </c>
      <c r="X37" s="7">
        <v>-5.35128252412319E-16</v>
      </c>
      <c r="Y37" s="7">
        <v>-1.5786461707763499E-16</v>
      </c>
      <c r="Z37" s="7">
        <v>-5.8076361366212004E-16</v>
      </c>
      <c r="AA37" s="7">
        <v>-6.1400398440843596E-16</v>
      </c>
      <c r="AB37" s="7">
        <v>-6.0420293702656799E-16</v>
      </c>
      <c r="AC37" s="7">
        <v>-3.2622726133767098E-17</v>
      </c>
    </row>
    <row r="38" spans="1:29" ht="15" x14ac:dyDescent="0.25">
      <c r="A38" s="6">
        <v>25293</v>
      </c>
      <c r="B38" s="6"/>
      <c r="C38" s="6"/>
      <c r="D38">
        <v>1.6692135357469402E-2</v>
      </c>
      <c r="E38" s="4">
        <v>-8.5520925853006398E-16</v>
      </c>
      <c r="F38" s="4">
        <v>-5.4106752750009297E-16</v>
      </c>
      <c r="G38" s="4">
        <v>-2.6535213543800602E-16</v>
      </c>
      <c r="H38" s="4">
        <v>-1.01930977286992E-16</v>
      </c>
      <c r="I38" s="4">
        <v>1.0740540580304101E-16</v>
      </c>
      <c r="J38" s="4">
        <v>1.42429430334954E-17</v>
      </c>
      <c r="V38" s="6"/>
      <c r="W38" s="5">
        <v>-2.9240818097304801E-2</v>
      </c>
      <c r="X38" s="7">
        <v>-5.16539528264315E-16</v>
      </c>
      <c r="Y38" s="7">
        <v>-2.89429355630908E-16</v>
      </c>
      <c r="Z38" s="7">
        <v>-5.0562164094972702E-16</v>
      </c>
      <c r="AA38" s="7">
        <v>-4.8895967297564804E-16</v>
      </c>
      <c r="AB38" s="7">
        <v>-4.6445933600051897E-16</v>
      </c>
      <c r="AC38" s="7">
        <v>5.4702807319988098E-17</v>
      </c>
    </row>
    <row r="39" spans="1:29" ht="15" x14ac:dyDescent="0.25">
      <c r="A39" s="6">
        <v>25384</v>
      </c>
      <c r="B39" s="6"/>
      <c r="C39" s="6"/>
      <c r="D39">
        <v>0.34622683938274501</v>
      </c>
      <c r="E39" s="4">
        <v>-9.08783079279485E-16</v>
      </c>
      <c r="F39" s="4">
        <v>-3.93669813026999E-16</v>
      </c>
      <c r="G39" s="4">
        <v>-1.2754160867290899E-16</v>
      </c>
      <c r="H39" s="4">
        <v>-3.4071029610712E-17</v>
      </c>
      <c r="I39" s="4">
        <v>1.14731397284904E-16</v>
      </c>
      <c r="J39" s="4">
        <v>2.9407457554359001E-17</v>
      </c>
      <c r="V39" s="6"/>
      <c r="W39" s="5">
        <v>0.30568021249002297</v>
      </c>
      <c r="X39" s="7">
        <v>-5.7489516670104702E-16</v>
      </c>
      <c r="Y39" s="7">
        <v>-1.9874379836088199E-16</v>
      </c>
      <c r="Z39" s="7">
        <v>-3.06483558248516E-16</v>
      </c>
      <c r="AA39" s="7">
        <v>-3.3987749636683998E-16</v>
      </c>
      <c r="AB39" s="7">
        <v>-3.7767021191359999E-16</v>
      </c>
      <c r="AC39" s="7">
        <v>-2.9351775422451799E-18</v>
      </c>
    </row>
    <row r="40" spans="1:29" ht="15" x14ac:dyDescent="0.25">
      <c r="A40" s="6">
        <v>25476</v>
      </c>
      <c r="B40" s="6"/>
      <c r="C40" s="6"/>
      <c r="D40">
        <v>0.19239181334928299</v>
      </c>
      <c r="E40" s="4">
        <v>-6.5051545840698898E-16</v>
      </c>
      <c r="F40" s="4">
        <v>-1.3121144239832E-16</v>
      </c>
      <c r="G40" s="4">
        <v>3.1141312143914701E-18</v>
      </c>
      <c r="H40" s="4">
        <v>1.74521842556806E-17</v>
      </c>
      <c r="I40" s="4">
        <v>1.5003416992482201E-16</v>
      </c>
      <c r="J40" s="4">
        <v>4.8036860388613101E-17</v>
      </c>
      <c r="V40" s="6"/>
      <c r="W40" s="5">
        <v>0.17112523321074799</v>
      </c>
      <c r="X40" s="7">
        <v>-5.62946224991579E-16</v>
      </c>
      <c r="Y40" s="7">
        <v>-2.8103099828271698E-17</v>
      </c>
      <c r="Z40" s="7">
        <v>-2.78615847080318E-16</v>
      </c>
      <c r="AA40" s="7">
        <v>-3.1404229962888699E-16</v>
      </c>
      <c r="AB40" s="7">
        <v>-4.5205833455751401E-16</v>
      </c>
      <c r="AC40" s="7">
        <v>7.0529269112203206E-18</v>
      </c>
    </row>
    <row r="41" spans="1:29" ht="15" x14ac:dyDescent="0.25">
      <c r="A41" s="6">
        <v>25568</v>
      </c>
      <c r="B41" s="6"/>
      <c r="C41" s="6"/>
      <c r="D41">
        <v>-8.6329244333075095E-2</v>
      </c>
      <c r="E41" s="4">
        <v>-5.5199808295681697E-16</v>
      </c>
      <c r="F41" s="4">
        <v>-1.8959389525766199E-16</v>
      </c>
      <c r="G41" s="4">
        <v>-1.18347204688338E-17</v>
      </c>
      <c r="H41" s="4">
        <v>-2.01205286163128E-17</v>
      </c>
      <c r="I41" s="4">
        <v>1.5854465800676499E-16</v>
      </c>
      <c r="J41" s="4">
        <v>4.0876073954340997E-17</v>
      </c>
      <c r="V41" s="6"/>
      <c r="W41" s="5">
        <v>-0.12439654796567</v>
      </c>
      <c r="X41" s="7">
        <v>-2.10612442616479E-16</v>
      </c>
      <c r="Y41" s="7">
        <v>2.64407238680643E-16</v>
      </c>
      <c r="Z41" s="7">
        <v>5.2060939655502297E-17</v>
      </c>
      <c r="AA41" s="7">
        <v>-2.0427353951376299E-16</v>
      </c>
      <c r="AB41" s="7">
        <v>-2.9207474261238898E-16</v>
      </c>
      <c r="AC41" s="7">
        <v>4.8635282947858102E-17</v>
      </c>
    </row>
    <row r="42" spans="1:29" ht="15" x14ac:dyDescent="0.25">
      <c r="A42" s="6">
        <v>25658</v>
      </c>
      <c r="B42" s="6"/>
      <c r="C42" s="6"/>
      <c r="D42">
        <v>8.76426556598567E-3</v>
      </c>
      <c r="E42" s="4">
        <v>-5.4200585074514397E-16</v>
      </c>
      <c r="F42" s="4">
        <v>-4.7187264289715202E-17</v>
      </c>
      <c r="G42" s="4">
        <v>-2.4815153224116101E-17</v>
      </c>
      <c r="H42" s="4">
        <v>-3.3291050883004098E-17</v>
      </c>
      <c r="I42" s="4">
        <v>1.4010882870719901E-16</v>
      </c>
      <c r="J42" s="4">
        <v>5.1116409480114802E-17</v>
      </c>
      <c r="V42" s="6"/>
      <c r="W42" s="5">
        <v>1.24783565480061E-2</v>
      </c>
      <c r="X42" s="7">
        <v>-1.5097213296214201E-16</v>
      </c>
      <c r="Y42" s="7">
        <v>4.6541440003696799E-16</v>
      </c>
      <c r="Z42" s="7">
        <v>-1.55552898377267E-16</v>
      </c>
      <c r="AA42" s="7">
        <v>-2.5488359290672298E-16</v>
      </c>
      <c r="AB42" s="7">
        <v>-4.3595280912098398E-16</v>
      </c>
      <c r="AC42" s="7">
        <v>-5.2351070681261499E-18</v>
      </c>
    </row>
    <row r="43" spans="1:29" ht="15" x14ac:dyDescent="0.25">
      <c r="A43" s="6">
        <v>25749</v>
      </c>
      <c r="B43" s="6"/>
      <c r="C43" s="6"/>
      <c r="D43">
        <v>0.171775980590267</v>
      </c>
      <c r="E43" s="4">
        <v>-5.4560634516092799E-16</v>
      </c>
      <c r="F43" s="4">
        <v>-1.9635898274628601E-16</v>
      </c>
      <c r="G43" s="4">
        <v>-1.9424210597353799E-16</v>
      </c>
      <c r="H43" s="4">
        <v>-1.9359883894029099E-16</v>
      </c>
      <c r="I43" s="4">
        <v>3.3646186998992502E-17</v>
      </c>
      <c r="J43" s="4">
        <v>-4.3525478549518701E-17</v>
      </c>
      <c r="V43" s="6"/>
      <c r="W43" s="5">
        <v>0.226043415614152</v>
      </c>
      <c r="X43" s="7">
        <v>-1.06092675224758E-16</v>
      </c>
      <c r="Y43" s="7">
        <v>1.10197082571803E-16</v>
      </c>
      <c r="Z43" s="7">
        <v>-3.3160967437644498E-16</v>
      </c>
      <c r="AA43" s="7">
        <v>-5.2042455221964096E-16</v>
      </c>
      <c r="AB43" s="7">
        <v>-5.5596386509842002E-16</v>
      </c>
      <c r="AC43" s="7">
        <v>-3.9495966879293801E-17</v>
      </c>
    </row>
    <row r="44" spans="1:29" ht="15" x14ac:dyDescent="0.25">
      <c r="A44" s="6">
        <v>25841</v>
      </c>
      <c r="B44" s="6"/>
      <c r="C44" s="6"/>
      <c r="D44">
        <v>-4.77276423295529E-2</v>
      </c>
      <c r="E44" s="4">
        <v>-6.1122918799877804E-16</v>
      </c>
      <c r="F44" s="4">
        <v>-2.6910813197129299E-16</v>
      </c>
      <c r="G44" s="4">
        <v>-4.2346297208220501E-16</v>
      </c>
      <c r="H44" s="4">
        <v>-2.6437334460585298E-16</v>
      </c>
      <c r="I44" s="4">
        <v>-7.3336267652489099E-17</v>
      </c>
      <c r="J44" s="4">
        <v>-2.14857132544025E-17</v>
      </c>
      <c r="V44" s="6"/>
      <c r="W44" s="5">
        <v>-1.4565435916983E-2</v>
      </c>
      <c r="X44" s="7">
        <v>-5.1852925121692099E-16</v>
      </c>
      <c r="Y44" s="7">
        <v>-3.23578996856034E-18</v>
      </c>
      <c r="Z44" s="7">
        <v>-6.1618622896958698E-16</v>
      </c>
      <c r="AA44" s="7">
        <v>-6.3098247963772204E-16</v>
      </c>
      <c r="AB44" s="7">
        <v>-5.6865118411092296E-16</v>
      </c>
      <c r="AC44" s="7">
        <v>1.5302524464334401E-17</v>
      </c>
    </row>
    <row r="45" spans="1:29" ht="15" x14ac:dyDescent="0.25">
      <c r="A45" s="6">
        <v>25933</v>
      </c>
      <c r="B45" s="6"/>
      <c r="C45" s="6"/>
      <c r="D45">
        <v>-2.80116689641359E-2</v>
      </c>
      <c r="E45" s="4">
        <v>-6.2626241291371801E-16</v>
      </c>
      <c r="F45" s="4">
        <v>-4.1597028007829201E-16</v>
      </c>
      <c r="G45" s="4">
        <v>-4.3751128159605602E-16</v>
      </c>
      <c r="H45" s="4">
        <v>-3.1318345508888802E-16</v>
      </c>
      <c r="I45" s="4">
        <v>3.02180707112606E-18</v>
      </c>
      <c r="J45" s="4">
        <v>4.6816219721097899E-17</v>
      </c>
      <c r="V45" s="6"/>
      <c r="W45" s="5">
        <v>-1.2843961321432E-2</v>
      </c>
      <c r="X45" s="7">
        <v>-4.4985286459805799E-16</v>
      </c>
      <c r="Y45" s="7">
        <v>-1.99850264238513E-16</v>
      </c>
      <c r="Z45" s="7">
        <v>-6.5726608042964899E-16</v>
      </c>
      <c r="AA45" s="7">
        <v>-6.4908444309912702E-16</v>
      </c>
      <c r="AB45" s="7">
        <v>-5.5236859665253304E-16</v>
      </c>
      <c r="AC45" s="7">
        <v>-9.3030716499372798E-17</v>
      </c>
    </row>
    <row r="46" spans="1:29" ht="15" x14ac:dyDescent="0.25">
      <c r="A46" s="6">
        <v>26023</v>
      </c>
      <c r="B46" s="6"/>
      <c r="C46" s="6"/>
      <c r="D46">
        <v>-0.26951564806994799</v>
      </c>
      <c r="E46" s="4">
        <v>-8.7379142041546601E-16</v>
      </c>
      <c r="F46" s="4">
        <v>-6.1156805586630097E-16</v>
      </c>
      <c r="G46" s="4">
        <v>-7.2889501489174795E-16</v>
      </c>
      <c r="H46" s="4">
        <v>-3.88177342145679E-16</v>
      </c>
      <c r="I46" s="4">
        <v>-1.08522016236288E-16</v>
      </c>
      <c r="J46" s="4">
        <v>-1.15659874677995E-16</v>
      </c>
      <c r="V46" s="6"/>
      <c r="W46" s="5">
        <v>-0.248968509368651</v>
      </c>
      <c r="X46" s="7">
        <v>-8.71044253738993E-16</v>
      </c>
      <c r="Y46" s="7">
        <v>-4.9020266648727099E-16</v>
      </c>
      <c r="Z46" s="7">
        <v>-8.3930340951002895E-16</v>
      </c>
      <c r="AA46" s="7">
        <v>-6.7691734080623295E-16</v>
      </c>
      <c r="AB46" s="7">
        <v>-5.6011942605579805E-16</v>
      </c>
      <c r="AC46" s="7">
        <v>3.1255474829034197E-17</v>
      </c>
    </row>
    <row r="47" spans="1:29" ht="15" x14ac:dyDescent="0.25">
      <c r="A47" s="6">
        <v>26114</v>
      </c>
      <c r="B47" s="6"/>
      <c r="C47" s="6"/>
      <c r="D47">
        <v>0.23506288994709601</v>
      </c>
      <c r="E47" s="4">
        <v>-7.9524451946464502E-16</v>
      </c>
      <c r="F47" s="4">
        <v>-5.8767968001658696E-16</v>
      </c>
      <c r="G47" s="4">
        <v>-6.0111163805125602E-16</v>
      </c>
      <c r="H47" s="4">
        <v>-2.7134973130582602E-16</v>
      </c>
      <c r="I47" s="4">
        <v>-1.2577957778853699E-16</v>
      </c>
      <c r="J47" s="4">
        <v>4.3348537898308403E-17</v>
      </c>
      <c r="V47" s="6"/>
      <c r="W47" s="5">
        <v>0.227409540334467</v>
      </c>
      <c r="X47" s="7">
        <v>-9.3725848361427396E-16</v>
      </c>
      <c r="Y47" s="7">
        <v>-6.1173852140760803E-16</v>
      </c>
      <c r="Z47" s="7">
        <v>-7.7757970182594898E-16</v>
      </c>
      <c r="AA47" s="7">
        <v>-6.3935593164109302E-16</v>
      </c>
      <c r="AB47" s="7">
        <v>-4.7967902629161302E-16</v>
      </c>
      <c r="AC47" s="7">
        <v>-3.8006542573188198E-17</v>
      </c>
    </row>
    <row r="48" spans="1:29" ht="15" x14ac:dyDescent="0.25">
      <c r="A48" s="6">
        <v>26206</v>
      </c>
      <c r="B48" s="6"/>
      <c r="C48" s="6"/>
      <c r="D48">
        <v>0.34333068825868301</v>
      </c>
      <c r="E48" s="4">
        <v>-8.2762736375919997E-16</v>
      </c>
      <c r="F48" s="4">
        <v>-6.2360801174572498E-16</v>
      </c>
      <c r="G48" s="4">
        <v>-4.6626358254556101E-16</v>
      </c>
      <c r="H48" s="4">
        <v>-3.08400265318137E-16</v>
      </c>
      <c r="I48" s="4">
        <v>4.5703039038027496E-18</v>
      </c>
      <c r="J48" s="4">
        <v>-4.6894571355340001E-18</v>
      </c>
      <c r="V48" s="6"/>
      <c r="W48" s="5">
        <v>0.33895638877731299</v>
      </c>
      <c r="X48" s="7">
        <v>-9.0605174012728003E-16</v>
      </c>
      <c r="Y48" s="7">
        <v>-5.8638838728189105E-16</v>
      </c>
      <c r="Z48" s="7">
        <v>-5.3114941230602203E-16</v>
      </c>
      <c r="AA48" s="7">
        <v>-4.4779364771188504E-16</v>
      </c>
      <c r="AB48" s="7">
        <v>-3.8325748899894601E-16</v>
      </c>
      <c r="AC48" s="7">
        <v>-2.2495393785860199E-17</v>
      </c>
    </row>
    <row r="49" spans="1:29" ht="15" x14ac:dyDescent="0.25">
      <c r="A49" s="6">
        <v>26298</v>
      </c>
      <c r="B49" s="6"/>
      <c r="C49" s="6"/>
      <c r="D49">
        <v>-0.21966482255488801</v>
      </c>
      <c r="E49" s="4">
        <v>-7.2144013970095596E-16</v>
      </c>
      <c r="F49" s="4">
        <v>-3.8325075980312302E-16</v>
      </c>
      <c r="G49" s="4">
        <v>-4.4188460180638799E-16</v>
      </c>
      <c r="H49" s="4">
        <v>-9.0221677941202197E-17</v>
      </c>
      <c r="I49" s="4">
        <v>1.02171161926619E-17</v>
      </c>
      <c r="J49" s="4">
        <v>4.0551599624669302E-17</v>
      </c>
      <c r="V49" s="6"/>
      <c r="W49" s="5">
        <v>-0.234333434387265</v>
      </c>
      <c r="X49" s="7">
        <v>-7.8868078455541504E-16</v>
      </c>
      <c r="Y49" s="7">
        <v>-2.6426801752676498E-16</v>
      </c>
      <c r="Z49" s="7">
        <v>-3.0913269451356999E-16</v>
      </c>
      <c r="AA49" s="7">
        <v>-2.88288176480341E-16</v>
      </c>
      <c r="AB49" s="7">
        <v>-2.6635127532988698E-16</v>
      </c>
      <c r="AC49" s="7">
        <v>3.2066943155836399E-17</v>
      </c>
    </row>
    <row r="50" spans="1:29" ht="15" x14ac:dyDescent="0.25">
      <c r="A50" s="6">
        <v>26389</v>
      </c>
      <c r="B50" s="6"/>
      <c r="C50" s="6"/>
      <c r="D50">
        <v>-0.45064736065683197</v>
      </c>
      <c r="E50" s="4">
        <v>-5.2891439081410598E-16</v>
      </c>
      <c r="F50" s="4">
        <v>-4.2368582588815798E-16</v>
      </c>
      <c r="G50" s="4">
        <v>-1.9016483056407199E-16</v>
      </c>
      <c r="H50" s="4">
        <v>-1.03116671679614E-16</v>
      </c>
      <c r="I50" s="4">
        <v>4.3288643605039001E-17</v>
      </c>
      <c r="J50" s="4">
        <v>3.1238943152067398E-17</v>
      </c>
      <c r="V50" s="6"/>
      <c r="W50" s="5">
        <v>-0.49955127364791002</v>
      </c>
      <c r="X50" s="7">
        <v>-3.5682229081490099E-16</v>
      </c>
      <c r="Y50" s="7">
        <v>-1.09446626238156E-16</v>
      </c>
      <c r="Z50" s="7">
        <v>-1.37767765406835E-16</v>
      </c>
      <c r="AA50" s="7">
        <v>-1.2419762946865501E-16</v>
      </c>
      <c r="AB50" s="7">
        <v>-1.6321099335630801E-16</v>
      </c>
      <c r="AC50" s="7">
        <v>3.9891927968596601E-17</v>
      </c>
    </row>
    <row r="51" spans="1:29" ht="15" x14ac:dyDescent="0.25">
      <c r="A51" s="6">
        <v>26480</v>
      </c>
      <c r="B51" s="6"/>
      <c r="C51" s="6"/>
      <c r="D51">
        <v>5.9679433134748501E-2</v>
      </c>
      <c r="E51" s="4">
        <v>-6.9615764690724004E-16</v>
      </c>
      <c r="F51" s="4">
        <v>-3.2551317256438802E-16</v>
      </c>
      <c r="G51" s="4">
        <v>-1.8383252320410501E-16</v>
      </c>
      <c r="H51" s="4">
        <v>-1.40477811085798E-16</v>
      </c>
      <c r="I51" s="4">
        <v>2.0783547876209501E-18</v>
      </c>
      <c r="J51" s="4">
        <v>-4.04981213774287E-17</v>
      </c>
      <c r="V51" s="6"/>
      <c r="W51" s="5">
        <v>4.0450316354347503E-2</v>
      </c>
      <c r="X51" s="7">
        <v>-2.4500160824981199E-16</v>
      </c>
      <c r="Y51" s="7">
        <v>-8.7946079154071499E-17</v>
      </c>
      <c r="Z51" s="7">
        <v>1.2647490893445801E-16</v>
      </c>
      <c r="AA51" s="7">
        <v>1.8140585171411099E-17</v>
      </c>
      <c r="AB51" s="7">
        <v>-1.1195068034648699E-16</v>
      </c>
      <c r="AC51" s="7">
        <v>3.98547746988563E-17</v>
      </c>
    </row>
    <row r="52" spans="1:29" ht="15" x14ac:dyDescent="0.25">
      <c r="A52" s="6">
        <v>26572</v>
      </c>
      <c r="B52" s="6"/>
      <c r="C52" s="6"/>
      <c r="D52">
        <v>0.134444445057324</v>
      </c>
      <c r="E52" s="4">
        <v>-6.1085451767153103E-16</v>
      </c>
      <c r="F52" s="4">
        <v>-3.26359743875742E-16</v>
      </c>
      <c r="G52" s="4">
        <v>-2.4760025350800698E-16</v>
      </c>
      <c r="H52" s="4">
        <v>-2.0939344437705001E-16</v>
      </c>
      <c r="I52" s="4">
        <v>-6.67915930057968E-17</v>
      </c>
      <c r="J52" s="4">
        <v>-3.3333602444100597E-17</v>
      </c>
      <c r="V52" s="6"/>
      <c r="W52" s="5">
        <v>0.138943452972696</v>
      </c>
      <c r="X52" s="7">
        <v>-2.9709057948769401E-16</v>
      </c>
      <c r="Y52" s="7">
        <v>1.7365576947595701E-16</v>
      </c>
      <c r="Z52" s="7">
        <v>1.2455345220886599E-16</v>
      </c>
      <c r="AA52" s="7">
        <v>-3.7601657843649203E-17</v>
      </c>
      <c r="AB52" s="7">
        <v>-2.0950788845045099E-16</v>
      </c>
      <c r="AC52" s="7">
        <v>-1.26637719008952E-17</v>
      </c>
    </row>
    <row r="53" spans="1:29" ht="15" x14ac:dyDescent="0.25">
      <c r="A53" s="6">
        <v>26664</v>
      </c>
      <c r="B53" s="6"/>
      <c r="C53" s="6"/>
      <c r="D53">
        <v>5.28841120909333E-2</v>
      </c>
      <c r="E53" s="4">
        <v>-4.9649838611498495E-16</v>
      </c>
      <c r="F53" s="4">
        <v>-2.6740449659148999E-16</v>
      </c>
      <c r="G53" s="4">
        <v>-2.87706334218459E-16</v>
      </c>
      <c r="H53" s="4">
        <v>-2.1224591761871799E-16</v>
      </c>
      <c r="I53" s="4">
        <v>-3.9274658609474901E-17</v>
      </c>
      <c r="J53" s="4">
        <v>-1.68490429124372E-17</v>
      </c>
      <c r="V53" s="6"/>
      <c r="W53" s="5">
        <v>4.4310098171418399E-2</v>
      </c>
      <c r="X53" s="7">
        <v>-1.02107895296187E-16</v>
      </c>
      <c r="Y53" s="7">
        <v>1.03630814090808E-16</v>
      </c>
      <c r="Z53" s="7">
        <v>-6.2735534330853606E-17</v>
      </c>
      <c r="AA53" s="7">
        <v>-1.51325085576261E-16</v>
      </c>
      <c r="AB53" s="7">
        <v>-2.4917404286783398E-16</v>
      </c>
      <c r="AC53" s="7">
        <v>4.7238586325906002E-17</v>
      </c>
    </row>
    <row r="54" spans="1:29" ht="15" x14ac:dyDescent="0.25">
      <c r="A54" s="6">
        <v>26754</v>
      </c>
      <c r="B54" s="6"/>
      <c r="C54" s="6"/>
      <c r="D54">
        <v>0.25696919872568802</v>
      </c>
      <c r="E54" s="4">
        <v>-6.1237100009360204E-16</v>
      </c>
      <c r="F54" s="4">
        <v>-5.3474471983683095E-16</v>
      </c>
      <c r="G54" s="4">
        <v>-3.4195642402071201E-16</v>
      </c>
      <c r="H54" s="4">
        <v>-2.6382539173627899E-16</v>
      </c>
      <c r="I54" s="4">
        <v>-5.5976726377746394E-17</v>
      </c>
      <c r="J54" s="4">
        <v>-6.1559868845193406E-17</v>
      </c>
      <c r="V54" s="6"/>
      <c r="W54" s="5">
        <v>0.23816295346531599</v>
      </c>
      <c r="X54" s="7">
        <v>2.0963544627168999E-17</v>
      </c>
      <c r="Y54" s="7">
        <v>-4.7225898933302799E-17</v>
      </c>
      <c r="Z54" s="7">
        <v>4.5583939606632703E-17</v>
      </c>
      <c r="AA54" s="7">
        <v>-3.4288803613622501E-17</v>
      </c>
      <c r="AB54" s="7">
        <v>-6.4833721003476905E-17</v>
      </c>
      <c r="AC54" s="7">
        <v>8.7462686566037898E-17</v>
      </c>
    </row>
    <row r="55" spans="1:29" ht="15" x14ac:dyDescent="0.25">
      <c r="A55" s="6">
        <v>26845</v>
      </c>
      <c r="B55" s="6"/>
      <c r="C55" s="6"/>
      <c r="D55">
        <v>0.28778138791976798</v>
      </c>
      <c r="E55" s="4">
        <v>-7.6497739334514202E-16</v>
      </c>
      <c r="F55" s="4">
        <v>-4.5842651107430399E-16</v>
      </c>
      <c r="G55" s="4">
        <v>-1.7680994998098901E-16</v>
      </c>
      <c r="H55" s="4">
        <v>-1.7245528769389901E-16</v>
      </c>
      <c r="I55" s="4">
        <v>1.15387106287244E-17</v>
      </c>
      <c r="J55" s="4">
        <v>2.25113625540949E-17</v>
      </c>
      <c r="V55" s="6"/>
      <c r="W55" s="5">
        <v>0.24106758533939601</v>
      </c>
      <c r="X55" s="7">
        <v>-6.5658149845363902E-17</v>
      </c>
      <c r="Y55" s="7">
        <v>6.7260062125514905E-17</v>
      </c>
      <c r="Z55" s="7">
        <v>1.96512722393475E-16</v>
      </c>
      <c r="AA55" s="7">
        <v>1.47118502379883E-16</v>
      </c>
      <c r="AB55" s="7">
        <v>-1.15166209606286E-16</v>
      </c>
      <c r="AC55" s="7">
        <v>-2.37145758695592E-17</v>
      </c>
    </row>
    <row r="56" spans="1:29" ht="15" x14ac:dyDescent="0.25">
      <c r="A56" s="6">
        <v>26937</v>
      </c>
      <c r="B56" s="6"/>
      <c r="C56" s="6"/>
      <c r="D56">
        <v>0.68901027966834705</v>
      </c>
      <c r="E56" s="4">
        <v>-5.9283830406301399E-16</v>
      </c>
      <c r="F56" s="4">
        <v>-2.2557902463952502E-16</v>
      </c>
      <c r="G56" s="4">
        <v>3.7633205424811303E-18</v>
      </c>
      <c r="H56" s="4">
        <v>-4.2342255648966798E-17</v>
      </c>
      <c r="I56" s="4">
        <v>1.3064785136697501E-16</v>
      </c>
      <c r="J56" s="4">
        <v>5.442590374076E-17</v>
      </c>
      <c r="V56" s="6"/>
      <c r="W56" s="5">
        <v>0.65527416180539799</v>
      </c>
      <c r="X56" s="7">
        <v>4.4022328029166002E-17</v>
      </c>
      <c r="Y56" s="7">
        <v>2.10314330991588E-16</v>
      </c>
      <c r="Z56" s="7">
        <v>3.66592592339898E-16</v>
      </c>
      <c r="AA56" s="7">
        <v>1.10985146016265E-16</v>
      </c>
      <c r="AB56" s="7">
        <v>-2.20505186417688E-16</v>
      </c>
      <c r="AC56" s="7">
        <v>-2.1947167744027899E-17</v>
      </c>
    </row>
    <row r="57" spans="1:29" ht="15" x14ac:dyDescent="0.25">
      <c r="A57" s="6">
        <v>27029</v>
      </c>
      <c r="B57" s="6"/>
      <c r="C57" s="6"/>
      <c r="D57">
        <v>-7.1531263396689304E-2</v>
      </c>
      <c r="E57" s="4">
        <v>-3.7912444582962601E-16</v>
      </c>
      <c r="F57" s="4">
        <v>-6.5152678661210902E-17</v>
      </c>
      <c r="G57" s="4">
        <v>1.38344895238551E-16</v>
      </c>
      <c r="H57" s="4">
        <v>5.6328495129161806E-17</v>
      </c>
      <c r="I57" s="4">
        <v>1.4389654770625201E-16</v>
      </c>
      <c r="J57" s="4">
        <v>2.8110884268668597E-17</v>
      </c>
      <c r="V57" s="6"/>
      <c r="W57" s="5">
        <v>-0.11100548583198699</v>
      </c>
      <c r="X57" s="7">
        <v>1.2365434496833101E-16</v>
      </c>
      <c r="Y57" s="7">
        <v>4.4137507639662098E-16</v>
      </c>
      <c r="Z57" s="7">
        <v>3.5684844127991302E-16</v>
      </c>
      <c r="AA57" s="7">
        <v>1.8462386061172899E-17</v>
      </c>
      <c r="AB57" s="7">
        <v>-1.5983533926878301E-16</v>
      </c>
      <c r="AC57" s="7">
        <v>2.9415925951529502E-17</v>
      </c>
    </row>
    <row r="58" spans="1:29" ht="15" x14ac:dyDescent="0.25">
      <c r="A58" s="6">
        <v>27119</v>
      </c>
      <c r="B58" s="6"/>
      <c r="C58" s="6"/>
      <c r="D58">
        <v>-0.17081119058001401</v>
      </c>
      <c r="E58" s="4">
        <v>-3.3277092716507699E-16</v>
      </c>
      <c r="F58" s="4">
        <v>-7.9698351277287806E-18</v>
      </c>
      <c r="G58" s="4">
        <v>1.03053529388092E-16</v>
      </c>
      <c r="H58" s="4">
        <v>-2.9359938222359903E-17</v>
      </c>
      <c r="I58" s="4">
        <v>6.9540364803763294E-17</v>
      </c>
      <c r="J58" s="4">
        <v>3.53541427891764E-17</v>
      </c>
      <c r="V58" s="6"/>
      <c r="W58" s="5">
        <v>-0.21544080008295899</v>
      </c>
      <c r="X58" s="7">
        <v>4.41981503165152E-16</v>
      </c>
      <c r="Y58" s="7">
        <v>5.66382380323524E-16</v>
      </c>
      <c r="Z58" s="7">
        <v>3.0733081246775098E-16</v>
      </c>
      <c r="AA58" s="7">
        <v>1.1832181842647201E-16</v>
      </c>
      <c r="AB58" s="7">
        <v>-1.54236338374817E-16</v>
      </c>
      <c r="AC58" s="7">
        <v>2.10306599341091E-17</v>
      </c>
    </row>
    <row r="59" spans="1:29" ht="15" x14ac:dyDescent="0.25">
      <c r="A59" s="6">
        <v>27210</v>
      </c>
      <c r="B59" s="6"/>
      <c r="C59" s="6"/>
      <c r="D59">
        <v>0.38877136603115398</v>
      </c>
      <c r="E59" s="4">
        <v>-3.1972612355493898E-16</v>
      </c>
      <c r="F59" s="4">
        <v>-1.16919913925698E-17</v>
      </c>
      <c r="G59" s="4">
        <v>-2.7248922383169301E-17</v>
      </c>
      <c r="H59" s="4">
        <v>-1.7710906290794899E-16</v>
      </c>
      <c r="I59" s="4">
        <v>3.4889029910149101E-17</v>
      </c>
      <c r="J59" s="4">
        <v>1.37029478024863E-17</v>
      </c>
      <c r="V59" s="6"/>
      <c r="W59" s="5">
        <v>0.30132055017007098</v>
      </c>
      <c r="X59" s="7">
        <v>4.1261501128542902E-16</v>
      </c>
      <c r="Y59" s="7">
        <v>4.1718495289946901E-16</v>
      </c>
      <c r="Z59" s="7">
        <v>2.2711605679261802E-16</v>
      </c>
      <c r="AA59" s="7">
        <v>2.2240532606364499E-17</v>
      </c>
      <c r="AB59" s="7">
        <v>-2.7712867304009798E-16</v>
      </c>
      <c r="AC59" s="7">
        <v>-4.40756906569265E-18</v>
      </c>
    </row>
    <row r="60" spans="1:29" ht="15" x14ac:dyDescent="0.25">
      <c r="A60" s="6">
        <v>27302</v>
      </c>
      <c r="B60" s="6"/>
      <c r="C60" s="6"/>
      <c r="D60">
        <v>0.14456682779712399</v>
      </c>
      <c r="E60" s="4">
        <v>-2.5754185612717298E-16</v>
      </c>
      <c r="F60" s="4">
        <v>-2.5965873082760899E-17</v>
      </c>
      <c r="G60" s="4">
        <v>-8.1970376918584698E-17</v>
      </c>
      <c r="H60" s="4">
        <v>-1.6758133044454199E-16</v>
      </c>
      <c r="I60" s="4">
        <v>6.0368801939379495E-17</v>
      </c>
      <c r="J60" s="4">
        <v>6.9075362204353806E-17</v>
      </c>
      <c r="V60" s="6"/>
      <c r="W60" s="5">
        <v>4.4821403768926897E-2</v>
      </c>
      <c r="X60" s="7">
        <v>2.7145246900892101E-16</v>
      </c>
      <c r="Y60" s="7">
        <v>4.0964792437524498E-16</v>
      </c>
      <c r="Z60" s="7">
        <v>1.55957414079195E-16</v>
      </c>
      <c r="AA60" s="7">
        <v>-1.05475269170871E-16</v>
      </c>
      <c r="AB60" s="7">
        <v>-3.2910256866658599E-16</v>
      </c>
      <c r="AC60" s="7">
        <v>-1.9900270253073599E-17</v>
      </c>
    </row>
    <row r="61" spans="1:29" ht="15" x14ac:dyDescent="0.25">
      <c r="A61" s="6">
        <v>27394</v>
      </c>
      <c r="B61" s="6"/>
      <c r="C61" s="6"/>
      <c r="D61">
        <v>-0.118480057469498</v>
      </c>
      <c r="E61" s="4">
        <v>-3.15753477737504E-16</v>
      </c>
      <c r="F61" s="4">
        <v>-1.2610092530964201E-16</v>
      </c>
      <c r="G61" s="4">
        <v>-3.9087552997986801E-17</v>
      </c>
      <c r="H61" s="4">
        <v>-2.0977102324153001E-16</v>
      </c>
      <c r="I61" s="4">
        <v>3.7434931485798701E-17</v>
      </c>
      <c r="J61" s="4">
        <v>-2.85251830957831E-18</v>
      </c>
      <c r="V61" s="6"/>
      <c r="W61" s="5">
        <v>-0.101292444687213</v>
      </c>
      <c r="X61" s="7">
        <v>1.6145748570234401E-17</v>
      </c>
      <c r="Y61" s="7">
        <v>1.00966593854065E-16</v>
      </c>
      <c r="Z61" s="7">
        <v>-8.8977070939250103E-17</v>
      </c>
      <c r="AA61" s="7">
        <v>-3.8354263018613798E-16</v>
      </c>
      <c r="AB61" s="7">
        <v>-4.96740198747495E-16</v>
      </c>
      <c r="AC61" s="7">
        <v>-1.5804664944098899E-16</v>
      </c>
    </row>
    <row r="62" spans="1:29" ht="15" x14ac:dyDescent="0.25">
      <c r="A62" s="6">
        <v>27484</v>
      </c>
      <c r="B62" s="6"/>
      <c r="C62" s="6"/>
      <c r="D62">
        <v>-0.26654216014162802</v>
      </c>
      <c r="E62" s="4">
        <v>-5.5435745087815904E-16</v>
      </c>
      <c r="F62" s="4">
        <v>-2.67791384246825E-16</v>
      </c>
      <c r="G62" s="4">
        <v>-5.1340695319876702E-16</v>
      </c>
      <c r="H62" s="4">
        <v>-4.1023945626854201E-16</v>
      </c>
      <c r="I62" s="4">
        <v>-2.01787271800926E-16</v>
      </c>
      <c r="J62" s="4">
        <v>-8.7174873410195396E-17</v>
      </c>
      <c r="V62" s="6"/>
      <c r="W62" s="5">
        <v>-0.21919477176438401</v>
      </c>
      <c r="X62" s="7">
        <v>-3.7029721781813999E-16</v>
      </c>
      <c r="Y62" s="7">
        <v>1.09658742333995E-16</v>
      </c>
      <c r="Z62" s="7">
        <v>-3.4213971472101301E-16</v>
      </c>
      <c r="AA62" s="7">
        <v>-5.0571604733589601E-16</v>
      </c>
      <c r="AB62" s="7">
        <v>-5.1056670360875104E-16</v>
      </c>
      <c r="AC62" s="7">
        <v>-4.4026260646601001E-17</v>
      </c>
    </row>
    <row r="63" spans="1:29" ht="15" x14ac:dyDescent="0.25">
      <c r="A63" s="6">
        <v>27575</v>
      </c>
      <c r="B63" s="6"/>
      <c r="C63" s="6"/>
      <c r="D63">
        <v>1.05256949615179E-3</v>
      </c>
      <c r="E63" s="4">
        <v>-4.4652540732499902E-16</v>
      </c>
      <c r="F63" s="4">
        <v>-3.6119279561927499E-16</v>
      </c>
      <c r="G63" s="4">
        <v>-7.17003616298579E-16</v>
      </c>
      <c r="H63" s="4">
        <v>-5.2149613993737904E-16</v>
      </c>
      <c r="I63" s="4">
        <v>-2.3565988050180698E-16</v>
      </c>
      <c r="J63" s="4">
        <v>-1.0623005824723601E-17</v>
      </c>
      <c r="V63" s="6"/>
      <c r="W63" s="5">
        <v>-1.57382273091522E-3</v>
      </c>
      <c r="X63" s="7">
        <v>-5.0833566932901501E-16</v>
      </c>
      <c r="Y63" s="7">
        <v>-5.79438756786236E-17</v>
      </c>
      <c r="Z63" s="7">
        <v>-6.8287870235862499E-16</v>
      </c>
      <c r="AA63" s="7">
        <v>-6.2800350944998903E-16</v>
      </c>
      <c r="AB63" s="7">
        <v>-4.4701263211653803E-16</v>
      </c>
      <c r="AC63" s="7">
        <v>1.06931857727552E-17</v>
      </c>
    </row>
    <row r="64" spans="1:29" ht="15" x14ac:dyDescent="0.25">
      <c r="A64" s="6">
        <v>27667</v>
      </c>
      <c r="B64" s="6"/>
      <c r="C64" s="6"/>
      <c r="D64">
        <v>0.184523518786392</v>
      </c>
      <c r="E64" s="4">
        <v>-5.4616368032669502E-16</v>
      </c>
      <c r="F64" s="4">
        <v>-5.3741544797458E-16</v>
      </c>
      <c r="G64" s="4">
        <v>-8.3685235493434197E-16</v>
      </c>
      <c r="H64" s="4">
        <v>-5.2470653693802302E-16</v>
      </c>
      <c r="I64" s="4">
        <v>-1.5164479828980301E-16</v>
      </c>
      <c r="J64" s="4">
        <v>-6.3103221452232101E-18</v>
      </c>
      <c r="V64" s="6"/>
      <c r="W64" s="5">
        <v>0.12886646765162801</v>
      </c>
      <c r="X64" s="7">
        <v>-5.9320339426206602E-16</v>
      </c>
      <c r="Y64" s="7">
        <v>-4.2377067911957902E-16</v>
      </c>
      <c r="Z64" s="7">
        <v>-7.6555015650400203E-16</v>
      </c>
      <c r="AA64" s="7">
        <v>-5.6594056485980697E-16</v>
      </c>
      <c r="AB64" s="7">
        <v>-3.7582228981384198E-16</v>
      </c>
      <c r="AC64" s="7">
        <v>-3.9434191184669801E-18</v>
      </c>
    </row>
    <row r="65" spans="1:29" ht="15" x14ac:dyDescent="0.25">
      <c r="A65" s="6">
        <v>27759</v>
      </c>
      <c r="B65" s="6"/>
      <c r="C65" s="6"/>
      <c r="D65">
        <v>-0.12196006798633</v>
      </c>
      <c r="E65" s="4">
        <v>-7.9362920097453301E-16</v>
      </c>
      <c r="F65" s="4">
        <v>-7.6248274991966597E-16</v>
      </c>
      <c r="G65" s="4">
        <v>-8.8522710484311097E-16</v>
      </c>
      <c r="H65" s="4">
        <v>-4.7835139507147496E-16</v>
      </c>
      <c r="I65" s="4">
        <v>-1.7509561051528E-16</v>
      </c>
      <c r="J65" s="4">
        <v>-2.2291970152985401E-17</v>
      </c>
      <c r="V65" s="6"/>
      <c r="W65" s="5">
        <v>-0.16608885456682601</v>
      </c>
      <c r="X65" s="7">
        <v>-8.3958911530911895E-16</v>
      </c>
      <c r="Y65" s="7">
        <v>-5.4234345048429603E-16</v>
      </c>
      <c r="Z65" s="7">
        <v>-6.2378701741043901E-16</v>
      </c>
      <c r="AA65" s="7">
        <v>-4.8134538826530805E-16</v>
      </c>
      <c r="AB65" s="7">
        <v>-3.7720218541283102E-16</v>
      </c>
      <c r="AC65" s="7">
        <v>-3.70244530560205E-17</v>
      </c>
    </row>
    <row r="66" spans="1:29" ht="15" x14ac:dyDescent="0.25">
      <c r="A66" s="6">
        <v>27850</v>
      </c>
      <c r="B66" s="6"/>
      <c r="C66" s="6"/>
      <c r="D66">
        <v>-0.33756432586600599</v>
      </c>
      <c r="E66" s="4">
        <v>-9.5288562774336792E-16</v>
      </c>
      <c r="F66" s="4">
        <v>-7.6818784155198903E-16</v>
      </c>
      <c r="G66" s="4">
        <v>-8.0953573490317503E-16</v>
      </c>
      <c r="H66" s="4">
        <v>-4.3820849532727901E-16</v>
      </c>
      <c r="I66" s="4">
        <v>-1.64591458074976E-16</v>
      </c>
      <c r="J66" s="4">
        <v>-7.7566146100458196E-18</v>
      </c>
      <c r="V66" s="6"/>
      <c r="W66" s="5">
        <v>-0.42166415111419903</v>
      </c>
      <c r="X66" s="7">
        <v>-8.8607213743439599E-16</v>
      </c>
      <c r="Y66" s="7">
        <v>-3.5125783849840298E-16</v>
      </c>
      <c r="Z66" s="7">
        <v>-4.6681496161285499E-16</v>
      </c>
      <c r="AA66" s="7">
        <v>-3.6425306693629799E-16</v>
      </c>
      <c r="AB66" s="7">
        <v>-2.6734930220494001E-16</v>
      </c>
      <c r="AC66" s="7">
        <v>6.9611438142810099E-17</v>
      </c>
    </row>
    <row r="67" spans="1:29" ht="15" x14ac:dyDescent="0.25">
      <c r="A67" s="6">
        <v>27941</v>
      </c>
      <c r="B67" s="6"/>
      <c r="C67" s="6"/>
      <c r="D67">
        <v>0.112897806174549</v>
      </c>
      <c r="E67" s="4">
        <v>-1.0357451603432001E-15</v>
      </c>
      <c r="F67" s="4">
        <v>-7.6758127751080296E-16</v>
      </c>
      <c r="G67" s="4">
        <v>-6.7935732489033497E-16</v>
      </c>
      <c r="H67" s="4">
        <v>-4.5132803638543099E-16</v>
      </c>
      <c r="I67" s="4">
        <v>-1.31310940015804E-16</v>
      </c>
      <c r="J67" s="4">
        <v>-3.1113269199376602E-18</v>
      </c>
      <c r="V67" s="6"/>
      <c r="W67" s="5">
        <v>6.5928230842015295E-2</v>
      </c>
      <c r="X67" s="7">
        <v>-5.5114314460762497E-16</v>
      </c>
      <c r="Y67" s="7">
        <v>-2.6249848565261699E-16</v>
      </c>
      <c r="Z67" s="7">
        <v>-2.6525779209049501E-16</v>
      </c>
      <c r="AA67" s="7">
        <v>-2.4624098453482598E-16</v>
      </c>
      <c r="AB67" s="7">
        <v>-1.8904876898430001E-16</v>
      </c>
      <c r="AC67" s="7">
        <v>-1.6546799036492799E-17</v>
      </c>
    </row>
    <row r="68" spans="1:29" ht="15" x14ac:dyDescent="0.25">
      <c r="A68" s="6">
        <v>28033</v>
      </c>
      <c r="B68" s="6"/>
      <c r="C68" s="6"/>
      <c r="D68">
        <v>-7.5519981650665299E-2</v>
      </c>
      <c r="E68" s="4">
        <v>-1.1361314786947201E-15</v>
      </c>
      <c r="F68" s="4">
        <v>-7.8616953154225699E-16</v>
      </c>
      <c r="G68" s="4">
        <v>-7.5450198609129605E-16</v>
      </c>
      <c r="H68" s="4">
        <v>-4.9249522248745799E-16</v>
      </c>
      <c r="I68" s="4">
        <v>-1.5297137856601E-16</v>
      </c>
      <c r="J68" s="4">
        <v>-3.0291724210075099E-17</v>
      </c>
      <c r="V68" s="6"/>
      <c r="W68" s="5">
        <v>-0.15094884468738201</v>
      </c>
      <c r="X68" s="7">
        <v>-3.9044922111450102E-16</v>
      </c>
      <c r="Y68" s="7">
        <v>2.33391980713789E-17</v>
      </c>
      <c r="Z68" s="7">
        <v>-4.9347904953246801E-17</v>
      </c>
      <c r="AA68" s="7">
        <v>-5.5453453180270801E-17</v>
      </c>
      <c r="AB68" s="7">
        <v>-1.77172367666065E-16</v>
      </c>
      <c r="AC68" s="7">
        <v>2.5940360640180699E-17</v>
      </c>
    </row>
    <row r="69" spans="1:29" ht="15" x14ac:dyDescent="0.25">
      <c r="A69" s="6">
        <v>28125</v>
      </c>
      <c r="B69" s="6"/>
      <c r="C69" s="6"/>
      <c r="D69">
        <v>-5.0574993954803797E-2</v>
      </c>
      <c r="E69" s="4">
        <v>-1.0321340930826901E-15</v>
      </c>
      <c r="F69" s="4">
        <v>-7.0946783505551398E-16</v>
      </c>
      <c r="G69" s="4">
        <v>-7.31725141348796E-16</v>
      </c>
      <c r="H69" s="4">
        <v>-5.0232630329171904E-16</v>
      </c>
      <c r="I69" s="4">
        <v>-1.8846149283547699E-16</v>
      </c>
      <c r="J69" s="4">
        <v>-2.3038141694740099E-17</v>
      </c>
      <c r="V69" s="6"/>
      <c r="W69" s="5">
        <v>-9.7253237082935998E-2</v>
      </c>
      <c r="X69" s="7">
        <v>-2.5165404229341801E-16</v>
      </c>
      <c r="Y69" s="7">
        <v>-4.6232770238478003E-17</v>
      </c>
      <c r="Z69" s="7">
        <v>-1.75618700461544E-16</v>
      </c>
      <c r="AA69" s="7">
        <v>-2.2276413285466199E-16</v>
      </c>
      <c r="AB69" s="7">
        <v>-2.9861552460969798E-16</v>
      </c>
      <c r="AC69" s="7">
        <v>-3.0360599493360097E-17</v>
      </c>
    </row>
    <row r="70" spans="1:29" ht="15" x14ac:dyDescent="0.25">
      <c r="A70" s="6">
        <v>28215</v>
      </c>
      <c r="B70" s="6"/>
      <c r="C70" s="6"/>
      <c r="D70">
        <v>-9.5165162581148696E-2</v>
      </c>
      <c r="E70" s="4">
        <v>-9.9062718100154096E-16</v>
      </c>
      <c r="F70" s="4">
        <v>-8.0887309009016099E-16</v>
      </c>
      <c r="G70" s="4">
        <v>-6.8639008473087496E-16</v>
      </c>
      <c r="H70" s="4">
        <v>-5.2591230662650396E-16</v>
      </c>
      <c r="I70" s="4">
        <v>-1.8260281887837401E-16</v>
      </c>
      <c r="J70" s="4">
        <v>-5.3002659047009398E-17</v>
      </c>
      <c r="V70" s="6"/>
      <c r="W70" s="5">
        <v>-0.170161746756123</v>
      </c>
      <c r="X70" s="7">
        <v>-1.9034772657105401E-16</v>
      </c>
      <c r="Y70" s="7">
        <v>-2.2491906427044998E-16</v>
      </c>
      <c r="Z70" s="7">
        <v>-1.5818893758569301E-16</v>
      </c>
      <c r="AA70" s="7">
        <v>-2.1793672600401601E-16</v>
      </c>
      <c r="AB70" s="7">
        <v>-2.1950101305018101E-16</v>
      </c>
      <c r="AC70" s="7">
        <v>-1.4221556989343E-17</v>
      </c>
    </row>
    <row r="71" spans="1:29" ht="15" x14ac:dyDescent="0.25">
      <c r="A71" s="6">
        <v>28306</v>
      </c>
      <c r="B71" s="6"/>
      <c r="C71" s="6"/>
      <c r="D71">
        <v>-8.1260659518373204E-2</v>
      </c>
      <c r="E71" s="4">
        <v>-8.1081451869257204E-16</v>
      </c>
      <c r="F71" s="4">
        <v>-4.9742041759218602E-16</v>
      </c>
      <c r="G71" s="4">
        <v>-4.0754502214131702E-16</v>
      </c>
      <c r="H71" s="4">
        <v>-2.8584199656411101E-16</v>
      </c>
      <c r="I71" s="4">
        <v>-6.7577374835304502E-17</v>
      </c>
      <c r="J71" s="4">
        <v>4.5684639919298001E-17</v>
      </c>
      <c r="V71" s="6"/>
      <c r="W71" s="5">
        <v>-0.19623948615564901</v>
      </c>
      <c r="X71" s="7">
        <v>-3.0611695093991898E-16</v>
      </c>
      <c r="Y71" s="7">
        <v>-2.49228674116004E-16</v>
      </c>
      <c r="Z71" s="7">
        <v>-1.4649396655428499E-16</v>
      </c>
      <c r="AA71" s="7">
        <v>-6.8938965294531295E-17</v>
      </c>
      <c r="AB71" s="7">
        <v>-1.1684605433545301E-16</v>
      </c>
      <c r="AC71" s="7">
        <v>2.6689010928610399E-17</v>
      </c>
    </row>
    <row r="72" spans="1:29" ht="15" x14ac:dyDescent="0.25">
      <c r="A72" s="6">
        <v>28398</v>
      </c>
      <c r="B72" s="6"/>
      <c r="C72" s="6"/>
      <c r="D72">
        <v>9.2375156341769404E-2</v>
      </c>
      <c r="E72" s="4">
        <v>-8.2956815747138104E-16</v>
      </c>
      <c r="F72" s="4">
        <v>-6.6030730588782101E-16</v>
      </c>
      <c r="G72" s="4">
        <v>-3.0232280957173302E-16</v>
      </c>
      <c r="H72" s="4">
        <v>-3.8039143898202499E-16</v>
      </c>
      <c r="I72" s="4">
        <v>-8.5623218214077396E-17</v>
      </c>
      <c r="J72" s="4">
        <v>-9.1771634931765195E-17</v>
      </c>
      <c r="V72" s="6"/>
      <c r="W72" s="5">
        <v>9.1198360118346002E-3</v>
      </c>
      <c r="X72" s="7">
        <v>-2.3738607056531401E-16</v>
      </c>
      <c r="Y72" s="7">
        <v>-3.4968896143815798E-16</v>
      </c>
      <c r="Z72" s="7">
        <v>1.8571617247929199E-16</v>
      </c>
      <c r="AA72" s="7">
        <v>1.10607550745779E-16</v>
      </c>
      <c r="AB72" s="7">
        <v>3.10059677923747E-17</v>
      </c>
      <c r="AC72" s="7">
        <v>7.4753075157461898E-18</v>
      </c>
    </row>
    <row r="73" spans="1:29" ht="15" x14ac:dyDescent="0.25">
      <c r="A73" s="6">
        <v>28490</v>
      </c>
      <c r="B73" s="6"/>
      <c r="C73" s="6"/>
      <c r="D73">
        <v>-2.3104212453028301E-2</v>
      </c>
      <c r="E73" s="4">
        <v>-7.4146633220565003E-16</v>
      </c>
      <c r="F73" s="4">
        <v>-2.7342401087811498E-16</v>
      </c>
      <c r="G73" s="4">
        <v>-1.8177511687332299E-16</v>
      </c>
      <c r="H73" s="4">
        <v>-2.0471233165828601E-16</v>
      </c>
      <c r="I73" s="4">
        <v>-6.1029547949177299E-17</v>
      </c>
      <c r="J73" s="4">
        <v>4.9440409127120801E-17</v>
      </c>
      <c r="V73" s="6"/>
      <c r="W73" s="5">
        <v>-0.13983451001873501</v>
      </c>
      <c r="X73" s="7">
        <v>-2.5212621272109898E-16</v>
      </c>
      <c r="Y73" s="7">
        <v>1.4681757547978999E-16</v>
      </c>
      <c r="Z73" s="7">
        <v>3.5211355175609999E-16</v>
      </c>
      <c r="AA73" s="7">
        <v>2.8078376727589602E-16</v>
      </c>
      <c r="AB73" s="7">
        <v>-1.87716112765734E-17</v>
      </c>
      <c r="AC73" s="7">
        <v>-2.8516654807353102E-17</v>
      </c>
    </row>
    <row r="74" spans="1:29" ht="15" x14ac:dyDescent="0.25">
      <c r="A74" s="6">
        <v>28580</v>
      </c>
      <c r="B74" s="6"/>
      <c r="C74" s="6"/>
      <c r="D74">
        <v>4.23132449408513E-2</v>
      </c>
      <c r="E74" s="4">
        <v>-4.6900613659186097E-16</v>
      </c>
      <c r="F74" s="4">
        <v>-3.1694703156141398E-16</v>
      </c>
      <c r="G74" s="4">
        <v>-3.4743201016841197E-17</v>
      </c>
      <c r="H74" s="4">
        <v>-2.79128032690289E-16</v>
      </c>
      <c r="I74" s="4">
        <v>8.0612071290554003E-18</v>
      </c>
      <c r="J74" s="4">
        <v>-1.19781030097772E-17</v>
      </c>
      <c r="V74" s="6"/>
      <c r="W74" s="5">
        <v>-1.8453127340878801E-2</v>
      </c>
      <c r="X74" s="7">
        <v>2.2145579484282E-16</v>
      </c>
      <c r="Y74" s="7">
        <v>1.9546712043119499E-16</v>
      </c>
      <c r="Z74" s="7">
        <v>5.2077576250941597E-16</v>
      </c>
      <c r="AA74" s="7">
        <v>2.3688310422669701E-16</v>
      </c>
      <c r="AB74" s="7">
        <v>-5.7320590021699897E-18</v>
      </c>
      <c r="AC74" s="7">
        <v>-1.31354379245632E-18</v>
      </c>
    </row>
    <row r="75" spans="1:29" ht="15" x14ac:dyDescent="0.25">
      <c r="A75" s="6">
        <v>28671</v>
      </c>
      <c r="B75" s="6"/>
      <c r="C75" s="6"/>
      <c r="D75">
        <v>-0.205808801644842</v>
      </c>
      <c r="E75" s="4">
        <v>-3.3768246788244701E-16</v>
      </c>
      <c r="F75" s="4">
        <v>4.1959726687667101E-17</v>
      </c>
      <c r="G75" s="4">
        <v>-2.27228309092853E-17</v>
      </c>
      <c r="H75" s="4">
        <v>-1.14991550867071E-16</v>
      </c>
      <c r="I75" s="4">
        <v>-1.95588050602981E-17</v>
      </c>
      <c r="J75" s="4">
        <v>-1.8121799651010701E-17</v>
      </c>
      <c r="V75" s="6"/>
      <c r="W75" s="5">
        <v>-0.32353530124862601</v>
      </c>
      <c r="X75" s="7">
        <v>6.6634385697873796E-17</v>
      </c>
      <c r="Y75" s="7">
        <v>1.42823326217631E-16</v>
      </c>
      <c r="Z75" s="7">
        <v>1.9500051151887E-16</v>
      </c>
      <c r="AA75" s="7">
        <v>1.5440207826938701E-16</v>
      </c>
      <c r="AB75" s="7">
        <v>2.6618533809639999E-17</v>
      </c>
      <c r="AC75" s="7">
        <v>6.4068193785899301E-17</v>
      </c>
    </row>
    <row r="76" spans="1:29" ht="15" x14ac:dyDescent="0.25">
      <c r="A76" s="6">
        <v>28763</v>
      </c>
      <c r="B76" s="6"/>
      <c r="C76" s="6"/>
      <c r="D76">
        <v>0.20840563543653201</v>
      </c>
      <c r="E76" s="4">
        <v>-1.5722392967493801E-16</v>
      </c>
      <c r="F76" s="4">
        <v>-2.0299350682878501E-16</v>
      </c>
      <c r="G76" s="4">
        <v>2.3605781964303801E-16</v>
      </c>
      <c r="H76" s="4">
        <v>-1.7476534713734701E-16</v>
      </c>
      <c r="I76" s="4">
        <v>-1.36318220300467E-17</v>
      </c>
      <c r="J76" s="4">
        <v>-2.83438153630196E-17</v>
      </c>
      <c r="V76" s="6"/>
      <c r="W76" s="5">
        <v>0.15373604571152899</v>
      </c>
      <c r="X76" s="7">
        <v>2.81705934885371E-16</v>
      </c>
      <c r="Y76" s="7">
        <v>-2.5777065475583801E-16</v>
      </c>
      <c r="Z76" s="7">
        <v>3.9415723689645799E-16</v>
      </c>
      <c r="AA76" s="7">
        <v>2.5556069698021001E-16</v>
      </c>
      <c r="AB76" s="7">
        <v>1.18835630077403E-16</v>
      </c>
      <c r="AC76" s="7">
        <v>-6.0989190286748897E-17</v>
      </c>
    </row>
    <row r="77" spans="1:29" ht="15" x14ac:dyDescent="0.25">
      <c r="A77" s="6">
        <v>28855</v>
      </c>
      <c r="B77" s="6"/>
      <c r="C77" s="6"/>
      <c r="D77">
        <v>0.31074418491398997</v>
      </c>
      <c r="E77" s="4">
        <v>-2.7866045690966402E-16</v>
      </c>
      <c r="F77" s="4">
        <v>1.20120848354584E-16</v>
      </c>
      <c r="G77" s="4">
        <v>2.7389827661025901E-16</v>
      </c>
      <c r="H77" s="4">
        <v>-7.7683414612186095E-17</v>
      </c>
      <c r="I77" s="4">
        <v>3.3428124805857301E-17</v>
      </c>
      <c r="J77" s="4">
        <v>6.3238741025689701E-18</v>
      </c>
      <c r="V77" s="6"/>
      <c r="W77" s="5">
        <v>0.23215449486935999</v>
      </c>
      <c r="X77" s="7">
        <v>-7.3464058637088599E-17</v>
      </c>
      <c r="Y77" s="7">
        <v>3.1284796019734903E-17</v>
      </c>
      <c r="Z77" s="7">
        <v>5.4525855612525296E-16</v>
      </c>
      <c r="AA77" s="7">
        <v>4.4510984076821196E-16</v>
      </c>
      <c r="AB77" s="7">
        <v>1.2124858194709201E-16</v>
      </c>
      <c r="AC77" s="7">
        <v>-9.3267469673560498E-18</v>
      </c>
    </row>
    <row r="78" spans="1:29" ht="15" x14ac:dyDescent="0.25">
      <c r="A78" s="6">
        <v>28945</v>
      </c>
      <c r="B78" s="6"/>
      <c r="C78" s="6"/>
      <c r="D78">
        <v>8.71557010989093E-2</v>
      </c>
      <c r="E78" s="4">
        <v>9.7051180786518904E-17</v>
      </c>
      <c r="F78" s="4">
        <v>1.9425029425069901E-16</v>
      </c>
      <c r="G78" s="4">
        <v>4.7516472538805503E-16</v>
      </c>
      <c r="H78" s="4">
        <v>2.02182325929992E-17</v>
      </c>
      <c r="I78" s="4">
        <v>1.1565352119081901E-16</v>
      </c>
      <c r="J78" s="4">
        <v>4.0216620365239501E-17</v>
      </c>
      <c r="V78" s="6"/>
      <c r="W78" s="5">
        <v>2.55868207014147E-2</v>
      </c>
      <c r="X78" s="7">
        <v>3.0527137224674501E-16</v>
      </c>
      <c r="Y78" s="7">
        <v>2.6793387967330202E-16</v>
      </c>
      <c r="Z78" s="7">
        <v>8.5781549623282702E-16</v>
      </c>
      <c r="AA78" s="7">
        <v>5.2228060108575804E-16</v>
      </c>
      <c r="AB78" s="7">
        <v>2.7519970610943398E-16</v>
      </c>
      <c r="AC78" s="7">
        <v>2.3958059490720401E-17</v>
      </c>
    </row>
    <row r="79" spans="1:29" ht="15" x14ac:dyDescent="0.25">
      <c r="A79" s="6">
        <v>29036</v>
      </c>
      <c r="B79" s="6"/>
      <c r="C79" s="6"/>
      <c r="D79">
        <v>0.14280646360542101</v>
      </c>
      <c r="E79" s="4">
        <v>5.8236559410346603E-18</v>
      </c>
      <c r="F79" s="4">
        <v>2.1493199527075201E-16</v>
      </c>
      <c r="G79" s="4">
        <v>4.6564425712029101E-16</v>
      </c>
      <c r="H79" s="4">
        <v>-4.67470183074904E-17</v>
      </c>
      <c r="I79" s="4">
        <v>7.1050660131387405E-17</v>
      </c>
      <c r="J79" s="4">
        <v>-2.3346832892063001E-17</v>
      </c>
      <c r="V79" s="6"/>
      <c r="W79" s="5">
        <v>8.5029534921032005E-2</v>
      </c>
      <c r="X79" s="7">
        <v>5.2692047731951198E-16</v>
      </c>
      <c r="Y79" s="7">
        <v>4.9457573485326598E-16</v>
      </c>
      <c r="Z79" s="7">
        <v>8.4493959740847099E-16</v>
      </c>
      <c r="AA79" s="7">
        <v>5.7951103583960599E-16</v>
      </c>
      <c r="AB79" s="7">
        <v>2.4518020746655499E-16</v>
      </c>
      <c r="AC79" s="7">
        <v>-7.2102320988609094E-17</v>
      </c>
    </row>
    <row r="80" spans="1:29" ht="15" x14ac:dyDescent="0.25">
      <c r="A80" s="6">
        <v>29128</v>
      </c>
      <c r="B80" s="6"/>
      <c r="C80" s="6"/>
      <c r="D80">
        <v>3.9163338833453201E-2</v>
      </c>
      <c r="E80" s="4">
        <v>2.99874428416486E-16</v>
      </c>
      <c r="F80" s="4">
        <v>4.9808516553885704E-16</v>
      </c>
      <c r="G80" s="4">
        <v>5.6751992582634404E-16</v>
      </c>
      <c r="H80" s="4">
        <v>9.68004193397755E-17</v>
      </c>
      <c r="I80" s="4">
        <v>1.0754322103983801E-16</v>
      </c>
      <c r="J80" s="4">
        <v>6.4177935068062196E-17</v>
      </c>
      <c r="V80" s="6"/>
      <c r="W80" s="5">
        <v>-6.4285653998489095E-2</v>
      </c>
      <c r="X80" s="7">
        <v>7.4869208484630402E-16</v>
      </c>
      <c r="Y80" s="7">
        <v>5.7145106560637505E-16</v>
      </c>
      <c r="Z80" s="7">
        <v>9.0029003317076791E-16</v>
      </c>
      <c r="AA80" s="7">
        <v>6.1823870498068099E-16</v>
      </c>
      <c r="AB80" s="7">
        <v>2.5077603705154098E-16</v>
      </c>
      <c r="AC80" s="7">
        <v>2.8849258447781798E-17</v>
      </c>
    </row>
    <row r="81" spans="1:29" ht="15" x14ac:dyDescent="0.25">
      <c r="A81" s="6">
        <v>29220</v>
      </c>
      <c r="B81" s="6"/>
      <c r="C81" s="6"/>
      <c r="D81">
        <v>0.609005178899514</v>
      </c>
      <c r="E81" s="4">
        <v>4.2220328079320402E-16</v>
      </c>
      <c r="F81" s="4">
        <v>4.3241007108020898E-16</v>
      </c>
      <c r="G81" s="4">
        <v>7.6941338539837899E-16</v>
      </c>
      <c r="H81" s="4">
        <v>7.4716514556213499E-17</v>
      </c>
      <c r="I81" s="4">
        <v>1.94817864553765E-16</v>
      </c>
      <c r="J81" s="4">
        <v>3.8864063229537302E-17</v>
      </c>
      <c r="V81" s="6"/>
      <c r="W81" s="5">
        <v>0.50848107107963902</v>
      </c>
      <c r="X81" s="7">
        <v>9.2144694270934591E-16</v>
      </c>
      <c r="Y81" s="7">
        <v>6.4319872106086203E-16</v>
      </c>
      <c r="Z81" s="7">
        <v>1.1004212045783801E-15</v>
      </c>
      <c r="AA81" s="7">
        <v>6.5572997884136302E-16</v>
      </c>
      <c r="AB81" s="7">
        <v>4.1626427241723099E-16</v>
      </c>
      <c r="AC81" s="7">
        <v>-1.7755067378516399E-17</v>
      </c>
    </row>
    <row r="82" spans="1:29" ht="15" x14ac:dyDescent="0.25">
      <c r="A82" s="6">
        <v>29311</v>
      </c>
      <c r="B82" s="6"/>
      <c r="C82" s="6"/>
      <c r="D82">
        <v>0.53903035915272202</v>
      </c>
      <c r="E82" s="4">
        <v>2.13470007987802E-16</v>
      </c>
      <c r="F82" s="4">
        <v>4.9863927607049695E-16</v>
      </c>
      <c r="G82" s="4">
        <v>5.7261806702204296E-16</v>
      </c>
      <c r="H82" s="4">
        <v>-5.4137056029233698E-18</v>
      </c>
      <c r="I82" s="4">
        <v>7.6952320374935505E-17</v>
      </c>
      <c r="J82" s="4">
        <v>-3.1455865684936403E-17</v>
      </c>
      <c r="V82" s="6"/>
      <c r="W82" s="5">
        <v>0.45431612270058302</v>
      </c>
      <c r="X82" s="7">
        <v>9.0522647930051305E-16</v>
      </c>
      <c r="Y82" s="7">
        <v>8.9208471154216295E-16</v>
      </c>
      <c r="Z82" s="7">
        <v>1.02632912097643E-15</v>
      </c>
      <c r="AA82" s="7">
        <v>7.6378452134561599E-16</v>
      </c>
      <c r="AB82" s="7">
        <v>3.8661730338808299E-16</v>
      </c>
      <c r="AC82" s="7">
        <v>9.6169310929975197E-18</v>
      </c>
    </row>
    <row r="83" spans="1:29" ht="15" x14ac:dyDescent="0.25">
      <c r="A83" s="6">
        <v>29402</v>
      </c>
      <c r="B83" s="6"/>
      <c r="C83" s="6"/>
      <c r="D83">
        <v>0.21826847078564701</v>
      </c>
      <c r="E83" s="4">
        <v>1.4216522140407799E-16</v>
      </c>
      <c r="F83" s="4">
        <v>2.03073913490411E-16</v>
      </c>
      <c r="G83" s="4">
        <v>4.7166637101992703E-16</v>
      </c>
      <c r="H83" s="4">
        <v>-2.1722466717657601E-16</v>
      </c>
      <c r="I83" s="4">
        <v>-3.1377941113528702E-17</v>
      </c>
      <c r="J83" s="4">
        <v>-4.18215861402325E-17</v>
      </c>
      <c r="V83" s="6"/>
      <c r="W83" s="5">
        <v>0.21917127625260999</v>
      </c>
      <c r="X83" s="7">
        <v>1.0727232611035701E-15</v>
      </c>
      <c r="Y83" s="7">
        <v>8.9533495420259296E-16</v>
      </c>
      <c r="Z83" s="7">
        <v>1.2456458094592E-15</v>
      </c>
      <c r="AA83" s="7">
        <v>6.3582439225045395E-16</v>
      </c>
      <c r="AB83" s="7">
        <v>2.8656483199272899E-16</v>
      </c>
      <c r="AC83" s="7">
        <v>-1.4302188844028799E-16</v>
      </c>
    </row>
    <row r="84" spans="1:29" ht="15" x14ac:dyDescent="0.25">
      <c r="A84" s="6">
        <v>29494</v>
      </c>
      <c r="B84" s="6"/>
      <c r="C84" s="6"/>
      <c r="D84">
        <v>-0.51581380461119097</v>
      </c>
      <c r="E84" s="4">
        <v>1.9703174173682699E-16</v>
      </c>
      <c r="F84" s="4">
        <v>5.3434392355635398E-16</v>
      </c>
      <c r="G84" s="4">
        <v>3.2678439912381397E-17</v>
      </c>
      <c r="H84" s="4">
        <v>-2.4476224931973999E-16</v>
      </c>
      <c r="I84" s="4">
        <v>-9.8575016838200195E-17</v>
      </c>
      <c r="J84" s="4">
        <v>-1.0408136926272899E-17</v>
      </c>
      <c r="V84" s="6"/>
      <c r="W84" s="5">
        <v>-0.59340783132917896</v>
      </c>
      <c r="X84" s="7">
        <v>8.0664538818696596E-16</v>
      </c>
      <c r="Y84" s="7">
        <v>1.2200823680323699E-15</v>
      </c>
      <c r="Z84" s="7">
        <v>6.6111741604835804E-16</v>
      </c>
      <c r="AA84" s="7">
        <v>4.6876044210511405E-16</v>
      </c>
      <c r="AB84" s="7">
        <v>1.68833478717056E-16</v>
      </c>
      <c r="AC84" s="7">
        <v>9.5010816781914502E-17</v>
      </c>
    </row>
    <row r="85" spans="1:29" ht="15" x14ac:dyDescent="0.25">
      <c r="A85" s="6">
        <v>29586</v>
      </c>
      <c r="B85" s="6"/>
      <c r="C85" s="6"/>
      <c r="D85">
        <v>1.4169240765987301</v>
      </c>
      <c r="E85" s="4">
        <v>5.9803104787114395E-16</v>
      </c>
      <c r="F85" s="4">
        <v>2.7680086821642299E-16</v>
      </c>
      <c r="G85" s="4">
        <v>2.7914044230057E-16</v>
      </c>
      <c r="H85" s="4">
        <v>-1.3632785349307501E-16</v>
      </c>
      <c r="I85" s="4">
        <v>4.7880223650484498E-17</v>
      </c>
      <c r="J85" s="4">
        <v>6.1347016017473001E-17</v>
      </c>
      <c r="V85" s="6"/>
      <c r="W85" s="5">
        <v>1.2564417214159</v>
      </c>
      <c r="X85" s="7">
        <v>1.2104729171328101E-15</v>
      </c>
      <c r="Y85" s="7">
        <v>3.9638592949589802E-16</v>
      </c>
      <c r="Z85" s="7">
        <v>5.7488081305809704E-16</v>
      </c>
      <c r="AA85" s="7">
        <v>3.0510536989226801E-16</v>
      </c>
      <c r="AB85" s="7">
        <v>3.4137957317189499E-16</v>
      </c>
      <c r="AC85" s="7">
        <v>-2.07055405200715E-17</v>
      </c>
    </row>
    <row r="86" spans="1:29" ht="15" x14ac:dyDescent="0.25">
      <c r="A86" s="6">
        <v>29676</v>
      </c>
      <c r="B86" s="6"/>
      <c r="C86" s="6"/>
      <c r="D86">
        <v>0.46847083237850801</v>
      </c>
      <c r="E86" s="4">
        <v>1.8578880247829999E-16</v>
      </c>
      <c r="F86" s="4">
        <v>2.70895797468237E-16</v>
      </c>
      <c r="G86" s="4">
        <v>3.1848991638398402E-16</v>
      </c>
      <c r="H86" s="4">
        <v>-9.7547047324433894E-17</v>
      </c>
      <c r="I86" s="4">
        <v>5.4569095855280301E-17</v>
      </c>
      <c r="J86" s="4">
        <v>-1.84485005274129E-17</v>
      </c>
      <c r="V86" s="6"/>
      <c r="W86" s="5">
        <v>0.38599942624481898</v>
      </c>
      <c r="X86" s="7">
        <v>5.1349697694293297E-16</v>
      </c>
      <c r="Y86" s="7">
        <v>3.4699034902711799E-16</v>
      </c>
      <c r="Z86" s="7">
        <v>5.9949536695810396E-16</v>
      </c>
      <c r="AA86" s="7">
        <v>5.1032383277800097E-16</v>
      </c>
      <c r="AB86" s="7">
        <v>3.7402831181783701E-16</v>
      </c>
      <c r="AC86" s="7">
        <v>-1.20338214289989E-17</v>
      </c>
    </row>
    <row r="87" spans="1:29" ht="15" x14ac:dyDescent="0.25">
      <c r="A87" s="6">
        <v>29767</v>
      </c>
      <c r="B87" s="6"/>
      <c r="C87" s="6"/>
      <c r="D87">
        <v>0.64828975375723696</v>
      </c>
      <c r="E87" s="4">
        <v>4.2731346243526302E-16</v>
      </c>
      <c r="F87" s="4">
        <v>5.46533830647813E-16</v>
      </c>
      <c r="G87" s="4">
        <v>5.3130761172464201E-16</v>
      </c>
      <c r="H87" s="4">
        <v>9.9703673463677501E-17</v>
      </c>
      <c r="I87" s="4">
        <v>8.4032833308739204E-17</v>
      </c>
      <c r="J87" s="4">
        <v>9.2285194859120505E-17</v>
      </c>
      <c r="V87" s="6"/>
      <c r="W87" s="5">
        <v>0.59999419140908306</v>
      </c>
      <c r="X87" s="7">
        <v>5.72985001971709E-16</v>
      </c>
      <c r="Y87" s="7">
        <v>4.4303250892713898E-16</v>
      </c>
      <c r="Z87" s="7">
        <v>8.2755880368824797E-16</v>
      </c>
      <c r="AA87" s="7">
        <v>5.8575147947865596E-16</v>
      </c>
      <c r="AB87" s="7">
        <v>4.3916559587734901E-16</v>
      </c>
      <c r="AC87" s="7">
        <v>-1.1440988346806199E-17</v>
      </c>
    </row>
    <row r="88" spans="1:29" ht="15" x14ac:dyDescent="0.25">
      <c r="A88" s="6">
        <v>29859</v>
      </c>
      <c r="B88" s="6"/>
      <c r="C88" s="6"/>
      <c r="D88">
        <v>0.62758778437315998</v>
      </c>
      <c r="E88" s="4">
        <v>4.4894091113730401E-16</v>
      </c>
      <c r="F88" s="4">
        <v>4.1589561607292998E-16</v>
      </c>
      <c r="G88" s="4">
        <v>4.84301806493729E-16</v>
      </c>
      <c r="H88" s="4">
        <v>-1.11645751725664E-16</v>
      </c>
      <c r="I88" s="4">
        <v>-1.1905377014747401E-17</v>
      </c>
      <c r="J88" s="4">
        <v>-9.5202829170412802E-17</v>
      </c>
      <c r="V88" s="6"/>
      <c r="W88" s="5">
        <v>0.65519875872796396</v>
      </c>
      <c r="X88" s="7">
        <v>5.19578549617543E-16</v>
      </c>
      <c r="Y88" s="7">
        <v>3.9209340884771399E-16</v>
      </c>
      <c r="Z88" s="7">
        <v>8.0281540176392901E-16</v>
      </c>
      <c r="AA88" s="7">
        <v>5.2385718746374899E-16</v>
      </c>
      <c r="AB88" s="7">
        <v>4.5078175283147499E-16</v>
      </c>
      <c r="AC88" s="7">
        <v>-3.73836821062899E-17</v>
      </c>
    </row>
    <row r="89" spans="1:29" ht="15" x14ac:dyDescent="0.25">
      <c r="A89" s="6">
        <v>29951</v>
      </c>
      <c r="B89" s="6"/>
      <c r="C89" s="6"/>
      <c r="D89">
        <v>-0.22946668160710301</v>
      </c>
      <c r="E89" s="4">
        <v>5.7945595159158505E-16</v>
      </c>
      <c r="F89" s="4">
        <v>6.4181891790794999E-16</v>
      </c>
      <c r="G89" s="4">
        <v>3.5376867816616401E-16</v>
      </c>
      <c r="H89" s="4">
        <v>-3.5828872477280098E-17</v>
      </c>
      <c r="I89" s="4">
        <v>-1.04990672465395E-16</v>
      </c>
      <c r="J89" s="4">
        <v>5.15067738033033E-17</v>
      </c>
      <c r="V89" s="6"/>
      <c r="W89" s="5">
        <v>-0.19861450561753599</v>
      </c>
      <c r="X89" s="7">
        <v>6.4736649255096904E-16</v>
      </c>
      <c r="Y89" s="7">
        <v>5.46104377839007E-16</v>
      </c>
      <c r="Z89" s="7">
        <v>8.09891434423424E-16</v>
      </c>
      <c r="AA89" s="7">
        <v>5.5024913732108997E-16</v>
      </c>
      <c r="AB89" s="7">
        <v>4.0159033368264501E-16</v>
      </c>
      <c r="AC89" s="7">
        <v>-1.02245753568465E-16</v>
      </c>
    </row>
    <row r="90" spans="1:29" ht="15" x14ac:dyDescent="0.25">
      <c r="A90" s="6">
        <v>30041</v>
      </c>
      <c r="B90" s="6"/>
      <c r="C90" s="6"/>
      <c r="D90">
        <v>0.70469195933265605</v>
      </c>
      <c r="E90" s="4">
        <v>6.9191951462446296E-16</v>
      </c>
      <c r="F90" s="4">
        <v>3.2021589365263199E-16</v>
      </c>
      <c r="G90" s="4">
        <v>3.2982872196459099E-16</v>
      </c>
      <c r="H90" s="4">
        <v>-1.8653401663798101E-16</v>
      </c>
      <c r="I90" s="4">
        <v>-7.2528290063119397E-18</v>
      </c>
      <c r="J90" s="4">
        <v>1.7644080238684199E-17</v>
      </c>
      <c r="V90" s="6"/>
      <c r="W90" s="5">
        <v>0.71938295750030901</v>
      </c>
      <c r="X90" s="7">
        <v>9.7043915105024602E-16</v>
      </c>
      <c r="Y90" s="7">
        <v>6.9578356870953201E-16</v>
      </c>
      <c r="Z90" s="7">
        <v>1.12639686490171E-15</v>
      </c>
      <c r="AA90" s="7">
        <v>6.8196329586733702E-16</v>
      </c>
      <c r="AB90" s="7">
        <v>5.6844744663070798E-16</v>
      </c>
      <c r="AC90" s="7">
        <v>-5.6925718147770004E-17</v>
      </c>
    </row>
    <row r="91" spans="1:29" ht="15" x14ac:dyDescent="0.25">
      <c r="A91" s="6">
        <v>30132</v>
      </c>
      <c r="B91" s="6"/>
      <c r="C91" s="6"/>
      <c r="D91">
        <v>0.652301697034258</v>
      </c>
      <c r="E91" s="4">
        <v>6.3668346970151001E-16</v>
      </c>
      <c r="F91" s="4">
        <v>6.5840587525886198E-16</v>
      </c>
      <c r="G91" s="4">
        <v>3.4420537400678401E-16</v>
      </c>
      <c r="H91" s="4">
        <v>5.9497062980870396E-17</v>
      </c>
      <c r="I91" s="4">
        <v>5.6978048479558104E-17</v>
      </c>
      <c r="J91" s="4">
        <v>8.0988991435182701E-17</v>
      </c>
      <c r="V91" s="6"/>
      <c r="W91" s="5">
        <v>0.658843132835501</v>
      </c>
      <c r="X91" s="7">
        <v>9.1282457740356597E-16</v>
      </c>
      <c r="Y91" s="7">
        <v>1.0324835598253E-15</v>
      </c>
      <c r="Z91" s="7">
        <v>1.0337977479388601E-15</v>
      </c>
      <c r="AA91" s="7">
        <v>6.4167067360429799E-16</v>
      </c>
      <c r="AB91" s="7">
        <v>5.4404994185387198E-16</v>
      </c>
      <c r="AC91" s="7">
        <v>-1.0711065089145E-16</v>
      </c>
    </row>
    <row r="92" spans="1:29" ht="15" x14ac:dyDescent="0.25">
      <c r="A92" s="6">
        <v>30224</v>
      </c>
      <c r="B92" s="6"/>
      <c r="C92" s="6"/>
      <c r="D92">
        <v>-0.44398902895461501</v>
      </c>
      <c r="E92" s="4">
        <v>6.6932680093205903E-16</v>
      </c>
      <c r="F92" s="4">
        <v>3.1904161666961199E-16</v>
      </c>
      <c r="G92" s="4">
        <v>1.6567241789620699E-16</v>
      </c>
      <c r="H92" s="4">
        <v>-1.2292437310346201E-16</v>
      </c>
      <c r="I92" s="4">
        <v>-4.6224226674319498E-17</v>
      </c>
      <c r="J92" s="4">
        <v>-1.1845442643359001E-17</v>
      </c>
      <c r="V92" s="6"/>
      <c r="W92" s="5">
        <v>-0.45118230544589699</v>
      </c>
      <c r="X92" s="7">
        <v>1.3658144392995501E-15</v>
      </c>
      <c r="Y92" s="7">
        <v>1.1948277962535399E-15</v>
      </c>
      <c r="Z92" s="7">
        <v>1.1198596303415299E-15</v>
      </c>
      <c r="AA92" s="7">
        <v>7.2247039725962502E-16</v>
      </c>
      <c r="AB92" s="7">
        <v>6.5621679234465704E-16</v>
      </c>
      <c r="AC92" s="7">
        <v>6.5956532729303403E-18</v>
      </c>
    </row>
    <row r="93" spans="1:29" ht="15" x14ac:dyDescent="0.25">
      <c r="A93" s="6">
        <v>30316</v>
      </c>
      <c r="B93" s="6"/>
      <c r="C93" s="6"/>
      <c r="D93">
        <v>-9.4127181071310096E-4</v>
      </c>
      <c r="E93" s="4">
        <v>2.9017620601876801E-16</v>
      </c>
      <c r="F93" s="4">
        <v>1.9312128680225301E-16</v>
      </c>
      <c r="G93" s="4">
        <v>-1.5204797004709499E-16</v>
      </c>
      <c r="H93" s="4">
        <v>-3.2294016005324101E-16</v>
      </c>
      <c r="I93" s="4">
        <v>-2.21708436721356E-16</v>
      </c>
      <c r="J93" s="4">
        <v>-4.7080364598070298E-17</v>
      </c>
      <c r="V93" s="6"/>
      <c r="W93" s="5">
        <v>1.5074379238797101E-2</v>
      </c>
      <c r="X93" s="7">
        <v>1.3299205734063499E-15</v>
      </c>
      <c r="Y93" s="7">
        <v>1.0997844106320999E-15</v>
      </c>
      <c r="Z93" s="7">
        <v>9.3853437481119096E-16</v>
      </c>
      <c r="AA93" s="7">
        <v>6.5973619043583997E-16</v>
      </c>
      <c r="AB93" s="7">
        <v>5.8578211076778505E-16</v>
      </c>
      <c r="AC93" s="7">
        <v>-2.4232810324533501E-17</v>
      </c>
    </row>
    <row r="94" spans="1:29" ht="15" x14ac:dyDescent="0.25">
      <c r="A94" s="6">
        <v>30406</v>
      </c>
      <c r="B94" s="6"/>
      <c r="C94" s="6"/>
      <c r="D94">
        <v>0.26454342457945901</v>
      </c>
      <c r="E94" s="4">
        <v>3.2074566710931799E-16</v>
      </c>
      <c r="F94" s="4">
        <v>9.8363951437529803E-17</v>
      </c>
      <c r="G94" s="4">
        <v>-2.3093655755258398E-16</v>
      </c>
      <c r="H94" s="4">
        <v>-3.8009974259490002E-16</v>
      </c>
      <c r="I94" s="4">
        <v>-2.0265389382896001E-16</v>
      </c>
      <c r="J94" s="4">
        <v>-8.3975071139290097E-18</v>
      </c>
      <c r="V94" s="6"/>
      <c r="W94" s="5">
        <v>0.28366799884312499</v>
      </c>
      <c r="X94" s="7">
        <v>1.16532886338563E-15</v>
      </c>
      <c r="Y94" s="7">
        <v>8.31722334400056E-16</v>
      </c>
      <c r="Z94" s="7">
        <v>7.5656978694689898E-16</v>
      </c>
      <c r="AA94" s="7">
        <v>5.0063426357271804E-16</v>
      </c>
      <c r="AB94" s="7">
        <v>4.8500807897329804E-16</v>
      </c>
      <c r="AC94" s="7">
        <v>-4.7238240018226398E-17</v>
      </c>
    </row>
    <row r="95" spans="1:29" ht="15" x14ac:dyDescent="0.25">
      <c r="A95" s="6">
        <v>30497</v>
      </c>
      <c r="B95" s="6"/>
      <c r="C95" s="6"/>
      <c r="D95">
        <v>0.13770920585652699</v>
      </c>
      <c r="E95" s="4">
        <v>2.0773156366011099E-16</v>
      </c>
      <c r="F95" s="4">
        <v>-4.1165854224678203E-17</v>
      </c>
      <c r="G95" s="4">
        <v>-3.2508410166887301E-16</v>
      </c>
      <c r="H95" s="4">
        <v>-3.3822936171638501E-16</v>
      </c>
      <c r="I95" s="4">
        <v>-1.62138314786159E-16</v>
      </c>
      <c r="J95" s="4">
        <v>-1.8915732834394001E-17</v>
      </c>
      <c r="V95" s="6"/>
      <c r="W95" s="5">
        <v>0.118934770404016</v>
      </c>
      <c r="X95" s="7">
        <v>1.0181016850503299E-15</v>
      </c>
      <c r="Y95" s="7">
        <v>7.2480742148869502E-16</v>
      </c>
      <c r="Z95" s="7">
        <v>7.5398016511683202E-16</v>
      </c>
      <c r="AA95" s="7">
        <v>5.5182692264015297E-16</v>
      </c>
      <c r="AB95" s="7">
        <v>6.0890860130299797E-16</v>
      </c>
      <c r="AC95" s="7">
        <v>5.41740786541494E-17</v>
      </c>
    </row>
    <row r="96" spans="1:29" ht="15" x14ac:dyDescent="0.25">
      <c r="A96" s="6">
        <v>30589</v>
      </c>
      <c r="B96" s="6"/>
      <c r="C96" s="6"/>
      <c r="D96">
        <v>9.3898905523913806E-2</v>
      </c>
      <c r="E96" s="4">
        <v>6.3778297136188305E-17</v>
      </c>
      <c r="F96" s="4">
        <v>-1.3358088630807001E-16</v>
      </c>
      <c r="G96" s="4">
        <v>-2.3723958920978E-16</v>
      </c>
      <c r="H96" s="4">
        <v>-2.82075888735071E-16</v>
      </c>
      <c r="I96" s="4">
        <v>-1.3832842283189499E-16</v>
      </c>
      <c r="J96" s="4">
        <v>2.40056146599099E-18</v>
      </c>
      <c r="V96" s="6"/>
      <c r="W96" s="5">
        <v>2.8156372671777501E-2</v>
      </c>
      <c r="X96" s="7">
        <v>1.0296443634337899E-15</v>
      </c>
      <c r="Y96" s="7">
        <v>6.4356618212794097E-16</v>
      </c>
      <c r="Z96" s="7">
        <v>7.3984159655499001E-16</v>
      </c>
      <c r="AA96" s="7">
        <v>6.6027675347247099E-16</v>
      </c>
      <c r="AB96" s="7">
        <v>6.4225032852779797E-16</v>
      </c>
      <c r="AC96" s="7">
        <v>7.1418144354889102E-18</v>
      </c>
    </row>
    <row r="97" spans="1:29" ht="15" x14ac:dyDescent="0.25">
      <c r="A97" s="6">
        <v>30681</v>
      </c>
      <c r="B97" s="6"/>
      <c r="C97" s="6"/>
      <c r="D97">
        <v>6.9756342278095795E-2</v>
      </c>
      <c r="E97" s="4">
        <v>5.8175783468360902E-17</v>
      </c>
      <c r="F97" s="4">
        <v>-4.6318027909299303E-18</v>
      </c>
      <c r="G97" s="4">
        <v>3.6145951843552801E-17</v>
      </c>
      <c r="H97" s="4">
        <v>-1.5941178538522699E-16</v>
      </c>
      <c r="I97" s="4">
        <v>-7.0954136423753104E-17</v>
      </c>
      <c r="J97" s="4">
        <v>6.5208406478779304E-18</v>
      </c>
      <c r="V97" s="6"/>
      <c r="W97" s="5">
        <v>4.8028238850576201E-2</v>
      </c>
      <c r="X97" s="7">
        <v>9.5195642663893391E-16</v>
      </c>
      <c r="Y97" s="7">
        <v>3.94299504530774E-16</v>
      </c>
      <c r="Z97" s="7">
        <v>8.7892792834231002E-16</v>
      </c>
      <c r="AA97" s="7">
        <v>7.1183885756885302E-16</v>
      </c>
      <c r="AB97" s="7">
        <v>5.9951311489114901E-16</v>
      </c>
      <c r="AC97" s="7">
        <v>1.16179248680351E-17</v>
      </c>
    </row>
    <row r="98" spans="1:29" ht="15" x14ac:dyDescent="0.25">
      <c r="A98" s="6">
        <v>30772</v>
      </c>
      <c r="B98" s="6"/>
      <c r="C98" s="6"/>
      <c r="D98">
        <v>0.197519631647918</v>
      </c>
      <c r="E98" s="4">
        <v>1.67042787289797E-17</v>
      </c>
      <c r="F98" s="4">
        <v>3.08341208249939E-17</v>
      </c>
      <c r="G98" s="4">
        <v>1.3128721063937501E-16</v>
      </c>
      <c r="H98" s="4">
        <v>-1.57228062164308E-16</v>
      </c>
      <c r="I98" s="4">
        <v>-8.4702549498978906E-17</v>
      </c>
      <c r="J98" s="4">
        <v>-5.1994110167004899E-17</v>
      </c>
      <c r="V98" s="6"/>
      <c r="W98" s="5">
        <v>0.16359145782252299</v>
      </c>
      <c r="X98" s="7">
        <v>7.9512151802969802E-16</v>
      </c>
      <c r="Y98" s="7">
        <v>5.1864750979599299E-16</v>
      </c>
      <c r="Z98" s="7">
        <v>1.0486446097760299E-15</v>
      </c>
      <c r="AA98" s="7">
        <v>7.4377131972962898E-16</v>
      </c>
      <c r="AB98" s="7">
        <v>6.7846229282834596E-16</v>
      </c>
      <c r="AC98" s="7">
        <v>-8.9820605739836198E-18</v>
      </c>
    </row>
    <row r="99" spans="1:29" ht="15" x14ac:dyDescent="0.25">
      <c r="A99" s="6">
        <v>30863</v>
      </c>
      <c r="B99" s="6"/>
      <c r="C99" s="6"/>
      <c r="D99">
        <v>0.262520383885675</v>
      </c>
      <c r="E99" s="4">
        <v>1.94788019156728E-16</v>
      </c>
      <c r="F99" s="4">
        <v>2.6240377214620899E-16</v>
      </c>
      <c r="G99" s="4">
        <v>2.15462681404468E-16</v>
      </c>
      <c r="H99" s="4">
        <v>-7.3730435055045001E-17</v>
      </c>
      <c r="I99" s="4">
        <v>-8.0592503567435103E-17</v>
      </c>
      <c r="J99" s="4">
        <v>2.69009317096452E-18</v>
      </c>
      <c r="V99" s="6"/>
      <c r="W99" s="5">
        <v>0.21677009210048701</v>
      </c>
      <c r="X99" s="7">
        <v>9.3134224765648008E-16</v>
      </c>
      <c r="Y99" s="7">
        <v>6.8225014192357102E-16</v>
      </c>
      <c r="Z99" s="7">
        <v>1.0147780442765499E-15</v>
      </c>
      <c r="AA99" s="7">
        <v>8.3336200696896401E-16</v>
      </c>
      <c r="AB99" s="7">
        <v>6.2905361488433601E-16</v>
      </c>
      <c r="AC99" s="7">
        <v>2.7381775235257901E-18</v>
      </c>
    </row>
    <row r="100" spans="1:29" ht="15" x14ac:dyDescent="0.25">
      <c r="A100" s="6">
        <v>30955</v>
      </c>
      <c r="B100" s="6"/>
      <c r="C100" s="6"/>
      <c r="D100">
        <v>0.50805949938224104</v>
      </c>
      <c r="E100" s="4">
        <v>3.8500846248758599E-16</v>
      </c>
      <c r="F100" s="4">
        <v>2.7455979725335599E-16</v>
      </c>
      <c r="G100" s="4">
        <v>3.84634342865519E-16</v>
      </c>
      <c r="H100" s="4">
        <v>-5.9386545076229696E-17</v>
      </c>
      <c r="I100" s="4">
        <v>2.8333514220888298E-19</v>
      </c>
      <c r="J100" s="4">
        <v>6.9196344298378497E-18</v>
      </c>
      <c r="V100" s="6"/>
      <c r="W100" s="5">
        <v>0.50867779135756697</v>
      </c>
      <c r="X100" s="7">
        <v>1.1347256032971599E-15</v>
      </c>
      <c r="Y100" s="7">
        <v>5.7622371867188102E-16</v>
      </c>
      <c r="Z100" s="7">
        <v>1.1758030240822999E-15</v>
      </c>
      <c r="AA100" s="7">
        <v>7.8486258650923599E-16</v>
      </c>
      <c r="AB100" s="7">
        <v>6.4636781803124002E-16</v>
      </c>
      <c r="AC100" s="7">
        <v>-4.4877126944700897E-17</v>
      </c>
    </row>
    <row r="101" spans="1:29" ht="15" x14ac:dyDescent="0.25">
      <c r="A101" s="6">
        <v>31047</v>
      </c>
      <c r="B101" s="6"/>
      <c r="C101" s="6"/>
      <c r="D101">
        <v>-0.23052907580358101</v>
      </c>
      <c r="E101" s="4">
        <v>3.48019958452676E-16</v>
      </c>
      <c r="F101" s="4">
        <v>3.3602997551146E-16</v>
      </c>
      <c r="G101" s="4">
        <v>2.8827887959972801E-16</v>
      </c>
      <c r="H101" s="4">
        <v>-4.0929934861395302E-17</v>
      </c>
      <c r="I101" s="4">
        <v>-3.8116113076534901E-17</v>
      </c>
      <c r="J101" s="4">
        <v>-3.9424234711616498E-17</v>
      </c>
      <c r="V101" s="6"/>
      <c r="W101" s="5">
        <v>-0.215508196800443</v>
      </c>
      <c r="X101" s="7">
        <v>1.02938816560055E-15</v>
      </c>
      <c r="Y101" s="7">
        <v>7.9659637523106597E-16</v>
      </c>
      <c r="Z101" s="7">
        <v>1.1239835761827E-15</v>
      </c>
      <c r="AA101" s="7">
        <v>8.47071140456271E-16</v>
      </c>
      <c r="AB101" s="7">
        <v>6.9243532605862503E-16</v>
      </c>
      <c r="AC101" s="7">
        <v>2.45232023879116E-17</v>
      </c>
    </row>
    <row r="102" spans="1:29" ht="15" x14ac:dyDescent="0.25">
      <c r="A102" s="6">
        <v>31137</v>
      </c>
      <c r="B102" s="6"/>
      <c r="C102" s="6"/>
      <c r="D102">
        <v>-0.122588737575773</v>
      </c>
      <c r="E102" s="4">
        <v>4.2348532739499099E-16</v>
      </c>
      <c r="F102" s="4">
        <v>2.6220184765494901E-16</v>
      </c>
      <c r="G102" s="4">
        <v>3.7351634661571998E-16</v>
      </c>
      <c r="H102" s="4">
        <v>-3.0954181565924397E-17</v>
      </c>
      <c r="I102" s="4">
        <v>-3.7529086237014697E-17</v>
      </c>
      <c r="J102" s="4">
        <v>-7.0673067281608699E-18</v>
      </c>
      <c r="V102" s="6"/>
      <c r="W102" s="5">
        <v>-0.14401208957245501</v>
      </c>
      <c r="X102" s="7">
        <v>1.26930085513641E-15</v>
      </c>
      <c r="Y102" s="7">
        <v>7.3949573673986701E-16</v>
      </c>
      <c r="Z102" s="7">
        <v>1.18800977045748E-15</v>
      </c>
      <c r="AA102" s="7">
        <v>8.60951810048397E-16</v>
      </c>
      <c r="AB102" s="7">
        <v>6.6109394689122996E-16</v>
      </c>
      <c r="AC102" s="7">
        <v>-6.0714042684895799E-17</v>
      </c>
    </row>
    <row r="103" spans="1:29" ht="15" x14ac:dyDescent="0.25">
      <c r="A103" s="6">
        <v>31228</v>
      </c>
      <c r="B103" s="6"/>
      <c r="C103" s="6"/>
      <c r="D103">
        <v>9.3101442196231801E-2</v>
      </c>
      <c r="E103" s="4">
        <v>4.1830715587342798E-16</v>
      </c>
      <c r="F103" s="4">
        <v>4.31238885761967E-16</v>
      </c>
      <c r="G103" s="4">
        <v>4.2372958393634E-16</v>
      </c>
      <c r="H103" s="4">
        <v>3.87728168598543E-18</v>
      </c>
      <c r="I103" s="4">
        <v>2.5154605771223099E-17</v>
      </c>
      <c r="J103" s="4">
        <v>1.18330709905812E-17</v>
      </c>
      <c r="V103" s="6"/>
      <c r="W103" s="5">
        <v>0.106850902382312</v>
      </c>
      <c r="X103" s="7">
        <v>1.12269341528708E-15</v>
      </c>
      <c r="Y103" s="7">
        <v>7.73533606992922E-16</v>
      </c>
      <c r="Z103" s="7">
        <v>1.0860714726796801E-15</v>
      </c>
      <c r="AA103" s="7">
        <v>7.6419888903684804E-16</v>
      </c>
      <c r="AB103" s="7">
        <v>5.6214018143556796E-16</v>
      </c>
      <c r="AC103" s="7">
        <v>-4.6281157018232703E-17</v>
      </c>
    </row>
    <row r="104" spans="1:29" ht="15" x14ac:dyDescent="0.25">
      <c r="A104" s="6">
        <v>31320</v>
      </c>
      <c r="B104" s="6"/>
      <c r="C104" s="6"/>
      <c r="D104">
        <v>0.112167516848275</v>
      </c>
      <c r="E104" s="4">
        <v>3.3725440811517301E-16</v>
      </c>
      <c r="F104" s="4">
        <v>1.7755454363175201E-16</v>
      </c>
      <c r="G104" s="4">
        <v>2.3544084494032699E-16</v>
      </c>
      <c r="H104" s="4">
        <v>-9.8335510190885006E-17</v>
      </c>
      <c r="I104" s="4">
        <v>-5.3463067647190197E-17</v>
      </c>
      <c r="J104" s="4">
        <v>-8.3926551087441203E-17</v>
      </c>
      <c r="V104" s="6"/>
      <c r="W104" s="5">
        <v>0.10496939256129401</v>
      </c>
      <c r="X104" s="7">
        <v>1.20537052508337E-15</v>
      </c>
      <c r="Y104" s="7">
        <v>7.8572194151105096E-16</v>
      </c>
      <c r="Z104" s="7">
        <v>1.1287944991241001E-15</v>
      </c>
      <c r="AA104" s="7">
        <v>7.7334045460774303E-16</v>
      </c>
      <c r="AB104" s="7">
        <v>6.9673908052264296E-16</v>
      </c>
      <c r="AC104" s="7">
        <v>2.3437206736656199E-17</v>
      </c>
    </row>
    <row r="105" spans="1:29" ht="15" x14ac:dyDescent="0.25">
      <c r="A105" s="6">
        <v>31412</v>
      </c>
      <c r="B105" s="6"/>
      <c r="C105" s="6"/>
      <c r="D105">
        <v>0.235526912062135</v>
      </c>
      <c r="E105" s="4">
        <v>4.3936051749067099E-16</v>
      </c>
      <c r="F105" s="4">
        <v>4.6436978161216203E-16</v>
      </c>
      <c r="G105" s="4">
        <v>4.2388593311222101E-16</v>
      </c>
      <c r="H105" s="4">
        <v>7.5367352969049497E-17</v>
      </c>
      <c r="I105" s="4">
        <v>2.3059022748995701E-17</v>
      </c>
      <c r="J105" s="4">
        <v>9.1404041516650397E-17</v>
      </c>
      <c r="V105" s="6"/>
      <c r="W105" s="5">
        <v>0.22624755984441</v>
      </c>
      <c r="X105" s="7">
        <v>1.21442195066788E-15</v>
      </c>
      <c r="Y105" s="7">
        <v>8.6995281574159202E-16</v>
      </c>
      <c r="Z105" s="7">
        <v>9.9794748942779208E-16</v>
      </c>
      <c r="AA105" s="7">
        <v>8.5078208247519398E-16</v>
      </c>
      <c r="AB105" s="7">
        <v>6.3951285892230299E-16</v>
      </c>
      <c r="AC105" s="7">
        <v>3.5593455758054602E-18</v>
      </c>
    </row>
    <row r="106" spans="1:29" ht="15" x14ac:dyDescent="0.25">
      <c r="A106" s="6">
        <v>31502</v>
      </c>
      <c r="B106" s="6"/>
      <c r="C106" s="6"/>
      <c r="D106">
        <v>-4.6631869575884E-2</v>
      </c>
      <c r="E106" s="4">
        <v>5.5747766213560401E-16</v>
      </c>
      <c r="F106" s="4">
        <v>4.3632825964532902E-16</v>
      </c>
      <c r="G106" s="4">
        <v>5.82462515462006E-16</v>
      </c>
      <c r="H106" s="4">
        <v>8.5082232616088006E-17</v>
      </c>
      <c r="I106" s="4">
        <v>1.6702210794735899E-16</v>
      </c>
      <c r="J106" s="4">
        <v>3.2981418118196098E-17</v>
      </c>
      <c r="V106" s="6"/>
      <c r="W106" s="5">
        <v>-7.7220002758584594E-2</v>
      </c>
      <c r="X106" s="7">
        <v>1.4110584331615301E-15</v>
      </c>
      <c r="Y106" s="7">
        <v>7.6233692333640697E-16</v>
      </c>
      <c r="Z106" s="7">
        <v>1.31593213887E-15</v>
      </c>
      <c r="AA106" s="7">
        <v>9.2452147068847699E-16</v>
      </c>
      <c r="AB106" s="7">
        <v>7.47423470412641E-16</v>
      </c>
      <c r="AC106" s="7">
        <v>2.2931508791770801E-17</v>
      </c>
    </row>
    <row r="107" spans="1:29" ht="15" x14ac:dyDescent="0.25">
      <c r="A107" s="6">
        <v>31593</v>
      </c>
      <c r="B107" s="6"/>
      <c r="C107" s="6"/>
      <c r="D107">
        <v>4.5348605861757398E-3</v>
      </c>
      <c r="E107" s="4">
        <v>5.3872212236273901E-16</v>
      </c>
      <c r="F107" s="4">
        <v>6.2770175052485796E-16</v>
      </c>
      <c r="G107" s="4">
        <v>5.9685598598392395E-16</v>
      </c>
      <c r="H107" s="4">
        <v>2.0164302508135999E-16</v>
      </c>
      <c r="I107" s="4">
        <v>1.0001456524076E-16</v>
      </c>
      <c r="J107" s="4">
        <v>2.7652185531785099E-17</v>
      </c>
      <c r="V107" s="6"/>
      <c r="W107" s="5">
        <v>2.2381664810944401E-2</v>
      </c>
      <c r="X107" s="7">
        <v>1.1966415494111901E-15</v>
      </c>
      <c r="Y107" s="7">
        <v>1.0096755447064099E-15</v>
      </c>
      <c r="Z107" s="7">
        <v>1.2300988623553099E-15</v>
      </c>
      <c r="AA107" s="7">
        <v>9.0413446833160705E-16</v>
      </c>
      <c r="AB107" s="7">
        <v>6.6903600738863005E-16</v>
      </c>
      <c r="AC107" s="7">
        <v>-2.09535813715734E-17</v>
      </c>
    </row>
    <row r="108" spans="1:29" ht="15" x14ac:dyDescent="0.25">
      <c r="A108" s="6">
        <v>31685</v>
      </c>
      <c r="B108" s="6"/>
      <c r="C108" s="6"/>
      <c r="D108">
        <v>-0.246932426112837</v>
      </c>
      <c r="E108" s="4">
        <v>6.1880384253564598E-16</v>
      </c>
      <c r="F108" s="4">
        <v>5.1836465892152297E-16</v>
      </c>
      <c r="G108" s="4">
        <v>6.3119774564860902E-16</v>
      </c>
      <c r="H108" s="4">
        <v>9.4292743050671306E-17</v>
      </c>
      <c r="I108" s="4">
        <v>9.2423976315996897E-17</v>
      </c>
      <c r="J108" s="4">
        <v>1.20534151323453E-17</v>
      </c>
      <c r="V108" s="6"/>
      <c r="W108" s="5">
        <v>-0.28712186733091499</v>
      </c>
      <c r="X108" s="7">
        <v>1.5338608826504901E-15</v>
      </c>
      <c r="Y108" s="7">
        <v>1.1381605037276601E-15</v>
      </c>
      <c r="Z108" s="7">
        <v>1.3740511700233001E-15</v>
      </c>
      <c r="AA108" s="7">
        <v>9.6942210713175095E-16</v>
      </c>
      <c r="AB108" s="7">
        <v>7.5942069955444199E-16</v>
      </c>
      <c r="AC108" s="7">
        <v>6.2569082552992204E-17</v>
      </c>
    </row>
    <row r="109" spans="1:29" ht="15" x14ac:dyDescent="0.25">
      <c r="A109" s="6">
        <v>31777</v>
      </c>
      <c r="B109" s="6"/>
      <c r="C109" s="6"/>
      <c r="D109">
        <v>7.12031426680277E-2</v>
      </c>
      <c r="E109" s="4">
        <v>5.8318432337661799E-16</v>
      </c>
      <c r="F109" s="4">
        <v>7.1647811886921799E-16</v>
      </c>
      <c r="G109" s="4">
        <v>6.5951179279555799E-16</v>
      </c>
      <c r="H109" s="4">
        <v>1.3343471253659501E-16</v>
      </c>
      <c r="I109" s="4">
        <v>1.30151045770164E-16</v>
      </c>
      <c r="J109" s="4">
        <v>5.1691911749027501E-17</v>
      </c>
      <c r="V109" s="6"/>
      <c r="W109" s="5">
        <v>4.3184607176401199E-2</v>
      </c>
      <c r="X109" s="7">
        <v>1.5490585037757299E-15</v>
      </c>
      <c r="Y109" s="7">
        <v>1.16374376183423E-15</v>
      </c>
      <c r="Z109" s="7">
        <v>1.2237557074383E-15</v>
      </c>
      <c r="AA109" s="7">
        <v>9.1016855749585594E-16</v>
      </c>
      <c r="AB109" s="7">
        <v>6.7400885073678602E-16</v>
      </c>
      <c r="AC109" s="7">
        <v>-8.9462556364456894E-18</v>
      </c>
    </row>
    <row r="110" spans="1:29" ht="15" x14ac:dyDescent="0.25">
      <c r="A110" s="6">
        <v>31867</v>
      </c>
      <c r="B110" s="6"/>
      <c r="C110" s="6"/>
      <c r="D110">
        <v>-6.1752340556902999E-2</v>
      </c>
      <c r="E110" s="4">
        <v>6.7849648762353505E-16</v>
      </c>
      <c r="F110" s="4">
        <v>6.3644954219198502E-16</v>
      </c>
      <c r="G110" s="4">
        <v>7.1998059748005396E-16</v>
      </c>
      <c r="H110" s="4">
        <v>1.576994257338E-16</v>
      </c>
      <c r="I110" s="4">
        <v>1.87463826233761E-16</v>
      </c>
      <c r="J110" s="4">
        <v>2.8067743190831797E-17</v>
      </c>
      <c r="V110" s="6"/>
      <c r="W110" s="5">
        <v>-0.12562745471096901</v>
      </c>
      <c r="X110" s="7">
        <v>1.62546783252971E-15</v>
      </c>
      <c r="Y110" s="7">
        <v>1.1558350926160899E-15</v>
      </c>
      <c r="Z110" s="7">
        <v>1.3587394032688E-15</v>
      </c>
      <c r="AA110" s="7">
        <v>9.5473095189114893E-16</v>
      </c>
      <c r="AB110" s="7">
        <v>6.98082531306877E-16</v>
      </c>
      <c r="AC110" s="7">
        <v>3.03635529939459E-17</v>
      </c>
    </row>
    <row r="111" spans="1:29" ht="15" x14ac:dyDescent="0.25">
      <c r="A111" s="6">
        <v>31958</v>
      </c>
      <c r="B111" s="6"/>
      <c r="C111" s="6"/>
      <c r="D111">
        <v>-4.0588856635440998E-2</v>
      </c>
      <c r="E111" s="4">
        <v>5.8359000583357905E-16</v>
      </c>
      <c r="F111" s="4">
        <v>7.3349560153781205E-16</v>
      </c>
      <c r="G111" s="4">
        <v>6.3601607501816298E-16</v>
      </c>
      <c r="H111" s="4">
        <v>1.5018289449669299E-16</v>
      </c>
      <c r="I111" s="4">
        <v>1.06258224113207E-16</v>
      </c>
      <c r="J111" s="4">
        <v>-4.0830645145136099E-18</v>
      </c>
      <c r="V111" s="6"/>
      <c r="W111" s="5">
        <v>-0.11037236453676599</v>
      </c>
      <c r="X111" s="7">
        <v>1.3991015533840101E-15</v>
      </c>
      <c r="Y111" s="7">
        <v>1.1422763059542101E-15</v>
      </c>
      <c r="Z111" s="7">
        <v>1.0851086939506099E-15</v>
      </c>
      <c r="AA111" s="7">
        <v>8.2329920193286397E-16</v>
      </c>
      <c r="AB111" s="7">
        <v>5.6039298408721099E-16</v>
      </c>
      <c r="AC111" s="7">
        <v>3.9923543653476502E-17</v>
      </c>
    </row>
    <row r="112" spans="1:29" ht="15" x14ac:dyDescent="0.25">
      <c r="A112" s="6">
        <v>32050</v>
      </c>
      <c r="B112" s="6"/>
      <c r="C112" s="6"/>
      <c r="D112">
        <v>-1.9300334802711601E-2</v>
      </c>
      <c r="E112" s="4">
        <v>6.1321586346529102E-16</v>
      </c>
      <c r="F112" s="4">
        <v>6.1750001792567099E-16</v>
      </c>
      <c r="G112" s="4">
        <v>6.5028997994030903E-16</v>
      </c>
      <c r="H112" s="4">
        <v>5.6098458351569205E-17</v>
      </c>
      <c r="I112" s="4">
        <v>8.4884965865695604E-17</v>
      </c>
      <c r="J112" s="4">
        <v>1.1163959702954E-18</v>
      </c>
      <c r="V112" s="6"/>
      <c r="W112" s="5">
        <v>-7.7158785210097697E-2</v>
      </c>
      <c r="X112" s="7">
        <v>1.38718270111177E-15</v>
      </c>
      <c r="Y112" s="7">
        <v>8.2506597158891501E-16</v>
      </c>
      <c r="Z112" s="7">
        <v>9.7368117601506604E-16</v>
      </c>
      <c r="AA112" s="7">
        <v>6.6504833371393203E-16</v>
      </c>
      <c r="AB112" s="7">
        <v>4.9442874255780502E-16</v>
      </c>
      <c r="AC112" s="7">
        <v>1.73814294156295E-18</v>
      </c>
    </row>
    <row r="113" spans="1:29" ht="15" x14ac:dyDescent="0.25">
      <c r="A113" s="6">
        <v>32142</v>
      </c>
      <c r="B113" s="6"/>
      <c r="C113" s="6"/>
      <c r="D113">
        <v>9.0916066398903594E-2</v>
      </c>
      <c r="E113" s="4">
        <v>4.9562601997747798E-16</v>
      </c>
      <c r="F113" s="4">
        <v>6.4322179335138198E-16</v>
      </c>
      <c r="G113" s="4">
        <v>6.2438272647871395E-16</v>
      </c>
      <c r="H113" s="4">
        <v>7.1691406066523704E-17</v>
      </c>
      <c r="I113" s="4">
        <v>1.2242753635815399E-16</v>
      </c>
      <c r="J113" s="4">
        <v>9.2144077022961094E-18</v>
      </c>
      <c r="V113" s="6"/>
      <c r="W113" s="5">
        <v>3.86589253977015E-2</v>
      </c>
      <c r="X113" s="7">
        <v>1.0177282923445601E-15</v>
      </c>
      <c r="Y113" s="7">
        <v>6.8367020041771495E-16</v>
      </c>
      <c r="Z113" s="7">
        <v>8.05854897986356E-16</v>
      </c>
      <c r="AA113" s="7">
        <v>5.8053883675773896E-16</v>
      </c>
      <c r="AB113" s="7">
        <v>4.2957740939466201E-16</v>
      </c>
      <c r="AC113" s="7">
        <v>-2.11835685573433E-17</v>
      </c>
    </row>
    <row r="114" spans="1:29" ht="15" x14ac:dyDescent="0.25">
      <c r="A114" s="6">
        <v>32233</v>
      </c>
      <c r="B114" s="6"/>
      <c r="C114" s="6"/>
      <c r="D114">
        <v>-0.17113596992264399</v>
      </c>
      <c r="E114" s="4">
        <v>4.0033753691110302E-16</v>
      </c>
      <c r="F114" s="4">
        <v>4.7159407519623999E-16</v>
      </c>
      <c r="G114" s="4">
        <v>4.7441619603748E-16</v>
      </c>
      <c r="H114" s="4">
        <v>2.52201199884018E-17</v>
      </c>
      <c r="I114" s="4">
        <v>8.8281245972242099E-17</v>
      </c>
      <c r="J114" s="4">
        <v>-1.7180805367190801E-17</v>
      </c>
      <c r="V114" s="6"/>
      <c r="W114" s="5">
        <v>-0.22677105602206199</v>
      </c>
      <c r="X114" s="7">
        <v>9.2545515779790103E-16</v>
      </c>
      <c r="Y114" s="7">
        <v>6.8157793220420201E-16</v>
      </c>
      <c r="Z114" s="7">
        <v>8.2455710768116295E-16</v>
      </c>
      <c r="AA114" s="7">
        <v>6.2032750840480602E-16</v>
      </c>
      <c r="AB114" s="7">
        <v>4.89409552453796E-16</v>
      </c>
      <c r="AC114" s="7">
        <v>5.9991909627261796E-17</v>
      </c>
    </row>
    <row r="115" spans="1:29" ht="15" x14ac:dyDescent="0.25">
      <c r="A115" s="6">
        <v>32324</v>
      </c>
      <c r="B115" s="6"/>
      <c r="C115" s="6"/>
      <c r="D115">
        <v>0.10010334431178999</v>
      </c>
      <c r="E115" s="4">
        <v>3.2501311700791898E-16</v>
      </c>
      <c r="F115" s="4">
        <v>4.9318925965860799E-16</v>
      </c>
      <c r="G115" s="4">
        <v>5.1679307637139504E-16</v>
      </c>
      <c r="H115" s="4">
        <v>4.2416576083533001E-17</v>
      </c>
      <c r="I115" s="4">
        <v>1.0747872999207699E-16</v>
      </c>
      <c r="J115" s="4">
        <v>1.4840793518003699E-17</v>
      </c>
      <c r="V115" s="6"/>
      <c r="W115" s="5">
        <v>4.4054224055667002E-2</v>
      </c>
      <c r="X115" s="7">
        <v>8.0182948644766295E-16</v>
      </c>
      <c r="Y115" s="7">
        <v>5.7691238491874802E-16</v>
      </c>
      <c r="Z115" s="7">
        <v>6.3085414584962097E-16</v>
      </c>
      <c r="AA115" s="7">
        <v>5.2065722681104297E-16</v>
      </c>
      <c r="AB115" s="7">
        <v>4.0696124917202099E-16</v>
      </c>
      <c r="AC115" s="7">
        <v>-1.0764525454056201E-17</v>
      </c>
    </row>
    <row r="116" spans="1:29" ht="15" x14ac:dyDescent="0.25">
      <c r="A116" s="6">
        <v>32416</v>
      </c>
      <c r="B116" s="6"/>
      <c r="C116" s="6"/>
      <c r="D116">
        <v>0.192814600326181</v>
      </c>
      <c r="E116" s="4">
        <v>2.5189063676984102E-16</v>
      </c>
      <c r="F116" s="4">
        <v>3.9173808461815901E-16</v>
      </c>
      <c r="G116" s="4">
        <v>4.9500088457158403E-16</v>
      </c>
      <c r="H116" s="4">
        <v>3.0209692428247999E-17</v>
      </c>
      <c r="I116" s="4">
        <v>1.2322695172882399E-16</v>
      </c>
      <c r="J116" s="4">
        <v>-1.30546257667431E-17</v>
      </c>
      <c r="V116" s="6"/>
      <c r="W116" s="5">
        <v>0.14396047559588099</v>
      </c>
      <c r="X116" s="7">
        <v>7.5208895787010302E-16</v>
      </c>
      <c r="Y116" s="7">
        <v>4.0940622759277302E-16</v>
      </c>
      <c r="Z116" s="7">
        <v>6.7577841277255302E-16</v>
      </c>
      <c r="AA116" s="7">
        <v>5.15634656908781E-16</v>
      </c>
      <c r="AB116" s="7">
        <v>3.9358735097030699E-16</v>
      </c>
      <c r="AC116" s="7">
        <v>-3.6805713115756104E-18</v>
      </c>
    </row>
    <row r="117" spans="1:29" ht="15" x14ac:dyDescent="0.25">
      <c r="A117" s="6">
        <v>32508</v>
      </c>
      <c r="B117" s="6"/>
      <c r="C117" s="6"/>
      <c r="D117">
        <v>1.2374516116829401E-2</v>
      </c>
      <c r="E117" s="4">
        <v>2.8428276612505701E-16</v>
      </c>
      <c r="F117" s="4">
        <v>5.1956580472704697E-16</v>
      </c>
      <c r="G117" s="4">
        <v>5.2491004743411303E-16</v>
      </c>
      <c r="H117" s="4">
        <v>1.28178041265559E-16</v>
      </c>
      <c r="I117" s="4">
        <v>1.4033805190497801E-16</v>
      </c>
      <c r="J117" s="4">
        <v>2.1437921735769401E-17</v>
      </c>
      <c r="V117" s="6"/>
      <c r="W117" s="5">
        <v>-3.7243019464337203E-2</v>
      </c>
      <c r="X117" s="7">
        <v>5.1292601316966596E-16</v>
      </c>
      <c r="Y117" s="7">
        <v>4.65981169334188E-16</v>
      </c>
      <c r="Z117" s="7">
        <v>5.5989500398733403E-16</v>
      </c>
      <c r="AA117" s="7">
        <v>4.7157056976465704E-16</v>
      </c>
      <c r="AB117" s="7">
        <v>3.81901638860443E-16</v>
      </c>
      <c r="AC117" s="7">
        <v>4.3153080188606199E-17</v>
      </c>
    </row>
    <row r="118" spans="1:29" ht="15" x14ac:dyDescent="0.25">
      <c r="A118" s="6">
        <v>32598</v>
      </c>
      <c r="B118" s="6"/>
      <c r="C118" s="6"/>
      <c r="D118">
        <v>0.21873715719918399</v>
      </c>
      <c r="E118" s="4">
        <v>4.2920571334056601E-16</v>
      </c>
      <c r="F118" s="4">
        <v>5.7198320898651597E-16</v>
      </c>
      <c r="G118" s="4">
        <v>7.0840950386142098E-16</v>
      </c>
      <c r="H118" s="4">
        <v>1.9457119980796599E-16</v>
      </c>
      <c r="I118" s="4">
        <v>2.1334214417059701E-16</v>
      </c>
      <c r="J118" s="4">
        <v>4.0619505789236099E-17</v>
      </c>
      <c r="V118" s="6"/>
      <c r="W118" s="5">
        <v>0.19057187916309501</v>
      </c>
      <c r="X118" s="7">
        <v>5.8388417643529502E-16</v>
      </c>
      <c r="Y118" s="7">
        <v>2.6403362920387399E-16</v>
      </c>
      <c r="Z118" s="7">
        <v>5.06129775762364E-16</v>
      </c>
      <c r="AA118" s="7">
        <v>4.08307418790614E-16</v>
      </c>
      <c r="AB118" s="7">
        <v>3.5140118701173601E-16</v>
      </c>
      <c r="AC118" s="7">
        <v>-2.9577170071205102E-17</v>
      </c>
    </row>
    <row r="119" spans="1:29" ht="15" x14ac:dyDescent="0.25">
      <c r="A119" s="6">
        <v>32689</v>
      </c>
      <c r="B119" s="6"/>
      <c r="C119" s="6"/>
      <c r="D119">
        <v>0.14454328186441101</v>
      </c>
      <c r="E119" s="4">
        <v>4.25588633804108E-16</v>
      </c>
      <c r="F119" s="4">
        <v>6.5366181186793903E-16</v>
      </c>
      <c r="G119" s="4">
        <v>6.9249610666484304E-16</v>
      </c>
      <c r="H119" s="4">
        <v>2.2698155092766799E-16</v>
      </c>
      <c r="I119" s="4">
        <v>1.99389586637288E-16</v>
      </c>
      <c r="J119" s="4">
        <v>1.4248350472051699E-17</v>
      </c>
      <c r="V119" s="6"/>
      <c r="W119" s="5">
        <v>0.15270426330926801</v>
      </c>
      <c r="X119" s="7">
        <v>3.93460047107462E-16</v>
      </c>
      <c r="Y119" s="7">
        <v>2.1350208112143201E-16</v>
      </c>
      <c r="Z119" s="7">
        <v>4.5385224740833304E-16</v>
      </c>
      <c r="AA119" s="7">
        <v>3.8754989341044101E-16</v>
      </c>
      <c r="AB119" s="7">
        <v>2.9978674341138799E-16</v>
      </c>
      <c r="AC119" s="7">
        <v>-1.0369878364615901E-17</v>
      </c>
    </row>
    <row r="120" spans="1:29" ht="15" x14ac:dyDescent="0.25">
      <c r="A120" s="6">
        <v>32781</v>
      </c>
      <c r="B120" s="6"/>
      <c r="C120" s="6"/>
      <c r="D120">
        <v>-5.4541149211532899E-2</v>
      </c>
      <c r="E120" s="4">
        <v>5.9573190662875497E-16</v>
      </c>
      <c r="F120" s="4">
        <v>7.2902894167190897E-16</v>
      </c>
      <c r="G120" s="4">
        <v>7.3573341910593799E-16</v>
      </c>
      <c r="H120" s="4">
        <v>2.58037470675045E-16</v>
      </c>
      <c r="I120" s="4">
        <v>1.7904700375455101E-16</v>
      </c>
      <c r="J120" s="4">
        <v>3.2134607725582899E-17</v>
      </c>
      <c r="V120" s="6"/>
      <c r="W120" s="5">
        <v>-3.6634382477032199E-2</v>
      </c>
      <c r="X120" s="7">
        <v>3.3155463724732099E-16</v>
      </c>
      <c r="Y120" s="7">
        <v>1.3838395095188899E-16</v>
      </c>
      <c r="Z120" s="7">
        <v>3.59904254343292E-16</v>
      </c>
      <c r="AA120" s="7">
        <v>3.1385205419697301E-16</v>
      </c>
      <c r="AB120" s="7">
        <v>3.0339778927113898E-16</v>
      </c>
      <c r="AC120" s="7">
        <v>1.8312538952843799E-17</v>
      </c>
    </row>
    <row r="121" spans="1:29" ht="15" x14ac:dyDescent="0.25">
      <c r="A121" s="6">
        <v>32873</v>
      </c>
      <c r="B121" s="6"/>
      <c r="C121" s="6"/>
      <c r="D121">
        <v>1.5748346555833299E-2</v>
      </c>
      <c r="E121" s="4">
        <v>4.6526173473700499E-16</v>
      </c>
      <c r="F121" s="4">
        <v>5.3582644653251902E-16</v>
      </c>
      <c r="G121" s="4">
        <v>6.6969256807276003E-16</v>
      </c>
      <c r="H121" s="4">
        <v>1.3252362137853401E-16</v>
      </c>
      <c r="I121" s="4">
        <v>1.5543897161250501E-16</v>
      </c>
      <c r="J121" s="4">
        <v>-7.3824730340251993E-18</v>
      </c>
      <c r="V121" s="6"/>
      <c r="W121" s="5">
        <v>1.7957321445270701E-2</v>
      </c>
      <c r="X121" s="7">
        <v>4.18471153152787E-16</v>
      </c>
      <c r="Y121" s="7">
        <v>1.6559769513100001E-16</v>
      </c>
      <c r="Z121" s="7">
        <v>5.2138000420735897E-16</v>
      </c>
      <c r="AA121" s="7">
        <v>4.4117386081761999E-16</v>
      </c>
      <c r="AB121" s="7">
        <v>4.1293663930561798E-16</v>
      </c>
      <c r="AC121" s="7">
        <v>1.2173398249925701E-17</v>
      </c>
    </row>
    <row r="122" spans="1:29" ht="15" x14ac:dyDescent="0.25">
      <c r="A122" s="6">
        <v>32963</v>
      </c>
      <c r="B122" s="6"/>
      <c r="C122" s="6"/>
      <c r="D122">
        <v>-0.28477725817808702</v>
      </c>
      <c r="E122" s="4">
        <v>4.9854185562242099E-16</v>
      </c>
      <c r="F122" s="4">
        <v>7.6696350472939202E-16</v>
      </c>
      <c r="G122" s="4">
        <v>6.6677792353417401E-16</v>
      </c>
      <c r="H122" s="4">
        <v>2.5288369936826998E-16</v>
      </c>
      <c r="I122" s="4">
        <v>2.10145634317976E-16</v>
      </c>
      <c r="J122" s="4">
        <v>7.8850643354276305E-17</v>
      </c>
      <c r="V122" s="6"/>
      <c r="W122" s="5">
        <v>-0.34604580044191802</v>
      </c>
      <c r="X122" s="7">
        <v>3.9743229168084098E-16</v>
      </c>
      <c r="Y122" s="7">
        <v>4.2787460412961402E-16</v>
      </c>
      <c r="Z122" s="7">
        <v>5.5172252716373804E-16</v>
      </c>
      <c r="AA122" s="7">
        <v>5.4905019687254199E-16</v>
      </c>
      <c r="AB122" s="7">
        <v>3.7409638762185102E-16</v>
      </c>
      <c r="AC122" s="7">
        <v>5.7628449445963703E-17</v>
      </c>
    </row>
    <row r="123" spans="1:29" ht="15" x14ac:dyDescent="0.25">
      <c r="A123" s="6">
        <v>33054</v>
      </c>
      <c r="B123" s="6"/>
      <c r="C123" s="6"/>
      <c r="D123">
        <v>0.14453925354966801</v>
      </c>
      <c r="E123" s="4">
        <v>4.1052406629746701E-16</v>
      </c>
      <c r="F123" s="4">
        <v>4.4523524270856001E-16</v>
      </c>
      <c r="G123" s="4">
        <v>6.25508377561158E-16</v>
      </c>
      <c r="H123" s="4">
        <v>8.4682342460703399E-17</v>
      </c>
      <c r="I123" s="4">
        <v>1.77974422365042E-16</v>
      </c>
      <c r="J123" s="4">
        <v>-3.4584215548325498E-17</v>
      </c>
      <c r="V123" s="6"/>
      <c r="W123" s="5">
        <v>0.13930981867977299</v>
      </c>
      <c r="X123" s="7">
        <v>6.0228416784594601E-16</v>
      </c>
      <c r="Y123" s="7">
        <v>3.5607270377180199E-16</v>
      </c>
      <c r="Z123" s="7">
        <v>6.9691508094616597E-16</v>
      </c>
      <c r="AA123" s="7">
        <v>4.4372523147932402E-16</v>
      </c>
      <c r="AB123" s="7">
        <v>3.60620336801831E-16</v>
      </c>
      <c r="AC123" s="7">
        <v>-1.18818006434842E-17</v>
      </c>
    </row>
    <row r="124" spans="1:29" ht="15" x14ac:dyDescent="0.25">
      <c r="A124" s="6">
        <v>33146</v>
      </c>
      <c r="B124" s="6"/>
      <c r="C124" s="6"/>
      <c r="D124">
        <v>0.10791380516910599</v>
      </c>
      <c r="E124" s="4">
        <v>2.1460892430956401E-16</v>
      </c>
      <c r="F124" s="4">
        <v>5.7629187225735999E-16</v>
      </c>
      <c r="G124" s="4">
        <v>3.7779838480092601E-16</v>
      </c>
      <c r="H124" s="4">
        <v>8.1304701098571002E-17</v>
      </c>
      <c r="I124" s="4">
        <v>6.5222629674440504E-17</v>
      </c>
      <c r="J124" s="4">
        <v>5.4003552880920802E-18</v>
      </c>
      <c r="V124" s="6"/>
      <c r="W124" s="5">
        <v>0.100533459974741</v>
      </c>
      <c r="X124" s="7">
        <v>4.2494357616512602E-16</v>
      </c>
      <c r="Y124" s="7">
        <v>5.9759368091880103E-16</v>
      </c>
      <c r="Z124" s="7">
        <v>4.5210124943648802E-16</v>
      </c>
      <c r="AA124" s="7">
        <v>3.84153615983492E-16</v>
      </c>
      <c r="AB124" s="7">
        <v>2.12965662213165E-16</v>
      </c>
      <c r="AC124" s="7">
        <v>2.5224045315033999E-17</v>
      </c>
    </row>
    <row r="125" spans="1:29" ht="15" x14ac:dyDescent="0.25">
      <c r="A125" s="6">
        <v>33238</v>
      </c>
      <c r="B125" s="6"/>
      <c r="C125" s="6"/>
      <c r="D125">
        <v>0.144210334624085</v>
      </c>
      <c r="E125" s="4">
        <v>3.6665918659732498E-16</v>
      </c>
      <c r="F125" s="4">
        <v>3.89157704211664E-16</v>
      </c>
      <c r="G125" s="4">
        <v>4.2938231780295598E-16</v>
      </c>
      <c r="H125" s="4">
        <v>7.6619731664889298E-18</v>
      </c>
      <c r="I125" s="4">
        <v>1.4028392534187E-16</v>
      </c>
      <c r="J125" s="4">
        <v>4.4063342425414E-17</v>
      </c>
      <c r="V125" s="6"/>
      <c r="W125" s="5">
        <v>0.14351292913606101</v>
      </c>
      <c r="X125" s="7">
        <v>6.8128146477760003E-16</v>
      </c>
      <c r="Y125" s="7">
        <v>4.0410583798697999E-16</v>
      </c>
      <c r="Z125" s="7">
        <v>4.4826638653723396E-16</v>
      </c>
      <c r="AA125" s="7">
        <v>2.05375768714027E-16</v>
      </c>
      <c r="AB125" s="7">
        <v>1.8553764133141001E-16</v>
      </c>
      <c r="AC125" s="7">
        <v>-3.9253330818863099E-17</v>
      </c>
    </row>
    <row r="126" spans="1:29" ht="15" x14ac:dyDescent="0.25">
      <c r="A126" s="6">
        <v>33328</v>
      </c>
      <c r="B126" s="6"/>
      <c r="C126" s="6"/>
      <c r="D126">
        <v>7.1008133184269698E-2</v>
      </c>
      <c r="E126" s="4">
        <v>2.08279586504866E-16</v>
      </c>
      <c r="F126" s="4">
        <v>4.8922843672609397E-16</v>
      </c>
      <c r="G126" s="4">
        <v>2.7825159049522799E-16</v>
      </c>
      <c r="H126" s="4">
        <v>5.7327445146687998E-17</v>
      </c>
      <c r="I126" s="4">
        <v>1.2685743251854799E-16</v>
      </c>
      <c r="J126" s="4">
        <v>1.34792692346161E-17</v>
      </c>
      <c r="V126" s="6"/>
      <c r="W126" s="5">
        <v>9.9687896528274006E-2</v>
      </c>
      <c r="X126" s="7">
        <v>3.3111452529765102E-16</v>
      </c>
      <c r="Y126" s="7">
        <v>3.1663813570101098E-16</v>
      </c>
      <c r="Z126" s="7">
        <v>8.3568060708925703E-17</v>
      </c>
      <c r="AA126" s="7">
        <v>3.78315555447509E-17</v>
      </c>
      <c r="AB126" s="7">
        <v>2.1593810183595199E-17</v>
      </c>
      <c r="AC126" s="7">
        <v>-7.7424897144180396E-17</v>
      </c>
    </row>
    <row r="127" spans="1:29" ht="15" x14ac:dyDescent="0.25">
      <c r="A127" s="6">
        <v>33419</v>
      </c>
      <c r="B127" s="6"/>
      <c r="C127" s="6"/>
      <c r="D127">
        <v>-4.3310427286699399E-2</v>
      </c>
      <c r="E127" s="4">
        <v>2.9748268121921299E-16</v>
      </c>
      <c r="F127" s="4">
        <v>3.3260528941224302E-16</v>
      </c>
      <c r="G127" s="4">
        <v>1.4051932773841801E-16</v>
      </c>
      <c r="H127" s="4">
        <v>1.5904139175255899E-17</v>
      </c>
      <c r="I127" s="4">
        <v>3.9300145664133902E-17</v>
      </c>
      <c r="J127" s="4">
        <v>9.3615694769573096E-18</v>
      </c>
      <c r="V127" s="6"/>
      <c r="W127" s="5">
        <v>-5.5464576220773699E-2</v>
      </c>
      <c r="X127" s="7">
        <v>2.9021660400980999E-16</v>
      </c>
      <c r="Y127" s="7">
        <v>1.1110123104094E-16</v>
      </c>
      <c r="Z127" s="7">
        <v>-8.9475763824515407E-18</v>
      </c>
      <c r="AA127" s="7">
        <v>-1.08151538867194E-18</v>
      </c>
      <c r="AB127" s="7">
        <v>9.5210640879457395E-17</v>
      </c>
      <c r="AC127" s="7">
        <v>6.3766114223695205E-17</v>
      </c>
    </row>
    <row r="128" spans="1:29" ht="15" x14ac:dyDescent="0.25">
      <c r="A128" s="6">
        <v>33511</v>
      </c>
      <c r="B128" s="6"/>
      <c r="C128" s="6"/>
      <c r="D128">
        <v>7.8227690254015603E-2</v>
      </c>
      <c r="E128" s="4">
        <v>5.8657232080267099E-17</v>
      </c>
      <c r="F128" s="4">
        <v>1.6984664095668E-16</v>
      </c>
      <c r="G128" s="4">
        <v>5.0595138284736998E-17</v>
      </c>
      <c r="H128" s="4">
        <v>-1.37332163421625E-16</v>
      </c>
      <c r="I128" s="4">
        <v>6.9878313942048501E-18</v>
      </c>
      <c r="J128" s="4">
        <v>-4.9166404760318103E-18</v>
      </c>
      <c r="V128" s="6"/>
      <c r="W128" s="5">
        <v>6.6072590007057203E-2</v>
      </c>
      <c r="X128" s="7">
        <v>7.4089508971993398E-17</v>
      </c>
      <c r="Y128" s="7">
        <v>-5.8114237618838097E-17</v>
      </c>
      <c r="Z128" s="7">
        <v>-6.3209808821788899E-17</v>
      </c>
      <c r="AA128" s="7">
        <v>2.2880061378068898E-18</v>
      </c>
      <c r="AB128" s="7">
        <v>1.2546368453596401E-16</v>
      </c>
      <c r="AC128" s="7">
        <v>-7.7105733396434408E-18</v>
      </c>
    </row>
    <row r="129" spans="1:29" ht="15" x14ac:dyDescent="0.25">
      <c r="A129" s="6">
        <v>33603</v>
      </c>
      <c r="B129" s="6"/>
      <c r="C129" s="6"/>
      <c r="D129">
        <v>-5.1161853902282603E-2</v>
      </c>
      <c r="E129" s="4">
        <v>-4.96260560278227E-17</v>
      </c>
      <c r="F129" s="4">
        <v>1.44875910184965E-16</v>
      </c>
      <c r="G129" s="4">
        <v>-1.01775168614275E-16</v>
      </c>
      <c r="H129" s="4">
        <v>-1.40686169822198E-16</v>
      </c>
      <c r="I129" s="4">
        <v>-2.05151276406738E-18</v>
      </c>
      <c r="J129" s="4">
        <v>1.9851446859782201E-17</v>
      </c>
      <c r="V129" s="6"/>
      <c r="W129" s="5">
        <v>-6.5109887082659898E-2</v>
      </c>
      <c r="X129" s="7">
        <v>-9.2735707430668606E-17</v>
      </c>
      <c r="Y129" s="7">
        <v>-7.1705580570925599E-17</v>
      </c>
      <c r="Z129" s="7">
        <v>-4.5218588074346199E-17</v>
      </c>
      <c r="AA129" s="7">
        <v>3.7420772663540599E-17</v>
      </c>
      <c r="AB129" s="7">
        <v>2.8204169242689903E-17</v>
      </c>
      <c r="AC129" s="7">
        <v>-4.0987310589535398E-18</v>
      </c>
    </row>
    <row r="130" spans="1:29" ht="15" x14ac:dyDescent="0.25">
      <c r="A130" s="6">
        <v>33694</v>
      </c>
      <c r="B130" s="6"/>
      <c r="C130" s="6"/>
      <c r="D130">
        <v>-0.31195049726460899</v>
      </c>
      <c r="E130" s="4">
        <v>-2.60483199259353E-16</v>
      </c>
      <c r="F130" s="4">
        <v>-2.07129246829629E-16</v>
      </c>
      <c r="G130" s="4">
        <v>-3.3014809183064999E-16</v>
      </c>
      <c r="H130" s="4">
        <v>-2.9897487862314398E-16</v>
      </c>
      <c r="I130" s="4">
        <v>-7.5784802714747395E-17</v>
      </c>
      <c r="J130" s="4">
        <v>-5.58484786376296E-17</v>
      </c>
      <c r="V130" s="6"/>
      <c r="W130" s="5">
        <v>-0.35035768369228398</v>
      </c>
      <c r="X130" s="7">
        <v>-1.1402224379367E-16</v>
      </c>
      <c r="Y130" s="7">
        <v>5.3159941097872398E-17</v>
      </c>
      <c r="Z130" s="7">
        <v>8.18103112461845E-17</v>
      </c>
      <c r="AA130" s="7">
        <v>3.67620383756834E-17</v>
      </c>
      <c r="AB130" s="7">
        <v>1.31849912911585E-16</v>
      </c>
      <c r="AC130" s="7">
        <v>1.07064667205506E-16</v>
      </c>
    </row>
    <row r="131" spans="1:29" ht="15" x14ac:dyDescent="0.25">
      <c r="A131" s="6">
        <v>33785</v>
      </c>
      <c r="B131" s="6"/>
      <c r="C131" s="6"/>
      <c r="D131">
        <v>-0.13497718391833399</v>
      </c>
      <c r="E131" s="4">
        <v>-4.26039043724834E-16</v>
      </c>
      <c r="F131" s="4">
        <v>-1.2790631344070799E-16</v>
      </c>
      <c r="G131" s="4">
        <v>-3.0896098310155901E-16</v>
      </c>
      <c r="H131" s="4">
        <v>-2.4828931081727298E-16</v>
      </c>
      <c r="I131" s="4">
        <v>-3.8634518429338703E-17</v>
      </c>
      <c r="J131" s="4">
        <v>3.8470544837515503E-17</v>
      </c>
      <c r="V131" s="6"/>
      <c r="W131" s="5">
        <v>-0.18265069923974001</v>
      </c>
      <c r="X131" s="7">
        <v>-5.42258671185545E-17</v>
      </c>
      <c r="Y131" s="7">
        <v>9.3170014861781502E-17</v>
      </c>
      <c r="Z131" s="7">
        <v>-1.3971117883716101E-16</v>
      </c>
      <c r="AA131" s="7">
        <v>-1.3541325529784999E-17</v>
      </c>
      <c r="AB131" s="7">
        <v>5.0806244959078603E-17</v>
      </c>
      <c r="AC131" s="7">
        <v>1.12700861984297E-17</v>
      </c>
    </row>
    <row r="132" spans="1:29" ht="15" x14ac:dyDescent="0.25">
      <c r="A132" s="6">
        <v>33877</v>
      </c>
      <c r="B132" s="6"/>
      <c r="C132" s="6"/>
      <c r="D132">
        <v>-0.17371278738738699</v>
      </c>
      <c r="E132" s="4">
        <v>-5.92698970145033E-16</v>
      </c>
      <c r="F132" s="4">
        <v>-4.5197421176319904E-16</v>
      </c>
      <c r="G132" s="4">
        <v>-3.83468930071778E-16</v>
      </c>
      <c r="H132" s="4">
        <v>-3.5421319332865101E-16</v>
      </c>
      <c r="I132" s="4">
        <v>-3.5347703573780699E-17</v>
      </c>
      <c r="J132" s="4">
        <v>-5.3343765647717599E-17</v>
      </c>
      <c r="V132" s="6"/>
      <c r="W132" s="5">
        <v>-0.19648371372478399</v>
      </c>
      <c r="X132" s="7">
        <v>6.37622656258391E-17</v>
      </c>
      <c r="Y132" s="7">
        <v>-1.636878646364E-16</v>
      </c>
      <c r="Z132" s="7">
        <v>1.7502738474310101E-18</v>
      </c>
      <c r="AA132" s="7">
        <v>1.81601448377481E-17</v>
      </c>
      <c r="AB132" s="7">
        <v>4.7569581644797899E-17</v>
      </c>
      <c r="AC132" s="7">
        <v>3.3370749447452401E-17</v>
      </c>
    </row>
    <row r="133" spans="1:29" ht="15" x14ac:dyDescent="0.25">
      <c r="A133" s="6">
        <v>33969</v>
      </c>
      <c r="B133" s="6"/>
      <c r="C133" s="6"/>
      <c r="D133">
        <v>-7.3995915706099494E-2</v>
      </c>
      <c r="E133" s="4">
        <v>-7.6573149451886796E-16</v>
      </c>
      <c r="F133" s="4">
        <v>-3.4161459403479802E-16</v>
      </c>
      <c r="G133" s="4">
        <v>-4.0878028170785E-16</v>
      </c>
      <c r="H133" s="4">
        <v>-2.7974683327129099E-16</v>
      </c>
      <c r="I133" s="4">
        <v>-8.4100206428746896E-17</v>
      </c>
      <c r="J133" s="4">
        <v>-2.5198479403898099E-17</v>
      </c>
      <c r="V133" s="6"/>
      <c r="W133" s="5">
        <v>-8.4394100872728903E-2</v>
      </c>
      <c r="X133" s="7">
        <v>-3.7066222600351601E-16</v>
      </c>
      <c r="Y133" s="7">
        <v>-1.8118845474292699E-16</v>
      </c>
      <c r="Z133" s="7">
        <v>-2.5310511186450098E-16</v>
      </c>
      <c r="AA133" s="7">
        <v>-1.60964485208103E-16</v>
      </c>
      <c r="AB133" s="7">
        <v>-1.00479530471574E-16</v>
      </c>
      <c r="AC133" s="7">
        <v>-3.1482508097414601E-17</v>
      </c>
    </row>
    <row r="134" spans="1:29" ht="15" x14ac:dyDescent="0.25">
      <c r="A134" s="6">
        <v>34059</v>
      </c>
      <c r="B134" s="6"/>
      <c r="C134" s="6"/>
      <c r="D134">
        <v>-1.41131034877141E-3</v>
      </c>
      <c r="E134" s="4">
        <v>-6.2824123658629397E-16</v>
      </c>
      <c r="F134" s="4">
        <v>-3.9133359102951701E-16</v>
      </c>
      <c r="G134" s="4">
        <v>-2.5270072893283899E-16</v>
      </c>
      <c r="H134" s="4">
        <v>-2.56370093909304E-16</v>
      </c>
      <c r="I134" s="4">
        <v>6.5842846246660303E-18</v>
      </c>
      <c r="J134" s="4">
        <v>6.1130021349195897E-18</v>
      </c>
      <c r="V134" s="6"/>
      <c r="W134" s="5">
        <v>-3.0602471045540501E-2</v>
      </c>
      <c r="X134" s="7">
        <v>-2.3871555248215402E-16</v>
      </c>
      <c r="Y134" s="7">
        <v>-3.5203055652098198E-16</v>
      </c>
      <c r="Z134" s="7">
        <v>-2.8259544518467601E-16</v>
      </c>
      <c r="AA134" s="7">
        <v>-2.2330162379725701E-16</v>
      </c>
      <c r="AB134" s="7">
        <v>-1.0936843888948399E-16</v>
      </c>
      <c r="AC134" s="7">
        <v>-6.1655861883979202E-17</v>
      </c>
    </row>
    <row r="135" spans="1:29" ht="15" x14ac:dyDescent="0.25">
      <c r="A135" s="6">
        <v>34150</v>
      </c>
      <c r="B135" s="6"/>
      <c r="C135" s="6"/>
      <c r="D135">
        <v>-0.20486911308740599</v>
      </c>
      <c r="E135" s="4">
        <v>-6.6219633200848805E-16</v>
      </c>
      <c r="F135" s="4">
        <v>-2.6589289502168499E-16</v>
      </c>
      <c r="G135" s="4">
        <v>-2.5520959889997802E-16</v>
      </c>
      <c r="H135" s="4">
        <v>-1.5220676279220301E-16</v>
      </c>
      <c r="I135" s="4">
        <v>3.1807704118015803E-17</v>
      </c>
      <c r="J135" s="4">
        <v>1.5674278727611899E-18</v>
      </c>
      <c r="V135" s="6"/>
      <c r="W135" s="5">
        <v>-0.27055008478807202</v>
      </c>
      <c r="X135" s="7">
        <v>-3.8582679688121098E-16</v>
      </c>
      <c r="Y135" s="7">
        <v>-3.3048489779369001E-16</v>
      </c>
      <c r="Z135" s="7">
        <v>-3.3537230674909799E-16</v>
      </c>
      <c r="AA135" s="7">
        <v>-1.43034758689852E-16</v>
      </c>
      <c r="AB135" s="7">
        <v>-4.9486426284165301E-17</v>
      </c>
      <c r="AC135" s="7">
        <v>3.6238038415596001E-17</v>
      </c>
    </row>
    <row r="136" spans="1:29" ht="15" x14ac:dyDescent="0.25">
      <c r="A136" s="6">
        <v>34242</v>
      </c>
      <c r="B136" s="6"/>
      <c r="C136" s="6"/>
      <c r="D136">
        <v>-0.205937816691246</v>
      </c>
      <c r="E136" s="4">
        <v>-5.0133994183157803E-16</v>
      </c>
      <c r="F136" s="4">
        <v>-2.0281066103911499E-16</v>
      </c>
      <c r="G136" s="4">
        <v>-3.3250276281641399E-17</v>
      </c>
      <c r="H136" s="4">
        <v>-8.1202514203997903E-17</v>
      </c>
      <c r="I136" s="4">
        <v>8.1643968628701598E-17</v>
      </c>
      <c r="J136" s="4">
        <v>3.0337282044335403E-17</v>
      </c>
      <c r="V136" s="6"/>
      <c r="W136" s="5">
        <v>-0.269885223576043</v>
      </c>
      <c r="X136" s="7">
        <v>-3.15215951222937E-16</v>
      </c>
      <c r="Y136" s="7">
        <v>-4.1923707830380599E-16</v>
      </c>
      <c r="Z136" s="7">
        <v>-2.3423598752870198E-16</v>
      </c>
      <c r="AA136" s="7">
        <v>-8.8583666983169699E-17</v>
      </c>
      <c r="AB136" s="7">
        <v>-9.7013832177032803E-18</v>
      </c>
      <c r="AC136" s="7">
        <v>-1.06347009285523E-17</v>
      </c>
    </row>
    <row r="137" spans="1:29" ht="15" x14ac:dyDescent="0.25">
      <c r="A137" s="6">
        <v>34334</v>
      </c>
      <c r="B137" s="6"/>
      <c r="C137" s="6"/>
      <c r="D137">
        <v>-0.100981797763772</v>
      </c>
      <c r="E137" s="4">
        <v>-4.32883881663622E-16</v>
      </c>
      <c r="F137" s="4">
        <v>8.1112092325185495E-19</v>
      </c>
      <c r="G137" s="4">
        <v>1.9916965873147901E-17</v>
      </c>
      <c r="H137" s="4">
        <v>-6.4167821168821394E-17</v>
      </c>
      <c r="I137" s="4">
        <v>5.3199183643746198E-17</v>
      </c>
      <c r="J137" s="4">
        <v>-2.9904582184605901E-17</v>
      </c>
      <c r="V137" s="6"/>
      <c r="W137" s="5">
        <v>-0.119338344297805</v>
      </c>
      <c r="X137" s="7">
        <v>-5.6165995612347001E-16</v>
      </c>
      <c r="Y137" s="7">
        <v>-5.9327270177252803E-16</v>
      </c>
      <c r="Z137" s="7">
        <v>-4.17701957590748E-16</v>
      </c>
      <c r="AA137" s="7">
        <v>-1.71629116624506E-16</v>
      </c>
      <c r="AB137" s="7">
        <v>-1.13748977177678E-16</v>
      </c>
      <c r="AC137" s="7">
        <v>-3.7485512299845301E-18</v>
      </c>
    </row>
    <row r="138" spans="1:29" ht="15" x14ac:dyDescent="0.25">
      <c r="A138" s="6">
        <v>34424</v>
      </c>
      <c r="B138" s="6"/>
      <c r="C138" s="6"/>
      <c r="D138">
        <v>-8.0125496006651101E-2</v>
      </c>
      <c r="E138" s="4">
        <v>-3.0597001210106399E-16</v>
      </c>
      <c r="F138" s="4">
        <v>-8.3972479837913202E-17</v>
      </c>
      <c r="G138" s="4">
        <v>4.4998995076847199E-17</v>
      </c>
      <c r="H138" s="4">
        <v>-8.7922641337590702E-17</v>
      </c>
      <c r="I138" s="4">
        <v>1.9778355249231499E-17</v>
      </c>
      <c r="J138" s="4">
        <v>-3.0852569351327897E-17</v>
      </c>
      <c r="V138" s="6"/>
      <c r="W138" s="5">
        <v>-0.116193768259339</v>
      </c>
      <c r="X138" s="7">
        <v>-5.4458205540320603E-16</v>
      </c>
      <c r="Y138" s="7">
        <v>-6.9495045096944201E-16</v>
      </c>
      <c r="Z138" s="7">
        <v>-2.6049452585895898E-16</v>
      </c>
      <c r="AA138" s="7">
        <v>-1.45940662637597E-16</v>
      </c>
      <c r="AB138" s="7">
        <v>-3.0115756331912102E-17</v>
      </c>
      <c r="AC138" s="7">
        <v>-3.6997851926718197E-17</v>
      </c>
    </row>
    <row r="139" spans="1:29" ht="15" x14ac:dyDescent="0.25">
      <c r="A139" s="6">
        <v>34515</v>
      </c>
      <c r="B139" s="6"/>
      <c r="C139" s="6"/>
      <c r="D139">
        <v>3.2089127187191903E-2</v>
      </c>
      <c r="E139" s="4">
        <v>-2.98730698904584E-16</v>
      </c>
      <c r="F139" s="4">
        <v>1.08300256611421E-17</v>
      </c>
      <c r="G139" s="4">
        <v>7.7350822916607603E-17</v>
      </c>
      <c r="H139" s="4">
        <v>-5.7028949914976304E-17</v>
      </c>
      <c r="I139" s="4">
        <v>4.9627202477720402E-17</v>
      </c>
      <c r="J139" s="4">
        <v>-3.14151570076725E-18</v>
      </c>
      <c r="V139" s="6"/>
      <c r="W139" s="5">
        <v>-9.7711279567683097E-3</v>
      </c>
      <c r="X139" s="7">
        <v>-6.7962901192593304E-16</v>
      </c>
      <c r="Y139" s="7">
        <v>-5.6578653549817296E-16</v>
      </c>
      <c r="Z139" s="7">
        <v>-3.1926297916573802E-16</v>
      </c>
      <c r="AA139" s="7">
        <v>-7.2191707774538296E-17</v>
      </c>
      <c r="AB139" s="7">
        <v>-6.4008043089848603E-17</v>
      </c>
      <c r="AC139" s="7">
        <v>-1.1010727579320301E-17</v>
      </c>
    </row>
    <row r="140" spans="1:29" ht="15" x14ac:dyDescent="0.25">
      <c r="A140" s="6">
        <v>34607</v>
      </c>
      <c r="B140" s="6"/>
      <c r="C140" s="6"/>
      <c r="D140">
        <v>2.6352452260350101E-2</v>
      </c>
      <c r="E140" s="4">
        <v>-2.5169023965481099E-16</v>
      </c>
      <c r="F140" s="4">
        <v>-2.0059124097054499E-17</v>
      </c>
      <c r="G140" s="4">
        <v>9.5872262493753101E-17</v>
      </c>
      <c r="H140" s="4">
        <v>-4.9996191144221802E-17</v>
      </c>
      <c r="I140" s="4">
        <v>8.0163340420489704E-17</v>
      </c>
      <c r="J140" s="4">
        <v>-1.70540503846002E-17</v>
      </c>
      <c r="V140" s="6"/>
      <c r="W140" s="5">
        <v>-7.1284581037687799E-3</v>
      </c>
      <c r="X140" s="7">
        <v>-4.8996542170894704E-16</v>
      </c>
      <c r="Y140" s="7">
        <v>-6.1452426649342502E-16</v>
      </c>
      <c r="Z140" s="7">
        <v>-1.7425793976073701E-16</v>
      </c>
      <c r="AA140" s="7">
        <v>-7.6169793584514794E-17</v>
      </c>
      <c r="AB140" s="7">
        <v>-1.7411255062110099E-17</v>
      </c>
      <c r="AC140" s="7">
        <v>-2.8112139986412597E-17</v>
      </c>
    </row>
    <row r="141" spans="1:29" ht="15" x14ac:dyDescent="0.25">
      <c r="A141" s="6">
        <v>34699</v>
      </c>
      <c r="B141" s="6"/>
      <c r="C141" s="6"/>
      <c r="D141">
        <v>3.9663575990826604E-3</v>
      </c>
      <c r="E141" s="4">
        <v>-1.64732867562212E-16</v>
      </c>
      <c r="F141" s="4">
        <v>1.10589092755535E-16</v>
      </c>
      <c r="G141" s="4">
        <v>1.72526591634012E-16</v>
      </c>
      <c r="H141" s="4">
        <v>6.5837790304303604E-17</v>
      </c>
      <c r="I141" s="4">
        <v>1.05848483797662E-16</v>
      </c>
      <c r="J141" s="4">
        <v>1.9604691499142199E-17</v>
      </c>
      <c r="V141" s="6"/>
      <c r="W141" s="5">
        <v>-4.4383706773541601E-2</v>
      </c>
      <c r="X141" s="7">
        <v>-5.3607571700106195E-16</v>
      </c>
      <c r="Y141" s="7">
        <v>-4.7092187098558697E-16</v>
      </c>
      <c r="Z141" s="7">
        <v>-2.2388186494174998E-16</v>
      </c>
      <c r="AA141" s="7">
        <v>-1.6562478738373899E-17</v>
      </c>
      <c r="AB141" s="7">
        <v>-1.31393858188789E-17</v>
      </c>
      <c r="AC141" s="7">
        <v>1.32876634382987E-17</v>
      </c>
    </row>
    <row r="142" spans="1:29" ht="15" x14ac:dyDescent="0.25">
      <c r="A142" s="6">
        <v>34789</v>
      </c>
      <c r="B142" s="6"/>
      <c r="C142" s="6"/>
      <c r="D142">
        <v>0.215380097985546</v>
      </c>
      <c r="E142" s="4">
        <v>-2.3341913176198199E-17</v>
      </c>
      <c r="F142" s="4">
        <v>1.84942980419243E-16</v>
      </c>
      <c r="G142" s="4">
        <v>3.5667408582441998E-16</v>
      </c>
      <c r="H142" s="4">
        <v>1.04237630217632E-16</v>
      </c>
      <c r="I142" s="4">
        <v>1.49849879887308E-16</v>
      </c>
      <c r="J142" s="4">
        <v>2.39485954537492E-17</v>
      </c>
      <c r="V142" s="6"/>
      <c r="W142" s="5">
        <v>0.214408982644365</v>
      </c>
      <c r="X142" s="7">
        <v>-3.3031007611103798E-16</v>
      </c>
      <c r="Y142" s="7">
        <v>-6.6153982904910098E-16</v>
      </c>
      <c r="Z142" s="7">
        <v>-1.7094669792335399E-16</v>
      </c>
      <c r="AA142" s="7">
        <v>-5.5698010792886905E-17</v>
      </c>
      <c r="AB142" s="7">
        <v>-1.43288303015773E-17</v>
      </c>
      <c r="AC142" s="7">
        <v>-6.1652144878361306E-17</v>
      </c>
    </row>
    <row r="143" spans="1:29" ht="15" x14ac:dyDescent="0.25">
      <c r="A143" s="6">
        <v>34880</v>
      </c>
      <c r="B143" s="6"/>
      <c r="C143" s="6"/>
      <c r="D143">
        <v>0.208416928205062</v>
      </c>
      <c r="E143" s="4">
        <v>-1.9957882103030899E-16</v>
      </c>
      <c r="F143" s="4">
        <v>4.9195383698692997E-18</v>
      </c>
      <c r="G143" s="4">
        <v>1.46326920499458E-16</v>
      </c>
      <c r="H143" s="4">
        <v>-4.7939870139691398E-17</v>
      </c>
      <c r="I143" s="4">
        <v>2.36429347807373E-17</v>
      </c>
      <c r="J143" s="4">
        <v>-9.2625096147576195E-17</v>
      </c>
      <c r="V143" s="6"/>
      <c r="W143" s="5">
        <v>0.227292555347337</v>
      </c>
      <c r="X143" s="7">
        <v>-4.7156968466137697E-16</v>
      </c>
      <c r="Y143" s="7">
        <v>-5.7910645516732598E-16</v>
      </c>
      <c r="Z143" s="7">
        <v>-6.6163798355282605E-17</v>
      </c>
      <c r="AA143" s="7">
        <v>4.2147688570691499E-17</v>
      </c>
      <c r="AB143" s="7">
        <v>6.0739310557657906E-17</v>
      </c>
      <c r="AC143" s="7">
        <v>-8.2184775879211094E-18</v>
      </c>
    </row>
    <row r="144" spans="1:29" ht="15" x14ac:dyDescent="0.25">
      <c r="A144" s="6">
        <v>34972</v>
      </c>
      <c r="B144" s="6"/>
      <c r="C144" s="6"/>
      <c r="D144">
        <v>2.2070235054128501E-2</v>
      </c>
      <c r="E144" s="4">
        <v>-6.9104614219676294E-17</v>
      </c>
      <c r="F144" s="4">
        <v>1.5505135249333499E-16</v>
      </c>
      <c r="G144" s="4">
        <v>1.6322080942480899E-16</v>
      </c>
      <c r="H144" s="4">
        <v>2.2004328735686501E-17</v>
      </c>
      <c r="I144" s="4">
        <v>1.8568534772695299E-17</v>
      </c>
      <c r="J144" s="4">
        <v>1.08353073830268E-17</v>
      </c>
      <c r="V144" s="6"/>
      <c r="W144" s="5">
        <v>1.9394252915556499E-2</v>
      </c>
      <c r="X144" s="7">
        <v>-4.6962372055379795E-16</v>
      </c>
      <c r="Y144" s="7">
        <v>-4.5679377533509597E-16</v>
      </c>
      <c r="Z144" s="7">
        <v>-1.1246798380111599E-16</v>
      </c>
      <c r="AA144" s="7">
        <v>4.0197743063956401E-17</v>
      </c>
      <c r="AB144" s="7">
        <v>3.3051059081722601E-17</v>
      </c>
      <c r="AC144" s="7">
        <v>-1.9453133756739599E-17</v>
      </c>
    </row>
    <row r="145" spans="1:29" ht="15" x14ac:dyDescent="0.25">
      <c r="A145" s="6">
        <v>35064</v>
      </c>
      <c r="B145" s="6"/>
      <c r="C145" s="6"/>
      <c r="D145">
        <v>0.115159830516714</v>
      </c>
      <c r="E145" s="4">
        <v>4.9529815273486998E-17</v>
      </c>
      <c r="F145" s="4">
        <v>9.9375310543947001E-17</v>
      </c>
      <c r="G145" s="4">
        <v>1.95903668575069E-16</v>
      </c>
      <c r="H145" s="4">
        <v>-2.6177209870750099E-18</v>
      </c>
      <c r="I145" s="4">
        <v>9.1971847509079697E-17</v>
      </c>
      <c r="J145" s="4">
        <v>-6.4857287115119397E-18</v>
      </c>
      <c r="V145" s="6"/>
      <c r="W145" s="5">
        <v>0.12976137503959101</v>
      </c>
      <c r="X145" s="7">
        <v>-2.636287032515E-16</v>
      </c>
      <c r="Y145" s="7">
        <v>-5.57829195478672E-16</v>
      </c>
      <c r="Z145" s="7">
        <v>-6.68167036808891E-17</v>
      </c>
      <c r="AA145" s="7">
        <v>2.2243436541653099E-17</v>
      </c>
      <c r="AB145" s="7">
        <v>5.0402574775692901E-17</v>
      </c>
      <c r="AC145" s="7">
        <v>-4.0934846446481003E-17</v>
      </c>
    </row>
    <row r="146" spans="1:29" ht="15" x14ac:dyDescent="0.25">
      <c r="A146" s="6">
        <v>35155</v>
      </c>
      <c r="B146" s="6"/>
      <c r="C146" s="6"/>
      <c r="D146">
        <v>4.4110610836538798E-2</v>
      </c>
      <c r="E146" s="4">
        <v>-8.5470745582988107E-18</v>
      </c>
      <c r="F146" s="4">
        <v>7.9736689104328703E-17</v>
      </c>
      <c r="G146" s="4">
        <v>1.09150556013212E-16</v>
      </c>
      <c r="H146" s="4">
        <v>4.6942392117708298E-17</v>
      </c>
      <c r="I146" s="4">
        <v>3.8275705687136699E-17</v>
      </c>
      <c r="J146" s="4">
        <v>-3.2950641003254299E-17</v>
      </c>
      <c r="V146" s="6"/>
      <c r="W146" s="5">
        <v>6.7859815864200396E-2</v>
      </c>
      <c r="X146" s="7">
        <v>-3.22912879738715E-16</v>
      </c>
      <c r="Y146" s="7">
        <v>-5.3469725058261598E-16</v>
      </c>
      <c r="Z146" s="7">
        <v>-5.2273015525739102E-17</v>
      </c>
      <c r="AA146" s="7">
        <v>6.7872981083886699E-17</v>
      </c>
      <c r="AB146" s="7">
        <v>9.7793455498310099E-17</v>
      </c>
      <c r="AC146" s="7">
        <v>-1.9447674933275599E-17</v>
      </c>
    </row>
    <row r="147" spans="1:29" ht="15" x14ac:dyDescent="0.25">
      <c r="A147" s="6">
        <v>35246</v>
      </c>
      <c r="B147" s="6"/>
      <c r="C147" s="6"/>
      <c r="D147">
        <v>-0.13436146367035201</v>
      </c>
      <c r="E147" s="4">
        <v>6.7862472245197305E-17</v>
      </c>
      <c r="F147" s="4">
        <v>7.0928997814321205E-17</v>
      </c>
      <c r="G147" s="4">
        <v>2.2832905349196501E-16</v>
      </c>
      <c r="H147" s="4">
        <v>8.3631707665036496E-17</v>
      </c>
      <c r="I147" s="4">
        <v>6.8737643221467694E-17</v>
      </c>
      <c r="J147" s="4">
        <v>7.7367858816185307E-18</v>
      </c>
      <c r="V147" s="6"/>
      <c r="W147" s="5">
        <v>-0.16209495201756799</v>
      </c>
      <c r="X147" s="7">
        <v>-1.8651278160124901E-16</v>
      </c>
      <c r="Y147" s="7">
        <v>-4.3393818028326402E-16</v>
      </c>
      <c r="Z147" s="7">
        <v>1.02704727545237E-16</v>
      </c>
      <c r="AA147" s="7">
        <v>2.1631323508112901E-16</v>
      </c>
      <c r="AB147" s="7">
        <v>2.2563604819338702E-16</v>
      </c>
      <c r="AC147" s="7">
        <v>2.5189392416973401E-17</v>
      </c>
    </row>
    <row r="148" spans="1:29" ht="15" x14ac:dyDescent="0.25">
      <c r="A148" s="6">
        <v>35338</v>
      </c>
      <c r="B148" s="6"/>
      <c r="C148" s="6"/>
      <c r="D148">
        <v>-7.4186904585610003E-2</v>
      </c>
      <c r="E148" s="4">
        <v>1.1534544823932899E-16</v>
      </c>
      <c r="F148" s="4">
        <v>2.36573671648485E-16</v>
      </c>
      <c r="G148" s="4">
        <v>3.8419054022000901E-16</v>
      </c>
      <c r="H148" s="4">
        <v>1.7298333193066E-16</v>
      </c>
      <c r="I148" s="4">
        <v>1.5534432306303701E-16</v>
      </c>
      <c r="J148" s="4">
        <v>4.0467802355807501E-17</v>
      </c>
      <c r="V148" s="6"/>
      <c r="W148" s="5">
        <v>-9.9184165272497099E-2</v>
      </c>
      <c r="X148" s="7">
        <v>4.5926324660554101E-18</v>
      </c>
      <c r="Y148" s="7">
        <v>-3.23054776113037E-16</v>
      </c>
      <c r="Z148" s="7">
        <v>2.9690338743004602E-16</v>
      </c>
      <c r="AA148" s="7">
        <v>3.6111430022525798E-16</v>
      </c>
      <c r="AB148" s="7">
        <v>2.7481146527529698E-16</v>
      </c>
      <c r="AC148" s="7">
        <v>-8.6743705034701302E-18</v>
      </c>
    </row>
    <row r="149" spans="1:29" ht="15" x14ac:dyDescent="0.25">
      <c r="A149" s="6">
        <v>35430</v>
      </c>
      <c r="B149" s="6"/>
      <c r="C149" s="6"/>
      <c r="D149">
        <v>-6.9078704029401403E-2</v>
      </c>
      <c r="E149" s="4">
        <v>1.7113826832192199E-16</v>
      </c>
      <c r="F149" s="4">
        <v>2.3424920760331899E-16</v>
      </c>
      <c r="G149" s="4">
        <v>4.1353942440388899E-16</v>
      </c>
      <c r="H149" s="4">
        <v>1.78658420879787E-16</v>
      </c>
      <c r="I149" s="4">
        <v>1.36091724049292E-16</v>
      </c>
      <c r="J149" s="4">
        <v>-2.27098856983641E-17</v>
      </c>
      <c r="V149" s="6"/>
      <c r="W149" s="5">
        <v>-8.4601458852493996E-2</v>
      </c>
      <c r="X149" s="7">
        <v>1.05299306920034E-16</v>
      </c>
      <c r="Y149" s="7">
        <v>-2.0339582460419101E-16</v>
      </c>
      <c r="Z149" s="7">
        <v>4.5679659396610102E-16</v>
      </c>
      <c r="AA149" s="7">
        <v>4.1643085076747798E-16</v>
      </c>
      <c r="AB149" s="7">
        <v>2.7873474613310001E-16</v>
      </c>
      <c r="AC149" s="7">
        <v>-1.1525603580423699E-17</v>
      </c>
    </row>
    <row r="150" spans="1:29" ht="15" x14ac:dyDescent="0.25">
      <c r="A150" s="6">
        <v>35520</v>
      </c>
      <c r="B150" s="6"/>
      <c r="C150" s="6"/>
      <c r="D150">
        <v>-5.3275861119324801E-2</v>
      </c>
      <c r="E150" s="4">
        <v>2.5201146909648502E-16</v>
      </c>
      <c r="F150" s="4">
        <v>3.5172339771585E-16</v>
      </c>
      <c r="G150" s="4">
        <v>4.7308959783892801E-16</v>
      </c>
      <c r="H150" s="4">
        <v>2.13471799466094E-16</v>
      </c>
      <c r="I150" s="4">
        <v>1.06605513047717E-16</v>
      </c>
      <c r="J150" s="4">
        <v>1.61292702990843E-17</v>
      </c>
      <c r="V150" s="6"/>
      <c r="W150" s="5">
        <v>-6.0131011353634203E-2</v>
      </c>
      <c r="X150" s="7">
        <v>2.3212454479601401E-16</v>
      </c>
      <c r="Y150" s="7">
        <v>-1.8525688100758001E-17</v>
      </c>
      <c r="Z150" s="7">
        <v>4.9206677501323099E-16</v>
      </c>
      <c r="AA150" s="7">
        <v>4.1875202858921899E-16</v>
      </c>
      <c r="AB150" s="7">
        <v>2.56562643575791E-16</v>
      </c>
      <c r="AC150" s="7">
        <v>-1.09658704969349E-17</v>
      </c>
    </row>
    <row r="151" spans="1:29" ht="15" x14ac:dyDescent="0.25">
      <c r="A151" s="6">
        <v>35611</v>
      </c>
      <c r="B151" s="6"/>
      <c r="C151" s="6"/>
      <c r="D151">
        <v>1.69118333136388E-2</v>
      </c>
      <c r="E151" s="4">
        <v>4.5968104212917001E-16</v>
      </c>
      <c r="F151" s="4">
        <v>5.1700963952580098E-16</v>
      </c>
      <c r="G151" s="4">
        <v>6.3180226248237105E-16</v>
      </c>
      <c r="H151" s="4">
        <v>2.6676608215230799E-16</v>
      </c>
      <c r="I151" s="4">
        <v>1.9143534340231701E-16</v>
      </c>
      <c r="J151" s="4">
        <v>4.1603602836327E-17</v>
      </c>
      <c r="V151" s="6"/>
      <c r="W151" s="5">
        <v>2.40456640137311E-4</v>
      </c>
      <c r="X151" s="7">
        <v>4.06771207663212E-16</v>
      </c>
      <c r="Y151" s="7">
        <v>-2.2491857392904198E-17</v>
      </c>
      <c r="Z151" s="7">
        <v>4.9261405313889804E-16</v>
      </c>
      <c r="AA151" s="7">
        <v>3.9876394223852301E-16</v>
      </c>
      <c r="AB151" s="7">
        <v>2.7601152194733198E-16</v>
      </c>
      <c r="AC151" s="7">
        <v>-6.4652656123145803E-18</v>
      </c>
    </row>
    <row r="152" spans="1:29" ht="15" x14ac:dyDescent="0.25">
      <c r="A152" s="6">
        <v>35703</v>
      </c>
      <c r="B152" s="6"/>
      <c r="C152" s="6"/>
      <c r="D152">
        <v>-0.144376274369551</v>
      </c>
      <c r="E152" s="4">
        <v>5.2723113043399004E-16</v>
      </c>
      <c r="F152" s="4">
        <v>5.38989690080703E-16</v>
      </c>
      <c r="G152" s="4">
        <v>5.7597082309259401E-16</v>
      </c>
      <c r="H152" s="4">
        <v>2.7573774550322402E-16</v>
      </c>
      <c r="I152" s="4">
        <v>1.65085208855861E-16</v>
      </c>
      <c r="J152" s="4">
        <v>-4.8535764123299603E-18</v>
      </c>
      <c r="V152" s="6"/>
      <c r="W152" s="5">
        <v>-0.16768704921677099</v>
      </c>
      <c r="X152" s="7">
        <v>4.6214780479654304E-16</v>
      </c>
      <c r="Y152" s="7">
        <v>-2.50353059951127E-17</v>
      </c>
      <c r="Z152" s="7">
        <v>5.1577766408961201E-16</v>
      </c>
      <c r="AA152" s="7">
        <v>4.8465390000621098E-16</v>
      </c>
      <c r="AB152" s="7">
        <v>3.7381465767243898E-16</v>
      </c>
      <c r="AC152" s="7">
        <v>5.5646078856102894E-17</v>
      </c>
    </row>
    <row r="153" spans="1:29" ht="15" x14ac:dyDescent="0.25">
      <c r="A153" s="6">
        <v>35795</v>
      </c>
      <c r="B153" s="6"/>
      <c r="C153" s="6"/>
      <c r="D153">
        <v>-6.3102532941468698E-2</v>
      </c>
      <c r="E153" s="4">
        <v>4.3043387563600699E-16</v>
      </c>
      <c r="F153" s="4">
        <v>3.5193914174102298E-16</v>
      </c>
      <c r="G153" s="4">
        <v>6.31205993291183E-16</v>
      </c>
      <c r="H153" s="4">
        <v>2.1043553075055401E-16</v>
      </c>
      <c r="I153" s="4">
        <v>1.2800355166594499E-16</v>
      </c>
      <c r="J153" s="4">
        <v>-9.5482514148844198E-18</v>
      </c>
      <c r="V153" s="6"/>
      <c r="W153" s="5">
        <v>-7.1611284982127099E-2</v>
      </c>
      <c r="X153" s="7">
        <v>5.4005714769162996E-16</v>
      </c>
      <c r="Y153" s="7">
        <v>3.6997513931423699E-17</v>
      </c>
      <c r="Z153" s="7">
        <v>7.6339704815812297E-16</v>
      </c>
      <c r="AA153" s="7">
        <v>6.27880884349321E-16</v>
      </c>
      <c r="AB153" s="7">
        <v>4.35012247124856E-16</v>
      </c>
      <c r="AC153" s="7">
        <v>4.6931649248313802E-18</v>
      </c>
    </row>
    <row r="154" spans="1:29" ht="15" x14ac:dyDescent="0.25">
      <c r="A154" s="6">
        <v>35885</v>
      </c>
      <c r="B154" s="6"/>
      <c r="C154" s="6"/>
      <c r="D154">
        <v>8.3992268740529494E-2</v>
      </c>
      <c r="E154" s="4">
        <v>3.7946789766442402E-16</v>
      </c>
      <c r="F154" s="4">
        <v>5.82259305972024E-16</v>
      </c>
      <c r="G154" s="4">
        <v>6.2049666753797304E-16</v>
      </c>
      <c r="H154" s="4">
        <v>2.1563890710011301E-16</v>
      </c>
      <c r="I154" s="4">
        <v>1.4535112685336801E-16</v>
      </c>
      <c r="J154" s="4">
        <v>2.01877642437228E-17</v>
      </c>
      <c r="V154" s="6"/>
      <c r="W154" s="5">
        <v>0.10090507173183701</v>
      </c>
      <c r="X154" s="7">
        <v>4.7210373209620097E-16</v>
      </c>
      <c r="Y154" s="7">
        <v>2.1473553619739901E-16</v>
      </c>
      <c r="Z154" s="7">
        <v>6.8963843405885205E-16</v>
      </c>
      <c r="AA154" s="7">
        <v>5.8196764349892796E-16</v>
      </c>
      <c r="AB154" s="7">
        <v>3.0901302282593599E-16</v>
      </c>
      <c r="AC154" s="7">
        <v>-2.8136984542563199E-18</v>
      </c>
    </row>
    <row r="155" spans="1:29" ht="15" x14ac:dyDescent="0.25">
      <c r="A155" s="6">
        <v>35976</v>
      </c>
      <c r="B155" s="6"/>
      <c r="C155" s="6"/>
      <c r="D155">
        <v>-1.4664074340737999E-2</v>
      </c>
      <c r="E155" s="4">
        <v>5.2671280133106396E-16</v>
      </c>
      <c r="F155" s="4">
        <v>4.3829038668623702E-16</v>
      </c>
      <c r="G155" s="4">
        <v>5.6342366010099197E-16</v>
      </c>
      <c r="H155" s="4">
        <v>1.80888671517943E-16</v>
      </c>
      <c r="I155" s="4">
        <v>1.41626497048104E-16</v>
      </c>
      <c r="J155" s="4">
        <v>-1.9698236814509701E-17</v>
      </c>
      <c r="V155" s="6"/>
      <c r="W155" s="5">
        <v>-4.6861071322395398E-3</v>
      </c>
      <c r="X155" s="7">
        <v>7.1540941392171898E-16</v>
      </c>
      <c r="Y155" s="7">
        <v>1.3456696727514E-16</v>
      </c>
      <c r="Z155" s="7">
        <v>7.4350267862912705E-16</v>
      </c>
      <c r="AA155" s="7">
        <v>5.2694735927536805E-16</v>
      </c>
      <c r="AB155" s="7">
        <v>4.0639601740636402E-16</v>
      </c>
      <c r="AC155" s="7">
        <v>2.58450052361207E-17</v>
      </c>
    </row>
    <row r="156" spans="1:29" ht="15" x14ac:dyDescent="0.25">
      <c r="A156" s="6">
        <v>36068</v>
      </c>
      <c r="B156" s="6"/>
      <c r="C156" s="6"/>
      <c r="D156">
        <v>5.4688203049990898E-2</v>
      </c>
      <c r="E156" s="4">
        <v>3.4832121140193401E-16</v>
      </c>
      <c r="F156" s="4">
        <v>3.1948241375579298E-16</v>
      </c>
      <c r="G156" s="4">
        <v>5.60971299764469E-16</v>
      </c>
      <c r="H156" s="4">
        <v>1.69626157478319E-16</v>
      </c>
      <c r="I156" s="4">
        <v>1.1349088410288101E-16</v>
      </c>
      <c r="J156" s="4">
        <v>-2.52219814284357E-17</v>
      </c>
      <c r="V156" s="6"/>
      <c r="W156" s="5">
        <v>6.4243841571242799E-2</v>
      </c>
      <c r="X156" s="7">
        <v>6.39286463685663E-16</v>
      </c>
      <c r="Y156" s="7">
        <v>1.8290316583496499E-16</v>
      </c>
      <c r="Z156" s="7">
        <v>7.3099494559855597E-16</v>
      </c>
      <c r="AA156" s="7">
        <v>6.3265745431594703E-16</v>
      </c>
      <c r="AB156" s="7">
        <v>4.5860040864263595E-16</v>
      </c>
      <c r="AC156" s="7">
        <v>7.7332715904346501E-18</v>
      </c>
    </row>
    <row r="157" spans="1:29" ht="15" x14ac:dyDescent="0.25">
      <c r="A157" s="6">
        <v>36160</v>
      </c>
      <c r="B157" s="6"/>
      <c r="C157" s="6"/>
      <c r="D157">
        <v>-0.25937321647160799</v>
      </c>
      <c r="E157" s="4">
        <v>4.1021356442606998E-16</v>
      </c>
      <c r="F157" s="4">
        <v>5.0011496137006705E-16</v>
      </c>
      <c r="G157" s="4">
        <v>6.7186749670615395E-16</v>
      </c>
      <c r="H157" s="4">
        <v>2.6670667180209999E-16</v>
      </c>
      <c r="I157" s="4">
        <v>1.8753677034377599E-16</v>
      </c>
      <c r="J157" s="4">
        <v>3.4965284211284297E-17</v>
      </c>
      <c r="V157" s="6"/>
      <c r="W157" s="5">
        <v>-0.273118687762401</v>
      </c>
      <c r="X157" s="7">
        <v>6.9020388112600501E-16</v>
      </c>
      <c r="Y157" s="7">
        <v>2.08893679019582E-16</v>
      </c>
      <c r="Z157" s="7">
        <v>7.9844244263483296E-16</v>
      </c>
      <c r="AA157" s="7">
        <v>6.8431128026862098E-16</v>
      </c>
      <c r="AB157" s="7">
        <v>4.4082716115592102E-16</v>
      </c>
      <c r="AC157" s="7">
        <v>1.36970294578944E-17</v>
      </c>
    </row>
    <row r="158" spans="1:29" ht="15" x14ac:dyDescent="0.25">
      <c r="A158" s="6">
        <v>36250</v>
      </c>
      <c r="B158" s="6"/>
      <c r="C158" s="6"/>
      <c r="D158">
        <v>-8.3256950454241394E-3</v>
      </c>
      <c r="E158" s="4">
        <v>5.1503309983843699E-16</v>
      </c>
      <c r="F158" s="4">
        <v>4.9662219703906499E-16</v>
      </c>
      <c r="G158" s="4">
        <v>7.9087971155789596E-16</v>
      </c>
      <c r="H158" s="4">
        <v>3.0826341211639502E-16</v>
      </c>
      <c r="I158" s="4">
        <v>2.2192739425225999E-16</v>
      </c>
      <c r="J158" s="4">
        <v>3.8594897184143402E-19</v>
      </c>
      <c r="V158" s="6"/>
      <c r="W158" s="5">
        <v>1.6007740648032599E-2</v>
      </c>
      <c r="X158" s="7">
        <v>7.2961572977311502E-16</v>
      </c>
      <c r="Y158" s="7">
        <v>1.87431960964223E-16</v>
      </c>
      <c r="Z158" s="7">
        <v>8.8492631769805599E-16</v>
      </c>
      <c r="AA158" s="7">
        <v>6.5646327679525299E-16</v>
      </c>
      <c r="AB158" s="7">
        <v>4.6546955175658205E-16</v>
      </c>
      <c r="AC158" s="7">
        <v>-1.4198621711338901E-17</v>
      </c>
    </row>
    <row r="159" spans="1:29" ht="15" x14ac:dyDescent="0.25">
      <c r="A159" s="6">
        <v>36341</v>
      </c>
      <c r="B159" s="6"/>
      <c r="C159" s="6"/>
      <c r="D159">
        <v>-9.7979057170789099E-2</v>
      </c>
      <c r="E159" s="4">
        <v>4.9583494563529504E-16</v>
      </c>
      <c r="F159" s="4">
        <v>5.7264659852847303E-16</v>
      </c>
      <c r="G159" s="4">
        <v>7.5447695372673604E-16</v>
      </c>
      <c r="H159" s="4">
        <v>3.08282524446346E-16</v>
      </c>
      <c r="I159" s="4">
        <v>1.8042510410194001E-16</v>
      </c>
      <c r="J159" s="4">
        <v>-6.2213853983225701E-18</v>
      </c>
      <c r="V159" s="6"/>
      <c r="W159" s="5">
        <v>-9.6600415140184595E-2</v>
      </c>
      <c r="X159" s="7">
        <v>7.6236743599260501E-16</v>
      </c>
      <c r="Y159" s="7">
        <v>3.53451553611483E-16</v>
      </c>
      <c r="Z159" s="7">
        <v>8.6947292904838799E-16</v>
      </c>
      <c r="AA159" s="7">
        <v>7.36318010634523E-16</v>
      </c>
      <c r="AB159" s="7">
        <v>5.0268461237662597E-16</v>
      </c>
      <c r="AC159" s="7">
        <v>1.8918012885276099E-17</v>
      </c>
    </row>
    <row r="160" spans="1:29" ht="15" x14ac:dyDescent="0.25">
      <c r="A160" s="6">
        <v>36433</v>
      </c>
      <c r="B160" s="6"/>
      <c r="C160" s="6"/>
      <c r="D160">
        <v>6.7462713856098797E-2</v>
      </c>
      <c r="E160" s="4">
        <v>6.2247753255457799E-16</v>
      </c>
      <c r="F160" s="4">
        <v>5.6964913847052902E-16</v>
      </c>
      <c r="G160" s="4">
        <v>8.5044181177944995E-16</v>
      </c>
      <c r="H160" s="4">
        <v>3.0750471981887799E-16</v>
      </c>
      <c r="I160" s="4">
        <v>1.9054935565460201E-16</v>
      </c>
      <c r="J160" s="4">
        <v>-1.8993264269217401E-18</v>
      </c>
      <c r="V160" s="6"/>
      <c r="W160" s="5">
        <v>7.6173140235110501E-2</v>
      </c>
      <c r="X160" s="7">
        <v>8.8050120955588096E-16</v>
      </c>
      <c r="Y160" s="7">
        <v>2.0719620740911199E-16</v>
      </c>
      <c r="Z160" s="7">
        <v>8.9103224176755606E-16</v>
      </c>
      <c r="AA160" s="7">
        <v>7.1743370026338796E-16</v>
      </c>
      <c r="AB160" s="7">
        <v>4.85047505705119E-16</v>
      </c>
      <c r="AC160" s="7">
        <v>-1.4690838011433601E-17</v>
      </c>
    </row>
    <row r="161" spans="1:29" ht="15" x14ac:dyDescent="0.25">
      <c r="A161" s="6">
        <v>36525</v>
      </c>
      <c r="B161" s="6"/>
      <c r="C161" s="6"/>
      <c r="D161">
        <v>-5.40294769753955E-2</v>
      </c>
      <c r="E161" s="4">
        <v>5.2646595289735101E-16</v>
      </c>
      <c r="F161" s="4">
        <v>5.4160527325234197E-16</v>
      </c>
      <c r="G161" s="4">
        <v>8.00730939964812E-16</v>
      </c>
      <c r="H161" s="4">
        <v>2.76703877456466E-16</v>
      </c>
      <c r="I161" s="4">
        <v>1.8511957478496201E-16</v>
      </c>
      <c r="J161" s="4">
        <v>-1.8716233152430499E-17</v>
      </c>
      <c r="V161" s="6"/>
      <c r="W161" s="5">
        <v>-7.7187547334861703E-2</v>
      </c>
      <c r="X161" s="7">
        <v>8.2479038868228602E-16</v>
      </c>
      <c r="Y161" s="7">
        <v>3.89644024845414E-16</v>
      </c>
      <c r="Z161" s="7">
        <v>1.04430847081195E-15</v>
      </c>
      <c r="AA161" s="7">
        <v>8.2698027569410099E-16</v>
      </c>
      <c r="AB161" s="7">
        <v>5.6413625298035202E-16</v>
      </c>
      <c r="AC161" s="7">
        <v>3.9042017656085901E-17</v>
      </c>
    </row>
    <row r="162" spans="1:29" ht="15" x14ac:dyDescent="0.25">
      <c r="A162" s="6">
        <v>36616</v>
      </c>
      <c r="B162" s="6"/>
      <c r="C162" s="6"/>
      <c r="D162">
        <v>-0.35205774313640198</v>
      </c>
      <c r="E162" s="4">
        <v>6.8963351139181805E-16</v>
      </c>
      <c r="F162" s="4">
        <v>7.6284634957920002E-16</v>
      </c>
      <c r="G162" s="4">
        <v>9.5326156928304391E-16</v>
      </c>
      <c r="H162" s="4">
        <v>4.3337613768933101E-16</v>
      </c>
      <c r="I162" s="4">
        <v>3.1105021063926498E-16</v>
      </c>
      <c r="J162" s="4">
        <v>1.2694749234844999E-16</v>
      </c>
      <c r="V162" s="6"/>
      <c r="W162" s="5">
        <v>-0.43660933886419501</v>
      </c>
      <c r="X162" s="7">
        <v>1.1466832635170801E-15</v>
      </c>
      <c r="Y162" s="7">
        <v>8.154443549087E-16</v>
      </c>
      <c r="Z162" s="7">
        <v>1.2612694094859601E-15</v>
      </c>
      <c r="AA162" s="7">
        <v>1.0676049443154101E-15</v>
      </c>
      <c r="AB162" s="7">
        <v>7.10134773977747E-16</v>
      </c>
      <c r="AC162" s="7">
        <v>1.4598772594030299E-16</v>
      </c>
    </row>
    <row r="163" spans="1:29" ht="15" x14ac:dyDescent="0.25">
      <c r="A163" s="6">
        <v>36707</v>
      </c>
      <c r="B163" s="6"/>
      <c r="C163" s="6"/>
      <c r="D163">
        <v>0.15828062069507401</v>
      </c>
      <c r="E163" s="4">
        <v>7.7162199395379101E-16</v>
      </c>
      <c r="F163" s="4">
        <v>8.0254838784614298E-16</v>
      </c>
      <c r="G163" s="4">
        <v>1.16682219876957E-15</v>
      </c>
      <c r="H163" s="4">
        <v>4.2418088966975601E-16</v>
      </c>
      <c r="I163" s="4">
        <v>3.7566038758188298E-16</v>
      </c>
      <c r="J163" s="4">
        <v>-4.7197078411543398E-18</v>
      </c>
      <c r="V163" s="6"/>
      <c r="W163" s="5">
        <v>0.151852112401552</v>
      </c>
      <c r="X163" s="7">
        <v>1.30833491510562E-15</v>
      </c>
      <c r="Y163" s="7">
        <v>5.2495393574589704E-16</v>
      </c>
      <c r="Z163" s="7">
        <v>1.21688846262294E-15</v>
      </c>
      <c r="AA163" s="7">
        <v>9.1091093464567807E-16</v>
      </c>
      <c r="AB163" s="7">
        <v>5.94107380213398E-16</v>
      </c>
      <c r="AC163" s="7">
        <v>-3.2603514515972203E-17</v>
      </c>
    </row>
    <row r="164" spans="1:29" ht="15" x14ac:dyDescent="0.25">
      <c r="A164" s="6">
        <v>36799</v>
      </c>
      <c r="B164" s="6"/>
      <c r="C164" s="6"/>
      <c r="D164">
        <v>5.1675904738612999E-2</v>
      </c>
      <c r="E164" s="4">
        <v>7.1433163708924103E-16</v>
      </c>
      <c r="F164" s="4">
        <v>8.2819941151765196E-16</v>
      </c>
      <c r="G164" s="4">
        <v>1.04631727463683E-15</v>
      </c>
      <c r="H164" s="4">
        <v>4.5854327027027297E-16</v>
      </c>
      <c r="I164" s="4">
        <v>2.2554211800577598E-16</v>
      </c>
      <c r="J164" s="4">
        <v>-1.15049705029606E-18</v>
      </c>
      <c r="V164" s="6"/>
      <c r="W164" s="5">
        <v>4.7470437381017597E-2</v>
      </c>
      <c r="X164" s="7">
        <v>1.1591795097820899E-15</v>
      </c>
      <c r="Y164" s="7">
        <v>7.2346471506260998E-16</v>
      </c>
      <c r="Z164" s="7">
        <v>1.27105778584109E-15</v>
      </c>
      <c r="AA164" s="7">
        <v>9.7117997458067107E-16</v>
      </c>
      <c r="AB164" s="7">
        <v>5.8001150653540096E-16</v>
      </c>
      <c r="AC164" s="7">
        <v>5.2216681440124797E-17</v>
      </c>
    </row>
    <row r="165" spans="1:29" ht="15" x14ac:dyDescent="0.25">
      <c r="A165" s="6">
        <v>36891</v>
      </c>
      <c r="B165" s="6"/>
      <c r="C165" s="6"/>
      <c r="D165">
        <v>3.33695694074711E-2</v>
      </c>
      <c r="E165" s="4">
        <v>8.1485504878827296E-16</v>
      </c>
      <c r="F165" s="4">
        <v>8.2861908986270202E-16</v>
      </c>
      <c r="G165" s="4">
        <v>1.1357000614456601E-15</v>
      </c>
      <c r="H165" s="4">
        <v>3.3109300627943198E-16</v>
      </c>
      <c r="I165" s="4">
        <v>2.5718224171049002E-16</v>
      </c>
      <c r="J165" s="4">
        <v>1.1797210759823299E-17</v>
      </c>
      <c r="V165" s="6"/>
      <c r="W165" s="5">
        <v>1.8830695179876601E-2</v>
      </c>
      <c r="X165" s="7">
        <v>1.2403815798424E-15</v>
      </c>
      <c r="Y165" s="7">
        <v>7.4083962169377202E-16</v>
      </c>
      <c r="Z165" s="7">
        <v>1.1934824289938899E-15</v>
      </c>
      <c r="AA165" s="7">
        <v>8.6432695907091595E-16</v>
      </c>
      <c r="AB165" s="7">
        <v>5.6624385400573697E-16</v>
      </c>
      <c r="AC165" s="7">
        <v>1.51874302284778E-17</v>
      </c>
    </row>
    <row r="166" spans="1:29" ht="15" x14ac:dyDescent="0.25">
      <c r="A166" s="6">
        <v>36981</v>
      </c>
      <c r="B166" s="6"/>
      <c r="C166" s="6"/>
      <c r="D166">
        <v>-0.25691759270713799</v>
      </c>
      <c r="E166" s="4">
        <v>7.9186919529221798E-16</v>
      </c>
      <c r="F166" s="4">
        <v>8.9335970597124795E-16</v>
      </c>
      <c r="G166" s="4">
        <v>1.0128551284844201E-15</v>
      </c>
      <c r="H166" s="4">
        <v>3.7397148914174701E-16</v>
      </c>
      <c r="I166" s="4">
        <v>2.8655567401154201E-16</v>
      </c>
      <c r="J166" s="4">
        <v>4.5511289735395598E-17</v>
      </c>
      <c r="V166" s="6"/>
      <c r="W166" s="5">
        <v>-0.28259393014244999</v>
      </c>
      <c r="X166" s="7">
        <v>1.3325658911034001E-15</v>
      </c>
      <c r="Y166" s="7">
        <v>8.3996213367151599E-16</v>
      </c>
      <c r="Z166" s="7">
        <v>1.2208774422280701E-15</v>
      </c>
      <c r="AA166" s="7">
        <v>9.4824452399947507E-16</v>
      </c>
      <c r="AB166" s="7">
        <v>5.8537790126384504E-16</v>
      </c>
      <c r="AC166" s="7">
        <v>5.4290481146683198E-17</v>
      </c>
    </row>
    <row r="167" spans="1:29" ht="15" x14ac:dyDescent="0.25">
      <c r="A167" s="6">
        <v>37072</v>
      </c>
      <c r="B167" s="6"/>
      <c r="C167" s="6"/>
      <c r="D167">
        <v>-0.105899702477996</v>
      </c>
      <c r="E167" s="4">
        <v>8.34238673947562E-16</v>
      </c>
      <c r="F167" s="4">
        <v>7.9945533543507003E-16</v>
      </c>
      <c r="G167" s="4">
        <v>1.0010714970373599E-15</v>
      </c>
      <c r="H167" s="4">
        <v>3.1805977207890198E-16</v>
      </c>
      <c r="I167" s="4">
        <v>2.4631093492555799E-16</v>
      </c>
      <c r="J167" s="4">
        <v>-2.3817870617013701E-17</v>
      </c>
      <c r="V167" s="6"/>
      <c r="W167" s="5">
        <v>-7.4008030899909594E-2</v>
      </c>
      <c r="X167" s="7">
        <v>1.16855171027327E-15</v>
      </c>
      <c r="Y167" s="7">
        <v>6.2601373766948303E-16</v>
      </c>
      <c r="Z167" s="7">
        <v>1.03521481074114E-15</v>
      </c>
      <c r="AA167" s="7">
        <v>7.4484970018806199E-16</v>
      </c>
      <c r="AB167" s="7">
        <v>4.3372319189713499E-16</v>
      </c>
      <c r="AC167" s="7">
        <v>-2.7965405972818002E-17</v>
      </c>
    </row>
    <row r="168" spans="1:29" ht="15" x14ac:dyDescent="0.25">
      <c r="A168" s="6">
        <v>37164</v>
      </c>
      <c r="B168" s="6"/>
      <c r="C168" s="6"/>
      <c r="D168">
        <v>-2.73575933012438E-2</v>
      </c>
      <c r="E168" s="4">
        <v>8.5564635387051998E-16</v>
      </c>
      <c r="F168" s="4">
        <v>9.0427424779120901E-16</v>
      </c>
      <c r="G168" s="4">
        <v>9.2819609940152899E-16</v>
      </c>
      <c r="H168" s="4">
        <v>3.5790977763826101E-16</v>
      </c>
      <c r="I168" s="4">
        <v>1.9479145353126701E-16</v>
      </c>
      <c r="J168" s="4">
        <v>3.20006339326615E-17</v>
      </c>
      <c r="V168" s="6"/>
      <c r="W168" s="5">
        <v>7.2871453279927901E-3</v>
      </c>
      <c r="X168" s="7">
        <v>9.6339244839728906E-16</v>
      </c>
      <c r="Y168" s="7">
        <v>4.9637391174323499E-16</v>
      </c>
      <c r="Z168" s="7">
        <v>8.1625611079187197E-16</v>
      </c>
      <c r="AA168" s="7">
        <v>5.8833242588016198E-16</v>
      </c>
      <c r="AB168" s="7">
        <v>3.1977623562546802E-16</v>
      </c>
      <c r="AC168" s="7">
        <v>-3.0396233353942798E-17</v>
      </c>
    </row>
    <row r="169" spans="1:29" ht="15" x14ac:dyDescent="0.25">
      <c r="A169" s="6">
        <v>37256</v>
      </c>
      <c r="B169" s="6"/>
      <c r="C169" s="6"/>
      <c r="D169">
        <v>-0.34680490490459998</v>
      </c>
      <c r="E169" s="4">
        <v>7.07667389655996E-16</v>
      </c>
      <c r="F169" s="4">
        <v>5.3242285622325698E-16</v>
      </c>
      <c r="G169" s="4">
        <v>7.0210413571428402E-16</v>
      </c>
      <c r="H169" s="4">
        <v>1.18476079862216E-16</v>
      </c>
      <c r="I169" s="4">
        <v>1.32374842585299E-16</v>
      </c>
      <c r="J169" s="4">
        <v>-4.8184657779485001E-17</v>
      </c>
      <c r="V169" s="6"/>
      <c r="W169" s="5">
        <v>-0.34461422297400202</v>
      </c>
      <c r="X169" s="7">
        <v>9.3085977826736498E-16</v>
      </c>
      <c r="Y169" s="7">
        <v>4.5645816516292301E-16</v>
      </c>
      <c r="Z169" s="7">
        <v>8.4914053445190697E-16</v>
      </c>
      <c r="AA169" s="7">
        <v>5.8706487519581098E-16</v>
      </c>
      <c r="AB169" s="7">
        <v>4.0763520754147202E-16</v>
      </c>
      <c r="AC169" s="7">
        <v>1.88034181192729E-17</v>
      </c>
    </row>
    <row r="170" spans="1:29" ht="15" x14ac:dyDescent="0.25">
      <c r="A170" s="6">
        <v>37346</v>
      </c>
      <c r="B170" s="6"/>
      <c r="C170" s="6"/>
      <c r="D170">
        <v>6.4659543102541198E-2</v>
      </c>
      <c r="E170" s="4">
        <v>5.8836948540986997E-16</v>
      </c>
      <c r="F170" s="4">
        <v>6.8788614964039699E-16</v>
      </c>
      <c r="G170" s="4">
        <v>6.1003764769161202E-16</v>
      </c>
      <c r="H170" s="4">
        <v>1.83227154722865E-16</v>
      </c>
      <c r="I170" s="4">
        <v>1.05955463854969E-16</v>
      </c>
      <c r="J170" s="4">
        <v>-1.71250147915605E-18</v>
      </c>
      <c r="V170" s="6"/>
      <c r="W170" s="5">
        <v>9.0688376425059294E-2</v>
      </c>
      <c r="X170" s="7">
        <v>5.6560966993460303E-16</v>
      </c>
      <c r="Y170" s="7">
        <v>2.7333109755351198E-16</v>
      </c>
      <c r="Z170" s="7">
        <v>4.63893695756352E-16</v>
      </c>
      <c r="AA170" s="7">
        <v>3.8382015687618498E-16</v>
      </c>
      <c r="AB170" s="7">
        <v>1.9832534698486201E-16</v>
      </c>
      <c r="AC170" s="7">
        <v>-7.1391013016461395E-17</v>
      </c>
    </row>
    <row r="171" spans="1:29" ht="15" x14ac:dyDescent="0.25">
      <c r="A171" s="6">
        <v>37437</v>
      </c>
      <c r="B171" s="6"/>
      <c r="C171" s="6"/>
      <c r="D171">
        <v>-0.13765889777475199</v>
      </c>
      <c r="E171" s="4">
        <v>7.0015486420163397E-16</v>
      </c>
      <c r="F171" s="4">
        <v>5.3047836982338498E-16</v>
      </c>
      <c r="G171" s="4">
        <v>5.2823044984971601E-16</v>
      </c>
      <c r="H171" s="4">
        <v>1.5578058146421999E-16</v>
      </c>
      <c r="I171" s="4">
        <v>1.3899310005786401E-16</v>
      </c>
      <c r="J171" s="4">
        <v>2.35981563748561E-17</v>
      </c>
      <c r="V171" s="6"/>
      <c r="W171" s="5">
        <v>-0.17802594054943099</v>
      </c>
      <c r="X171" s="7">
        <v>5.9456124744815805E-16</v>
      </c>
      <c r="Y171" s="7">
        <v>1.7620281119245999E-16</v>
      </c>
      <c r="Z171" s="7">
        <v>5.1018081389451901E-16</v>
      </c>
      <c r="AA171" s="7">
        <v>3.8042344586518098E-16</v>
      </c>
      <c r="AB171" s="7">
        <v>2.7692294155429899E-16</v>
      </c>
      <c r="AC171" s="7">
        <v>2.98777725712183E-17</v>
      </c>
    </row>
    <row r="172" spans="1:29" ht="15" x14ac:dyDescent="0.25">
      <c r="A172" s="6">
        <v>37529</v>
      </c>
      <c r="B172" s="6"/>
      <c r="C172" s="6"/>
      <c r="D172">
        <v>-0.13386235103070099</v>
      </c>
      <c r="E172" s="4">
        <v>4.9274798880935896E-16</v>
      </c>
      <c r="F172" s="4">
        <v>4.3682926378018702E-16</v>
      </c>
      <c r="G172" s="4">
        <v>4.6751824255079601E-16</v>
      </c>
      <c r="H172" s="4">
        <v>1.44560665675349E-16</v>
      </c>
      <c r="I172" s="4">
        <v>1.45558293432821E-16</v>
      </c>
      <c r="J172" s="4">
        <v>1.22299603271443E-17</v>
      </c>
      <c r="V172" s="6"/>
      <c r="W172" s="5">
        <v>-0.17933954534771299</v>
      </c>
      <c r="X172" s="7">
        <v>4.9341446084729701E-16</v>
      </c>
      <c r="Y172" s="7">
        <v>2.00343878271251E-16</v>
      </c>
      <c r="Z172" s="7">
        <v>4.9279733679030398E-16</v>
      </c>
      <c r="AA172" s="7">
        <v>4.1423777417876302E-16</v>
      </c>
      <c r="AB172" s="7">
        <v>3.21756008776568E-16</v>
      </c>
      <c r="AC172" s="7">
        <v>1.27779865994653E-18</v>
      </c>
    </row>
    <row r="173" spans="1:29" ht="15" x14ac:dyDescent="0.25">
      <c r="A173" s="6">
        <v>37621</v>
      </c>
      <c r="B173" s="6"/>
      <c r="C173" s="6"/>
      <c r="D173">
        <v>-4.5191564356415097E-3</v>
      </c>
      <c r="E173" s="4">
        <v>4.05806627814306E-16</v>
      </c>
      <c r="F173" s="4">
        <v>3.9428241137332901E-16</v>
      </c>
      <c r="G173" s="4">
        <v>4.05667903013451E-16</v>
      </c>
      <c r="H173" s="4">
        <v>1.1582671333364099E-16</v>
      </c>
      <c r="I173" s="4">
        <v>8.1560112887780804E-17</v>
      </c>
      <c r="J173" s="4">
        <v>-2.36644859750369E-17</v>
      </c>
      <c r="V173" s="6"/>
      <c r="W173" s="5">
        <v>1.34811926417256E-3</v>
      </c>
      <c r="X173" s="7">
        <v>3.7168003008144599E-16</v>
      </c>
      <c r="Y173" s="7">
        <v>9.6169930800263898E-18</v>
      </c>
      <c r="Z173" s="7">
        <v>3.4923189885971E-16</v>
      </c>
      <c r="AA173" s="7">
        <v>3.01470929181156E-16</v>
      </c>
      <c r="AB173" s="7">
        <v>1.60798375445694E-16</v>
      </c>
      <c r="AC173" s="7">
        <v>-5.7603303278958999E-17</v>
      </c>
    </row>
    <row r="174" spans="1:29" ht="15" x14ac:dyDescent="0.25">
      <c r="A174" s="6">
        <v>37711</v>
      </c>
      <c r="B174" s="6"/>
      <c r="C174" s="6"/>
      <c r="D174">
        <v>-0.13130252703555501</v>
      </c>
      <c r="E174" s="4">
        <v>4.3144095077485699E-16</v>
      </c>
      <c r="F174" s="4">
        <v>3.8932425081357499E-16</v>
      </c>
      <c r="G174" s="4">
        <v>3.3670602049669801E-16</v>
      </c>
      <c r="H174" s="4">
        <v>1.04880482086807E-16</v>
      </c>
      <c r="I174" s="4">
        <v>6.0514071405890898E-17</v>
      </c>
      <c r="J174" s="4">
        <v>1.4092903533757001E-17</v>
      </c>
      <c r="V174" s="6"/>
      <c r="W174" s="5">
        <v>-0.15528508158556001</v>
      </c>
      <c r="X174" s="7">
        <v>2.9984850880751398E-16</v>
      </c>
      <c r="Y174" s="7">
        <v>1.27049954038753E-17</v>
      </c>
      <c r="Z174" s="7">
        <v>3.2152096538902401E-16</v>
      </c>
      <c r="AA174" s="7">
        <v>2.4204168905487899E-16</v>
      </c>
      <c r="AB174" s="7">
        <v>1.8301630876684599E-16</v>
      </c>
      <c r="AC174" s="7">
        <v>7.4691935223099197E-18</v>
      </c>
    </row>
    <row r="175" spans="1:29" ht="15" x14ac:dyDescent="0.25">
      <c r="A175" s="6">
        <v>37802</v>
      </c>
      <c r="B175" s="6"/>
      <c r="C175" s="6"/>
      <c r="D175">
        <v>-4.30627202565836E-2</v>
      </c>
      <c r="E175" s="4">
        <v>3.6548967964064098E-16</v>
      </c>
      <c r="F175" s="4">
        <v>2.4819727184279102E-16</v>
      </c>
      <c r="G175" s="4">
        <v>2.6797576272751502E-16</v>
      </c>
      <c r="H175" s="4">
        <v>1.5743354667374699E-17</v>
      </c>
      <c r="I175" s="4">
        <v>3.4482197936457997E-17</v>
      </c>
      <c r="J175" s="4">
        <v>-2.3277632488669499E-17</v>
      </c>
      <c r="V175" s="6"/>
      <c r="W175" s="5">
        <v>-3.8868283763952703E-2</v>
      </c>
      <c r="X175" s="7">
        <v>2.9769453315459099E-16</v>
      </c>
      <c r="Y175" s="7">
        <v>-1.4657117361329301E-16</v>
      </c>
      <c r="Z175" s="7">
        <v>2.4324574000342902E-16</v>
      </c>
      <c r="AA175" s="7">
        <v>2.5164208482063502E-16</v>
      </c>
      <c r="AB175" s="7">
        <v>2.3501255088524899E-16</v>
      </c>
      <c r="AC175" s="7">
        <v>1.5328020459147399E-17</v>
      </c>
    </row>
    <row r="176" spans="1:29" ht="15" x14ac:dyDescent="0.25">
      <c r="A176" s="6">
        <v>37894</v>
      </c>
      <c r="B176" s="6"/>
      <c r="C176" s="6"/>
      <c r="D176">
        <v>-0.13502143963195101</v>
      </c>
      <c r="E176" s="4">
        <v>1.7550869081101301E-16</v>
      </c>
      <c r="F176" s="4">
        <v>1.05508714786506E-16</v>
      </c>
      <c r="G176" s="4">
        <v>9.4316099441048202E-17</v>
      </c>
      <c r="H176" s="4">
        <v>-7.8565594512429102E-17</v>
      </c>
      <c r="I176" s="4">
        <v>-5.4767733105187101E-17</v>
      </c>
      <c r="J176" s="4">
        <v>-6.7666135892425502E-17</v>
      </c>
      <c r="V176" s="6"/>
      <c r="W176" s="5">
        <v>-0.129551242297131</v>
      </c>
      <c r="X176" s="7">
        <v>1.3170217293503399E-16</v>
      </c>
      <c r="Y176" s="7">
        <v>-3.0009263255508698E-16</v>
      </c>
      <c r="Z176" s="7">
        <v>2.4829602076723102E-16</v>
      </c>
      <c r="AA176" s="7">
        <v>3.0269758453936199E-16</v>
      </c>
      <c r="AB176" s="7">
        <v>2.52303380086588E-16</v>
      </c>
      <c r="AC176" s="7">
        <v>1.6052591005258599E-17</v>
      </c>
    </row>
    <row r="177" spans="1:29" ht="15" x14ac:dyDescent="0.25">
      <c r="A177" s="6">
        <v>37986</v>
      </c>
      <c r="B177" s="6"/>
      <c r="C177" s="6"/>
      <c r="D177">
        <v>-0.14649100124575601</v>
      </c>
      <c r="E177" s="4">
        <v>1.8508316429842901E-16</v>
      </c>
      <c r="F177" s="4">
        <v>7.5522246067342395E-17</v>
      </c>
      <c r="G177" s="4">
        <v>1.6752641259568401E-16</v>
      </c>
      <c r="H177" s="4">
        <v>-2.52255328630413E-17</v>
      </c>
      <c r="I177" s="4">
        <v>6.6099862366141396E-19</v>
      </c>
      <c r="J177" s="4">
        <v>1.6535007031106399E-17</v>
      </c>
      <c r="V177" s="6"/>
      <c r="W177" s="5">
        <v>-0.16831383515116499</v>
      </c>
      <c r="X177" s="7">
        <v>1.05505722437647E-16</v>
      </c>
      <c r="Y177" s="7">
        <v>-2.09949369909665E-16</v>
      </c>
      <c r="Z177" s="7">
        <v>4.2275602697470301E-16</v>
      </c>
      <c r="AA177" s="7">
        <v>3.9494912861519599E-16</v>
      </c>
      <c r="AB177" s="7">
        <v>2.8535191830937E-16</v>
      </c>
      <c r="AC177" s="7">
        <v>-1.88084874911979E-18</v>
      </c>
    </row>
    <row r="178" spans="1:29" ht="15" x14ac:dyDescent="0.25">
      <c r="A178" s="6">
        <v>38077</v>
      </c>
      <c r="B178" s="6"/>
      <c r="C178" s="6"/>
      <c r="D178">
        <v>-0.13950926832209201</v>
      </c>
      <c r="E178" s="4">
        <v>3.8783291692581799E-17</v>
      </c>
      <c r="F178" s="4">
        <v>-2.7191964481656301E-17</v>
      </c>
      <c r="G178" s="4">
        <v>1.1476562592656199E-16</v>
      </c>
      <c r="H178" s="4">
        <v>-6.9669527742194095E-17</v>
      </c>
      <c r="I178" s="4">
        <v>2.02147990267871E-17</v>
      </c>
      <c r="J178" s="4">
        <v>-6.2122993552077895E-17</v>
      </c>
      <c r="V178" s="6"/>
      <c r="W178" s="5">
        <v>-0.15995063988559899</v>
      </c>
      <c r="X178" s="7">
        <v>1.6004067371428401E-16</v>
      </c>
      <c r="Y178" s="7">
        <v>-1.2019475987328499E-16</v>
      </c>
      <c r="Z178" s="7">
        <v>4.9932011063692302E-16</v>
      </c>
      <c r="AA178" s="7">
        <v>4.04248065785357E-16</v>
      </c>
      <c r="AB178" s="7">
        <v>2.7154762131873999E-16</v>
      </c>
      <c r="AC178" s="7">
        <v>-2.3554763778058301E-17</v>
      </c>
    </row>
    <row r="179" spans="1:29" ht="15" x14ac:dyDescent="0.25">
      <c r="A179" s="6">
        <v>38168</v>
      </c>
      <c r="B179" s="6"/>
      <c r="C179" s="6"/>
      <c r="D179">
        <v>-0.106340856947373</v>
      </c>
      <c r="E179" s="4">
        <v>1.94825433964526E-16</v>
      </c>
      <c r="F179" s="4">
        <v>2.0111047851258301E-16</v>
      </c>
      <c r="G179" s="4">
        <v>1.9953810641961001E-16</v>
      </c>
      <c r="H179" s="4">
        <v>1.07884162816401E-16</v>
      </c>
      <c r="I179" s="4">
        <v>1.58356730472925E-18</v>
      </c>
      <c r="J179" s="4">
        <v>3.1818207495213199E-17</v>
      </c>
      <c r="V179" s="6"/>
      <c r="W179" s="5">
        <v>-0.12347999070340999</v>
      </c>
      <c r="X179" s="7">
        <v>2.2657122892698802E-16</v>
      </c>
      <c r="Y179" s="7">
        <v>-9.7713092457131104E-17</v>
      </c>
      <c r="Z179" s="7">
        <v>3.5412401644498402E-16</v>
      </c>
      <c r="AA179" s="7">
        <v>3.2539933707899898E-16</v>
      </c>
      <c r="AB179" s="7">
        <v>1.5474550991065499E-16</v>
      </c>
      <c r="AC179" s="7">
        <v>-2.63749165469306E-17</v>
      </c>
    </row>
    <row r="180" spans="1:29" ht="15" x14ac:dyDescent="0.25">
      <c r="A180" s="6">
        <v>38260</v>
      </c>
      <c r="B180" s="6"/>
      <c r="C180" s="6"/>
      <c r="D180">
        <v>-0.101358039504211</v>
      </c>
      <c r="E180" s="4">
        <v>2.7972761597146401E-16</v>
      </c>
      <c r="F180" s="4">
        <v>8.9579364516075197E-17</v>
      </c>
      <c r="G180" s="4">
        <v>3.1859125450269902E-16</v>
      </c>
      <c r="H180" s="4">
        <v>2.2597274799341899E-17</v>
      </c>
      <c r="I180" s="4">
        <v>6.0289591686689795E-17</v>
      </c>
      <c r="J180" s="4">
        <v>-1.4865309508743101E-17</v>
      </c>
      <c r="V180" s="6"/>
      <c r="W180" s="5">
        <v>-0.127762610054001</v>
      </c>
      <c r="X180" s="7">
        <v>4.20835509182398E-16</v>
      </c>
      <c r="Y180" s="7">
        <v>-1.8476999669969999E-16</v>
      </c>
      <c r="Z180" s="7">
        <v>5.5202739789538201E-16</v>
      </c>
      <c r="AA180" s="7">
        <v>3.9451117322119302E-16</v>
      </c>
      <c r="AB180" s="7">
        <v>3.5611228439780401E-16</v>
      </c>
      <c r="AC180" s="7">
        <v>4.3465389251077198E-17</v>
      </c>
    </row>
    <row r="181" spans="1:29" ht="15" x14ac:dyDescent="0.25">
      <c r="A181" s="6">
        <v>38352</v>
      </c>
      <c r="B181" s="6"/>
      <c r="C181" s="6"/>
      <c r="D181">
        <v>-0.137781819400388</v>
      </c>
      <c r="E181" s="4">
        <v>2.2055771864525899E-16</v>
      </c>
      <c r="F181" s="4">
        <v>2.5584917752223499E-16</v>
      </c>
      <c r="G181" s="4">
        <v>2.92622554134098E-16</v>
      </c>
      <c r="H181" s="4">
        <v>1.07910967634372E-16</v>
      </c>
      <c r="I181" s="4">
        <v>4.8035657859298901E-17</v>
      </c>
      <c r="J181" s="4">
        <v>-2.0071051251335701E-18</v>
      </c>
      <c r="V181" s="6"/>
      <c r="W181" s="5">
        <v>-0.176166097138195</v>
      </c>
      <c r="X181" s="7">
        <v>3.33371844068668E-16</v>
      </c>
      <c r="Y181" s="7">
        <v>-3.5593883886476301E-17</v>
      </c>
      <c r="Z181" s="7">
        <v>5.5363686347039598E-16</v>
      </c>
      <c r="AA181" s="7">
        <v>5.4363743514897999E-16</v>
      </c>
      <c r="AB181" s="7">
        <v>3.8264276341386098E-16</v>
      </c>
      <c r="AC181" s="7">
        <v>-5.0541637058694E-18</v>
      </c>
    </row>
    <row r="182" spans="1:29" ht="15" x14ac:dyDescent="0.25">
      <c r="A182" s="6">
        <v>38442</v>
      </c>
      <c r="B182" s="6"/>
      <c r="C182" s="6"/>
      <c r="D182">
        <v>8.5815619782840594E-2</v>
      </c>
      <c r="E182" s="4">
        <v>4.40845551549966E-16</v>
      </c>
      <c r="F182" s="4">
        <v>2.50266973995372E-16</v>
      </c>
      <c r="G182" s="4">
        <v>4.41713173082753E-16</v>
      </c>
      <c r="H182" s="4">
        <v>1.2061233058961301E-16</v>
      </c>
      <c r="I182" s="4">
        <v>5.04867066231652E-17</v>
      </c>
      <c r="J182" s="4">
        <v>-1.8935941396974499E-17</v>
      </c>
      <c r="V182" s="6"/>
      <c r="W182" s="5">
        <v>8.7060910640103004E-2</v>
      </c>
      <c r="X182" s="7">
        <v>3.92651175909021E-16</v>
      </c>
      <c r="Y182" s="7">
        <v>-2.49708392422918E-16</v>
      </c>
      <c r="Z182" s="7">
        <v>5.5539961781169599E-16</v>
      </c>
      <c r="AA182" s="7">
        <v>4.4853600861383197E-16</v>
      </c>
      <c r="AB182" s="7">
        <v>2.4696766600400302E-16</v>
      </c>
      <c r="AC182" s="7">
        <v>-6.9110528375626502E-17</v>
      </c>
    </row>
    <row r="183" spans="1:29" ht="15" x14ac:dyDescent="0.25">
      <c r="A183" s="6">
        <v>38533</v>
      </c>
      <c r="B183" s="6"/>
      <c r="C183" s="6"/>
      <c r="D183">
        <v>-0.113101707669227</v>
      </c>
      <c r="E183" s="4">
        <v>5.0161085455197998E-16</v>
      </c>
      <c r="F183" s="4">
        <v>4.1028978733083499E-16</v>
      </c>
      <c r="G183" s="4">
        <v>4.8759757455172596E-16</v>
      </c>
      <c r="H183" s="4">
        <v>2.08050684261385E-16</v>
      </c>
      <c r="I183" s="4">
        <v>8.5135935883104201E-17</v>
      </c>
      <c r="J183" s="4">
        <v>2.2102565202267999E-17</v>
      </c>
      <c r="V183" s="6"/>
      <c r="W183" s="5">
        <v>-0.15075776587057799</v>
      </c>
      <c r="X183" s="7">
        <v>3.4776480846065398E-16</v>
      </c>
      <c r="Y183" s="7">
        <v>-6.7487534881047899E-17</v>
      </c>
      <c r="Z183" s="7">
        <v>6.7126946520004E-16</v>
      </c>
      <c r="AA183" s="7">
        <v>4.9812745736187404E-16</v>
      </c>
      <c r="AB183" s="7">
        <v>3.6455534517072799E-16</v>
      </c>
      <c r="AC183" s="7">
        <v>1.91927854275453E-17</v>
      </c>
    </row>
    <row r="184" spans="1:29" ht="15" x14ac:dyDescent="0.25">
      <c r="A184" s="6">
        <v>38625</v>
      </c>
      <c r="B184" s="6"/>
      <c r="C184" s="6"/>
      <c r="D184">
        <v>-7.6251475248747896E-2</v>
      </c>
      <c r="E184" s="4">
        <v>6.6108409891625297E-16</v>
      </c>
      <c r="F184" s="4">
        <v>4.4125156534677801E-16</v>
      </c>
      <c r="G184" s="4">
        <v>6.2541182465134498E-16</v>
      </c>
      <c r="H184" s="4">
        <v>2.4409735089086599E-16</v>
      </c>
      <c r="I184" s="4">
        <v>1.31289146253108E-16</v>
      </c>
      <c r="J184" s="4">
        <v>1.7127374221304799E-17</v>
      </c>
      <c r="V184" s="6"/>
      <c r="W184" s="5">
        <v>-0.112573413590906</v>
      </c>
      <c r="X184" s="7">
        <v>5.7311038876576103E-16</v>
      </c>
      <c r="Y184" s="7">
        <v>-2.2499441824744E-18</v>
      </c>
      <c r="Z184" s="7">
        <v>7.1488351127293796E-16</v>
      </c>
      <c r="AA184" s="7">
        <v>6.0298981739984996E-16</v>
      </c>
      <c r="AB184" s="7">
        <v>4.5267668964441798E-16</v>
      </c>
      <c r="AC184" s="7">
        <v>-1.3457086595889999E-18</v>
      </c>
    </row>
    <row r="185" spans="1:29" ht="15" x14ac:dyDescent="0.25">
      <c r="A185" s="6">
        <v>38717</v>
      </c>
      <c r="B185" s="6"/>
      <c r="C185" s="6"/>
      <c r="D185">
        <v>5.4758423790128699E-2</v>
      </c>
      <c r="E185" s="4">
        <v>7.2706582369899005E-16</v>
      </c>
      <c r="F185" s="4">
        <v>6.1036075336525102E-16</v>
      </c>
      <c r="G185" s="4">
        <v>7.5348408227581502E-16</v>
      </c>
      <c r="H185" s="4">
        <v>3.3125088012231402E-16</v>
      </c>
      <c r="I185" s="4">
        <v>1.5351193345036001E-16</v>
      </c>
      <c r="J185" s="4">
        <v>1.4630646873663901E-17</v>
      </c>
      <c r="V185" s="6"/>
      <c r="W185" s="5">
        <v>2.8700409668585398E-2</v>
      </c>
      <c r="X185" s="7">
        <v>5.94824358642764E-16</v>
      </c>
      <c r="Y185" s="7">
        <v>-5.27637438540442E-17</v>
      </c>
      <c r="Z185" s="7">
        <v>7.8012388436573703E-16</v>
      </c>
      <c r="AA185" s="7">
        <v>6.3752863859182203E-16</v>
      </c>
      <c r="AB185" s="7">
        <v>4.1772911340265399E-16</v>
      </c>
      <c r="AC185" s="7">
        <v>-4.9786460345067001E-17</v>
      </c>
    </row>
    <row r="186" spans="1:29" ht="15" x14ac:dyDescent="0.25">
      <c r="A186" s="6">
        <v>38807</v>
      </c>
      <c r="B186" s="6"/>
      <c r="C186" s="6"/>
      <c r="D186">
        <v>-7.0139289954835801E-2</v>
      </c>
      <c r="E186" s="4">
        <v>9.2171473481110102E-16</v>
      </c>
      <c r="F186" s="4">
        <v>7.2984416592048401E-16</v>
      </c>
      <c r="G186" s="4">
        <v>8.01537065836986E-16</v>
      </c>
      <c r="H186" s="4">
        <v>3.75039668984612E-16</v>
      </c>
      <c r="I186" s="4">
        <v>1.43806068193463E-16</v>
      </c>
      <c r="J186" s="4">
        <v>2.2014611433274E-17</v>
      </c>
      <c r="V186" s="6"/>
      <c r="W186" s="5">
        <v>-0.10816170376167999</v>
      </c>
      <c r="X186" s="7">
        <v>6.0831026902555096E-16</v>
      </c>
      <c r="Y186" s="7">
        <v>1.09905036964458E-16</v>
      </c>
      <c r="Z186" s="7">
        <v>8.9314972012065192E-16</v>
      </c>
      <c r="AA186" s="7">
        <v>7.0852017316915303E-16</v>
      </c>
      <c r="AB186" s="7">
        <v>4.9574323275802798E-16</v>
      </c>
      <c r="AC186" s="7">
        <v>4.8147099602790799E-17</v>
      </c>
    </row>
    <row r="187" spans="1:29" ht="15" x14ac:dyDescent="0.25">
      <c r="A187" s="6">
        <v>38898</v>
      </c>
      <c r="B187" s="6"/>
      <c r="C187" s="6"/>
      <c r="D187">
        <v>-1.7680815908999399E-2</v>
      </c>
      <c r="E187" s="4">
        <v>9.4417820106873102E-16</v>
      </c>
      <c r="F187" s="4">
        <v>6.8832282134100496E-16</v>
      </c>
      <c r="G187" s="4">
        <v>8.5506757420510101E-16</v>
      </c>
      <c r="H187" s="4">
        <v>3.2378137753499698E-16</v>
      </c>
      <c r="I187" s="4">
        <v>1.6158457915163999E-16</v>
      </c>
      <c r="J187" s="4">
        <v>5.5914324131913198E-18</v>
      </c>
      <c r="V187" s="6"/>
      <c r="W187" s="5">
        <v>-5.3564638850572499E-2</v>
      </c>
      <c r="X187" s="7">
        <v>8.2142265086081898E-16</v>
      </c>
      <c r="Y187" s="7">
        <v>2.3131009874196002E-16</v>
      </c>
      <c r="Z187" s="7">
        <v>1.03702577121853E-15</v>
      </c>
      <c r="AA187" s="7">
        <v>7.6537387491702203E-16</v>
      </c>
      <c r="AB187" s="7">
        <v>5.6542951310856999E-16</v>
      </c>
      <c r="AC187" s="7">
        <v>-3.6362840142145501E-17</v>
      </c>
    </row>
    <row r="188" spans="1:29" ht="15" x14ac:dyDescent="0.25">
      <c r="A188" s="6">
        <v>38990</v>
      </c>
      <c r="B188" s="6"/>
      <c r="C188" s="6"/>
      <c r="D188">
        <v>-2.5631508145975701E-2</v>
      </c>
      <c r="E188" s="4">
        <v>9.9890555213498608E-16</v>
      </c>
      <c r="F188" s="4">
        <v>8.3688142305434897E-16</v>
      </c>
      <c r="G188" s="4">
        <v>8.3077392528820202E-16</v>
      </c>
      <c r="H188" s="4">
        <v>3.99074908507264E-16</v>
      </c>
      <c r="I188" s="4">
        <v>1.68076759012626E-16</v>
      </c>
      <c r="J188" s="4">
        <v>3.3307436411478199E-17</v>
      </c>
      <c r="V188" s="6"/>
      <c r="W188" s="5">
        <v>-4.3981795547135501E-2</v>
      </c>
      <c r="X188" s="7">
        <v>8.5317744335483596E-16</v>
      </c>
      <c r="Y188" s="7">
        <v>3.9902401521957701E-16</v>
      </c>
      <c r="Z188" s="7">
        <v>1.00353276689113E-15</v>
      </c>
      <c r="AA188" s="7">
        <v>7.9893141395130201E-16</v>
      </c>
      <c r="AB188" s="7">
        <v>4.61850843597877E-16</v>
      </c>
      <c r="AC188" s="7">
        <v>-3.6360750555558398E-18</v>
      </c>
    </row>
    <row r="189" spans="1:29" ht="15" x14ac:dyDescent="0.25">
      <c r="A189" s="6">
        <v>39082</v>
      </c>
      <c r="B189" s="6"/>
      <c r="C189" s="6"/>
      <c r="D189">
        <v>-0.20562476272815999</v>
      </c>
      <c r="E189" s="4">
        <v>1.18892909724615E-15</v>
      </c>
      <c r="F189" s="4">
        <v>8.9879575680946401E-16</v>
      </c>
      <c r="G189" s="4">
        <v>9.8695206497324797E-16</v>
      </c>
      <c r="H189" s="4">
        <v>4.72548991819403E-16</v>
      </c>
      <c r="I189" s="4">
        <v>2.4786226574233402E-16</v>
      </c>
      <c r="J189" s="4">
        <v>8.8869521396920798E-17</v>
      </c>
      <c r="V189" s="6"/>
      <c r="W189" s="5">
        <v>-0.23645943159326399</v>
      </c>
      <c r="X189" s="7">
        <v>1.1015954373036099E-15</v>
      </c>
      <c r="Y189" s="7">
        <v>5.3723538010356597E-16</v>
      </c>
      <c r="Z189" s="7">
        <v>1.14684433416902E-15</v>
      </c>
      <c r="AA189" s="7">
        <v>7.8665389914526897E-16</v>
      </c>
      <c r="AB189" s="7">
        <v>5.5634109343339303E-16</v>
      </c>
      <c r="AC189" s="7">
        <v>5.5885972059835095E-17</v>
      </c>
    </row>
    <row r="190" spans="1:29" ht="15" x14ac:dyDescent="0.25">
      <c r="A190" s="6">
        <v>39172</v>
      </c>
      <c r="B190" s="5" t="s">
        <v>69</v>
      </c>
      <c r="C190" s="5" t="str">
        <f>"20"&amp;RIGHT(B190,2)&amp;"Q"&amp;LEFT(B190,1)</f>
        <v>2007Q1</v>
      </c>
      <c r="D190">
        <v>-0.18499703891394201</v>
      </c>
      <c r="E190" s="4">
        <v>1.0900605866925599E-15</v>
      </c>
      <c r="F190" s="4">
        <v>9.4384056346422298E-16</v>
      </c>
      <c r="G190" s="4">
        <v>1.00684157747582E-15</v>
      </c>
      <c r="H190" s="4">
        <v>4.3491604551330099E-16</v>
      </c>
      <c r="I190" s="4">
        <v>2.5716193237937298E-16</v>
      </c>
      <c r="J190" s="4">
        <v>5.2477528879485798E-17</v>
      </c>
      <c r="W190" s="5">
        <v>-0.18811826220060299</v>
      </c>
      <c r="X190" s="7">
        <v>1.2188571622102001E-15</v>
      </c>
      <c r="Y190" s="7">
        <v>6.5675433824064502E-16</v>
      </c>
      <c r="Z190" s="7">
        <v>1.1229232409616099E-15</v>
      </c>
      <c r="AA190" s="7">
        <v>8.4365607950243802E-16</v>
      </c>
      <c r="AB190" s="7">
        <v>5.65919394701281E-16</v>
      </c>
      <c r="AC190" s="7">
        <v>1.73575861882679E-17</v>
      </c>
    </row>
    <row r="191" spans="1:29" ht="15" x14ac:dyDescent="0.25">
      <c r="A191" s="6">
        <v>39263</v>
      </c>
      <c r="B191" s="5" t="s">
        <v>68</v>
      </c>
      <c r="C191" s="5" t="str">
        <f>"20"&amp;RIGHT(B191,2)&amp;"Q"&amp;LEFT(B191,1)</f>
        <v>2007Q2</v>
      </c>
      <c r="D191">
        <v>3.53394574076396E-2</v>
      </c>
      <c r="E191" s="4">
        <v>1.15651240923088E-15</v>
      </c>
      <c r="F191" s="4">
        <v>1.0241646806096299E-15</v>
      </c>
      <c r="G191" s="4">
        <v>9.7408356592968302E-16</v>
      </c>
      <c r="H191" s="4">
        <v>4.16663826894815E-16</v>
      </c>
      <c r="I191" s="4">
        <v>1.9171432159051299E-16</v>
      </c>
      <c r="J191" s="4">
        <v>1.3549653324087099E-18</v>
      </c>
      <c r="W191" s="5">
        <v>8.8413340596353696E-2</v>
      </c>
      <c r="X191" s="7">
        <v>1.06685078427014E-15</v>
      </c>
      <c r="Y191" s="7">
        <v>4.1596599087306502E-16</v>
      </c>
      <c r="Z191" s="7">
        <v>9.2366683959221793E-16</v>
      </c>
      <c r="AA191" s="7">
        <v>6.4979925231121096E-16</v>
      </c>
      <c r="AB191" s="7">
        <v>4.0467114134317701E-16</v>
      </c>
      <c r="AC191" s="7">
        <v>-3.0146912774798798E-17</v>
      </c>
    </row>
    <row r="192" spans="1:29" ht="15" x14ac:dyDescent="0.25">
      <c r="A192" s="6">
        <v>39355</v>
      </c>
      <c r="B192" s="5" t="s">
        <v>67</v>
      </c>
      <c r="C192" s="5" t="str">
        <f>"20"&amp;RIGHT(B192,2)&amp;"Q"&amp;LEFT(B192,1)</f>
        <v>2007Q3</v>
      </c>
      <c r="D192">
        <v>-0.108140006496701</v>
      </c>
      <c r="E192" s="4">
        <v>1.19848045136075E-15</v>
      </c>
      <c r="F192" s="4">
        <v>9.2130305039817699E-16</v>
      </c>
      <c r="G192" s="4">
        <v>9.0739989898352406E-16</v>
      </c>
      <c r="H192" s="4">
        <v>3.7074230235261299E-16</v>
      </c>
      <c r="I192" s="4">
        <v>1.5627057162249701E-16</v>
      </c>
      <c r="J192" s="4">
        <v>3.4260452174119199E-17</v>
      </c>
      <c r="W192" s="5">
        <v>-8.3222004101189295E-2</v>
      </c>
      <c r="X192" s="7">
        <v>9.6364217322790308E-16</v>
      </c>
      <c r="Y192" s="7">
        <v>4.4199235847525802E-16</v>
      </c>
      <c r="Z192" s="7">
        <v>9.0270423644659704E-16</v>
      </c>
      <c r="AA192" s="7">
        <v>6.02023522180048E-16</v>
      </c>
      <c r="AB192" s="7">
        <v>4.2637017003021898E-16</v>
      </c>
      <c r="AC192" s="7">
        <v>9.3104510328855592E-19</v>
      </c>
    </row>
    <row r="193" spans="1:29" ht="15" x14ac:dyDescent="0.25">
      <c r="A193" s="6">
        <v>39447</v>
      </c>
      <c r="B193" s="5" t="s">
        <v>66</v>
      </c>
      <c r="C193" s="5" t="str">
        <f>"20"&amp;RIGHT(B193,2)&amp;"Q"&amp;LEFT(B193,1)</f>
        <v>2007Q4</v>
      </c>
      <c r="D193">
        <v>-0.27873198404611099</v>
      </c>
      <c r="E193" s="4">
        <v>1.02520878074265E-15</v>
      </c>
      <c r="F193" s="4">
        <v>8.2260185587558005E-16</v>
      </c>
      <c r="G193" s="4">
        <v>8.1748426656057399E-16</v>
      </c>
      <c r="H193" s="4">
        <v>2.8715554532377098E-16</v>
      </c>
      <c r="I193" s="4">
        <v>1.7657300617749999E-16</v>
      </c>
      <c r="J193" s="4">
        <v>2.2136466095699801E-17</v>
      </c>
      <c r="V193" s="5">
        <f>LEFT(C193,4)+1</f>
        <v>2008</v>
      </c>
      <c r="W193" s="5">
        <v>-0.27201267378209398</v>
      </c>
      <c r="X193" s="7">
        <v>9.3987566590707604E-16</v>
      </c>
      <c r="Y193" s="7">
        <v>5.1277387289026304E-16</v>
      </c>
      <c r="Z193" s="7">
        <v>8.4776194125643004E-16</v>
      </c>
      <c r="AA193" s="7">
        <v>6.2495579668974299E-16</v>
      </c>
      <c r="AB193" s="7">
        <v>4.56533997823092E-16</v>
      </c>
      <c r="AC193" s="7">
        <v>3.4740652193555202E-17</v>
      </c>
    </row>
    <row r="194" spans="1:29" ht="15" x14ac:dyDescent="0.25">
      <c r="A194" s="6">
        <v>39538</v>
      </c>
      <c r="B194" s="5" t="s">
        <v>65</v>
      </c>
      <c r="C194" s="5" t="str">
        <f>"20"&amp;RIGHT(B194,2)&amp;"Q"&amp;LEFT(B194,1)</f>
        <v>2008Q1</v>
      </c>
      <c r="D194">
        <v>-0.30552875057286599</v>
      </c>
      <c r="E194" s="4">
        <v>9.0065873776934705E-16</v>
      </c>
      <c r="F194" s="4">
        <v>7.76407969953344E-16</v>
      </c>
      <c r="G194" s="4">
        <v>7.3360769818483197E-16</v>
      </c>
      <c r="H194" s="4">
        <v>2.7558222241507501E-16</v>
      </c>
      <c r="I194" s="4">
        <v>1.6214553638165701E-16</v>
      </c>
      <c r="J194" s="4">
        <v>2.94640849528207E-17</v>
      </c>
      <c r="V194" s="5">
        <f>LEFT(C194,4)+1</f>
        <v>2009</v>
      </c>
      <c r="W194" s="5">
        <v>-0.26939449792609199</v>
      </c>
      <c r="X194" s="7">
        <v>9.3046474178825308E-16</v>
      </c>
      <c r="Y194" s="7">
        <v>4.6942962415543101E-16</v>
      </c>
      <c r="Z194" s="7">
        <v>7.9036322335163905E-16</v>
      </c>
      <c r="AA194" s="7">
        <v>5.6280670685734398E-16</v>
      </c>
      <c r="AB194" s="7">
        <v>3.8010689480897102E-16</v>
      </c>
      <c r="AC194" s="7">
        <v>-1.4116953288067899E-17</v>
      </c>
    </row>
    <row r="195" spans="1:29" ht="15" x14ac:dyDescent="0.25">
      <c r="A195" s="6">
        <v>39629</v>
      </c>
      <c r="B195" s="5" t="s">
        <v>64</v>
      </c>
      <c r="C195" s="5" t="str">
        <f>"20"&amp;RIGHT(B195,2)&amp;"Q"&amp;LEFT(B195,1)</f>
        <v>2008Q2</v>
      </c>
      <c r="D195">
        <v>-0.29747601762697301</v>
      </c>
      <c r="E195" s="4">
        <v>8.4390522182585299E-16</v>
      </c>
      <c r="F195" s="4">
        <v>7.0700785260862804E-16</v>
      </c>
      <c r="G195" s="4">
        <v>6.6408188698719603E-16</v>
      </c>
      <c r="H195" s="4">
        <v>2.3753909460511302E-16</v>
      </c>
      <c r="I195" s="4">
        <v>1.3960054383426E-16</v>
      </c>
      <c r="J195" s="4">
        <v>-5.2539771060926E-18</v>
      </c>
      <c r="V195" s="5">
        <f>LEFT(C195,4)+1</f>
        <v>2009</v>
      </c>
      <c r="W195" s="5">
        <v>-0.27516615872539402</v>
      </c>
      <c r="X195" s="7">
        <v>7.7487379473541104E-16</v>
      </c>
      <c r="Y195" s="7">
        <v>4.0211110415934198E-16</v>
      </c>
      <c r="Z195" s="7">
        <v>6.2916927892584396E-16</v>
      </c>
      <c r="AA195" s="7">
        <v>4.21579406489103E-16</v>
      </c>
      <c r="AB195" s="7">
        <v>2.92938065087939E-16</v>
      </c>
      <c r="AC195" s="7">
        <v>-1.34722468667546E-17</v>
      </c>
    </row>
    <row r="196" spans="1:29" ht="15" x14ac:dyDescent="0.25">
      <c r="A196" s="6">
        <v>39721</v>
      </c>
      <c r="B196" s="5" t="s">
        <v>63</v>
      </c>
      <c r="C196" s="5" t="str">
        <f>"20"&amp;RIGHT(B196,2)&amp;"Q"&amp;LEFT(B196,1)</f>
        <v>2008Q3</v>
      </c>
      <c r="D196">
        <v>0.14155164512947399</v>
      </c>
      <c r="E196" s="4">
        <v>7.6298923768357901E-16</v>
      </c>
      <c r="F196" s="4">
        <v>6.5789050647099104E-16</v>
      </c>
      <c r="G196" s="4">
        <v>6.2939736669715201E-16</v>
      </c>
      <c r="H196" s="4">
        <v>2.2375202116194899E-16</v>
      </c>
      <c r="I196" s="4">
        <v>1.06965878172938E-16</v>
      </c>
      <c r="J196" s="4">
        <v>1.44161853516903E-17</v>
      </c>
      <c r="V196" s="5">
        <f>LEFT(C196,4)+1</f>
        <v>2009</v>
      </c>
      <c r="W196" s="5">
        <v>0.190395290814899</v>
      </c>
      <c r="X196" s="7">
        <v>6.57967821884399E-16</v>
      </c>
      <c r="Y196" s="7">
        <v>2.3303880796421699E-16</v>
      </c>
      <c r="Z196" s="7">
        <v>4.5168418041625805E-16</v>
      </c>
      <c r="AA196" s="7">
        <v>2.4540910464739302E-16</v>
      </c>
      <c r="AB196" s="7">
        <v>1.8695886916226299E-16</v>
      </c>
      <c r="AC196" s="7">
        <v>-9.7844568954739598E-17</v>
      </c>
    </row>
    <row r="197" spans="1:29" ht="15" x14ac:dyDescent="0.25">
      <c r="A197" s="6">
        <v>39813</v>
      </c>
      <c r="B197" s="5" t="s">
        <v>62</v>
      </c>
      <c r="C197" s="5" t="str">
        <f>"20"&amp;RIGHT(B197,2)&amp;"Q"&amp;LEFT(B197,1)</f>
        <v>2008Q4</v>
      </c>
      <c r="D197">
        <v>0.20467000958495801</v>
      </c>
      <c r="E197">
        <v>0.183928354810071</v>
      </c>
      <c r="F197">
        <v>0.14181348534904401</v>
      </c>
      <c r="G197">
        <v>6.6446688678691607E-2</v>
      </c>
      <c r="H197">
        <v>4.0642982058153101E-2</v>
      </c>
      <c r="I197">
        <v>2.9153821605798599E-2</v>
      </c>
      <c r="J197">
        <v>2.43578017806198E-2</v>
      </c>
      <c r="V197" s="5">
        <f>LEFT(C197,4)+1</f>
        <v>2009</v>
      </c>
      <c r="W197" s="5">
        <v>0.30134678478148302</v>
      </c>
      <c r="X197" s="5">
        <v>0.16551230358442001</v>
      </c>
      <c r="Y197" s="5">
        <v>9.7415960858054207E-2</v>
      </c>
      <c r="Z197" s="5">
        <v>2.2317106881618101E-2</v>
      </c>
      <c r="AA197" s="5">
        <v>5.2221681397981203E-3</v>
      </c>
      <c r="AB197" s="5">
        <v>3.1178031753707801E-3</v>
      </c>
      <c r="AC197" s="5">
        <v>6.55511451585676E-3</v>
      </c>
    </row>
    <row r="198" spans="1:29" ht="15" x14ac:dyDescent="0.25">
      <c r="A198" s="6">
        <v>39903</v>
      </c>
      <c r="B198" s="5" t="s">
        <v>61</v>
      </c>
      <c r="C198" s="5" t="str">
        <f>"20"&amp;RIGHT(B198,2)&amp;"Q"&amp;LEFT(B198,1)</f>
        <v>2009Q1</v>
      </c>
      <c r="D198">
        <v>0.53167060169130098</v>
      </c>
      <c r="E198">
        <v>0.20760934845545201</v>
      </c>
      <c r="F198">
        <v>0.119218456911976</v>
      </c>
      <c r="G198">
        <v>8.4010725515407295E-2</v>
      </c>
      <c r="H198">
        <v>2.47638465942196E-2</v>
      </c>
      <c r="I198">
        <v>3.72170122309139E-2</v>
      </c>
      <c r="J198">
        <v>4.97123183519965E-2</v>
      </c>
      <c r="V198" s="5">
        <f>LEFT(C198,4)+1</f>
        <v>2010</v>
      </c>
      <c r="W198" s="5">
        <v>0.65202540451194801</v>
      </c>
      <c r="X198" s="5">
        <v>0.17614486806690299</v>
      </c>
      <c r="Y198" s="5">
        <v>8.9707505692325398E-2</v>
      </c>
      <c r="Z198" s="5">
        <v>6.0666552958556899E-2</v>
      </c>
      <c r="AA198" s="5">
        <v>8.9712352065716306E-3</v>
      </c>
      <c r="AB198" s="5">
        <v>2.87688453568807E-2</v>
      </c>
      <c r="AC198" s="5">
        <v>4.5538503743406802E-2</v>
      </c>
    </row>
    <row r="199" spans="1:29" ht="15" x14ac:dyDescent="0.25">
      <c r="A199" s="6">
        <v>39994</v>
      </c>
      <c r="B199" s="5" t="s">
        <v>60</v>
      </c>
      <c r="C199" s="5" t="str">
        <f>"20"&amp;RIGHT(B199,2)&amp;"Q"&amp;LEFT(B199,1)</f>
        <v>2009Q2</v>
      </c>
      <c r="D199">
        <v>0.41853267056344701</v>
      </c>
      <c r="E199">
        <v>0.118080536570029</v>
      </c>
      <c r="F199">
        <v>8.8024830082468197E-2</v>
      </c>
      <c r="G199">
        <v>7.49639364072551E-2</v>
      </c>
      <c r="H199">
        <v>8.2316372523833503E-2</v>
      </c>
      <c r="I199">
        <v>4.6823088187251199E-2</v>
      </c>
      <c r="J199">
        <v>7.1506635875720495E-2</v>
      </c>
      <c r="V199" s="5">
        <f>LEFT(C199,4)+1</f>
        <v>2010</v>
      </c>
      <c r="W199" s="5">
        <v>0.49367955231951099</v>
      </c>
      <c r="X199" s="5">
        <v>8.8592728181937905E-2</v>
      </c>
      <c r="Y199" s="5">
        <v>6.1974169172063699E-2</v>
      </c>
      <c r="Z199" s="5">
        <v>5.7712830169004602E-2</v>
      </c>
      <c r="AA199" s="5">
        <v>7.2781563492613804E-2</v>
      </c>
      <c r="AB199" s="5">
        <v>4.2211170166748802E-2</v>
      </c>
      <c r="AC199" s="5">
        <v>7.0445845580727806E-2</v>
      </c>
    </row>
    <row r="200" spans="1:29" ht="15" x14ac:dyDescent="0.25">
      <c r="A200" s="6">
        <v>40086</v>
      </c>
      <c r="B200" s="5" t="s">
        <v>59</v>
      </c>
      <c r="C200" s="5" t="str">
        <f>"20"&amp;RIGHT(B200,2)&amp;"Q"&amp;LEFT(B200,1)</f>
        <v>2009Q3</v>
      </c>
      <c r="D200">
        <v>0.143015716170243</v>
      </c>
      <c r="E200">
        <v>-1.8661028475978399E-2</v>
      </c>
      <c r="F200">
        <v>-1.6037728534702199E-3</v>
      </c>
      <c r="G200">
        <v>1.66613748912918E-2</v>
      </c>
      <c r="H200">
        <v>1.73189002622097E-2</v>
      </c>
      <c r="I200">
        <v>4.7599513045876E-2</v>
      </c>
      <c r="J200">
        <v>4.8332520400271903E-2</v>
      </c>
      <c r="V200" s="5">
        <f>LEFT(C200,4)+1</f>
        <v>2010</v>
      </c>
      <c r="W200" s="5">
        <v>0.16428129502462499</v>
      </c>
      <c r="X200" s="5">
        <v>-3.4531184257489002E-2</v>
      </c>
      <c r="Y200" s="5">
        <v>-4.9958816593108002E-3</v>
      </c>
      <c r="Z200" s="5">
        <v>2.1215258717775302E-2</v>
      </c>
      <c r="AA200" s="5">
        <v>2.6351762961198899E-2</v>
      </c>
      <c r="AB200" s="5">
        <v>5.8693995022342599E-2</v>
      </c>
      <c r="AC200" s="5">
        <v>5.8620330593423503E-2</v>
      </c>
    </row>
    <row r="201" spans="1:29" ht="15" x14ac:dyDescent="0.25">
      <c r="A201" s="6">
        <v>40178</v>
      </c>
      <c r="B201" s="5" t="s">
        <v>58</v>
      </c>
      <c r="C201" s="5" t="str">
        <f>"20"&amp;RIGHT(B201,2)&amp;"Q"&amp;LEFT(B201,1)</f>
        <v>2009Q4</v>
      </c>
      <c r="D201">
        <v>0.32217832433021099</v>
      </c>
      <c r="E201">
        <v>4.5306422279326401E-2</v>
      </c>
      <c r="F201">
        <v>3.5057824657569299E-2</v>
      </c>
      <c r="G201">
        <v>6.8620732112767494E-2</v>
      </c>
      <c r="H201">
        <v>5.9924308113825098E-2</v>
      </c>
      <c r="I201">
        <v>6.1454640838895902E-2</v>
      </c>
      <c r="J201">
        <v>6.2755973867180195E-2</v>
      </c>
      <c r="V201" s="5">
        <f>LEFT(C201,4)+1</f>
        <v>2010</v>
      </c>
      <c r="W201" s="5">
        <v>0.36668054601685202</v>
      </c>
      <c r="X201" s="5">
        <v>1.52068568869714E-2</v>
      </c>
      <c r="Y201" s="5">
        <v>2.11788971954542E-2</v>
      </c>
      <c r="Z201" s="5">
        <v>6.4780452523881898E-2</v>
      </c>
      <c r="AA201" s="5">
        <v>6.1512325568565299E-2</v>
      </c>
      <c r="AB201" s="5">
        <v>6.60572167334946E-2</v>
      </c>
      <c r="AC201" s="5">
        <v>6.7894049088438796E-2</v>
      </c>
    </row>
    <row r="202" spans="1:29" ht="15" x14ac:dyDescent="0.25">
      <c r="A202" s="6">
        <v>40268</v>
      </c>
      <c r="B202" s="5" t="s">
        <v>57</v>
      </c>
      <c r="C202" s="5" t="str">
        <f>"20"&amp;RIGHT(B202,2)&amp;"Q"&amp;LEFT(B202,1)</f>
        <v>2010Q1</v>
      </c>
      <c r="D202">
        <v>0.18676611779665001</v>
      </c>
      <c r="E202">
        <v>7.0112492388729802E-3</v>
      </c>
      <c r="F202">
        <v>1.3873884594286101E-2</v>
      </c>
      <c r="G202">
        <v>-1.2574910782524101E-3</v>
      </c>
      <c r="H202">
        <v>2.24656917463147E-2</v>
      </c>
      <c r="I202">
        <v>2.11303046598551E-2</v>
      </c>
      <c r="J202">
        <v>4.9621639371369798E-2</v>
      </c>
      <c r="V202" s="5">
        <f>LEFT(C202,4)+1</f>
        <v>2011</v>
      </c>
      <c r="W202" s="5">
        <v>0.19692972401401701</v>
      </c>
      <c r="X202" s="5">
        <v>-6.2025481215285099E-3</v>
      </c>
      <c r="Y202" s="5">
        <v>1.8850956826559798E-2</v>
      </c>
      <c r="Z202" s="5">
        <v>1.1805777752237999E-2</v>
      </c>
      <c r="AA202" s="5">
        <v>3.9927015094862801E-2</v>
      </c>
      <c r="AB202" s="5">
        <v>3.9010130717026102E-2</v>
      </c>
      <c r="AC202" s="5">
        <v>6.5925895543506696E-2</v>
      </c>
    </row>
    <row r="203" spans="1:29" ht="15" x14ac:dyDescent="0.25">
      <c r="A203" s="6">
        <v>40359</v>
      </c>
      <c r="B203" s="5" t="s">
        <v>56</v>
      </c>
      <c r="C203" s="5" t="str">
        <f>"20"&amp;RIGHT(B203,2)&amp;"Q"&amp;LEFT(B203,1)</f>
        <v>2010Q2</v>
      </c>
      <c r="D203">
        <v>-2.2007394481891401E-2</v>
      </c>
      <c r="E203">
        <v>-9.2997039552210697E-2</v>
      </c>
      <c r="F203">
        <v>-7.7097480524233999E-2</v>
      </c>
      <c r="G203">
        <v>-7.6903172644569598E-2</v>
      </c>
      <c r="H203">
        <v>-6.7961559345234901E-2</v>
      </c>
      <c r="I203">
        <v>-5.6776457952376097E-2</v>
      </c>
      <c r="J203">
        <v>-2.0015202163610499E-2</v>
      </c>
      <c r="V203" s="5">
        <f>LEFT(C203,4)+1</f>
        <v>2011</v>
      </c>
      <c r="W203" s="5">
        <v>-5.6527465253514902E-2</v>
      </c>
      <c r="X203" s="5">
        <v>-8.4072686380341904E-2</v>
      </c>
      <c r="Y203" s="5">
        <v>-5.93424279744919E-2</v>
      </c>
      <c r="Z203" s="5">
        <v>-5.7235519097420001E-2</v>
      </c>
      <c r="AA203" s="5">
        <v>-4.8283985084510497E-2</v>
      </c>
      <c r="AB203" s="5">
        <v>-3.80673988822074E-2</v>
      </c>
      <c r="AC203" s="5">
        <v>-2.9027201343575699E-3</v>
      </c>
    </row>
    <row r="204" spans="1:29" ht="15" x14ac:dyDescent="0.25">
      <c r="A204" s="6">
        <v>40451</v>
      </c>
      <c r="B204" s="5" t="s">
        <v>55</v>
      </c>
      <c r="C204" s="5" t="str">
        <f>"20"&amp;RIGHT(B204,2)&amp;"Q"&amp;LEFT(B204,1)</f>
        <v>2010Q3</v>
      </c>
      <c r="D204">
        <v>6.6593822355199103E-2</v>
      </c>
      <c r="E204">
        <v>-4.11042143460707E-2</v>
      </c>
      <c r="F204">
        <v>-6.6357520614128807E-2</v>
      </c>
      <c r="G204">
        <v>-7.5476132486622299E-2</v>
      </c>
      <c r="H204">
        <v>-5.08884598434024E-2</v>
      </c>
      <c r="I204">
        <v>-4.98378475221175E-2</v>
      </c>
      <c r="J204">
        <v>-4.2506232719377403E-2</v>
      </c>
      <c r="V204" s="5">
        <f>LEFT(C204,4)+1</f>
        <v>2011</v>
      </c>
      <c r="W204" s="5">
        <v>6.4275363782840406E-2</v>
      </c>
      <c r="X204" s="5">
        <v>-2.6918037278246001E-2</v>
      </c>
      <c r="Y204" s="5">
        <v>-4.1940821426261397E-2</v>
      </c>
      <c r="Z204" s="5">
        <v>-4.7830420272935499E-2</v>
      </c>
      <c r="AA204" s="5">
        <v>-2.3417748063799999E-2</v>
      </c>
      <c r="AB204" s="5">
        <v>-2.4988326871274599E-2</v>
      </c>
      <c r="AC204" s="5">
        <v>-2.0801704403308599E-2</v>
      </c>
    </row>
    <row r="205" spans="1:29" ht="15" x14ac:dyDescent="0.25">
      <c r="A205" s="6">
        <v>40543</v>
      </c>
      <c r="B205" s="5" t="s">
        <v>54</v>
      </c>
      <c r="C205" s="5" t="str">
        <f>"20"&amp;RIGHT(B205,2)&amp;"Q"&amp;LEFT(B205,1)</f>
        <v>2010Q4</v>
      </c>
      <c r="D205">
        <v>0.10746944733500401</v>
      </c>
      <c r="E205">
        <v>-4.5482645925965799E-2</v>
      </c>
      <c r="F205">
        <v>-6.1579627179551399E-2</v>
      </c>
      <c r="G205">
        <v>-3.7821741494918501E-2</v>
      </c>
      <c r="H205">
        <v>-3.6928503018466702E-2</v>
      </c>
      <c r="I205">
        <v>-5.1086816705631002E-3</v>
      </c>
      <c r="J205">
        <v>-1.8667199088413401E-3</v>
      </c>
      <c r="V205" s="5">
        <f>LEFT(C205,4)+1</f>
        <v>2011</v>
      </c>
      <c r="W205" s="5">
        <v>0.11304107960504001</v>
      </c>
      <c r="X205" s="5">
        <v>-4.8545256802903503E-2</v>
      </c>
      <c r="Y205" s="5">
        <v>-4.7831865400913998E-2</v>
      </c>
      <c r="Z205" s="5">
        <v>-1.8126268408102102E-2</v>
      </c>
      <c r="AA205" s="5">
        <v>-1.64793811282654E-2</v>
      </c>
      <c r="AB205" s="5">
        <v>1.40938087157172E-2</v>
      </c>
      <c r="AC205" s="5">
        <v>1.40918057082428E-2</v>
      </c>
    </row>
    <row r="206" spans="1:29" ht="15" x14ac:dyDescent="0.25">
      <c r="A206" s="6">
        <v>40633</v>
      </c>
      <c r="B206" s="5" t="s">
        <v>53</v>
      </c>
      <c r="C206" s="5" t="str">
        <f>"20"&amp;RIGHT(B206,2)&amp;"Q"&amp;LEFT(B206,1)</f>
        <v>2011Q1</v>
      </c>
      <c r="D206">
        <v>-1.7317472926123598E-2</v>
      </c>
      <c r="E206">
        <v>-3.9200943583272599E-2</v>
      </c>
      <c r="F206">
        <v>-1.7910699806624499E-2</v>
      </c>
      <c r="G206">
        <v>-1.2704166486582199E-3</v>
      </c>
      <c r="H206">
        <v>2.1848986749970399E-2</v>
      </c>
      <c r="I206">
        <v>-3.4057839190841598E-3</v>
      </c>
      <c r="J206">
        <v>2.9108849798766202E-2</v>
      </c>
      <c r="V206" s="5">
        <f>LEFT(C206,4)+1</f>
        <v>2012</v>
      </c>
      <c r="W206" s="5">
        <v>-3.8564030148250203E-2</v>
      </c>
      <c r="X206" s="5">
        <v>-3.2272390268361303E-2</v>
      </c>
      <c r="Y206" s="5">
        <v>-3.5417654225516898E-4</v>
      </c>
      <c r="Z206" s="5">
        <v>2.2955595474482102E-2</v>
      </c>
      <c r="AA206" s="5">
        <v>4.7971647330567399E-2</v>
      </c>
      <c r="AB206" s="5">
        <v>2.0833939848475699E-2</v>
      </c>
      <c r="AC206" s="5">
        <v>5.0247232062130401E-2</v>
      </c>
    </row>
    <row r="207" spans="1:29" ht="15" x14ac:dyDescent="0.25">
      <c r="A207" s="6">
        <v>40724</v>
      </c>
      <c r="B207" s="5" t="s">
        <v>52</v>
      </c>
      <c r="C207" s="5" t="str">
        <f>"20"&amp;RIGHT(B207,2)&amp;"Q"&amp;LEFT(B207,1)</f>
        <v>2011Q2</v>
      </c>
      <c r="D207">
        <v>4.21011758171509E-2</v>
      </c>
      <c r="E207">
        <v>-6.6700817645921798E-2</v>
      </c>
      <c r="F207">
        <v>-4.9566463151524798E-2</v>
      </c>
      <c r="G207">
        <v>-5.1383202923433499E-2</v>
      </c>
      <c r="H207">
        <v>-4.49437116496973E-2</v>
      </c>
      <c r="I207">
        <v>-3.6719587097489001E-2</v>
      </c>
      <c r="J207">
        <v>-3.1138000779887399E-3</v>
      </c>
      <c r="V207" s="5">
        <f>LEFT(C207,4)+1</f>
        <v>2012</v>
      </c>
      <c r="W207" s="5">
        <v>1.96593006211064E-2</v>
      </c>
      <c r="X207" s="5">
        <v>-6.6488907845920403E-2</v>
      </c>
      <c r="Y207" s="5">
        <v>-2.9116594255571799E-2</v>
      </c>
      <c r="Z207" s="5">
        <v>-2.56752953202131E-2</v>
      </c>
      <c r="AA207" s="5">
        <v>-1.87149871661203E-2</v>
      </c>
      <c r="AB207" s="5">
        <v>-1.2632583459953399E-2</v>
      </c>
      <c r="AC207" s="5">
        <v>1.74242563850645E-2</v>
      </c>
    </row>
    <row r="208" spans="1:29" ht="15" x14ac:dyDescent="0.25">
      <c r="A208" s="6">
        <v>40816</v>
      </c>
      <c r="B208" s="5" t="s">
        <v>51</v>
      </c>
      <c r="C208" s="5" t="str">
        <f>"20"&amp;RIGHT(B208,2)&amp;"Q"&amp;LEFT(B208,1)</f>
        <v>2011Q3</v>
      </c>
      <c r="D208">
        <v>2.8056400413304899E-2</v>
      </c>
      <c r="E208">
        <v>-7.6267415000873695E-2</v>
      </c>
      <c r="F208">
        <v>-9.1231278940306804E-2</v>
      </c>
      <c r="G208">
        <v>-8.6669983143083607E-2</v>
      </c>
      <c r="H208">
        <v>-7.7643679996333398E-2</v>
      </c>
      <c r="I208">
        <v>-4.1659970358132299E-2</v>
      </c>
      <c r="J208">
        <v>-5.9232200759106797E-2</v>
      </c>
      <c r="V208" s="5">
        <f>LEFT(C208,4)+1</f>
        <v>2012</v>
      </c>
      <c r="W208" s="5">
        <v>3.8466718216953401E-3</v>
      </c>
      <c r="X208" s="5">
        <v>-6.9548161080717805E-2</v>
      </c>
      <c r="Y208" s="5">
        <v>-7.0459230435700904E-2</v>
      </c>
      <c r="Z208" s="5">
        <v>-6.3128713584132301E-2</v>
      </c>
      <c r="AA208" s="5">
        <v>-5.5315623463678097E-2</v>
      </c>
      <c r="AB208" s="5">
        <v>-2.1915046211172601E-2</v>
      </c>
      <c r="AC208" s="5">
        <v>-4.3100975762495497E-2</v>
      </c>
    </row>
    <row r="209" spans="1:29" ht="15" x14ac:dyDescent="0.25">
      <c r="A209" s="6">
        <v>40908</v>
      </c>
      <c r="B209" s="5" t="s">
        <v>50</v>
      </c>
      <c r="C209" s="5" t="str">
        <f>"20"&amp;RIGHT(B209,2)&amp;"Q"&amp;LEFT(B209,1)</f>
        <v>2011Q4</v>
      </c>
      <c r="D209">
        <v>1.7283859203808101E-2</v>
      </c>
      <c r="E209">
        <v>-6.3439893014187093E-2</v>
      </c>
      <c r="F209">
        <v>-6.6314100775489299E-2</v>
      </c>
      <c r="G209">
        <v>-6.1433168951018399E-2</v>
      </c>
      <c r="H209">
        <v>-5.5393839769330197E-2</v>
      </c>
      <c r="I209">
        <v>-2.34017783322913E-2</v>
      </c>
      <c r="J209">
        <v>-4.5098907271263401E-2</v>
      </c>
      <c r="V209" s="5">
        <f>LEFT(C209,4)+1</f>
        <v>2012</v>
      </c>
      <c r="W209" s="5">
        <v>-2.2293278683635599E-2</v>
      </c>
      <c r="X209" s="5">
        <v>-5.9799283462133201E-2</v>
      </c>
      <c r="Y209" s="5">
        <v>-4.5176555096346202E-2</v>
      </c>
      <c r="Z209" s="5">
        <v>-3.7643769087516397E-2</v>
      </c>
      <c r="AA209" s="5">
        <v>-3.32433859997276E-2</v>
      </c>
      <c r="AB209" s="5">
        <v>-4.42979826000182E-3</v>
      </c>
      <c r="AC209" s="5">
        <v>-3.03162265223039E-2</v>
      </c>
    </row>
    <row r="210" spans="1:29" ht="15" x14ac:dyDescent="0.25">
      <c r="A210" s="6">
        <v>40999</v>
      </c>
      <c r="B210" s="5" t="s">
        <v>49</v>
      </c>
      <c r="C210" s="5" t="str">
        <f>"20"&amp;RIGHT(B210,2)&amp;"Q"&amp;LEFT(B210,1)</f>
        <v>2012Q1</v>
      </c>
      <c r="D210">
        <v>-0.13088627500337299</v>
      </c>
      <c r="E210">
        <v>-9.3044261428996494E-2</v>
      </c>
      <c r="F210">
        <v>-7.8353131265800804E-2</v>
      </c>
      <c r="G210">
        <v>-3.9886136635791401E-2</v>
      </c>
      <c r="H210">
        <v>-5.7628059629017202E-2</v>
      </c>
      <c r="I210">
        <v>-1.98091401933417E-2</v>
      </c>
      <c r="J210">
        <v>-4.0920814856520098E-2</v>
      </c>
      <c r="V210" s="5">
        <f>LEFT(C210,4)+1</f>
        <v>2013</v>
      </c>
      <c r="W210" s="5">
        <v>-0.183973221369158</v>
      </c>
      <c r="X210" s="5">
        <v>-7.7717776823224796E-2</v>
      </c>
      <c r="Y210" s="5">
        <v>-5.1708646002083601E-2</v>
      </c>
      <c r="Z210" s="5">
        <v>-1.13140831226674E-2</v>
      </c>
      <c r="AA210" s="5">
        <v>-3.2139144020925797E-2</v>
      </c>
      <c r="AB210" s="5">
        <v>2.0257668204711299E-3</v>
      </c>
      <c r="AC210" s="5">
        <v>-2.4190609875137499E-2</v>
      </c>
    </row>
    <row r="211" spans="1:29" ht="15" x14ac:dyDescent="0.25">
      <c r="A211" s="6">
        <v>41090</v>
      </c>
      <c r="B211" s="5" t="s">
        <v>48</v>
      </c>
      <c r="C211" s="5" t="str">
        <f>"20"&amp;RIGHT(B211,2)&amp;"Q"&amp;LEFT(B211,1)</f>
        <v>2012Q2</v>
      </c>
      <c r="D211">
        <v>7.2722601391007793E-2</v>
      </c>
      <c r="E211">
        <v>-2.1733081114248001E-2</v>
      </c>
      <c r="F211">
        <v>-4.5813841891881403E-2</v>
      </c>
      <c r="G211">
        <v>-4.58577811011497E-2</v>
      </c>
      <c r="H211">
        <v>-4.3189198902595399E-2</v>
      </c>
      <c r="I211">
        <v>-3.8381021033036498E-2</v>
      </c>
      <c r="J211">
        <v>-7.8189648985313095E-3</v>
      </c>
      <c r="V211" s="5">
        <f>LEFT(C211,4)+1</f>
        <v>2013</v>
      </c>
      <c r="W211" s="5">
        <v>5.6017472230962803E-2</v>
      </c>
      <c r="X211" s="5">
        <v>-9.7465984748317594E-3</v>
      </c>
      <c r="Y211" s="5">
        <v>-2.3364131158865101E-2</v>
      </c>
      <c r="Z211" s="5">
        <v>-2.1251614923783101E-2</v>
      </c>
      <c r="AA211" s="5">
        <v>-2.0401537442783901E-2</v>
      </c>
      <c r="AB211" s="5">
        <v>-1.8897183260982001E-2</v>
      </c>
      <c r="AC211" s="5">
        <v>7.8908230292644294E-3</v>
      </c>
    </row>
    <row r="212" spans="1:29" ht="15" x14ac:dyDescent="0.25">
      <c r="A212" s="6">
        <v>41182</v>
      </c>
      <c r="B212" s="5" t="s">
        <v>47</v>
      </c>
      <c r="C212" s="5" t="str">
        <f>"20"&amp;RIGHT(B212,2)&amp;"Q"&amp;LEFT(B212,1)</f>
        <v>2012Q3</v>
      </c>
      <c r="D212">
        <v>3.3035358076885901E-2</v>
      </c>
      <c r="E212">
        <v>-2.2570011370377601E-2</v>
      </c>
      <c r="F212">
        <v>-3.15752328508778E-2</v>
      </c>
      <c r="G212">
        <v>-4.31690851107389E-2</v>
      </c>
      <c r="H212">
        <v>-4.6024327307580701E-2</v>
      </c>
      <c r="I212">
        <v>-4.4507101228863102E-2</v>
      </c>
      <c r="J212">
        <v>-4.0511354462519397E-2</v>
      </c>
      <c r="V212" s="5">
        <f>LEFT(C212,4)+1</f>
        <v>2013</v>
      </c>
      <c r="W212" s="5">
        <v>1.43639422916505E-2</v>
      </c>
      <c r="X212" s="5">
        <v>-1.1668577685752701E-2</v>
      </c>
      <c r="Y212" s="5">
        <v>-1.4337599460179699E-2</v>
      </c>
      <c r="Z212" s="5">
        <v>-2.46493274628608E-2</v>
      </c>
      <c r="AA212" s="5">
        <v>-2.8118981451938599E-2</v>
      </c>
      <c r="AB212" s="5">
        <v>-2.8348057759725698E-2</v>
      </c>
      <c r="AC212" s="5">
        <v>-2.66271180452964E-2</v>
      </c>
    </row>
    <row r="213" spans="1:29" ht="15" x14ac:dyDescent="0.25">
      <c r="A213" s="6">
        <v>41274</v>
      </c>
      <c r="B213" s="5" t="s">
        <v>46</v>
      </c>
      <c r="C213" s="5" t="str">
        <f>"20"&amp;RIGHT(B213,2)&amp;"Q"&amp;LEFT(B213,1)</f>
        <v>2012Q4</v>
      </c>
      <c r="D213">
        <v>-0.108509095088513</v>
      </c>
      <c r="E213">
        <v>-8.25512441294253E-2</v>
      </c>
      <c r="F213">
        <v>-6.86527910898833E-2</v>
      </c>
      <c r="G213">
        <v>-6.6897621550781605E-2</v>
      </c>
      <c r="H213">
        <v>-6.0834425704302503E-2</v>
      </c>
      <c r="I213">
        <v>-5.3511680097035899E-2</v>
      </c>
      <c r="J213">
        <v>-2.0616140182957401E-2</v>
      </c>
      <c r="V213" s="5">
        <f>LEFT(C213,4)+1</f>
        <v>2013</v>
      </c>
      <c r="W213" s="5">
        <v>-0.13086845568102901</v>
      </c>
      <c r="X213" s="5">
        <v>-6.0861469426698803E-2</v>
      </c>
      <c r="Y213" s="5">
        <v>-4.42931419048763E-2</v>
      </c>
      <c r="Z213" s="5">
        <v>-4.1962555223289101E-2</v>
      </c>
      <c r="AA213" s="5">
        <v>-3.7321607591412002E-2</v>
      </c>
      <c r="AB213" s="5">
        <v>-3.2554159801650502E-2</v>
      </c>
      <c r="AC213" s="5">
        <v>-2.7976563527101401E-3</v>
      </c>
    </row>
    <row r="214" spans="1:29" ht="15" x14ac:dyDescent="0.25">
      <c r="A214" s="6">
        <v>41364</v>
      </c>
      <c r="B214" s="5" t="s">
        <v>45</v>
      </c>
      <c r="C214" s="5" t="str">
        <f>"20"&amp;RIGHT(B214,2)&amp;"Q"&amp;LEFT(B214,1)</f>
        <v>2013Q1</v>
      </c>
      <c r="D214">
        <v>6.7668941227802204E-2</v>
      </c>
      <c r="E214">
        <v>-6.8068778887362402E-2</v>
      </c>
      <c r="F214">
        <v>-5.3311730307590899E-2</v>
      </c>
      <c r="G214">
        <v>-5.28617402019095E-2</v>
      </c>
      <c r="H214">
        <v>-4.8220810124519897E-2</v>
      </c>
      <c r="I214">
        <v>-1.7561423915417401E-2</v>
      </c>
      <c r="J214">
        <v>-4.0452281394330401E-2</v>
      </c>
      <c r="V214" s="5">
        <f>LEFT(C214,4)+1</f>
        <v>2014</v>
      </c>
      <c r="W214" s="5">
        <v>7.8573768153677601E-2</v>
      </c>
      <c r="X214" s="5">
        <v>-6.4946481527881503E-2</v>
      </c>
      <c r="Y214" s="5">
        <v>-3.2438828114132803E-2</v>
      </c>
      <c r="Z214" s="5">
        <v>-2.94671515178846E-2</v>
      </c>
      <c r="AA214" s="5">
        <v>-2.6177423750374001E-2</v>
      </c>
      <c r="AB214" s="5">
        <v>1.4918398702948399E-3</v>
      </c>
      <c r="AC214" s="5">
        <v>-2.5544074530005401E-2</v>
      </c>
    </row>
    <row r="215" spans="1:29" ht="15" x14ac:dyDescent="0.25">
      <c r="A215" s="6">
        <v>41455</v>
      </c>
      <c r="B215" s="5" t="s">
        <v>44</v>
      </c>
      <c r="C215" s="5" t="str">
        <f>"20"&amp;RIGHT(B215,2)&amp;"Q"&amp;LEFT(B215,1)</f>
        <v>2013Q2</v>
      </c>
      <c r="D215">
        <v>7.7081898135659604E-2</v>
      </c>
      <c r="E215">
        <v>-1.7559997745668798E-2</v>
      </c>
      <c r="F215">
        <v>-2.65418077610469E-3</v>
      </c>
      <c r="G215">
        <v>-3.6424407210795803E-2</v>
      </c>
      <c r="H215">
        <v>-7.1750396274691802E-3</v>
      </c>
      <c r="I215">
        <v>-8.3545239756267903E-3</v>
      </c>
      <c r="J215">
        <v>-5.0651668231405699E-3</v>
      </c>
      <c r="V215" s="5">
        <f>LEFT(C215,4)+1</f>
        <v>2014</v>
      </c>
      <c r="W215" s="5">
        <v>9.5405458137928806E-2</v>
      </c>
      <c r="X215" s="5">
        <v>-1.3913776487669199E-2</v>
      </c>
      <c r="Y215" s="5">
        <v>9.8754599656980906E-3</v>
      </c>
      <c r="Z215" s="5">
        <v>-2.2069123106522402E-2</v>
      </c>
      <c r="AA215" s="5">
        <v>7.5684950074687302E-3</v>
      </c>
      <c r="AB215" s="5">
        <v>4.2710573235814498E-3</v>
      </c>
      <c r="AC215" s="5">
        <v>5.19088606075416E-3</v>
      </c>
    </row>
    <row r="216" spans="1:29" ht="15" x14ac:dyDescent="0.25">
      <c r="A216" s="6">
        <v>41547</v>
      </c>
      <c r="B216" s="5" t="s">
        <v>43</v>
      </c>
      <c r="C216" s="5" t="str">
        <f>"20"&amp;RIGHT(B216,2)&amp;"Q"&amp;LEFT(B216,1)</f>
        <v>2013Q3</v>
      </c>
      <c r="D216">
        <v>8.9712802737958994E-2</v>
      </c>
      <c r="E216">
        <v>-3.5510471691618299E-2</v>
      </c>
      <c r="F216">
        <v>-4.8248006317305699E-2</v>
      </c>
      <c r="G216">
        <v>-4.9506389645364197E-2</v>
      </c>
      <c r="H216">
        <v>-2.0968470578806599E-2</v>
      </c>
      <c r="I216">
        <v>-4.4194395335711498E-2</v>
      </c>
      <c r="J216">
        <v>-9.5188389573564892E-3</v>
      </c>
      <c r="V216" s="5">
        <f>LEFT(C216,4)+1</f>
        <v>2014</v>
      </c>
      <c r="W216" s="5">
        <v>0.110142618012267</v>
      </c>
      <c r="X216" s="5">
        <v>-3.9202620409957603E-2</v>
      </c>
      <c r="Y216" s="5">
        <v>-3.8580142448485601E-2</v>
      </c>
      <c r="Z216" s="5">
        <v>-3.6661309414472598E-2</v>
      </c>
      <c r="AA216" s="5">
        <v>-7.7502639733947696E-3</v>
      </c>
      <c r="AB216" s="5">
        <v>-3.2516513587366597E-2</v>
      </c>
      <c r="AC216" s="5">
        <v>1.0890861064055701E-3</v>
      </c>
    </row>
    <row r="217" spans="1:29" ht="15" x14ac:dyDescent="0.25">
      <c r="A217" s="6">
        <v>41639</v>
      </c>
      <c r="B217" s="5" t="s">
        <v>42</v>
      </c>
      <c r="C217" s="5" t="str">
        <f>"20"&amp;RIGHT(B217,2)&amp;"Q"&amp;LEFT(B217,1)</f>
        <v>2013Q4</v>
      </c>
      <c r="D217">
        <v>8.8151629114306407E-2</v>
      </c>
      <c r="E217">
        <v>-5.8346808957142303E-2</v>
      </c>
      <c r="F217">
        <v>-6.58039288421126E-2</v>
      </c>
      <c r="G217">
        <v>-6.0990485282029001E-2</v>
      </c>
      <c r="H217">
        <v>-2.7867191698836901E-2</v>
      </c>
      <c r="I217">
        <v>-2.2928131138780901E-2</v>
      </c>
      <c r="J217">
        <v>-1.5058389346868499E-2</v>
      </c>
      <c r="V217" s="5">
        <f>LEFT(C217,4)+1</f>
        <v>2014</v>
      </c>
      <c r="W217" s="5">
        <v>0.100871749583458</v>
      </c>
      <c r="X217" s="5">
        <v>-6.4834612584370205E-2</v>
      </c>
      <c r="Y217" s="5">
        <v>-5.4972923601506803E-2</v>
      </c>
      <c r="Z217" s="5">
        <v>-4.4656684539555097E-2</v>
      </c>
      <c r="AA217" s="5">
        <v>-1.0478716733785901E-2</v>
      </c>
      <c r="AB217" s="5">
        <v>-7.2960060462733999E-3</v>
      </c>
      <c r="AC217" s="5">
        <v>-1.8190171372157401E-3</v>
      </c>
    </row>
    <row r="218" spans="1:29" ht="15" x14ac:dyDescent="0.25">
      <c r="A218" s="6">
        <v>41729</v>
      </c>
      <c r="B218" s="5" t="s">
        <v>41</v>
      </c>
      <c r="C218" s="5" t="str">
        <f>"20"&amp;RIGHT(B218,2)&amp;"Q"&amp;LEFT(B218,1)</f>
        <v>2014Q1</v>
      </c>
      <c r="D218">
        <v>-2.8357315101394998E-3</v>
      </c>
      <c r="E218">
        <v>-4.4259429838022502E-2</v>
      </c>
      <c r="F218">
        <v>-6.4291762514952305E-2</v>
      </c>
      <c r="G218">
        <v>-5.8664941478436101E-2</v>
      </c>
      <c r="H218">
        <v>-2.5499054746717299E-2</v>
      </c>
      <c r="I218">
        <v>4.7368975612240702E-3</v>
      </c>
      <c r="J218">
        <v>1.5876685534614299E-2</v>
      </c>
      <c r="V218" s="5">
        <f>LEFT(C218,4)+1</f>
        <v>2015</v>
      </c>
      <c r="W218" s="5">
        <v>-8.9272076123153802E-3</v>
      </c>
      <c r="X218" s="5">
        <v>-4.2860704825711603E-2</v>
      </c>
      <c r="Y218" s="5">
        <v>-5.6896036482447801E-2</v>
      </c>
      <c r="Z218" s="5">
        <v>-4.64838330072639E-2</v>
      </c>
      <c r="AA218" s="5">
        <v>-1.12801372242687E-2</v>
      </c>
      <c r="AB218" s="5">
        <v>1.8451136327106901E-2</v>
      </c>
      <c r="AC218" s="5">
        <v>2.44775298418363E-2</v>
      </c>
    </row>
    <row r="219" spans="1:29" ht="15" x14ac:dyDescent="0.25">
      <c r="A219" s="6">
        <v>41820</v>
      </c>
      <c r="B219" s="5" t="s">
        <v>40</v>
      </c>
      <c r="C219" s="5" t="str">
        <f>"20"&amp;RIGHT(B219,2)&amp;"Q"&amp;LEFT(B219,1)</f>
        <v>2014Q2</v>
      </c>
      <c r="D219">
        <v>-7.3874242014765196E-2</v>
      </c>
      <c r="E219">
        <v>-9.1746256806028895E-2</v>
      </c>
      <c r="F219">
        <v>-6.8821182528313304E-2</v>
      </c>
      <c r="G219">
        <v>-2.71887890504913E-2</v>
      </c>
      <c r="H219">
        <v>-1.7703638749249701E-2</v>
      </c>
      <c r="I219">
        <v>3.6300355258297799E-2</v>
      </c>
      <c r="J219">
        <v>7.7774302730304603E-3</v>
      </c>
      <c r="V219" s="5">
        <f>LEFT(C219,4)+1</f>
        <v>2015</v>
      </c>
      <c r="W219" s="5">
        <v>-0.106196091950041</v>
      </c>
      <c r="X219" s="5">
        <v>-9.3204543053343705E-2</v>
      </c>
      <c r="Y219" s="5">
        <v>-5.59064287239074E-2</v>
      </c>
      <c r="Z219" s="5">
        <v>-1.06904608458051E-2</v>
      </c>
      <c r="AA219" s="5">
        <v>-1.85017386136688E-3</v>
      </c>
      <c r="AB219" s="5">
        <v>4.0976843364652599E-2</v>
      </c>
      <c r="AC219" s="5">
        <v>1.34628308017362E-2</v>
      </c>
    </row>
    <row r="220" spans="1:29" ht="15" x14ac:dyDescent="0.25">
      <c r="A220" s="6">
        <v>41912</v>
      </c>
      <c r="B220" s="5" t="s">
        <v>39</v>
      </c>
      <c r="C220" s="5" t="str">
        <f>"20"&amp;RIGHT(B220,2)&amp;"Q"&amp;LEFT(B220,1)</f>
        <v>2014Q3</v>
      </c>
      <c r="D220">
        <v>-1.41865817533066E-2</v>
      </c>
      <c r="E220">
        <v>-6.4352196495686506E-2</v>
      </c>
      <c r="F220">
        <v>-5.1152141661928198E-2</v>
      </c>
      <c r="G220">
        <v>-1.2356363479308401E-2</v>
      </c>
      <c r="H220">
        <v>4.2025195044622397E-2</v>
      </c>
      <c r="I220">
        <v>1.26788394988551E-2</v>
      </c>
      <c r="J220">
        <v>6.0974826562898302E-3</v>
      </c>
      <c r="V220" s="5">
        <f>LEFT(C220,4)+1</f>
        <v>2015</v>
      </c>
      <c r="W220" s="5">
        <v>-2.74113528992883E-2</v>
      </c>
      <c r="X220" s="5">
        <v>-6.4296832535106194E-2</v>
      </c>
      <c r="Y220" s="5">
        <v>-3.6876002408861797E-2</v>
      </c>
      <c r="Z220" s="5">
        <v>4.9278057241120199E-3</v>
      </c>
      <c r="AA220" s="5">
        <v>4.63615982638712E-2</v>
      </c>
      <c r="AB220" s="5">
        <v>1.70425241984643E-2</v>
      </c>
      <c r="AC220" s="5">
        <v>8.1336225413838094E-3</v>
      </c>
    </row>
    <row r="221" spans="1:29" ht="15" x14ac:dyDescent="0.25">
      <c r="A221" s="6">
        <v>42004</v>
      </c>
      <c r="B221" s="5" t="s">
        <v>38</v>
      </c>
      <c r="C221" s="5" t="str">
        <f>"20"&amp;RIGHT(B221,2)&amp;"Q"&amp;LEFT(B221,1)</f>
        <v>2014Q4</v>
      </c>
      <c r="D221">
        <v>-0.11799680394553901</v>
      </c>
      <c r="E221">
        <v>-6.0009194840076503E-2</v>
      </c>
      <c r="F221">
        <v>-1.68496262106601E-2</v>
      </c>
      <c r="G221">
        <v>2.9298442688277901E-2</v>
      </c>
      <c r="H221">
        <v>-1.2783479332868499E-3</v>
      </c>
      <c r="I221">
        <v>2.1724363190927399E-3</v>
      </c>
      <c r="J221">
        <v>-1.1473980821479299E-2</v>
      </c>
      <c r="V221" s="5">
        <f>LEFT(C221,4)+1</f>
        <v>2015</v>
      </c>
      <c r="W221" s="5">
        <v>-0.14729520887328101</v>
      </c>
      <c r="X221" s="5">
        <v>-4.3553612457674799E-2</v>
      </c>
      <c r="Y221" s="5">
        <v>4.1735481094395304E-3</v>
      </c>
      <c r="Z221" s="5">
        <v>3.5166578346566897E-2</v>
      </c>
      <c r="AA221" s="5">
        <v>7.1290777105276603E-3</v>
      </c>
      <c r="AB221" s="5">
        <v>3.9177412883136097E-3</v>
      </c>
      <c r="AC221" s="5">
        <v>-1.7864920044890001E-2</v>
      </c>
    </row>
    <row r="222" spans="1:29" ht="15" x14ac:dyDescent="0.25">
      <c r="A222" s="6">
        <v>42094</v>
      </c>
      <c r="B222" s="5" t="s">
        <v>37</v>
      </c>
      <c r="C222" s="5" t="str">
        <f>"20"&amp;RIGHT(B222,2)&amp;"Q"&amp;LEFT(B222,1)</f>
        <v>2015Q1</v>
      </c>
      <c r="D222">
        <v>7.7712194996098299E-2</v>
      </c>
      <c r="E222">
        <v>1.5693001175995001E-3</v>
      </c>
      <c r="F222">
        <v>2.9454931625600301E-2</v>
      </c>
      <c r="G222">
        <v>-1.75013150936648E-3</v>
      </c>
      <c r="H222">
        <v>1.0691031989382699E-2</v>
      </c>
      <c r="I222">
        <v>-2.5399747176224501E-2</v>
      </c>
      <c r="J222">
        <v>-7.2829848370964704E-4</v>
      </c>
      <c r="V222" s="5">
        <f>LEFT(C222,4)+1</f>
        <v>2016</v>
      </c>
      <c r="W222" s="5">
        <v>9.5363708595986502E-2</v>
      </c>
      <c r="X222" s="5">
        <v>1.18252728529867E-2</v>
      </c>
      <c r="Y222" s="5">
        <v>3.2594048482264E-2</v>
      </c>
      <c r="Z222" s="5">
        <v>3.87443532485702E-3</v>
      </c>
      <c r="AA222" s="5">
        <v>6.4891999589309904E-3</v>
      </c>
      <c r="AB222" s="5">
        <v>-2.8092175436523301E-2</v>
      </c>
      <c r="AC222" s="5">
        <v>-3.2152849114060701E-3</v>
      </c>
    </row>
    <row r="223" spans="1:29" ht="15" x14ac:dyDescent="0.25">
      <c r="A223" s="6">
        <v>42185</v>
      </c>
      <c r="B223" s="5" t="s">
        <v>36</v>
      </c>
      <c r="C223" s="5" t="str">
        <f>"20"&amp;RIGHT(B223,2)&amp;"Q"&amp;LEFT(B223,1)</f>
        <v>2015Q2</v>
      </c>
      <c r="D223">
        <v>1.6013436927852301E-2</v>
      </c>
      <c r="E223">
        <v>3.66990759777081E-2</v>
      </c>
      <c r="F223">
        <v>6.8553556251782404E-3</v>
      </c>
      <c r="G223">
        <v>2.25281758383413E-2</v>
      </c>
      <c r="H223">
        <v>-3.3961805199488201E-2</v>
      </c>
      <c r="I223">
        <v>8.2277452846149903E-4</v>
      </c>
      <c r="J223">
        <v>-2.25349525005706E-3</v>
      </c>
      <c r="V223" s="5">
        <f>LEFT(C223,4)+1</f>
        <v>2016</v>
      </c>
      <c r="W223" s="5">
        <v>1.9368169212790099E-2</v>
      </c>
      <c r="X223" s="5">
        <v>3.85885640758417E-2</v>
      </c>
      <c r="Y223" s="5">
        <v>6.5331410244621599E-3</v>
      </c>
      <c r="Z223" s="5">
        <v>1.33009824183266E-2</v>
      </c>
      <c r="AA223" s="5">
        <v>-3.5900042964903199E-2</v>
      </c>
      <c r="AB223" s="5">
        <v>-5.7261035993007798E-3</v>
      </c>
      <c r="AC223" s="5">
        <v>-6.1330945415090602E-3</v>
      </c>
    </row>
    <row r="224" spans="1:29" ht="15" x14ac:dyDescent="0.25">
      <c r="A224" s="6">
        <v>42277</v>
      </c>
      <c r="B224" s="5" t="s">
        <v>35</v>
      </c>
      <c r="C224" s="5" t="str">
        <f>"20"&amp;RIGHT(B224,2)&amp;"Q"&amp;LEFT(B224,1)</f>
        <v>2015Q3</v>
      </c>
      <c r="D224">
        <v>-4.3945202002823702E-2</v>
      </c>
      <c r="E224">
        <v>-9.0583531301378899E-3</v>
      </c>
      <c r="F224">
        <v>1.24131951672093E-2</v>
      </c>
      <c r="G224">
        <v>-5.6410752470620898E-2</v>
      </c>
      <c r="H224">
        <v>-1.2907599224071999E-2</v>
      </c>
      <c r="I224">
        <v>-2.0995414113752699E-2</v>
      </c>
      <c r="J224">
        <v>-4.4094648755639704E-3</v>
      </c>
      <c r="V224" s="5">
        <f>LEFT(C224,4)+1</f>
        <v>2016</v>
      </c>
      <c r="W224" s="5">
        <v>-4.86723079039681E-2</v>
      </c>
      <c r="X224" s="5">
        <v>-8.4868904925984798E-3</v>
      </c>
      <c r="Y224" s="5">
        <v>7.58863700751909E-3</v>
      </c>
      <c r="Z224" s="5">
        <v>-5.4151982839621901E-2</v>
      </c>
      <c r="AA224" s="5">
        <v>-1.45879980669942E-2</v>
      </c>
      <c r="AB224" s="5">
        <v>-1.6854765084185701E-2</v>
      </c>
      <c r="AC224" s="5">
        <v>-7.2109270773551499E-3</v>
      </c>
    </row>
    <row r="225" spans="1:29" ht="15" x14ac:dyDescent="0.25">
      <c r="A225" s="6">
        <v>42369</v>
      </c>
      <c r="B225" s="5" t="s">
        <v>34</v>
      </c>
      <c r="C225" s="5" t="str">
        <f>"20"&amp;RIGHT(B225,2)&amp;"Q"&amp;LEFT(B225,1)</f>
        <v>2015Q4</v>
      </c>
      <c r="D225">
        <v>1.0021334206675499E-2</v>
      </c>
      <c r="E225">
        <v>2.4365721489964201E-2</v>
      </c>
      <c r="F225">
        <v>-6.7708268060337598E-2</v>
      </c>
      <c r="G225">
        <v>-1.23219206842403E-2</v>
      </c>
      <c r="H225">
        <v>-2.7183337996282801E-2</v>
      </c>
      <c r="I225">
        <v>-5.7067340550729E-3</v>
      </c>
      <c r="J225">
        <v>-1.0476492925612199E-3</v>
      </c>
      <c r="V225" s="5">
        <f>LEFT(C225,4)+1</f>
        <v>2016</v>
      </c>
      <c r="W225" s="5">
        <v>1.35044674810417E-2</v>
      </c>
      <c r="X225" s="5">
        <v>1.7586455865041602E-2</v>
      </c>
      <c r="Y225" s="5">
        <v>-6.1242596093235298E-2</v>
      </c>
      <c r="Z225" s="5">
        <v>-1.6419860616063299E-2</v>
      </c>
      <c r="AA225" s="5">
        <v>-2.2245930384675799E-2</v>
      </c>
      <c r="AB225" s="5">
        <v>-1.09792455302542E-2</v>
      </c>
      <c r="AC225" s="5">
        <v>-2.71733249373885E-3</v>
      </c>
    </row>
    <row r="226" spans="1:29" ht="15" x14ac:dyDescent="0.25">
      <c r="A226" s="6">
        <v>42460</v>
      </c>
      <c r="B226" s="5" t="s">
        <v>33</v>
      </c>
      <c r="C226" s="5" t="str">
        <f>"20"&amp;RIGHT(B226,2)&amp;"Q"&amp;LEFT(B226,1)</f>
        <v>2016Q1</v>
      </c>
      <c r="D226">
        <v>-4.72541004567937E-2</v>
      </c>
      <c r="E226">
        <v>-9.7445135200783295E-2</v>
      </c>
      <c r="F226">
        <v>-4.02324050441107E-2</v>
      </c>
      <c r="G226">
        <v>-4.6763296551811703E-2</v>
      </c>
      <c r="H226">
        <v>-1.99946545393444E-2</v>
      </c>
      <c r="I226">
        <v>-1.3931655585881299E-2</v>
      </c>
      <c r="J226">
        <v>-4.1376739940607102E-3</v>
      </c>
      <c r="V226" s="5">
        <f>LEFT(C226,4)+1</f>
        <v>2017</v>
      </c>
      <c r="W226" s="5">
        <v>-5.8556303443121203E-2</v>
      </c>
      <c r="X226" s="5">
        <v>-8.7854118075398405E-2</v>
      </c>
      <c r="Y226" s="5">
        <v>-3.0204685252427699E-2</v>
      </c>
      <c r="Z226" s="5">
        <v>-3.6947456479353803E-2</v>
      </c>
      <c r="AA226" s="5">
        <v>-2.0106024360224399E-2</v>
      </c>
      <c r="AB226" s="5">
        <v>-9.2293359670747796E-3</v>
      </c>
      <c r="AC226" s="5">
        <v>-4.7118187955601902E-3</v>
      </c>
    </row>
    <row r="227" spans="1:29" ht="15" x14ac:dyDescent="0.25">
      <c r="A227" s="6">
        <v>42551</v>
      </c>
      <c r="B227" s="5" t="s">
        <v>32</v>
      </c>
      <c r="C227" s="5" t="str">
        <f>"20"&amp;RIGHT(B227,2)&amp;"Q"&amp;LEFT(B227,1)</f>
        <v>2016Q2</v>
      </c>
      <c r="D227">
        <v>-5.0408059397784401E-2</v>
      </c>
      <c r="E227">
        <v>-2.24586224745097E-2</v>
      </c>
      <c r="F227">
        <v>-2.9343617103874699E-2</v>
      </c>
      <c r="G227">
        <v>-5.3943115810865198E-3</v>
      </c>
      <c r="H227">
        <v>2.0084502724584301E-3</v>
      </c>
      <c r="I227">
        <v>1.3212699280321099E-2</v>
      </c>
      <c r="J227">
        <v>4.5772276955783004E-3</v>
      </c>
      <c r="V227" s="5">
        <f>LEFT(C227,4)+1</f>
        <v>2017</v>
      </c>
      <c r="W227" s="5">
        <v>-5.5165113715579001E-2</v>
      </c>
      <c r="X227" s="5">
        <v>-1.7606117464408998E-2</v>
      </c>
      <c r="Y227" s="5">
        <v>-3.0911178484391701E-2</v>
      </c>
      <c r="Z227" s="5">
        <v>-1.25832939232829E-2</v>
      </c>
      <c r="AA227" s="5">
        <v>-1.6538323107807399E-3</v>
      </c>
      <c r="AB227" s="5">
        <v>3.6209990471680101E-3</v>
      </c>
      <c r="AC227" s="5">
        <v>2.811349393948E-3</v>
      </c>
    </row>
    <row r="228" spans="1:29" ht="15" x14ac:dyDescent="0.25">
      <c r="A228" s="6">
        <v>42643</v>
      </c>
      <c r="B228" s="5" t="s">
        <v>31</v>
      </c>
      <c r="C228" s="5" t="str">
        <f>"20"&amp;RIGHT(B228,2)&amp;"Q"&amp;LEFT(B228,1)</f>
        <v>2016Q3</v>
      </c>
      <c r="D228">
        <v>-4.9103820511066799E-2</v>
      </c>
      <c r="E228">
        <v>-3.6630011261473E-2</v>
      </c>
      <c r="F228">
        <v>-7.4276807608243001E-3</v>
      </c>
      <c r="G228">
        <v>1.6049814083933299E-3</v>
      </c>
      <c r="H228">
        <v>1.4846230842681701E-2</v>
      </c>
      <c r="I228">
        <v>1.32684179320053E-3</v>
      </c>
      <c r="J228">
        <v>-2.6276119778108299E-3</v>
      </c>
      <c r="V228" s="5">
        <f>LEFT(C228,4)+1</f>
        <v>2017</v>
      </c>
      <c r="W228" s="5">
        <v>-4.4520153504430698E-2</v>
      </c>
      <c r="X228" s="5">
        <v>-3.6629327553565398E-2</v>
      </c>
      <c r="Y228" s="5">
        <v>-1.44380432346579E-2</v>
      </c>
      <c r="Z228" s="5">
        <v>-1.3560405490554699E-3</v>
      </c>
      <c r="AA228" s="5">
        <v>5.1693439777464496E-3</v>
      </c>
      <c r="AB228" s="5">
        <v>-5.2944685419140005E-4</v>
      </c>
      <c r="AC228" s="5">
        <v>-7.8951782396945204E-3</v>
      </c>
    </row>
    <row r="229" spans="1:29" ht="15" x14ac:dyDescent="0.25">
      <c r="A229" s="6">
        <v>42735</v>
      </c>
      <c r="B229" s="5" t="s">
        <v>30</v>
      </c>
      <c r="C229" s="5" t="str">
        <f>"20"&amp;RIGHT(B229,2)&amp;"Q"&amp;LEFT(B229,1)</f>
        <v>2016Q4</v>
      </c>
      <c r="D229">
        <v>2.23128610891692E-2</v>
      </c>
      <c r="E229">
        <v>9.0654956029297407E-3</v>
      </c>
      <c r="F229">
        <v>2.3835411120257301E-2</v>
      </c>
      <c r="G229">
        <v>2.7960012135699201E-2</v>
      </c>
      <c r="H229">
        <v>9.5795397922183202E-3</v>
      </c>
      <c r="I229">
        <v>1.1216263674016401E-3</v>
      </c>
      <c r="J229">
        <v>7.2006444197208396E-3</v>
      </c>
      <c r="V229" s="5">
        <f>LEFT(C229,4)+1</f>
        <v>2017</v>
      </c>
      <c r="W229" s="5">
        <v>3.2504921323405503E-2</v>
      </c>
      <c r="X229" s="5">
        <v>-1.3339107578354201E-3</v>
      </c>
      <c r="Y229" s="5">
        <v>9.1101610294571801E-3</v>
      </c>
      <c r="Z229" s="5">
        <v>1.47287451211479E-2</v>
      </c>
      <c r="AA229" s="5">
        <v>1.7126975752757799E-3</v>
      </c>
      <c r="AB229" s="5">
        <v>-1.1018738318781199E-2</v>
      </c>
      <c r="AC229" s="5">
        <v>6.10144079574821E-3</v>
      </c>
    </row>
    <row r="230" spans="1:29" ht="15" x14ac:dyDescent="0.25">
      <c r="A230" s="6">
        <v>42825</v>
      </c>
      <c r="B230" s="5" t="s">
        <v>29</v>
      </c>
      <c r="C230" s="5" t="str">
        <f>"20"&amp;RIGHT(B230,2)&amp;"Q"&amp;LEFT(B230,1)</f>
        <v>2017Q1</v>
      </c>
      <c r="D230">
        <v>-2.4334954398867899E-2</v>
      </c>
      <c r="E230">
        <v>1.8312738839433601E-2</v>
      </c>
      <c r="F230">
        <v>2.3708218742661699E-2</v>
      </c>
      <c r="G230">
        <v>3.7684026841234499E-3</v>
      </c>
      <c r="H230">
        <v>-7.7759615922353299E-3</v>
      </c>
      <c r="I230">
        <v>1.2601273540220099E-2</v>
      </c>
      <c r="J230">
        <v>2.5190499654058501E-3</v>
      </c>
      <c r="V230" s="5">
        <f>LEFT(C230,4)+1</f>
        <v>2018</v>
      </c>
      <c r="W230" s="5">
        <v>-3.3664712056024899E-2</v>
      </c>
      <c r="X230" s="5">
        <v>5.9770300441057403E-3</v>
      </c>
      <c r="Y230" s="5">
        <v>1.40966186031251E-2</v>
      </c>
      <c r="Z230" s="5">
        <v>-3.7624917345385101E-3</v>
      </c>
      <c r="AA230" s="5">
        <v>-1.98111591132995E-2</v>
      </c>
      <c r="AB230" s="5">
        <v>6.7792862982222497E-3</v>
      </c>
      <c r="AC230" s="5">
        <v>1.4342473571792001E-3</v>
      </c>
    </row>
    <row r="231" spans="1:29" ht="15" x14ac:dyDescent="0.25">
      <c r="A231" s="6">
        <v>42916</v>
      </c>
      <c r="B231" s="5" t="s">
        <v>28</v>
      </c>
      <c r="C231" s="5" t="str">
        <f>"20"&amp;RIGHT(B231,2)&amp;"Q"&amp;LEFT(B231,1)</f>
        <v>2017Q2</v>
      </c>
      <c r="D231">
        <v>-1.4988798996413999E-2</v>
      </c>
      <c r="E231">
        <v>1.9962217361864099E-2</v>
      </c>
      <c r="F231">
        <v>-7.3121600150986097E-3</v>
      </c>
      <c r="G231">
        <v>-1.6423128792487401E-2</v>
      </c>
      <c r="H231">
        <v>1.63894596964748E-2</v>
      </c>
      <c r="I231">
        <v>7.43322087497327E-3</v>
      </c>
      <c r="J231">
        <v>2.7397210003379702E-3</v>
      </c>
      <c r="V231" s="5">
        <f>LEFT(C231,4)+1</f>
        <v>2018</v>
      </c>
      <c r="W231" s="5">
        <v>-2.36700153618364E-2</v>
      </c>
      <c r="X231" s="5">
        <v>1.2167303878929701E-2</v>
      </c>
      <c r="Y231" s="5">
        <v>-1.00462986402826E-2</v>
      </c>
      <c r="Z231" s="5">
        <v>-2.9913245398855901E-2</v>
      </c>
      <c r="AA231" s="5">
        <v>7.6363753958629899E-3</v>
      </c>
      <c r="AB231" s="5">
        <v>3.6356565762734102E-3</v>
      </c>
      <c r="AC231" s="5">
        <v>1.4789797624022399E-3</v>
      </c>
    </row>
    <row r="232" spans="1:29" ht="15" x14ac:dyDescent="0.25">
      <c r="A232" s="6">
        <v>43008</v>
      </c>
      <c r="B232" s="5" t="s">
        <v>27</v>
      </c>
      <c r="C232" s="5" t="str">
        <f>"20"&amp;RIGHT(B232,2)&amp;"Q"&amp;LEFT(B232,1)</f>
        <v>2017Q3</v>
      </c>
      <c r="D232">
        <v>3.2155340542651997E-2</v>
      </c>
      <c r="E232">
        <v>-7.9431818925434199E-3</v>
      </c>
      <c r="F232">
        <v>-2.1253928288309801E-2</v>
      </c>
      <c r="G232">
        <v>2.4075705209810901E-2</v>
      </c>
      <c r="H232">
        <v>1.6081944160297401E-2</v>
      </c>
      <c r="I232">
        <v>1.21927044166569E-2</v>
      </c>
      <c r="J232">
        <v>5.3446413210458199E-3</v>
      </c>
      <c r="V232" s="5">
        <f>LEFT(C232,4)+1</f>
        <v>2018</v>
      </c>
      <c r="W232" s="5">
        <v>4.5604538637295501E-2</v>
      </c>
      <c r="X232" s="5">
        <v>-9.8897954053315806E-3</v>
      </c>
      <c r="Y232" s="5">
        <v>-3.4963282344294098E-2</v>
      </c>
      <c r="Z232" s="5">
        <v>1.19709481474005E-2</v>
      </c>
      <c r="AA232" s="5">
        <v>7.4572776663982196E-3</v>
      </c>
      <c r="AB232" s="5">
        <v>3.4878374168699302E-3</v>
      </c>
      <c r="AC232" s="5">
        <v>6.5264361216309198E-3</v>
      </c>
    </row>
    <row r="233" spans="1:29" ht="15" x14ac:dyDescent="0.25">
      <c r="A233" s="6">
        <v>43100</v>
      </c>
      <c r="B233" s="5" t="s">
        <v>26</v>
      </c>
      <c r="C233" s="5" t="str">
        <f>"20"&amp;RIGHT(B233,2)&amp;"Q"&amp;LEFT(B233,1)</f>
        <v>2017Q4</v>
      </c>
      <c r="D233">
        <v>-7.5943852586890695E-2</v>
      </c>
      <c r="E233">
        <v>-3.7544259748433E-2</v>
      </c>
      <c r="F233">
        <v>1.8541655265151599E-2</v>
      </c>
      <c r="G233">
        <v>1.44739402593824E-2</v>
      </c>
      <c r="H233">
        <v>1.31245076926228E-2</v>
      </c>
      <c r="I233">
        <v>1.19947424405003E-2</v>
      </c>
      <c r="J233">
        <v>1.14823938438099E-3</v>
      </c>
      <c r="V233" s="5">
        <f>LEFT(C233,4)+1</f>
        <v>2018</v>
      </c>
      <c r="W233" s="5">
        <v>-6.9693606515030496E-2</v>
      </c>
      <c r="X233" s="5">
        <v>-5.0995829593072202E-2</v>
      </c>
      <c r="Y233" s="5">
        <v>9.55407870521356E-3</v>
      </c>
      <c r="Z233" s="5">
        <v>7.0983776897368799E-3</v>
      </c>
      <c r="AA233" s="5">
        <v>3.0660433123714699E-3</v>
      </c>
      <c r="AB233" s="5">
        <v>1.1889290045548701E-2</v>
      </c>
      <c r="AC233" s="5">
        <v>1.9774755852864701E-3</v>
      </c>
    </row>
    <row r="234" spans="1:29" ht="15" x14ac:dyDescent="0.25">
      <c r="A234" s="6">
        <v>43190</v>
      </c>
      <c r="B234" s="5" t="s">
        <v>25</v>
      </c>
      <c r="C234" s="5" t="str">
        <f>"20"&amp;RIGHT(B234,2)&amp;"Q"&amp;LEFT(B234,1)</f>
        <v>2018Q1</v>
      </c>
      <c r="D234">
        <v>-8.8226472980123205E-2</v>
      </c>
      <c r="E234">
        <v>2.2483745206368502E-2</v>
      </c>
      <c r="F234">
        <v>2.1487923195874101E-2</v>
      </c>
      <c r="G234">
        <v>1.8500714059418801E-2</v>
      </c>
      <c r="H234">
        <v>2.1878438849604401E-2</v>
      </c>
      <c r="I234">
        <v>6.1557778881104501E-3</v>
      </c>
      <c r="J234">
        <v>-6.2212660581575799E-3</v>
      </c>
      <c r="V234" s="5">
        <f>LEFT(C234,4)+1</f>
        <v>2019</v>
      </c>
      <c r="W234" s="5">
        <v>-0.10865139250075</v>
      </c>
      <c r="X234" s="5">
        <v>1.36104149948716E-2</v>
      </c>
      <c r="Y234" s="5">
        <v>1.11236769368685E-2</v>
      </c>
      <c r="Z234" s="5">
        <v>5.5936021760708303E-3</v>
      </c>
      <c r="AA234" s="5">
        <v>1.8598129075654501E-2</v>
      </c>
      <c r="AB234" s="5">
        <v>4.5811077193506104E-3</v>
      </c>
      <c r="AC234" s="5">
        <v>-1.5675735946118801E-2</v>
      </c>
    </row>
    <row r="235" spans="1:29" ht="15" x14ac:dyDescent="0.25">
      <c r="A235" s="6">
        <v>43281</v>
      </c>
      <c r="B235" s="5" t="s">
        <v>24</v>
      </c>
      <c r="C235" s="5" t="str">
        <f>"20"&amp;RIGHT(B235,2)&amp;"Q"&amp;LEFT(B235,1)</f>
        <v>2018Q2</v>
      </c>
      <c r="D235">
        <v>8.5688274087812703E-3</v>
      </c>
      <c r="E235">
        <v>2.2806211509426699E-2</v>
      </c>
      <c r="F235">
        <v>2.2008395051654899E-2</v>
      </c>
      <c r="G235">
        <v>2.6895063621619301E-2</v>
      </c>
      <c r="H235">
        <v>6.6649178621088203E-3</v>
      </c>
      <c r="I235">
        <v>-2.5189531473973799E-2</v>
      </c>
      <c r="J235">
        <v>-1.7105841317901001E-2</v>
      </c>
      <c r="V235" s="5">
        <f>LEFT(C235,4)+1</f>
        <v>2019</v>
      </c>
      <c r="W235" s="5">
        <v>-1.75478418266789E-3</v>
      </c>
      <c r="X235" s="5">
        <v>1.32235699817689E-2</v>
      </c>
      <c r="Y235" s="5">
        <v>5.8423123038559097E-3</v>
      </c>
      <c r="Z235" s="5">
        <v>2.3659956339994299E-2</v>
      </c>
      <c r="AA235" s="5">
        <v>4.8853674620201798E-3</v>
      </c>
      <c r="AB235" s="5">
        <v>-3.2954599755451702E-2</v>
      </c>
      <c r="AC235" s="5">
        <v>-3.3592126190905E-2</v>
      </c>
    </row>
    <row r="236" spans="1:29" ht="15" x14ac:dyDescent="0.25">
      <c r="A236" s="6">
        <v>43373</v>
      </c>
      <c r="B236" s="5" t="s">
        <v>23</v>
      </c>
      <c r="C236" s="5" t="str">
        <f>"20"&amp;RIGHT(B236,2)&amp;"Q"&amp;LEFT(B236,1)</f>
        <v>2018Q3</v>
      </c>
      <c r="D236">
        <v>5.08367331308315E-2</v>
      </c>
      <c r="E236">
        <v>2.8428516975432701E-2</v>
      </c>
      <c r="F236">
        <v>4.1080024205349203E-2</v>
      </c>
      <c r="G236">
        <v>1.0822891733753399E-2</v>
      </c>
      <c r="H236">
        <v>-3.8594378467860298E-2</v>
      </c>
      <c r="I236">
        <v>-5.2392991386701199E-2</v>
      </c>
      <c r="J236">
        <v>5.9188849264105803E-3</v>
      </c>
      <c r="V236" s="5">
        <f>LEFT(C236,4)+1</f>
        <v>2019</v>
      </c>
      <c r="W236" s="5">
        <v>5.8784586872267799E-2</v>
      </c>
      <c r="X236" s="5">
        <v>1.1447131816112399E-2</v>
      </c>
      <c r="Y236" s="5">
        <v>3.2535878812378197E-2</v>
      </c>
      <c r="Z236" s="5">
        <v>8.3433771464855692E-3</v>
      </c>
      <c r="AA236" s="5">
        <v>-4.7296129513947398E-2</v>
      </c>
      <c r="AB236" s="5">
        <v>-6.3993426898703007E-2</v>
      </c>
      <c r="AC236" s="5">
        <v>9.9215557845435901E-3</v>
      </c>
    </row>
    <row r="237" spans="1:29" ht="15" x14ac:dyDescent="0.25">
      <c r="A237" s="6">
        <v>43465</v>
      </c>
      <c r="B237" s="5" t="s">
        <v>22</v>
      </c>
      <c r="C237" s="5" t="str">
        <f>"20"&amp;RIGHT(B237,2)&amp;"Q"&amp;LEFT(B237,1)</f>
        <v>2018Q4</v>
      </c>
      <c r="D237">
        <v>1.2960247804161201E-2</v>
      </c>
      <c r="E237">
        <v>3.9838704640525899E-2</v>
      </c>
      <c r="F237">
        <v>3.5811613803490498E-3</v>
      </c>
      <c r="G237">
        <v>-5.7153670831744399E-2</v>
      </c>
      <c r="H237">
        <v>-9.2092576511524596E-2</v>
      </c>
      <c r="I237">
        <v>1.3006369546579801E-2</v>
      </c>
      <c r="J237">
        <v>-2.22372700332777E-2</v>
      </c>
      <c r="V237" s="5">
        <f>LEFT(C237,4)+1</f>
        <v>2019</v>
      </c>
      <c r="W237" s="5">
        <v>-1.8302622315208E-3</v>
      </c>
      <c r="X237" s="5">
        <v>3.4382567831913798E-2</v>
      </c>
      <c r="Y237" s="5">
        <v>6.0240879025939501E-3</v>
      </c>
      <c r="Z237" s="5">
        <v>-6.75363124318068E-2</v>
      </c>
      <c r="AA237" s="5">
        <v>-9.5933535259893496E-2</v>
      </c>
      <c r="AB237" s="5">
        <v>1.7190830327171999E-2</v>
      </c>
      <c r="AC237" s="5">
        <v>-3.8796935266456598E-2</v>
      </c>
    </row>
    <row r="238" spans="1:29" ht="15" x14ac:dyDescent="0.25">
      <c r="A238" s="6">
        <v>43555</v>
      </c>
      <c r="B238" s="5" t="s">
        <v>21</v>
      </c>
      <c r="C238" s="5" t="str">
        <f>"20"&amp;RIGHT(B238,2)&amp;"Q"&amp;LEFT(B238,1)</f>
        <v>2019Q1</v>
      </c>
      <c r="D238">
        <v>7.9423454701713095E-2</v>
      </c>
      <c r="E238">
        <v>6.5975766103313497E-3</v>
      </c>
      <c r="F238">
        <v>-7.5908952278071998E-2</v>
      </c>
      <c r="G238">
        <v>-0.11952198666729701</v>
      </c>
      <c r="H238">
        <v>2.5722864684374399E-2</v>
      </c>
      <c r="I238">
        <v>-6.6905523028449695E-2</v>
      </c>
      <c r="J238">
        <v>2.4882159276089998E-3</v>
      </c>
      <c r="V238" s="5">
        <f>LEFT(C238,4)+1</f>
        <v>2020</v>
      </c>
      <c r="W238" s="5">
        <v>9.3001501248314397E-2</v>
      </c>
      <c r="X238" s="5">
        <v>1.0269267391874899E-2</v>
      </c>
      <c r="Y238" s="5">
        <v>-8.2531972658558606E-2</v>
      </c>
      <c r="Z238" s="5">
        <v>-0.12687480510038501</v>
      </c>
      <c r="AA238" s="5">
        <v>2.75694877576407E-2</v>
      </c>
      <c r="AB238" s="5">
        <v>-7.2484791332294393E-2</v>
      </c>
      <c r="AC238" s="5">
        <v>1.01296298752533E-2</v>
      </c>
    </row>
    <row r="239" spans="1:29" ht="15" x14ac:dyDescent="0.25">
      <c r="A239" s="6">
        <v>43646</v>
      </c>
      <c r="B239" s="5" t="s">
        <v>20</v>
      </c>
      <c r="C239" s="5" t="str">
        <f>"20"&amp;RIGHT(B239,2)&amp;"Q"&amp;LEFT(B239,1)</f>
        <v>2019Q2</v>
      </c>
      <c r="D239">
        <v>8.6999813121266204E-3</v>
      </c>
      <c r="E239">
        <v>-9.2372368235387206E-2</v>
      </c>
      <c r="F239">
        <v>-0.16786352290322501</v>
      </c>
      <c r="G239">
        <v>3.4055728607639599E-2</v>
      </c>
      <c r="H239">
        <v>-0.10940202427505299</v>
      </c>
      <c r="I239">
        <v>7.8133368609604702E-3</v>
      </c>
      <c r="J239">
        <v>-7.0670135530774602E-3</v>
      </c>
      <c r="V239" s="5">
        <f>LEFT(C239,4)+1</f>
        <v>2020</v>
      </c>
      <c r="W239" s="5">
        <v>2.9635623465026101E-2</v>
      </c>
      <c r="X239" s="5">
        <v>-0.102957824133837</v>
      </c>
      <c r="Y239" s="5">
        <v>-0.1591149654732</v>
      </c>
      <c r="Z239" s="5">
        <v>3.8225307822821401E-2</v>
      </c>
      <c r="AA239" s="5">
        <v>-0.104688394886695</v>
      </c>
      <c r="AB239" s="5">
        <v>2.0214455665945701E-2</v>
      </c>
      <c r="AC239" s="5">
        <v>-3.4254979566346899E-3</v>
      </c>
    </row>
    <row r="240" spans="1:29" ht="15" x14ac:dyDescent="0.25">
      <c r="A240" s="6">
        <v>43738</v>
      </c>
      <c r="B240" s="5" t="s">
        <v>19</v>
      </c>
      <c r="C240" s="5" t="str">
        <f>"20"&amp;RIGHT(B240,2)&amp;"Q"&amp;LEFT(B240,1)</f>
        <v>2019Q3</v>
      </c>
      <c r="D240">
        <v>-0.13396770579558401</v>
      </c>
      <c r="E240">
        <v>-0.19125235126837201</v>
      </c>
      <c r="F240">
        <v>5.6321311920413598E-2</v>
      </c>
      <c r="G240">
        <v>-0.140825206683444</v>
      </c>
      <c r="H240">
        <v>1.51322518367246E-2</v>
      </c>
      <c r="I240">
        <v>-2.3322272948598802E-2</v>
      </c>
      <c r="J240">
        <v>-1.1035128034740899E-2</v>
      </c>
      <c r="V240" s="5">
        <f>LEFT(C240,4)+1</f>
        <v>2020</v>
      </c>
      <c r="W240" s="5">
        <v>-0.13822438674843199</v>
      </c>
      <c r="X240" s="5">
        <v>-0.18531046731822501</v>
      </c>
      <c r="Y240" s="5">
        <v>5.5522316991527099E-2</v>
      </c>
      <c r="Z240" s="5">
        <v>-0.13631623227262701</v>
      </c>
      <c r="AA240" s="5">
        <v>3.0846638821340901E-2</v>
      </c>
      <c r="AB240" s="5">
        <v>-7.9169603714189692E-3</v>
      </c>
      <c r="AC240" s="5">
        <v>-1.13046072883263E-2</v>
      </c>
    </row>
    <row r="241" spans="1:29" ht="15" x14ac:dyDescent="0.25">
      <c r="A241" s="6">
        <v>43830</v>
      </c>
      <c r="B241" s="5" t="s">
        <v>18</v>
      </c>
      <c r="C241" s="5" t="str">
        <f>"20"&amp;RIGHT(B241,2)&amp;"Q"&amp;LEFT(B241,1)</f>
        <v>2019Q4</v>
      </c>
      <c r="D241">
        <v>-0.23365875134984099</v>
      </c>
      <c r="E241">
        <v>8.7240207234628497E-2</v>
      </c>
      <c r="F241">
        <v>-0.16779545557803099</v>
      </c>
      <c r="G241">
        <v>3.2622362430368798E-2</v>
      </c>
      <c r="H241">
        <v>-2.76471800374661E-2</v>
      </c>
      <c r="I241">
        <v>-2.7573539388254999E-2</v>
      </c>
      <c r="J241">
        <v>-6.6620728151188802E-3</v>
      </c>
      <c r="V241" s="5">
        <f>LEFT(C241,4)+1</f>
        <v>2020</v>
      </c>
      <c r="W241" s="5">
        <v>-0.243541609945293</v>
      </c>
      <c r="X241" s="5">
        <v>9.2638096581137294E-2</v>
      </c>
      <c r="Y241" s="5">
        <v>-0.15611155317136499</v>
      </c>
      <c r="Z241" s="5">
        <v>5.0951842978551903E-2</v>
      </c>
      <c r="AA241" s="5">
        <v>-7.04763711846596E-3</v>
      </c>
      <c r="AB241" s="5">
        <v>-1.86900620197798E-2</v>
      </c>
      <c r="AC241" s="5">
        <v>-1.53419963824143E-2</v>
      </c>
    </row>
    <row r="242" spans="1:29" ht="15" x14ac:dyDescent="0.25">
      <c r="A242" s="6">
        <v>43921</v>
      </c>
      <c r="B242" s="5" t="s">
        <v>17</v>
      </c>
      <c r="C242" s="5" t="str">
        <f>"20"&amp;RIGHT(B242,2)&amp;"Q"&amp;LEFT(B242,1)</f>
        <v>2020Q1</v>
      </c>
      <c r="D242">
        <v>0.298272181580789</v>
      </c>
      <c r="E242">
        <v>-0.16638405702984799</v>
      </c>
      <c r="F242">
        <v>8.3614955592456894E-2</v>
      </c>
      <c r="G242">
        <v>-1.8741520126141401E-2</v>
      </c>
      <c r="H242">
        <v>-2.99971913273227E-2</v>
      </c>
      <c r="I242">
        <v>-9.6573457302684892E-3</v>
      </c>
      <c r="J242">
        <v>-3.7967625771515502E-2</v>
      </c>
      <c r="V242" s="5">
        <f>LEFT(C242,4)+1</f>
        <v>2021</v>
      </c>
      <c r="W242" s="5">
        <v>0.340105274936639</v>
      </c>
      <c r="X242" s="5">
        <v>-0.166997152302509</v>
      </c>
      <c r="Y242" s="5">
        <v>7.9113035715149202E-2</v>
      </c>
      <c r="Z242" s="5">
        <v>1.15873505176569E-3</v>
      </c>
      <c r="AA242" s="5">
        <v>-1.9683212282771201E-2</v>
      </c>
      <c r="AB242" s="5">
        <v>-2.3799145909818999E-2</v>
      </c>
      <c r="AC242" s="5">
        <v>-2.4488633299773799E-2</v>
      </c>
    </row>
    <row r="243" spans="1:29" ht="15" x14ac:dyDescent="0.25">
      <c r="A243" s="6">
        <v>44012</v>
      </c>
      <c r="B243" s="5" t="s">
        <v>16</v>
      </c>
      <c r="C243" s="5" t="str">
        <f>"20"&amp;RIGHT(B243,2)&amp;"Q"&amp;LEFT(B243,1)</f>
        <v>2020Q2</v>
      </c>
      <c r="D243">
        <v>0.21638647022506</v>
      </c>
      <c r="E243">
        <v>0.19425786226215599</v>
      </c>
      <c r="F243">
        <v>3.4874593526393403E-2</v>
      </c>
      <c r="G243">
        <v>-3.0048533239085899E-2</v>
      </c>
      <c r="H243">
        <v>-3.0370651473802801E-2</v>
      </c>
      <c r="I243">
        <v>-3.4053932675048998E-2</v>
      </c>
      <c r="J243">
        <v>-3.9654425088119602E-2</v>
      </c>
      <c r="V243" s="5">
        <f>LEFT(C243,4)+1</f>
        <v>2021</v>
      </c>
      <c r="W243" s="5">
        <v>0.29054261810743598</v>
      </c>
      <c r="X243" s="5">
        <v>0.16140274466250701</v>
      </c>
      <c r="Y243" s="5">
        <v>3.2615653471832198E-3</v>
      </c>
      <c r="Z243" s="5">
        <v>-3.3533329438524197E-2</v>
      </c>
      <c r="AA243" s="5">
        <v>-4.6568397078123498E-2</v>
      </c>
      <c r="AB243" s="5">
        <v>-4.9309435625332701E-2</v>
      </c>
      <c r="AC243" s="5">
        <v>-4.5263054200625E-2</v>
      </c>
    </row>
    <row r="244" spans="1:29" ht="15" x14ac:dyDescent="0.25">
      <c r="A244" s="6">
        <v>44104</v>
      </c>
      <c r="B244" s="5" t="s">
        <v>15</v>
      </c>
      <c r="C244" s="5" t="str">
        <f>"20"&amp;RIGHT(B244,2)&amp;"Q"&amp;LEFT(B244,1)</f>
        <v>2020Q3</v>
      </c>
      <c r="D244">
        <v>0.20939974253513599</v>
      </c>
      <c r="E244">
        <v>-3.5467203816721502E-3</v>
      </c>
      <c r="F244">
        <v>-5.2199785685459701E-2</v>
      </c>
      <c r="G244">
        <v>-7.3469628993412001E-2</v>
      </c>
      <c r="H244">
        <v>-7.6989006359302795E-2</v>
      </c>
      <c r="I244">
        <v>-6.7464232889359099E-2</v>
      </c>
      <c r="J244">
        <v>-6.0335270837004198E-2</v>
      </c>
      <c r="V244" s="5">
        <f>LEFT(C244,4)+1</f>
        <v>2021</v>
      </c>
      <c r="W244" s="5">
        <v>0.26386806415124803</v>
      </c>
      <c r="X244" s="5">
        <v>-3.8658170595591602E-2</v>
      </c>
      <c r="Y244" s="5">
        <v>-8.3999850934825995E-2</v>
      </c>
      <c r="Z244" s="5">
        <v>-9.6634926909009905E-2</v>
      </c>
      <c r="AA244" s="5">
        <v>-9.2488163827291706E-2</v>
      </c>
      <c r="AB244" s="5">
        <v>-7.9165371173764099E-2</v>
      </c>
      <c r="AC244" s="5">
        <v>-6.22871318842819E-2</v>
      </c>
    </row>
    <row r="245" spans="1:29" ht="15" x14ac:dyDescent="0.25">
      <c r="A245" s="6">
        <v>44196</v>
      </c>
      <c r="B245" s="5" t="s">
        <v>14</v>
      </c>
      <c r="C245" s="5" t="str">
        <f>"20"&amp;RIGHT(B245,2)&amp;"Q"&amp;LEFT(B245,1)</f>
        <v>2020Q4</v>
      </c>
      <c r="D245">
        <v>-0.11015277324342899</v>
      </c>
      <c r="E245">
        <v>-0.19254999901386</v>
      </c>
      <c r="F245">
        <v>-0.17590629568205099</v>
      </c>
      <c r="G245">
        <v>-0.144364565808037</v>
      </c>
      <c r="H245">
        <v>-0.12325713530384499</v>
      </c>
      <c r="I245">
        <v>-8.5453442817074496E-2</v>
      </c>
      <c r="J245">
        <v>-7.8347656180156003E-2</v>
      </c>
      <c r="V245" s="5">
        <f>LEFT(C245,4)+1</f>
        <v>2021</v>
      </c>
      <c r="W245" s="5">
        <v>-0.13637158685749801</v>
      </c>
      <c r="X245" s="5">
        <v>-0.228211438436077</v>
      </c>
      <c r="Y245" s="5">
        <v>-0.19792831464934699</v>
      </c>
      <c r="Z245" s="5">
        <v>-0.16316824547745201</v>
      </c>
      <c r="AA245" s="5">
        <v>-0.127652917330281</v>
      </c>
      <c r="AB245" s="5">
        <v>-0.10272799266244</v>
      </c>
      <c r="AC245" s="5">
        <v>-7.6168596341140898E-2</v>
      </c>
    </row>
    <row r="246" spans="1:29" ht="15" x14ac:dyDescent="0.25">
      <c r="A246" s="6">
        <v>44286</v>
      </c>
      <c r="B246" s="5" t="s">
        <v>13</v>
      </c>
      <c r="C246" s="5" t="str">
        <f>"20"&amp;RIGHT(B246,2)&amp;"Q"&amp;LEFT(B246,1)</f>
        <v>2021Q1</v>
      </c>
      <c r="D246">
        <v>-0.271376055966219</v>
      </c>
      <c r="E246">
        <v>-0.265963427703794</v>
      </c>
      <c r="F246">
        <v>-0.19280141269227</v>
      </c>
      <c r="G246">
        <v>-0.16184472435977601</v>
      </c>
      <c r="H246">
        <v>-0.13227466654872999</v>
      </c>
      <c r="I246">
        <v>-6.3143081935901402E-2</v>
      </c>
      <c r="J246">
        <v>-8.5612376734168202E-2</v>
      </c>
      <c r="V246" s="5">
        <f>LEFT(C246,4)+1</f>
        <v>2022</v>
      </c>
      <c r="W246" s="5">
        <v>-0.336400734078241</v>
      </c>
      <c r="X246" s="5">
        <v>-0.29241152183041402</v>
      </c>
      <c r="Y246" s="5">
        <v>-0.21370407340502701</v>
      </c>
      <c r="Z246" s="5">
        <v>-0.16496956131076099</v>
      </c>
      <c r="AA246" s="5">
        <v>-0.11726709102022501</v>
      </c>
      <c r="AB246" s="5">
        <v>-8.5467877896097902E-2</v>
      </c>
      <c r="AC246" s="5">
        <v>-5.4476411039022898E-2</v>
      </c>
    </row>
    <row r="247" spans="1:29" ht="15" x14ac:dyDescent="0.25">
      <c r="A247" s="6">
        <v>44377</v>
      </c>
      <c r="B247" s="5" t="s">
        <v>12</v>
      </c>
      <c r="C247" s="5" t="str">
        <f>"20"&amp;RIGHT(B247,2)&amp;"Q"&amp;LEFT(B247,1)</f>
        <v>2021Q2</v>
      </c>
      <c r="D247">
        <v>-0.564188103275443</v>
      </c>
      <c r="E247">
        <v>-0.33339175833815199</v>
      </c>
      <c r="F247">
        <v>-0.233288676668397</v>
      </c>
      <c r="G247">
        <v>-0.175979607293997</v>
      </c>
      <c r="H247">
        <v>-0.13369348612647999</v>
      </c>
      <c r="I247">
        <v>-1.253994183122E-2</v>
      </c>
      <c r="J247">
        <v>-8.8077110860479702E-2</v>
      </c>
      <c r="V247" s="5">
        <f>LEFT(C247,4)+1</f>
        <v>2022</v>
      </c>
      <c r="W247" s="5">
        <v>-0.67849137841757601</v>
      </c>
      <c r="X247" s="5">
        <v>-0.34107565475617002</v>
      </c>
      <c r="Y247" s="5">
        <v>-0.220967845300128</v>
      </c>
      <c r="Z247" s="5">
        <v>-0.14570979552260799</v>
      </c>
      <c r="AA247" s="5">
        <v>-9.3780593481412197E-2</v>
      </c>
      <c r="AB247" s="5">
        <v>-5.77875566765527E-2</v>
      </c>
      <c r="AC247" s="5">
        <v>-3.2603399770929797E-2</v>
      </c>
    </row>
    <row r="248" spans="1:29" ht="15" x14ac:dyDescent="0.25">
      <c r="A248" s="6">
        <v>44469</v>
      </c>
      <c r="B248" s="5" t="s">
        <v>11</v>
      </c>
      <c r="C248" s="5" t="str">
        <f>"20"&amp;RIGHT(B248,2)&amp;"Q"&amp;LEFT(B248,1)</f>
        <v>2021Q3</v>
      </c>
      <c r="D248">
        <v>-0.243400671880137</v>
      </c>
      <c r="E248">
        <v>-0.211170436105484</v>
      </c>
      <c r="F248">
        <v>-0.171428015291337</v>
      </c>
      <c r="G248">
        <v>-0.13701235637272199</v>
      </c>
      <c r="H248">
        <v>-0.13035157458077501</v>
      </c>
      <c r="I248">
        <v>-1.7753682772773099E-2</v>
      </c>
      <c r="J248">
        <v>-9.3419699454436095E-2</v>
      </c>
      <c r="V248" s="5">
        <f>LEFT(C248,4)+1</f>
        <v>2022</v>
      </c>
      <c r="W248" s="5">
        <v>-0.29973966531598201</v>
      </c>
      <c r="X248" s="5">
        <v>-0.140583994195566</v>
      </c>
      <c r="Y248" s="5">
        <v>-4.1720063228798503E-2</v>
      </c>
      <c r="Z248" s="5">
        <v>-5.0653610546261399E-2</v>
      </c>
      <c r="AA248" s="5">
        <v>5.5751456013914498E-4</v>
      </c>
      <c r="AB248" s="5">
        <v>1.23212340029345E-2</v>
      </c>
      <c r="AC248" s="5">
        <v>1.8378033205645201E-2</v>
      </c>
    </row>
    <row r="249" spans="1:29" ht="15" x14ac:dyDescent="0.25">
      <c r="A249" s="6">
        <v>44561</v>
      </c>
      <c r="B249" s="5" t="s">
        <v>10</v>
      </c>
      <c r="C249" s="5" t="str">
        <f>"20"&amp;RIGHT(B249,2)&amp;"Q"&amp;LEFT(B249,1)</f>
        <v>2021Q4</v>
      </c>
      <c r="D249">
        <v>-0.45906526285587601</v>
      </c>
      <c r="E249">
        <v>-0.24525605110825799</v>
      </c>
      <c r="F249">
        <v>-0.11630985941611401</v>
      </c>
      <c r="G249">
        <v>-8.2071374352117393E-2</v>
      </c>
      <c r="H249">
        <v>-0.11729153350905</v>
      </c>
      <c r="I249">
        <v>3.8585719734125098E-2</v>
      </c>
      <c r="J249">
        <v>-7.9437869881940307E-2</v>
      </c>
      <c r="V249" s="5">
        <f>LEFT(C249,4)+1</f>
        <v>2022</v>
      </c>
      <c r="W249" s="5">
        <v>-0.55798661509710601</v>
      </c>
      <c r="X249" s="5">
        <v>-0.19190205742496899</v>
      </c>
      <c r="Y249" s="5">
        <v>-8.0267080173855199E-2</v>
      </c>
      <c r="Z249" s="5">
        <v>-5.4277980447014602E-2</v>
      </c>
      <c r="AA249" s="5">
        <v>-1.53402005341584E-2</v>
      </c>
      <c r="AB249" s="5">
        <v>4.0945274114894499E-3</v>
      </c>
      <c r="AC249" s="5">
        <v>1.1104514403103701E-2</v>
      </c>
    </row>
    <row r="250" spans="1:29" ht="15" x14ac:dyDescent="0.25">
      <c r="A250" s="6">
        <v>44651</v>
      </c>
      <c r="B250" s="5" t="s">
        <v>9</v>
      </c>
      <c r="C250" s="5" t="str">
        <f>"20"&amp;RIGHT(B250,2)&amp;"Q"&amp;LEFT(B250,1)</f>
        <v>2022Q1</v>
      </c>
      <c r="D250">
        <v>-0.416928626441811</v>
      </c>
      <c r="E250">
        <v>-4.1521485342866399E-2</v>
      </c>
      <c r="F250">
        <v>0.19249037507719399</v>
      </c>
      <c r="G250">
        <v>9.1556538128140602E-2</v>
      </c>
      <c r="H250">
        <v>-1.5599411841032E-2</v>
      </c>
      <c r="I250">
        <v>0.20135062237778301</v>
      </c>
      <c r="J250">
        <v>-4.1345156349017502E-3</v>
      </c>
      <c r="V250" s="5">
        <f>LEFT(C250,4)+1</f>
        <v>2023</v>
      </c>
      <c r="W250" s="5">
        <v>-0.51969737007193995</v>
      </c>
      <c r="X250" s="5">
        <v>-1.6936306734537401E-2</v>
      </c>
      <c r="Y250" s="5">
        <v>-6.4418948820036903E-2</v>
      </c>
      <c r="Z250" s="5">
        <v>1.67588136651848E-2</v>
      </c>
      <c r="AA250" s="5">
        <v>1.7545681709433401E-2</v>
      </c>
      <c r="AB250" s="5">
        <v>3.88151016415374E-3</v>
      </c>
      <c r="AC250" s="5">
        <v>3.4013542043019101E-3</v>
      </c>
    </row>
    <row r="251" spans="1:29" ht="15" x14ac:dyDescent="0.25">
      <c r="A251" s="6">
        <v>44742</v>
      </c>
      <c r="B251" s="5" t="s">
        <v>8</v>
      </c>
      <c r="C251" s="5" t="str">
        <f>"20"&amp;RIGHT(B251,2)&amp;"Q"&amp;LEFT(B251,1)</f>
        <v>2022Q2</v>
      </c>
      <c r="D251">
        <v>-0.137815677860988</v>
      </c>
      <c r="E251">
        <v>0.114731132223871</v>
      </c>
      <c r="F251">
        <v>0.32710694108155702</v>
      </c>
      <c r="G251">
        <v>-0.11881145384357</v>
      </c>
      <c r="H251">
        <v>1.37200502270885E-2</v>
      </c>
      <c r="I251">
        <v>-2.54151901919673E-3</v>
      </c>
      <c r="J251">
        <v>1.54899635186779E-2</v>
      </c>
      <c r="V251" s="5">
        <f>LEFT(C251,4)+1</f>
        <v>2023</v>
      </c>
      <c r="W251" s="5">
        <v>-0.192763329424052</v>
      </c>
      <c r="X251" s="5">
        <v>2.7029648652037299E-2</v>
      </c>
      <c r="Y251" s="5">
        <v>0.197020989599302</v>
      </c>
      <c r="Z251" s="5">
        <v>0.156192941556975</v>
      </c>
      <c r="AA251" s="5">
        <v>0.188151551354969</v>
      </c>
      <c r="AB251" s="5">
        <v>3.7196191788964703E-2</v>
      </c>
      <c r="AC251" s="5">
        <v>3.2471402462318701E-2</v>
      </c>
    </row>
    <row r="252" spans="1:29" ht="15" x14ac:dyDescent="0.25">
      <c r="A252" s="6">
        <v>44834</v>
      </c>
      <c r="B252" s="5" t="s">
        <v>7</v>
      </c>
      <c r="C252" s="5" t="str">
        <f>"20"&amp;RIGHT(B252,2)&amp;"Q"&amp;LEFT(B252,1)</f>
        <v>2022Q3</v>
      </c>
      <c r="D252">
        <v>0.20245102659516701</v>
      </c>
      <c r="E252">
        <v>0.24265392015661499</v>
      </c>
      <c r="F252">
        <v>0.31079796387574798</v>
      </c>
      <c r="G252">
        <v>-5.20102673741763E-2</v>
      </c>
      <c r="H252">
        <v>8.8759131137266106E-2</v>
      </c>
      <c r="I252">
        <v>0.123195617190451</v>
      </c>
      <c r="J252">
        <v>5.5469274325428503E-2</v>
      </c>
      <c r="V252" s="5">
        <f>LEFT(C252,4)+1</f>
        <v>2023</v>
      </c>
      <c r="W252" s="5">
        <v>0.18144784317412299</v>
      </c>
      <c r="X252" s="5">
        <v>0.12311282975985199</v>
      </c>
      <c r="Y252" s="5">
        <v>0.19796780827730001</v>
      </c>
      <c r="Z252" s="5">
        <v>6.0933728509018702E-2</v>
      </c>
      <c r="AA252" s="5">
        <v>2.2575918389003601E-2</v>
      </c>
      <c r="AB252" s="5">
        <v>9.7958832351197293E-3</v>
      </c>
      <c r="AC252" s="5">
        <v>-1.2522384040487699E-2</v>
      </c>
    </row>
    <row r="253" spans="1:29" ht="15" x14ac:dyDescent="0.25">
      <c r="A253" s="6">
        <v>44926</v>
      </c>
      <c r="B253" s="5" t="s">
        <v>6</v>
      </c>
      <c r="C253" s="5" t="str">
        <f>"20"&amp;RIGHT(B253,2)&amp;"Q"&amp;LEFT(B253,1)</f>
        <v>2022Q4</v>
      </c>
      <c r="D253">
        <v>0.37403300405883899</v>
      </c>
      <c r="E253">
        <v>0.173160153852674</v>
      </c>
      <c r="F253">
        <v>0.20053596143175401</v>
      </c>
      <c r="G253">
        <v>-6.6161274648732699E-2</v>
      </c>
      <c r="H253">
        <v>6.7800715991206906E-2</v>
      </c>
      <c r="I253">
        <v>-0.107343049369673</v>
      </c>
      <c r="J253">
        <v>6.1729404572782497E-2</v>
      </c>
      <c r="V253" s="5">
        <f>LEFT(C253,4)+1</f>
        <v>2023</v>
      </c>
      <c r="W253" s="5">
        <v>0.38679194652915699</v>
      </c>
      <c r="X253" s="5">
        <v>0.26282998889343301</v>
      </c>
      <c r="Y253" s="5">
        <v>0.171290609873198</v>
      </c>
      <c r="Z253" s="5">
        <v>0.12951563268913999</v>
      </c>
      <c r="AA253" s="5">
        <v>-2.2285546617663598E-3</v>
      </c>
      <c r="AB253" s="5">
        <v>-1.7284767669536901E-2</v>
      </c>
      <c r="AC253" s="5">
        <v>-3.8021108411398399E-2</v>
      </c>
    </row>
    <row r="254" spans="1:29" ht="15" x14ac:dyDescent="0.25">
      <c r="A254" s="6">
        <v>45016</v>
      </c>
      <c r="B254" s="5" t="s">
        <v>5</v>
      </c>
      <c r="C254" s="5" t="str">
        <f>"20"&amp;RIGHT(B254,2)&amp;"Q"&amp;LEFT(B254,1)</f>
        <v>2023Q1</v>
      </c>
      <c r="D254">
        <v>-0.115907173289063</v>
      </c>
      <c r="E254">
        <v>1.6861430242358599E-2</v>
      </c>
      <c r="F254">
        <v>4.4855795207220502E-2</v>
      </c>
      <c r="G254">
        <v>-0.15208836962574501</v>
      </c>
      <c r="H254">
        <v>5.4202149756846098E-2</v>
      </c>
      <c r="I254">
        <v>-0.18788217821504799</v>
      </c>
      <c r="J254">
        <v>5.7144487833485101E-2</v>
      </c>
      <c r="V254" s="5">
        <f>LEFT(C254,4)+1</f>
        <v>2024</v>
      </c>
      <c r="W254" s="5">
        <v>-0.138269202339979</v>
      </c>
      <c r="X254" s="5">
        <v>0.14891687215348501</v>
      </c>
      <c r="Y254" s="5">
        <v>0.146039591629124</v>
      </c>
      <c r="Z254" s="5">
        <v>8.3188834736850695E-2</v>
      </c>
      <c r="AA254" s="5">
        <v>3.3216084170413399E-2</v>
      </c>
      <c r="AB254" s="5">
        <v>-1.8909885303921199E-2</v>
      </c>
      <c r="AC254" s="5">
        <v>-7.6280172567991201E-3</v>
      </c>
    </row>
    <row r="255" spans="1:29" ht="15" x14ac:dyDescent="0.25">
      <c r="A255" s="6">
        <v>45107</v>
      </c>
      <c r="B255" s="5" t="s">
        <v>4</v>
      </c>
      <c r="C255" s="5" t="str">
        <f>"20"&amp;RIGHT(B255,2)&amp;"Q"&amp;LEFT(B255,1)</f>
        <v>2023Q2</v>
      </c>
      <c r="D255">
        <v>0.21139797939739</v>
      </c>
      <c r="E255">
        <v>0.165269823199622</v>
      </c>
      <c r="F255">
        <v>8.7641924774885596E-2</v>
      </c>
      <c r="G255">
        <v>3.4701535749109703E-2</v>
      </c>
      <c r="H255">
        <v>8.1153791974057796E-2</v>
      </c>
      <c r="I255">
        <v>-0.182826692660292</v>
      </c>
      <c r="J255">
        <v>9.1564881419306701E-2</v>
      </c>
      <c r="V255" s="5">
        <f>LEFT(C255,4)+1</f>
        <v>2024</v>
      </c>
      <c r="W255" s="5">
        <v>0.27520523137834901</v>
      </c>
      <c r="X255" s="5">
        <v>0.194239889064799</v>
      </c>
      <c r="Y255" s="5">
        <v>0.104859204136639</v>
      </c>
      <c r="Z255" s="5">
        <v>3.7644429438924799E-2</v>
      </c>
      <c r="AA255" s="5">
        <v>1.55771782448651E-3</v>
      </c>
      <c r="AB255" s="5">
        <v>-1.48055601649824E-2</v>
      </c>
      <c r="AC255" s="5">
        <v>-2.84965838553486E-2</v>
      </c>
    </row>
    <row r="256" spans="1:29" ht="15" x14ac:dyDescent="0.25">
      <c r="A256" s="6">
        <v>45199</v>
      </c>
      <c r="B256" s="5" t="s">
        <v>3</v>
      </c>
      <c r="C256" s="5" t="str">
        <f>"20"&amp;RIGHT(B256,2)&amp;"Q"&amp;LEFT(B256,1)</f>
        <v>2023Q3</v>
      </c>
      <c r="D256">
        <v>0.166898910441587</v>
      </c>
      <c r="E256">
        <v>0.15467910892297501</v>
      </c>
      <c r="F256">
        <v>7.24508664916238E-2</v>
      </c>
      <c r="G256">
        <v>5.6892622982297102E-2</v>
      </c>
      <c r="H256">
        <v>7.8181225890298994E-2</v>
      </c>
      <c r="I256">
        <v>-0.13554479898010799</v>
      </c>
      <c r="J256">
        <v>8.0429978608535499E-2</v>
      </c>
      <c r="V256" s="5">
        <f>LEFT(C256,4)+1</f>
        <v>2024</v>
      </c>
      <c r="W256" s="5">
        <v>0.22504959988375001</v>
      </c>
      <c r="X256" s="5">
        <v>0.16336513315047199</v>
      </c>
      <c r="Y256" s="5">
        <v>0.13366253666217401</v>
      </c>
      <c r="Z256" s="5">
        <v>7.1624207635680906E-2</v>
      </c>
      <c r="AA256" s="5">
        <v>4.4086701771120201E-2</v>
      </c>
      <c r="AB256" s="5">
        <v>3.4649404369554403E-2</v>
      </c>
      <c r="AC256" s="5">
        <v>1.9858444139522299E-2</v>
      </c>
    </row>
    <row r="257" spans="1:29" ht="15" x14ac:dyDescent="0.25">
      <c r="A257" s="6">
        <v>45291</v>
      </c>
      <c r="B257" s="5" t="s">
        <v>2</v>
      </c>
      <c r="C257" s="5" t="str">
        <f>"20"&amp;RIGHT(B257,2)&amp;"Q"&amp;LEFT(B257,1)</f>
        <v>2023Q4</v>
      </c>
      <c r="D257">
        <v>0.154007420030291</v>
      </c>
      <c r="E257">
        <v>5.1957163705232803E-2</v>
      </c>
      <c r="F257">
        <v>-4.29096945635331E-2</v>
      </c>
      <c r="G257">
        <v>-0.167506605659758</v>
      </c>
      <c r="H257">
        <v>4.55366201463955E-2</v>
      </c>
      <c r="I257">
        <v>-0.149346609405175</v>
      </c>
      <c r="J257">
        <v>3.65110068529595E-2</v>
      </c>
      <c r="V257" s="5">
        <f>LEFT(C257,4)+1</f>
        <v>2024</v>
      </c>
      <c r="W257" s="5">
        <v>0.23188187259766599</v>
      </c>
      <c r="X257" s="5">
        <v>0.13357949704729899</v>
      </c>
      <c r="Y257" s="5">
        <v>8.14015225188848E-2</v>
      </c>
      <c r="Z257" s="5">
        <v>4.3301268366056203E-2</v>
      </c>
      <c r="AA257" s="5">
        <v>5.1860869038426304E-3</v>
      </c>
      <c r="AB257" s="5">
        <v>-1.0671900807484799E-2</v>
      </c>
      <c r="AC257" s="5">
        <v>-1.96906633495121E-2</v>
      </c>
    </row>
    <row r="258" spans="1:29" ht="15" x14ac:dyDescent="0.25">
      <c r="A258" s="6">
        <v>45382</v>
      </c>
      <c r="B258" s="5" t="s">
        <v>1</v>
      </c>
      <c r="C258" s="5" t="str">
        <f>"20"&amp;RIGHT(B258,2)&amp;"Q"&amp;LEFT(B258,1)</f>
        <v>2024Q1</v>
      </c>
      <c r="D258">
        <v>0.18730188747042001</v>
      </c>
      <c r="E258">
        <v>0.10587678957360699</v>
      </c>
      <c r="F258">
        <v>1.03434064771854E-2</v>
      </c>
      <c r="G258">
        <v>-0.103518521582044</v>
      </c>
      <c r="H258">
        <v>6.1257193026620201E-2</v>
      </c>
      <c r="I258">
        <v>-9.8931871569561E-2</v>
      </c>
      <c r="J258">
        <v>4.99159419761755E-2</v>
      </c>
      <c r="V258" s="5">
        <f>LEFT(C258,4)+1</f>
        <v>2025</v>
      </c>
      <c r="W258" s="5">
        <v>0.26644055444478498</v>
      </c>
      <c r="X258" s="5">
        <v>0.102504537108682</v>
      </c>
      <c r="Y258" s="5">
        <v>6.0745396505844103E-2</v>
      </c>
      <c r="Z258" s="5">
        <v>4.4807236422307703E-2</v>
      </c>
      <c r="AA258" s="5">
        <v>3.00324169507802E-2</v>
      </c>
      <c r="AB258" s="5">
        <v>1.7877485170937901E-2</v>
      </c>
      <c r="AC258" s="5">
        <v>8.2464445932181399E-3</v>
      </c>
    </row>
    <row r="259" spans="1:29" ht="15" x14ac:dyDescent="0.25">
      <c r="A259" s="6">
        <v>45473</v>
      </c>
      <c r="B259" s="5" t="s">
        <v>0</v>
      </c>
      <c r="C259" s="5" t="str">
        <f>"20"&amp;RIGHT(B259,2)&amp;"Q"&amp;LEFT(B259,1)</f>
        <v>2024Q2</v>
      </c>
      <c r="D259">
        <v>0.192295117855214</v>
      </c>
      <c r="E259">
        <v>0.110010050279225</v>
      </c>
      <c r="F259">
        <v>-1.51012453972464E-2</v>
      </c>
      <c r="G259">
        <v>-1.42888099325859E-2</v>
      </c>
      <c r="H259">
        <v>6.1679384442370699E-2</v>
      </c>
      <c r="I259">
        <v>-8.6940357646633395E-2</v>
      </c>
      <c r="J259">
        <v>5.64794719548933E-2</v>
      </c>
      <c r="V259" s="5">
        <f>LEFT(C259,4)+1</f>
        <v>2025</v>
      </c>
      <c r="W259" s="5">
        <v>0.25707652455753199</v>
      </c>
      <c r="X259" s="5">
        <v>3.2934674067504499E-2</v>
      </c>
      <c r="Y259" s="5">
        <v>-3.1607084332699598E-2</v>
      </c>
      <c r="Z259" s="5">
        <v>-4.1358291064613202E-2</v>
      </c>
      <c r="AA259" s="5">
        <v>-3.6222308580215197E-2</v>
      </c>
      <c r="AB259" s="5">
        <v>-1.69243144956614E-2</v>
      </c>
      <c r="AC259" s="5">
        <v>-1.12595437827682E-2</v>
      </c>
    </row>
    <row r="260" spans="1:29" ht="15" x14ac:dyDescent="0.25">
      <c r="A260" s="6">
        <v>45565</v>
      </c>
      <c r="B260" s="5" t="s">
        <v>80</v>
      </c>
      <c r="C260" s="5" t="str">
        <f>"20"&amp;RIGHT(B260,2)&amp;"Q"&amp;LEFT(B260,1)</f>
        <v>2024Q3</v>
      </c>
      <c r="D260">
        <v>0.14286928935825299</v>
      </c>
      <c r="E260">
        <v>-0.106374110257523</v>
      </c>
      <c r="F260">
        <v>-0.144979140854679</v>
      </c>
      <c r="G260">
        <v>-8.2641361766595395E-2</v>
      </c>
      <c r="H260">
        <v>2.0341043956252101E-2</v>
      </c>
      <c r="I260">
        <v>-5.4602218829049302E-2</v>
      </c>
      <c r="J260">
        <v>1.6065755088222899E-2</v>
      </c>
      <c r="V260" s="5">
        <f>LEFT(C260,4)+1</f>
        <v>2025</v>
      </c>
      <c r="W260" s="5">
        <v>0.20977583287359</v>
      </c>
      <c r="X260" s="5">
        <v>-4.54227479096233E-2</v>
      </c>
      <c r="Y260" s="5">
        <v>-5.8002755026986902E-2</v>
      </c>
      <c r="Z260" s="5">
        <v>-9.1669277245387704E-2</v>
      </c>
      <c r="AA260" s="5">
        <v>-5.6046769392660699E-2</v>
      </c>
      <c r="AB260" s="5">
        <v>-3.0443383964927798E-2</v>
      </c>
      <c r="AC260" s="5">
        <v>-1.18057095245839E-2</v>
      </c>
    </row>
    <row r="261" spans="1:29" ht="15" x14ac:dyDescent="0.25">
      <c r="B261" s="5" t="s">
        <v>81</v>
      </c>
      <c r="D261">
        <v>1.33365447307159E-2</v>
      </c>
      <c r="E261">
        <v>2.5612377891222501E-2</v>
      </c>
      <c r="F261">
        <v>1.2619318902028101E-2</v>
      </c>
      <c r="G261">
        <v>6.63811237470254E-2</v>
      </c>
      <c r="H261">
        <v>6.1618967624896798E-2</v>
      </c>
      <c r="I261">
        <v>0.119845446510477</v>
      </c>
      <c r="J261">
        <v>3.72985738724914E-2</v>
      </c>
      <c r="W261" s="5">
        <f>0.9*W260</f>
        <v>0.18879824958623101</v>
      </c>
      <c r="X261" s="5">
        <f>0.9*X260</f>
        <v>-4.088047311866097E-2</v>
      </c>
      <c r="Y261" s="5">
        <f>0.9*Y260</f>
        <v>-5.2202479524288213E-2</v>
      </c>
      <c r="Z261" s="5">
        <f>0.9*Z260</f>
        <v>-8.2502349520848936E-2</v>
      </c>
      <c r="AA261" s="5">
        <f>0.9*AA260</f>
        <v>-5.0442092453394628E-2</v>
      </c>
      <c r="AB261" s="5">
        <f>0.9*AB260</f>
        <v>-2.7399045568435018E-2</v>
      </c>
      <c r="AC261" s="5">
        <f>0.9*AC260</f>
        <v>-1.0625138572125509E-2</v>
      </c>
    </row>
    <row r="262" spans="1:29" ht="15" x14ac:dyDescent="0.25">
      <c r="D262">
        <v>-0.16774917821791899</v>
      </c>
      <c r="E262">
        <v>3.1558496212298601E-2</v>
      </c>
      <c r="F262">
        <v>-2.4240196822985099E-2</v>
      </c>
      <c r="G262">
        <v>-5.0796972691691998E-2</v>
      </c>
      <c r="H262">
        <v>3.1056660883579602E-2</v>
      </c>
      <c r="I262">
        <v>-5.6940484851033396E-4</v>
      </c>
      <c r="J262">
        <v>2.2050692954634299E-2</v>
      </c>
    </row>
    <row r="263" spans="1:29" ht="15" x14ac:dyDescent="0.25">
      <c r="D263">
        <v>7.5976500554310503E-2</v>
      </c>
      <c r="E263">
        <v>6.7550168759344095E-2</v>
      </c>
      <c r="F263">
        <v>-2.72826483286218E-2</v>
      </c>
      <c r="G263">
        <v>-9.9854085353231703E-2</v>
      </c>
      <c r="H263">
        <v>4.0132567349423602E-2</v>
      </c>
      <c r="I263">
        <v>-2.0448958813782302E-2</v>
      </c>
      <c r="J263">
        <v>2.1166151253125199E-2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9125-2B39-4596-853E-DEBCAB62F158}">
  <sheetPr codeName="Sheet2">
    <tabColor theme="9" tint="0.59999389629810485"/>
  </sheetPr>
  <dimension ref="A1:AK211"/>
  <sheetViews>
    <sheetView topLeftCell="A149" zoomScale="85" zoomScaleNormal="85" workbookViewId="0">
      <selection activeCell="B1" sqref="B1:B1048576"/>
    </sheetView>
  </sheetViews>
  <sheetFormatPr defaultColWidth="9.140625" defaultRowHeight="12.75" x14ac:dyDescent="0.2"/>
  <cols>
    <col min="1" max="1" width="11.42578125" style="1" bestFit="1" customWidth="1"/>
    <col min="2" max="2" width="0" style="1" hidden="1" customWidth="1"/>
    <col min="3" max="8" width="9.28515625" style="1" bestFit="1" customWidth="1"/>
    <col min="9" max="9" width="9.7109375" style="1" bestFit="1" customWidth="1"/>
    <col min="10" max="12" width="9.140625" style="1"/>
    <col min="13" max="19" width="9.7109375" style="1" bestFit="1" customWidth="1"/>
    <col min="20" max="24" width="9.140625" style="1"/>
    <col min="25" max="25" width="9" style="1" customWidth="1"/>
    <col min="26" max="16384" width="9.140625" style="1"/>
  </cols>
  <sheetData>
    <row r="1" spans="1:19" ht="15" x14ac:dyDescent="0.25">
      <c r="A1" s="1" t="s">
        <v>79</v>
      </c>
      <c r="C1" t="s">
        <v>78</v>
      </c>
      <c r="D1" s="1" t="s">
        <v>75</v>
      </c>
      <c r="E1" s="1" t="s">
        <v>74</v>
      </c>
      <c r="F1" s="1" t="s">
        <v>73</v>
      </c>
      <c r="G1" s="1" t="s">
        <v>72</v>
      </c>
      <c r="H1" s="1" t="s">
        <v>71</v>
      </c>
      <c r="I1" s="1" t="s">
        <v>70</v>
      </c>
      <c r="L1" s="1" t="s">
        <v>77</v>
      </c>
      <c r="M1" s="1" t="s">
        <v>76</v>
      </c>
      <c r="N1" s="1" t="s">
        <v>75</v>
      </c>
      <c r="O1" s="1" t="s">
        <v>74</v>
      </c>
      <c r="P1" s="1" t="s">
        <v>73</v>
      </c>
      <c r="Q1" s="1" t="s">
        <v>72</v>
      </c>
      <c r="R1" s="1" t="s">
        <v>71</v>
      </c>
      <c r="S1" s="1" t="s">
        <v>70</v>
      </c>
    </row>
    <row r="2" spans="1:19" ht="15" x14ac:dyDescent="0.25">
      <c r="A2" s="3">
        <v>26480</v>
      </c>
      <c r="B2" s="3"/>
      <c r="C2">
        <v>-0.136626984360527</v>
      </c>
      <c r="D2" s="4">
        <v>3.7149200574819896E-18</v>
      </c>
      <c r="E2" s="4">
        <v>-2.4097873438486502E-15</v>
      </c>
      <c r="F2" s="4">
        <v>-2.1346650809060499E-15</v>
      </c>
      <c r="G2" s="4">
        <v>-1.37698524217825E-15</v>
      </c>
      <c r="H2" s="4">
        <v>-9.0487083758056192E-16</v>
      </c>
      <c r="I2" s="4">
        <v>2.53472963551096E-17</v>
      </c>
      <c r="J2" s="3"/>
      <c r="K2" s="3"/>
      <c r="L2" s="3"/>
      <c r="M2" s="2">
        <f>C2</f>
        <v>-0.136626984360527</v>
      </c>
      <c r="N2" s="2">
        <f>D2/10</f>
        <v>3.7149200574819894E-19</v>
      </c>
      <c r="O2" s="2">
        <f>E2</f>
        <v>-2.4097873438486502E-15</v>
      </c>
      <c r="P2" s="2">
        <f>F2</f>
        <v>-2.1346650809060499E-15</v>
      </c>
      <c r="Q2" s="2">
        <f>G2</f>
        <v>-1.37698524217825E-15</v>
      </c>
      <c r="R2" s="2">
        <f>H2</f>
        <v>-9.0487083758056192E-16</v>
      </c>
      <c r="S2" s="2">
        <f>I2</f>
        <v>2.53472963551096E-17</v>
      </c>
    </row>
    <row r="3" spans="1:19" ht="15" x14ac:dyDescent="0.25">
      <c r="A3" s="3">
        <v>26572</v>
      </c>
      <c r="B3" s="3"/>
      <c r="C3">
        <v>-0.26170628124026901</v>
      </c>
      <c r="D3" s="4">
        <v>1.07487653757854E-16</v>
      </c>
      <c r="E3" s="4">
        <v>-2.2114482834630402E-15</v>
      </c>
      <c r="F3" s="4">
        <v>-2.2931418302717299E-15</v>
      </c>
      <c r="G3" s="4">
        <v>-1.4723040343825299E-15</v>
      </c>
      <c r="H3" s="4">
        <v>-1.0347681615313001E-15</v>
      </c>
      <c r="I3" s="4">
        <v>3.8319482471361101E-17</v>
      </c>
      <c r="J3" s="3"/>
      <c r="K3" s="3"/>
      <c r="L3" s="3"/>
      <c r="M3" s="2">
        <f>C3</f>
        <v>-0.26170628124026901</v>
      </c>
      <c r="N3" s="2">
        <f>D3/10</f>
        <v>1.07487653757854E-17</v>
      </c>
      <c r="O3" s="2">
        <f>E3</f>
        <v>-2.2114482834630402E-15</v>
      </c>
      <c r="P3" s="2">
        <f>F3</f>
        <v>-2.2931418302717299E-15</v>
      </c>
      <c r="Q3" s="2">
        <f>G3</f>
        <v>-1.4723040343825299E-15</v>
      </c>
      <c r="R3" s="2">
        <f>H3</f>
        <v>-1.0347681615313001E-15</v>
      </c>
      <c r="S3" s="2">
        <f>I3</f>
        <v>3.8319482471361101E-17</v>
      </c>
    </row>
    <row r="4" spans="1:19" ht="15" x14ac:dyDescent="0.25">
      <c r="A4" s="3">
        <v>26664</v>
      </c>
      <c r="B4" s="3"/>
      <c r="C4">
        <v>0.20121773514365801</v>
      </c>
      <c r="D4" s="4">
        <v>-1.7240305911295201E-16</v>
      </c>
      <c r="E4" s="4">
        <v>-2.7881125960746299E-15</v>
      </c>
      <c r="F4" s="4">
        <v>-2.7370623107252301E-15</v>
      </c>
      <c r="G4" s="4">
        <v>-1.7989368784269701E-15</v>
      </c>
      <c r="H4" s="4">
        <v>-1.18995048248095E-15</v>
      </c>
      <c r="I4" s="4">
        <v>-1.33955779130529E-16</v>
      </c>
      <c r="J4" s="3"/>
      <c r="K4" s="3"/>
      <c r="L4" s="3"/>
      <c r="M4" s="2">
        <f>C4</f>
        <v>0.20121773514365801</v>
      </c>
      <c r="N4" s="2">
        <f>D4/10</f>
        <v>-1.72403059112952E-17</v>
      </c>
      <c r="O4" s="2">
        <f>E4</f>
        <v>-2.7881125960746299E-15</v>
      </c>
      <c r="P4" s="2">
        <f>F4</f>
        <v>-2.7370623107252301E-15</v>
      </c>
      <c r="Q4" s="2">
        <f>G4</f>
        <v>-1.7989368784269701E-15</v>
      </c>
      <c r="R4" s="2">
        <f>H4</f>
        <v>-1.18995048248095E-15</v>
      </c>
      <c r="S4" s="2">
        <f>I4</f>
        <v>-1.33955779130529E-16</v>
      </c>
    </row>
    <row r="5" spans="1:19" ht="15" x14ac:dyDescent="0.25">
      <c r="A5" s="3">
        <v>26754</v>
      </c>
      <c r="B5" s="3"/>
      <c r="C5">
        <v>-0.107363589012759</v>
      </c>
      <c r="D5" s="4">
        <v>-3.6165666115960902E-16</v>
      </c>
      <c r="E5" s="4">
        <v>-2.7979513828236698E-15</v>
      </c>
      <c r="F5" s="4">
        <v>-2.7836170214081899E-15</v>
      </c>
      <c r="G5" s="4">
        <v>-1.7561753895316999E-15</v>
      </c>
      <c r="H5" s="4">
        <v>-1.2143603575339901E-15</v>
      </c>
      <c r="I5" s="4">
        <v>-6.2604433805256896E-17</v>
      </c>
      <c r="J5" s="3"/>
      <c r="K5" s="3"/>
      <c r="L5" s="3"/>
      <c r="M5" s="2">
        <f>C5</f>
        <v>-0.107363589012759</v>
      </c>
      <c r="N5" s="2">
        <f>D5/10</f>
        <v>-3.6165666115960904E-17</v>
      </c>
      <c r="O5" s="2">
        <f>E5</f>
        <v>-2.7979513828236698E-15</v>
      </c>
      <c r="P5" s="2">
        <f>F5</f>
        <v>-2.7836170214081899E-15</v>
      </c>
      <c r="Q5" s="2">
        <f>G5</f>
        <v>-1.7561753895316999E-15</v>
      </c>
      <c r="R5" s="2">
        <f>H5</f>
        <v>-1.2143603575339901E-15</v>
      </c>
      <c r="S5" s="2">
        <f>I5</f>
        <v>-6.2604433805256896E-17</v>
      </c>
    </row>
    <row r="6" spans="1:19" ht="15" x14ac:dyDescent="0.25">
      <c r="A6" s="3">
        <v>26845</v>
      </c>
      <c r="B6" s="3"/>
      <c r="C6">
        <v>0.24054907802502001</v>
      </c>
      <c r="D6" s="4">
        <v>-6.0139896952338805E-16</v>
      </c>
      <c r="E6" s="4">
        <v>-3.00790825175393E-15</v>
      </c>
      <c r="F6" s="4">
        <v>-2.9069039158094798E-15</v>
      </c>
      <c r="G6" s="4">
        <v>-1.8318481522634099E-15</v>
      </c>
      <c r="H6" s="4">
        <v>-1.1299721296344599E-15</v>
      </c>
      <c r="I6" s="4">
        <v>3.3436198746110603E-17</v>
      </c>
      <c r="J6" s="3"/>
      <c r="K6" s="3"/>
      <c r="L6" s="3"/>
      <c r="M6" s="2">
        <f>C6</f>
        <v>0.24054907802502001</v>
      </c>
      <c r="N6" s="2">
        <f>D6/10</f>
        <v>-6.013989695233881E-17</v>
      </c>
      <c r="O6" s="2">
        <f>E6</f>
        <v>-3.00790825175393E-15</v>
      </c>
      <c r="P6" s="2">
        <f>F6</f>
        <v>-2.9069039158094798E-15</v>
      </c>
      <c r="Q6" s="2">
        <f>G6</f>
        <v>-1.8318481522634099E-15</v>
      </c>
      <c r="R6" s="2">
        <f>H6</f>
        <v>-1.1299721296344599E-15</v>
      </c>
      <c r="S6" s="2">
        <f>I6</f>
        <v>3.3436198746110603E-17</v>
      </c>
    </row>
    <row r="7" spans="1:19" ht="15" x14ac:dyDescent="0.25">
      <c r="A7" s="3">
        <v>26937</v>
      </c>
      <c r="B7" s="3"/>
      <c r="C7">
        <v>0.34896820776712301</v>
      </c>
      <c r="D7" s="4">
        <v>-1.16487380270825E-15</v>
      </c>
      <c r="E7" s="4">
        <v>-3.3597909610713598E-15</v>
      </c>
      <c r="F7" s="4">
        <v>-3.2342145797829202E-15</v>
      </c>
      <c r="G7" s="4">
        <v>-1.9195573672616201E-15</v>
      </c>
      <c r="H7" s="4">
        <v>-1.1533944871483601E-15</v>
      </c>
      <c r="I7" s="4">
        <v>-1.2824492362893001E-16</v>
      </c>
      <c r="J7" s="3"/>
      <c r="K7" s="3"/>
      <c r="L7" s="3"/>
      <c r="M7" s="2">
        <f>C7</f>
        <v>0.34896820776712301</v>
      </c>
      <c r="N7" s="2">
        <f>D7/10</f>
        <v>-1.16487380270825E-16</v>
      </c>
      <c r="O7" s="2">
        <f>E7</f>
        <v>-3.3597909610713598E-15</v>
      </c>
      <c r="P7" s="2">
        <f>F7</f>
        <v>-3.2342145797829202E-15</v>
      </c>
      <c r="Q7" s="2">
        <f>G7</f>
        <v>-1.9195573672616201E-15</v>
      </c>
      <c r="R7" s="2">
        <f>H7</f>
        <v>-1.1533944871483601E-15</v>
      </c>
      <c r="S7" s="2">
        <f>I7</f>
        <v>-1.2824492362893001E-16</v>
      </c>
    </row>
    <row r="8" spans="1:19" ht="15" x14ac:dyDescent="0.25">
      <c r="A8" s="3">
        <v>27029</v>
      </c>
      <c r="B8" s="3"/>
      <c r="C8">
        <v>9.3203087569944401E-2</v>
      </c>
      <c r="D8" s="4">
        <v>-1.3840736032268E-15</v>
      </c>
      <c r="E8" s="4">
        <v>-3.4392079744386798E-15</v>
      </c>
      <c r="F8" s="4">
        <v>-3.2094054928007901E-15</v>
      </c>
      <c r="G8" s="4">
        <v>-1.8336257729404701E-15</v>
      </c>
      <c r="H8" s="4">
        <v>-1.20633563139791E-15</v>
      </c>
      <c r="I8" s="4">
        <v>-4.9871554863880203E-17</v>
      </c>
      <c r="J8" s="3"/>
      <c r="K8" s="3"/>
      <c r="L8" s="3"/>
      <c r="M8" s="2">
        <f>C8</f>
        <v>9.3203087569944401E-2</v>
      </c>
      <c r="N8" s="2">
        <f>D8/10</f>
        <v>-1.3840736032268E-16</v>
      </c>
      <c r="O8" s="2">
        <f>E8</f>
        <v>-3.4392079744386798E-15</v>
      </c>
      <c r="P8" s="2">
        <f>F8</f>
        <v>-3.2094054928007901E-15</v>
      </c>
      <c r="Q8" s="2">
        <f>G8</f>
        <v>-1.8336257729404701E-15</v>
      </c>
      <c r="R8" s="2">
        <f>H8</f>
        <v>-1.20633563139791E-15</v>
      </c>
      <c r="S8" s="2">
        <f>I8</f>
        <v>-4.9871554863880203E-17</v>
      </c>
    </row>
    <row r="9" spans="1:19" ht="15" x14ac:dyDescent="0.25">
      <c r="A9" s="3">
        <v>27119</v>
      </c>
      <c r="B9" s="3"/>
      <c r="C9">
        <v>2.3111328680834299E-2</v>
      </c>
      <c r="D9" s="4">
        <v>-1.4981976830693199E-15</v>
      </c>
      <c r="E9" s="4">
        <v>-3.3884135958035198E-15</v>
      </c>
      <c r="F9" s="4">
        <v>-3.1121354804572298E-15</v>
      </c>
      <c r="G9" s="4">
        <v>-1.8065765750958498E-15</v>
      </c>
      <c r="H9" s="4">
        <v>-1.0943467068489299E-15</v>
      </c>
      <c r="I9" s="4">
        <v>-3.6675632526941199E-17</v>
      </c>
      <c r="J9" s="3"/>
      <c r="K9" s="3"/>
      <c r="L9" s="3"/>
      <c r="M9" s="2">
        <f>C9</f>
        <v>2.3111328680834299E-2</v>
      </c>
      <c r="N9" s="2">
        <f>D9/10</f>
        <v>-1.4981976830693199E-16</v>
      </c>
      <c r="O9" s="2">
        <f>E9</f>
        <v>-3.3884135958035198E-15</v>
      </c>
      <c r="P9" s="2">
        <f>F9</f>
        <v>-3.1121354804572298E-15</v>
      </c>
      <c r="Q9" s="2">
        <f>G9</f>
        <v>-1.8065765750958498E-15</v>
      </c>
      <c r="R9" s="2">
        <f>H9</f>
        <v>-1.0943467068489299E-15</v>
      </c>
      <c r="S9" s="2">
        <f>I9</f>
        <v>-3.6675632526941199E-17</v>
      </c>
    </row>
    <row r="10" spans="1:19" ht="15" x14ac:dyDescent="0.25">
      <c r="A10" s="3">
        <v>27210</v>
      </c>
      <c r="B10" s="3"/>
      <c r="C10">
        <v>-4.5645198025665697E-2</v>
      </c>
      <c r="D10" s="4">
        <v>-1.47597858183858E-15</v>
      </c>
      <c r="E10" s="4">
        <v>-3.2938203779411999E-15</v>
      </c>
      <c r="F10" s="4">
        <v>-3.1240666040500301E-15</v>
      </c>
      <c r="G10" s="4">
        <v>-1.6851820247021199E-15</v>
      </c>
      <c r="H10" s="4">
        <v>-1.0385795046946399E-15</v>
      </c>
      <c r="I10" s="4">
        <v>7.8760147501326896E-17</v>
      </c>
      <c r="J10" s="3"/>
      <c r="K10" s="3"/>
      <c r="L10" s="3"/>
      <c r="M10" s="2">
        <f>C10</f>
        <v>-4.5645198025665697E-2</v>
      </c>
      <c r="N10" s="2">
        <f>D10/10</f>
        <v>-1.4759785818385801E-16</v>
      </c>
      <c r="O10" s="2">
        <f>E10</f>
        <v>-3.2938203779411999E-15</v>
      </c>
      <c r="P10" s="2">
        <f>F10</f>
        <v>-3.1240666040500301E-15</v>
      </c>
      <c r="Q10" s="2">
        <f>G10</f>
        <v>-1.6851820247021199E-15</v>
      </c>
      <c r="R10" s="2">
        <f>H10</f>
        <v>-1.0385795046946399E-15</v>
      </c>
      <c r="S10" s="2">
        <f>I10</f>
        <v>7.8760147501326896E-17</v>
      </c>
    </row>
    <row r="11" spans="1:19" ht="15" x14ac:dyDescent="0.25">
      <c r="A11" s="3">
        <v>27302</v>
      </c>
      <c r="B11" s="3"/>
      <c r="C11">
        <v>9.37611745722235E-3</v>
      </c>
      <c r="D11" s="4">
        <v>-1.62884723711957E-15</v>
      </c>
      <c r="E11" s="4">
        <v>-3.4864397245467201E-15</v>
      </c>
      <c r="F11" s="4">
        <v>-3.1682249541241001E-15</v>
      </c>
      <c r="G11" s="4">
        <v>-1.72189899742747E-15</v>
      </c>
      <c r="H11" s="4">
        <v>-1.0550041345847099E-15</v>
      </c>
      <c r="I11" s="4">
        <v>-1.27330000702562E-16</v>
      </c>
      <c r="J11" s="3"/>
      <c r="K11" s="3"/>
      <c r="L11" s="3"/>
      <c r="M11" s="2">
        <f>C11</f>
        <v>9.37611745722235E-3</v>
      </c>
      <c r="N11" s="2">
        <f>D11/10</f>
        <v>-1.6288472371195699E-16</v>
      </c>
      <c r="O11" s="2">
        <f>E11</f>
        <v>-3.4864397245467201E-15</v>
      </c>
      <c r="P11" s="2">
        <f>F11</f>
        <v>-3.1682249541241001E-15</v>
      </c>
      <c r="Q11" s="2">
        <f>G11</f>
        <v>-1.72189899742747E-15</v>
      </c>
      <c r="R11" s="2">
        <f>H11</f>
        <v>-1.0550041345847099E-15</v>
      </c>
      <c r="S11" s="2">
        <f>I11</f>
        <v>-1.27330000702562E-16</v>
      </c>
    </row>
    <row r="12" spans="1:19" ht="15" x14ac:dyDescent="0.25">
      <c r="A12" s="3">
        <v>27394</v>
      </c>
      <c r="B12" s="3"/>
      <c r="C12">
        <v>5.8066895531725803E-2</v>
      </c>
      <c r="D12" s="4">
        <v>-1.5628896923297801E-15</v>
      </c>
      <c r="E12" s="4">
        <v>-3.1607289130464098E-15</v>
      </c>
      <c r="F12" s="4">
        <v>-2.8228885569945901E-15</v>
      </c>
      <c r="G12" s="4">
        <v>-1.3271789390907599E-15</v>
      </c>
      <c r="H12" s="4">
        <v>-8.5152745756638197E-16</v>
      </c>
      <c r="I12" s="4">
        <v>3.6396570267391298E-16</v>
      </c>
      <c r="J12" s="3"/>
      <c r="K12" s="3"/>
      <c r="L12" s="3"/>
      <c r="M12" s="2">
        <f>C12</f>
        <v>5.8066895531725803E-2</v>
      </c>
      <c r="N12" s="2">
        <f>D12/10</f>
        <v>-1.56288969232978E-16</v>
      </c>
      <c r="O12" s="2">
        <f>E12</f>
        <v>-3.1607289130464098E-15</v>
      </c>
      <c r="P12" s="2">
        <f>F12</f>
        <v>-2.8228885569945901E-15</v>
      </c>
      <c r="Q12" s="2">
        <f>G12</f>
        <v>-1.3271789390907599E-15</v>
      </c>
      <c r="R12" s="2">
        <f>H12</f>
        <v>-8.5152745756638197E-16</v>
      </c>
      <c r="S12" s="2">
        <f>I12</f>
        <v>3.6396570267391298E-16</v>
      </c>
    </row>
    <row r="13" spans="1:19" ht="15" x14ac:dyDescent="0.25">
      <c r="A13" s="3">
        <v>27484</v>
      </c>
      <c r="B13" s="3"/>
      <c r="C13">
        <v>-0.28087438636992401</v>
      </c>
      <c r="D13" s="4">
        <v>-1.1802988317491599E-15</v>
      </c>
      <c r="E13" s="4">
        <v>-2.9547281230228599E-15</v>
      </c>
      <c r="F13" s="4">
        <v>-2.5299028073605099E-15</v>
      </c>
      <c r="G13" s="4">
        <v>-1.2754037267325201E-15</v>
      </c>
      <c r="H13" s="4">
        <v>-5.4518264926536503E-16</v>
      </c>
      <c r="I13" s="4">
        <v>1.6244225369823201E-16</v>
      </c>
      <c r="J13" s="3"/>
      <c r="K13" s="3"/>
      <c r="L13" s="3"/>
      <c r="M13" s="2">
        <f>C13</f>
        <v>-0.28087438636992401</v>
      </c>
      <c r="N13" s="2">
        <f>D13/10</f>
        <v>-1.18029883174916E-16</v>
      </c>
      <c r="O13" s="2">
        <f>E13</f>
        <v>-2.9547281230228599E-15</v>
      </c>
      <c r="P13" s="2">
        <f>F13</f>
        <v>-2.5299028073605099E-15</v>
      </c>
      <c r="Q13" s="2">
        <f>G13</f>
        <v>-1.2754037267325201E-15</v>
      </c>
      <c r="R13" s="2">
        <f>H13</f>
        <v>-5.4518264926536503E-16</v>
      </c>
      <c r="S13" s="2">
        <f>I13</f>
        <v>1.6244225369823201E-16</v>
      </c>
    </row>
    <row r="14" spans="1:19" ht="15" x14ac:dyDescent="0.25">
      <c r="A14" s="3">
        <v>27575</v>
      </c>
      <c r="B14" s="3"/>
      <c r="C14">
        <v>-0.49289886003434502</v>
      </c>
      <c r="D14" s="4">
        <v>-1.0435186317842601E-15</v>
      </c>
      <c r="E14" s="4">
        <v>-2.9486695559653902E-15</v>
      </c>
      <c r="F14" s="4">
        <v>-2.6727246921616699E-15</v>
      </c>
      <c r="G14" s="4">
        <v>-1.1458089307086899E-15</v>
      </c>
      <c r="H14" s="4">
        <v>-9.1983581225323399E-16</v>
      </c>
      <c r="I14" s="4">
        <v>5.1931943001260402E-17</v>
      </c>
      <c r="J14" s="3"/>
      <c r="K14" s="3"/>
      <c r="L14" s="3"/>
      <c r="M14" s="2">
        <f>C14</f>
        <v>-0.49289886003434502</v>
      </c>
      <c r="N14" s="2">
        <f>D14/10</f>
        <v>-1.0435186317842601E-16</v>
      </c>
      <c r="O14" s="2">
        <f>E14</f>
        <v>-2.9486695559653902E-15</v>
      </c>
      <c r="P14" s="2">
        <f>F14</f>
        <v>-2.6727246921616699E-15</v>
      </c>
      <c r="Q14" s="2">
        <f>G14</f>
        <v>-1.1458089307086899E-15</v>
      </c>
      <c r="R14" s="2">
        <f>H14</f>
        <v>-9.1983581225323399E-16</v>
      </c>
      <c r="S14" s="2">
        <f>I14</f>
        <v>5.1931943001260402E-17</v>
      </c>
    </row>
    <row r="15" spans="1:19" ht="15" x14ac:dyDescent="0.25">
      <c r="A15" s="3">
        <v>27667</v>
      </c>
      <c r="B15" s="3"/>
      <c r="C15">
        <v>-0.28572969497087097</v>
      </c>
      <c r="D15" s="4">
        <v>-1.02520565546002E-15</v>
      </c>
      <c r="E15" s="4">
        <v>-3.1389687436043098E-15</v>
      </c>
      <c r="F15" s="4">
        <v>-2.5488605541248102E-15</v>
      </c>
      <c r="G15" s="4">
        <v>-1.49963043295008E-15</v>
      </c>
      <c r="H15" s="4">
        <v>-1.0619899187380199E-15</v>
      </c>
      <c r="I15" s="4">
        <v>-1.21395618753926E-18</v>
      </c>
      <c r="J15" s="3"/>
      <c r="K15" s="3"/>
      <c r="L15" s="3"/>
      <c r="M15" s="2">
        <f>C15</f>
        <v>-0.28572969497087097</v>
      </c>
      <c r="N15" s="2">
        <f>D15/10</f>
        <v>-1.02520565546002E-16</v>
      </c>
      <c r="O15" s="2">
        <f>E15</f>
        <v>-3.1389687436043098E-15</v>
      </c>
      <c r="P15" s="2">
        <f>F15</f>
        <v>-2.5488605541248102E-15</v>
      </c>
      <c r="Q15" s="2">
        <f>G15</f>
        <v>-1.49963043295008E-15</v>
      </c>
      <c r="R15" s="2">
        <f>H15</f>
        <v>-1.0619899187380199E-15</v>
      </c>
      <c r="S15" s="2">
        <f>I15</f>
        <v>-1.21395618753926E-18</v>
      </c>
    </row>
    <row r="16" spans="1:19" ht="15" x14ac:dyDescent="0.25">
      <c r="A16" s="3">
        <v>27759</v>
      </c>
      <c r="B16" s="3"/>
      <c r="C16">
        <v>-0.12763684910346501</v>
      </c>
      <c r="D16" s="4">
        <v>-1.16354272079522E-15</v>
      </c>
      <c r="E16" s="4">
        <v>-3.0355645513433102E-15</v>
      </c>
      <c r="F16" s="4">
        <v>-2.92210064611332E-15</v>
      </c>
      <c r="G16" s="4">
        <v>-1.66204918422677E-15</v>
      </c>
      <c r="H16" s="4">
        <v>-1.1749623955652201E-15</v>
      </c>
      <c r="I16" s="4">
        <v>-7.5897338096554203E-17</v>
      </c>
      <c r="J16" s="3"/>
      <c r="K16" s="3"/>
      <c r="L16" s="3"/>
      <c r="M16" s="2">
        <f>C16</f>
        <v>-0.12763684910346501</v>
      </c>
      <c r="N16" s="2">
        <f>D16/10</f>
        <v>-1.16354272079522E-16</v>
      </c>
      <c r="O16" s="2">
        <f>E16</f>
        <v>-3.0355645513433102E-15</v>
      </c>
      <c r="P16" s="2">
        <f>F16</f>
        <v>-2.92210064611332E-15</v>
      </c>
      <c r="Q16" s="2">
        <f>G16</f>
        <v>-1.66204918422677E-15</v>
      </c>
      <c r="R16" s="2">
        <f>H16</f>
        <v>-1.1749623955652201E-15</v>
      </c>
      <c r="S16" s="2">
        <f>I16</f>
        <v>-7.5897338096554203E-17</v>
      </c>
    </row>
    <row r="17" spans="1:19" ht="15" x14ac:dyDescent="0.25">
      <c r="A17" s="3">
        <v>27850</v>
      </c>
      <c r="B17" s="3"/>
      <c r="C17">
        <v>-0.156607119212337</v>
      </c>
      <c r="D17" s="4">
        <v>-5.6511609406161397E-16</v>
      </c>
      <c r="E17" s="4">
        <v>-3.0915305092184801E-15</v>
      </c>
      <c r="F17" s="4">
        <v>-2.8033254002096802E-15</v>
      </c>
      <c r="G17" s="4">
        <v>-1.56810639835782E-15</v>
      </c>
      <c r="H17" s="4">
        <v>-1.1257799861767501E-15</v>
      </c>
      <c r="I17" s="4">
        <v>9.7238927166951504E-17</v>
      </c>
      <c r="J17" s="3"/>
      <c r="K17" s="3"/>
      <c r="L17" s="3"/>
      <c r="M17" s="2">
        <f>C17</f>
        <v>-0.156607119212337</v>
      </c>
      <c r="N17" s="2">
        <f>D17/10</f>
        <v>-5.6511609406161397E-17</v>
      </c>
      <c r="O17" s="2">
        <f>E17</f>
        <v>-3.0915305092184801E-15</v>
      </c>
      <c r="P17" s="2">
        <f>F17</f>
        <v>-2.8033254002096802E-15</v>
      </c>
      <c r="Q17" s="2">
        <f>G17</f>
        <v>-1.56810639835782E-15</v>
      </c>
      <c r="R17" s="2">
        <f>H17</f>
        <v>-1.1257799861767501E-15</v>
      </c>
      <c r="S17" s="2">
        <f>I17</f>
        <v>9.7238927166951504E-17</v>
      </c>
    </row>
    <row r="18" spans="1:19" ht="15" x14ac:dyDescent="0.25">
      <c r="A18" s="3">
        <v>27941</v>
      </c>
      <c r="B18" s="3"/>
      <c r="C18">
        <v>0.226076626131684</v>
      </c>
      <c r="D18" s="4">
        <v>-9.6512913394217709E-16</v>
      </c>
      <c r="E18" s="4">
        <v>-3.36102778403823E-15</v>
      </c>
      <c r="F18" s="4">
        <v>-3.0206270751295701E-15</v>
      </c>
      <c r="G18" s="4">
        <v>-1.71394124388896E-15</v>
      </c>
      <c r="H18" s="4">
        <v>-1.12918128097687E-15</v>
      </c>
      <c r="I18" s="4">
        <v>-5.6947421690207597E-17</v>
      </c>
      <c r="J18" s="3"/>
      <c r="K18" s="3"/>
      <c r="L18" s="3"/>
      <c r="M18" s="2">
        <f>C18</f>
        <v>0.226076626131684</v>
      </c>
      <c r="N18" s="2">
        <f>D18/10</f>
        <v>-9.6512913394217712E-17</v>
      </c>
      <c r="O18" s="2">
        <f>E18</f>
        <v>-3.36102778403823E-15</v>
      </c>
      <c r="P18" s="2">
        <f>F18</f>
        <v>-3.0206270751295701E-15</v>
      </c>
      <c r="Q18" s="2">
        <f>G18</f>
        <v>-1.71394124388896E-15</v>
      </c>
      <c r="R18" s="2">
        <f>H18</f>
        <v>-1.12918128097687E-15</v>
      </c>
      <c r="S18" s="2">
        <f>I18</f>
        <v>-5.6947421690207597E-17</v>
      </c>
    </row>
    <row r="19" spans="1:19" ht="15" x14ac:dyDescent="0.25">
      <c r="A19" s="3">
        <v>28033</v>
      </c>
      <c r="B19" s="3"/>
      <c r="C19">
        <v>0.11343891933007599</v>
      </c>
      <c r="D19" s="4">
        <v>-1.09401077734402E-15</v>
      </c>
      <c r="E19" s="4">
        <v>-3.4018928481449498E-15</v>
      </c>
      <c r="F19" s="4">
        <v>-3.0502087492044899E-15</v>
      </c>
      <c r="G19" s="4">
        <v>-1.6342233814777699E-15</v>
      </c>
      <c r="H19" s="4">
        <v>-1.17971805997396E-15</v>
      </c>
      <c r="I19" s="4">
        <v>4.3685019609123598E-17</v>
      </c>
      <c r="J19" s="3"/>
      <c r="K19" s="3"/>
      <c r="L19" s="3"/>
      <c r="M19" s="2">
        <f>C19</f>
        <v>0.11343891933007599</v>
      </c>
      <c r="N19" s="2">
        <f>D19/10</f>
        <v>-1.09401077734402E-16</v>
      </c>
      <c r="O19" s="2">
        <f>E19</f>
        <v>-3.4018928481449498E-15</v>
      </c>
      <c r="P19" s="2">
        <f>F19</f>
        <v>-3.0502087492044899E-15</v>
      </c>
      <c r="Q19" s="2">
        <f>G19</f>
        <v>-1.6342233814777699E-15</v>
      </c>
      <c r="R19" s="2">
        <f>H19</f>
        <v>-1.17971805997396E-15</v>
      </c>
      <c r="S19" s="2">
        <f>I19</f>
        <v>4.3685019609123598E-17</v>
      </c>
    </row>
    <row r="20" spans="1:19" ht="15" x14ac:dyDescent="0.25">
      <c r="A20" s="3">
        <v>28125</v>
      </c>
      <c r="B20" s="3"/>
      <c r="C20">
        <v>-0.210369680402517</v>
      </c>
      <c r="D20" s="4">
        <v>-1.08093294248267E-15</v>
      </c>
      <c r="E20" s="4">
        <v>-3.4978569398441299E-15</v>
      </c>
      <c r="F20" s="4">
        <v>-3.1041362144761099E-15</v>
      </c>
      <c r="G20" s="4">
        <v>-1.8233171627830101E-15</v>
      </c>
      <c r="H20" s="4">
        <v>-1.27616703280452E-15</v>
      </c>
      <c r="I20" s="4">
        <v>-2.2098087052531701E-16</v>
      </c>
      <c r="J20" s="3"/>
      <c r="K20" s="3"/>
      <c r="L20" s="3"/>
      <c r="M20" s="2">
        <f>C20</f>
        <v>-0.210369680402517</v>
      </c>
      <c r="N20" s="2">
        <f>D20/10</f>
        <v>-1.08093294248267E-16</v>
      </c>
      <c r="O20" s="2">
        <f>E20</f>
        <v>-3.4978569398441299E-15</v>
      </c>
      <c r="P20" s="2">
        <f>F20</f>
        <v>-3.1041362144761099E-15</v>
      </c>
      <c r="Q20" s="2">
        <f>G20</f>
        <v>-1.8233171627830101E-15</v>
      </c>
      <c r="R20" s="2">
        <f>H20</f>
        <v>-1.27616703280452E-15</v>
      </c>
      <c r="S20" s="2">
        <f>I20</f>
        <v>-2.2098087052531701E-16</v>
      </c>
    </row>
    <row r="21" spans="1:19" ht="15" x14ac:dyDescent="0.25">
      <c r="A21" s="3">
        <v>28215</v>
      </c>
      <c r="B21" s="3"/>
      <c r="C21">
        <v>0.22482957317890301</v>
      </c>
      <c r="D21" s="4">
        <v>-7.0773755143204601E-16</v>
      </c>
      <c r="E21" s="4">
        <v>-3.14238595280178E-15</v>
      </c>
      <c r="F21" s="4">
        <v>-2.89493814259229E-15</v>
      </c>
      <c r="G21" s="4">
        <v>-1.50740592785181E-15</v>
      </c>
      <c r="H21" s="4">
        <v>-1.2179709531344601E-15</v>
      </c>
      <c r="I21" s="4">
        <v>1.71941355398235E-16</v>
      </c>
      <c r="J21" s="3"/>
      <c r="K21" s="3"/>
      <c r="L21" s="3"/>
      <c r="M21" s="2">
        <f>C21</f>
        <v>0.22482957317890301</v>
      </c>
      <c r="N21" s="2">
        <f>D21/10</f>
        <v>-7.0773755143204598E-17</v>
      </c>
      <c r="O21" s="2">
        <f>E21</f>
        <v>-3.14238595280178E-15</v>
      </c>
      <c r="P21" s="2">
        <f>F21</f>
        <v>-2.89493814259229E-15</v>
      </c>
      <c r="Q21" s="2">
        <f>G21</f>
        <v>-1.50740592785181E-15</v>
      </c>
      <c r="R21" s="2">
        <f>H21</f>
        <v>-1.2179709531344601E-15</v>
      </c>
      <c r="S21" s="2">
        <f>I21</f>
        <v>1.71941355398235E-16</v>
      </c>
    </row>
    <row r="22" spans="1:19" ht="15" x14ac:dyDescent="0.25">
      <c r="A22" s="3">
        <v>28306</v>
      </c>
      <c r="B22" s="3"/>
      <c r="C22">
        <v>-0.21039393000246201</v>
      </c>
      <c r="D22" s="4">
        <v>-7.7945043766654796E-17</v>
      </c>
      <c r="E22" s="4">
        <v>-2.9299208053411902E-15</v>
      </c>
      <c r="F22" s="4">
        <v>-2.54343411607223E-15</v>
      </c>
      <c r="G22" s="4">
        <v>-1.4680336034794099E-15</v>
      </c>
      <c r="H22" s="4">
        <v>-8.8615983949615702E-16</v>
      </c>
      <c r="I22" s="4">
        <v>2.0590441134812399E-16</v>
      </c>
      <c r="J22" s="3"/>
      <c r="K22" s="3"/>
      <c r="L22" s="3"/>
      <c r="M22" s="2">
        <f>C22</f>
        <v>-0.21039393000246201</v>
      </c>
      <c r="N22" s="2">
        <f>D22/10</f>
        <v>-7.7945043766654799E-18</v>
      </c>
      <c r="O22" s="2">
        <f>E22</f>
        <v>-2.9299208053411902E-15</v>
      </c>
      <c r="P22" s="2">
        <f>F22</f>
        <v>-2.54343411607223E-15</v>
      </c>
      <c r="Q22" s="2">
        <f>G22</f>
        <v>-1.4680336034794099E-15</v>
      </c>
      <c r="R22" s="2">
        <f>H22</f>
        <v>-8.8615983949615702E-16</v>
      </c>
      <c r="S22" s="2">
        <f>I22</f>
        <v>2.0590441134812399E-16</v>
      </c>
    </row>
    <row r="23" spans="1:19" ht="15" x14ac:dyDescent="0.25">
      <c r="A23" s="3">
        <v>28398</v>
      </c>
      <c r="B23" s="3"/>
      <c r="C23">
        <v>-0.16126291393088299</v>
      </c>
      <c r="D23" s="4">
        <v>9.1722870027801002E-18</v>
      </c>
      <c r="E23" s="4">
        <v>-2.9371301274410702E-15</v>
      </c>
      <c r="F23" s="4">
        <v>-2.7820635931855298E-15</v>
      </c>
      <c r="G23" s="4">
        <v>-1.3683742713444101E-15</v>
      </c>
      <c r="H23" s="4">
        <v>-1.1566328317645601E-15</v>
      </c>
      <c r="I23" s="4">
        <v>-1.01642175651221E-16</v>
      </c>
      <c r="J23" s="3"/>
      <c r="K23" s="3"/>
      <c r="L23" s="3"/>
      <c r="M23" s="2">
        <f>C23</f>
        <v>-0.16126291393088299</v>
      </c>
      <c r="N23" s="2">
        <f>D23/10</f>
        <v>9.1722870027800994E-19</v>
      </c>
      <c r="O23" s="2">
        <f>E23</f>
        <v>-2.9371301274410702E-15</v>
      </c>
      <c r="P23" s="2">
        <f>F23</f>
        <v>-2.7820635931855298E-15</v>
      </c>
      <c r="Q23" s="2">
        <f>G23</f>
        <v>-1.3683742713444101E-15</v>
      </c>
      <c r="R23" s="2">
        <f>H23</f>
        <v>-1.1566328317645601E-15</v>
      </c>
      <c r="S23" s="2">
        <f>I23</f>
        <v>-1.01642175651221E-16</v>
      </c>
    </row>
    <row r="24" spans="1:19" ht="15" x14ac:dyDescent="0.25">
      <c r="A24" s="3">
        <v>28490</v>
      </c>
      <c r="B24" s="3"/>
      <c r="C24">
        <v>-7.1001255384598699E-2</v>
      </c>
      <c r="D24" s="4">
        <v>3.46345664276256E-16</v>
      </c>
      <c r="E24" s="4">
        <v>-3.0254889161445101E-15</v>
      </c>
      <c r="F24" s="4">
        <v>-2.5069695310632302E-15</v>
      </c>
      <c r="G24" s="4">
        <v>-1.50765496427817E-15</v>
      </c>
      <c r="H24" s="4">
        <v>-1.4189828935515199E-15</v>
      </c>
      <c r="I24" s="4">
        <v>-2.5386408492471499E-17</v>
      </c>
      <c r="J24" s="3"/>
      <c r="K24" s="3"/>
      <c r="L24" s="3"/>
      <c r="M24" s="2">
        <f>C24</f>
        <v>-7.1001255384598699E-2</v>
      </c>
      <c r="N24" s="2">
        <f>D24/10</f>
        <v>3.4634566427625603E-17</v>
      </c>
      <c r="O24" s="2">
        <f>E24</f>
        <v>-3.0254889161445101E-15</v>
      </c>
      <c r="P24" s="2">
        <f>F24</f>
        <v>-2.5069695310632302E-15</v>
      </c>
      <c r="Q24" s="2">
        <f>G24</f>
        <v>-1.50765496427817E-15</v>
      </c>
      <c r="R24" s="2">
        <f>H24</f>
        <v>-1.4189828935515199E-15</v>
      </c>
      <c r="S24" s="2">
        <f>I24</f>
        <v>-2.5386408492471499E-17</v>
      </c>
    </row>
    <row r="25" spans="1:19" ht="15" x14ac:dyDescent="0.25">
      <c r="A25" s="3">
        <v>28580</v>
      </c>
      <c r="B25" s="3"/>
      <c r="C25">
        <v>-0.22865329525064201</v>
      </c>
      <c r="D25" s="4">
        <v>6.9030600062045705E-16</v>
      </c>
      <c r="E25" s="4">
        <v>-2.5050520494941299E-15</v>
      </c>
      <c r="F25" s="4">
        <v>-2.3861332865446099E-15</v>
      </c>
      <c r="G25" s="4">
        <v>-1.5628654996000301E-15</v>
      </c>
      <c r="H25" s="4">
        <v>-1.2192099903848E-15</v>
      </c>
      <c r="I25" s="4">
        <v>1.38419108384478E-16</v>
      </c>
      <c r="J25" s="3"/>
      <c r="K25" s="3"/>
      <c r="L25" s="3"/>
      <c r="M25" s="2">
        <f>C25</f>
        <v>-0.22865329525064201</v>
      </c>
      <c r="N25" s="2">
        <f>D25/10</f>
        <v>6.903060006204571E-17</v>
      </c>
      <c r="O25" s="2">
        <f>E25</f>
        <v>-2.5050520494941299E-15</v>
      </c>
      <c r="P25" s="2">
        <f>F25</f>
        <v>-2.3861332865446099E-15</v>
      </c>
      <c r="Q25" s="2">
        <f>G25</f>
        <v>-1.5628654996000301E-15</v>
      </c>
      <c r="R25" s="2">
        <f>H25</f>
        <v>-1.2192099903848E-15</v>
      </c>
      <c r="S25" s="2">
        <f>I25</f>
        <v>1.38419108384478E-16</v>
      </c>
    </row>
    <row r="26" spans="1:19" ht="15" x14ac:dyDescent="0.25">
      <c r="A26" s="3">
        <v>28671</v>
      </c>
      <c r="B26" s="3"/>
      <c r="C26">
        <v>-0.18016878278444201</v>
      </c>
      <c r="D26" s="4">
        <v>1.25680276502342E-15</v>
      </c>
      <c r="E26" s="4">
        <v>-2.6148994619956E-15</v>
      </c>
      <c r="F26" s="4">
        <v>-2.65503235309497E-15</v>
      </c>
      <c r="G26" s="4">
        <v>-1.57543983079553E-15</v>
      </c>
      <c r="H26" s="4">
        <v>-1.2809180715271399E-15</v>
      </c>
      <c r="I26" s="4">
        <v>-2.3714149061220301E-17</v>
      </c>
      <c r="J26" s="3"/>
      <c r="K26" s="3"/>
      <c r="L26" s="3"/>
      <c r="M26" s="2">
        <f>C26</f>
        <v>-0.18016878278444201</v>
      </c>
      <c r="N26" s="2">
        <f>D26/10</f>
        <v>1.2568027650234201E-16</v>
      </c>
      <c r="O26" s="2">
        <f>E26</f>
        <v>-2.6148994619956E-15</v>
      </c>
      <c r="P26" s="2">
        <f>F26</f>
        <v>-2.65503235309497E-15</v>
      </c>
      <c r="Q26" s="2">
        <f>G26</f>
        <v>-1.57543983079553E-15</v>
      </c>
      <c r="R26" s="2">
        <f>H26</f>
        <v>-1.2809180715271399E-15</v>
      </c>
      <c r="S26" s="2">
        <f>I26</f>
        <v>-2.3714149061220301E-17</v>
      </c>
    </row>
    <row r="27" spans="1:19" ht="15" x14ac:dyDescent="0.25">
      <c r="A27" s="3">
        <v>28763</v>
      </c>
      <c r="B27" s="3"/>
      <c r="C27">
        <v>0.186877534602478</v>
      </c>
      <c r="D27" s="4">
        <v>9.5915658951570095E-16</v>
      </c>
      <c r="E27" s="4">
        <v>-3.1186575172126098E-15</v>
      </c>
      <c r="F27" s="4">
        <v>-2.82590560310852E-15</v>
      </c>
      <c r="G27" s="4">
        <v>-1.7211986573313801E-15</v>
      </c>
      <c r="H27" s="4">
        <v>-1.49577634755856E-15</v>
      </c>
      <c r="I27" s="4">
        <v>-1.12014737851146E-17</v>
      </c>
      <c r="J27" s="3"/>
      <c r="K27" s="3"/>
      <c r="L27" s="3"/>
      <c r="M27" s="2">
        <f>C27</f>
        <v>0.186877534602478</v>
      </c>
      <c r="N27" s="2">
        <f>D27/10</f>
        <v>9.591565895157009E-17</v>
      </c>
      <c r="O27" s="2">
        <f>E27</f>
        <v>-3.1186575172126098E-15</v>
      </c>
      <c r="P27" s="2">
        <f>F27</f>
        <v>-2.82590560310852E-15</v>
      </c>
      <c r="Q27" s="2">
        <f>G27</f>
        <v>-1.7211986573313801E-15</v>
      </c>
      <c r="R27" s="2">
        <f>H27</f>
        <v>-1.49577634755856E-15</v>
      </c>
      <c r="S27" s="2">
        <f>I27</f>
        <v>-1.12014737851146E-17</v>
      </c>
    </row>
    <row r="28" spans="1:19" ht="15" x14ac:dyDescent="0.25">
      <c r="A28" s="3">
        <v>28855</v>
      </c>
      <c r="B28" s="3"/>
      <c r="C28">
        <v>-0.130254153718208</v>
      </c>
      <c r="D28" s="4">
        <v>5.6365600811780303E-16</v>
      </c>
      <c r="E28" s="4">
        <v>-3.2277769079197201E-15</v>
      </c>
      <c r="F28" s="4">
        <v>-2.9404026546635699E-15</v>
      </c>
      <c r="G28" s="4">
        <v>-1.9585865579844899E-15</v>
      </c>
      <c r="H28" s="4">
        <v>-1.53119918848205E-15</v>
      </c>
      <c r="I28" s="4">
        <v>-9.8944474100705305E-17</v>
      </c>
      <c r="J28" s="3"/>
      <c r="K28" s="3"/>
      <c r="L28" s="3"/>
      <c r="M28" s="2">
        <f>C28</f>
        <v>-0.130254153718208</v>
      </c>
      <c r="N28" s="2">
        <f>D28/10</f>
        <v>5.6365600811780305E-17</v>
      </c>
      <c r="O28" s="2">
        <f>E28</f>
        <v>-3.2277769079197201E-15</v>
      </c>
      <c r="P28" s="2">
        <f>F28</f>
        <v>-2.9404026546635699E-15</v>
      </c>
      <c r="Q28" s="2">
        <f>G28</f>
        <v>-1.9585865579844899E-15</v>
      </c>
      <c r="R28" s="2">
        <f>H28</f>
        <v>-1.53119918848205E-15</v>
      </c>
      <c r="S28" s="2">
        <f>I28</f>
        <v>-9.8944474100705305E-17</v>
      </c>
    </row>
    <row r="29" spans="1:19" ht="15" x14ac:dyDescent="0.25">
      <c r="A29" s="3">
        <v>28945</v>
      </c>
      <c r="B29" s="3"/>
      <c r="C29">
        <v>-0.438351699747204</v>
      </c>
      <c r="D29" s="4">
        <v>1.10201195946975E-15</v>
      </c>
      <c r="E29" s="4">
        <v>-2.86128275824151E-15</v>
      </c>
      <c r="F29" s="4">
        <v>-2.7196486904663901E-15</v>
      </c>
      <c r="G29" s="4">
        <v>-1.61588389527288E-15</v>
      </c>
      <c r="H29" s="4">
        <v>-1.37092250240147E-15</v>
      </c>
      <c r="I29" s="4">
        <v>2.05614128265886E-16</v>
      </c>
      <c r="J29" s="3"/>
      <c r="K29" s="3"/>
      <c r="L29" s="3"/>
      <c r="M29" s="2">
        <f>C29</f>
        <v>-0.438351699747204</v>
      </c>
      <c r="N29" s="2">
        <f>D29/10</f>
        <v>1.10201195946975E-16</v>
      </c>
      <c r="O29" s="2">
        <f>E29</f>
        <v>-2.86128275824151E-15</v>
      </c>
      <c r="P29" s="2">
        <f>F29</f>
        <v>-2.7196486904663901E-15</v>
      </c>
      <c r="Q29" s="2">
        <f>G29</f>
        <v>-1.61588389527288E-15</v>
      </c>
      <c r="R29" s="2">
        <f>H29</f>
        <v>-1.37092250240147E-15</v>
      </c>
      <c r="S29" s="2">
        <f>I29</f>
        <v>2.05614128265886E-16</v>
      </c>
    </row>
    <row r="30" spans="1:19" ht="15" x14ac:dyDescent="0.25">
      <c r="A30" s="3">
        <v>29036</v>
      </c>
      <c r="B30" s="3"/>
      <c r="C30">
        <v>6.0709535379890503E-2</v>
      </c>
      <c r="D30" s="4">
        <v>8.1181053562850301E-16</v>
      </c>
      <c r="E30" s="4">
        <v>-3.49100772931186E-15</v>
      </c>
      <c r="F30" s="4">
        <v>-3.1495518335211301E-15</v>
      </c>
      <c r="G30" s="4">
        <v>-2.0971872854287102E-15</v>
      </c>
      <c r="H30" s="4">
        <v>-1.6848926159158E-15</v>
      </c>
      <c r="I30" s="4">
        <v>-4.1514354091298598E-16</v>
      </c>
      <c r="J30" s="3"/>
      <c r="K30" s="3"/>
      <c r="L30" s="3"/>
      <c r="M30" s="2">
        <f>C30</f>
        <v>6.0709535379890503E-2</v>
      </c>
      <c r="N30" s="2">
        <f>D30/10</f>
        <v>8.1181053562850296E-17</v>
      </c>
      <c r="O30" s="2">
        <f>E30</f>
        <v>-3.49100772931186E-15</v>
      </c>
      <c r="P30" s="2">
        <f>F30</f>
        <v>-3.1495518335211301E-15</v>
      </c>
      <c r="Q30" s="2">
        <f>G30</f>
        <v>-2.0971872854287102E-15</v>
      </c>
      <c r="R30" s="2">
        <f>H30</f>
        <v>-1.6848926159158E-15</v>
      </c>
      <c r="S30" s="2">
        <f>I30</f>
        <v>-4.1514354091298598E-16</v>
      </c>
    </row>
    <row r="31" spans="1:19" ht="15" x14ac:dyDescent="0.25">
      <c r="A31" s="3">
        <v>29128</v>
      </c>
      <c r="B31" s="3"/>
      <c r="C31">
        <v>0.37473024656691201</v>
      </c>
      <c r="D31" s="4">
        <v>6.60101355906688E-16</v>
      </c>
      <c r="E31" s="4">
        <v>-3.3004013359449298E-15</v>
      </c>
      <c r="F31" s="4">
        <v>-3.03369749893607E-15</v>
      </c>
      <c r="G31" s="4">
        <v>-1.8578691372083902E-15</v>
      </c>
      <c r="H31" s="4">
        <v>-1.7921254657248699E-15</v>
      </c>
      <c r="I31" s="4">
        <v>1.29593163042025E-16</v>
      </c>
      <c r="J31" s="3"/>
      <c r="K31" s="3"/>
      <c r="L31" s="3"/>
      <c r="M31" s="2">
        <f>C31</f>
        <v>0.37473024656691201</v>
      </c>
      <c r="N31" s="2">
        <f>D31/10</f>
        <v>6.6010135590668798E-17</v>
      </c>
      <c r="O31" s="2">
        <f>E31</f>
        <v>-3.3004013359449298E-15</v>
      </c>
      <c r="P31" s="2">
        <f>F31</f>
        <v>-3.03369749893607E-15</v>
      </c>
      <c r="Q31" s="2">
        <f>G31</f>
        <v>-1.8578691372083902E-15</v>
      </c>
      <c r="R31" s="2">
        <f>H31</f>
        <v>-1.7921254657248699E-15</v>
      </c>
      <c r="S31" s="2">
        <f>I31</f>
        <v>1.29593163042025E-16</v>
      </c>
    </row>
    <row r="32" spans="1:19" ht="15" x14ac:dyDescent="0.25">
      <c r="A32" s="3">
        <v>29220</v>
      </c>
      <c r="B32" s="3"/>
      <c r="C32">
        <v>0.18761323878441599</v>
      </c>
      <c r="D32" s="4">
        <v>6.4385917619042101E-16</v>
      </c>
      <c r="E32" s="4">
        <v>-3.4917551531750901E-15</v>
      </c>
      <c r="F32" s="4">
        <v>-3.1763914054913898E-15</v>
      </c>
      <c r="G32" s="4">
        <v>-2.3673350530198499E-15</v>
      </c>
      <c r="H32" s="4">
        <v>-1.59373655900288E-15</v>
      </c>
      <c r="I32" s="4">
        <v>-2.44107193198811E-16</v>
      </c>
      <c r="J32" s="3"/>
      <c r="K32" s="3"/>
      <c r="L32" s="3"/>
      <c r="M32" s="2">
        <f>C32</f>
        <v>0.18761323878441599</v>
      </c>
      <c r="N32" s="2">
        <f>D32/10</f>
        <v>6.4385917619042098E-17</v>
      </c>
      <c r="O32" s="2">
        <f>E32</f>
        <v>-3.4917551531750901E-15</v>
      </c>
      <c r="P32" s="2">
        <f>F32</f>
        <v>-3.1763914054913898E-15</v>
      </c>
      <c r="Q32" s="2">
        <f>G32</f>
        <v>-2.3673350530198499E-15</v>
      </c>
      <c r="R32" s="2">
        <f>H32</f>
        <v>-1.59373655900288E-15</v>
      </c>
      <c r="S32" s="2">
        <f>I32</f>
        <v>-2.44107193198811E-16</v>
      </c>
    </row>
    <row r="33" spans="1:19" ht="15" x14ac:dyDescent="0.25">
      <c r="A33" s="3">
        <v>29311</v>
      </c>
      <c r="B33" s="3"/>
      <c r="C33">
        <v>-0.14211895998514801</v>
      </c>
      <c r="D33" s="4">
        <v>8.0648457786255604E-16</v>
      </c>
      <c r="E33" s="4">
        <v>-3.3098152879697299E-15</v>
      </c>
      <c r="F33" s="4">
        <v>-3.4115727975767501E-15</v>
      </c>
      <c r="G33" s="4">
        <v>-1.9279280211828099E-15</v>
      </c>
      <c r="H33" s="4">
        <v>-1.8304752604778602E-15</v>
      </c>
      <c r="I33" s="4">
        <v>-1.3149154898701201E-16</v>
      </c>
      <c r="J33" s="3"/>
      <c r="K33" s="3"/>
      <c r="L33" s="3"/>
      <c r="M33" s="2">
        <f>C33</f>
        <v>-0.14211895998514801</v>
      </c>
      <c r="N33" s="2">
        <f>D33/10</f>
        <v>8.0648457786255604E-17</v>
      </c>
      <c r="O33" s="2">
        <f>E33</f>
        <v>-3.3098152879697299E-15</v>
      </c>
      <c r="P33" s="2">
        <f>F33</f>
        <v>-3.4115727975767501E-15</v>
      </c>
      <c r="Q33" s="2">
        <f>G33</f>
        <v>-1.9279280211828099E-15</v>
      </c>
      <c r="R33" s="2">
        <f>H33</f>
        <v>-1.8304752604778602E-15</v>
      </c>
      <c r="S33" s="2">
        <f>I33</f>
        <v>-1.3149154898701201E-16</v>
      </c>
    </row>
    <row r="34" spans="1:19" ht="15" x14ac:dyDescent="0.25">
      <c r="A34" s="3">
        <v>29402</v>
      </c>
      <c r="B34" s="3"/>
      <c r="C34">
        <v>0.27799392767904602</v>
      </c>
      <c r="D34" s="4">
        <v>1.4061518627805499E-15</v>
      </c>
      <c r="E34" s="4">
        <v>-3.19255019106196E-15</v>
      </c>
      <c r="F34" s="4">
        <v>-2.5692440823350298E-15</v>
      </c>
      <c r="G34" s="4">
        <v>-1.76151870251998E-15</v>
      </c>
      <c r="H34" s="4">
        <v>-1.3977699164397E-15</v>
      </c>
      <c r="I34" s="4">
        <v>2.88152626830584E-16</v>
      </c>
      <c r="J34" s="3"/>
      <c r="K34" s="3"/>
      <c r="L34" s="3"/>
      <c r="M34" s="2">
        <f>C34</f>
        <v>0.27799392767904602</v>
      </c>
      <c r="N34" s="2">
        <f>D34/10</f>
        <v>1.4061518627805498E-16</v>
      </c>
      <c r="O34" s="2">
        <f>E34</f>
        <v>-3.19255019106196E-15</v>
      </c>
      <c r="P34" s="2">
        <f>F34</f>
        <v>-2.5692440823350298E-15</v>
      </c>
      <c r="Q34" s="2">
        <f>G34</f>
        <v>-1.76151870251998E-15</v>
      </c>
      <c r="R34" s="2">
        <f>H34</f>
        <v>-1.3977699164397E-15</v>
      </c>
      <c r="S34" s="2">
        <f>I34</f>
        <v>2.88152626830584E-16</v>
      </c>
    </row>
    <row r="35" spans="1:19" ht="15" x14ac:dyDescent="0.25">
      <c r="A35" s="3">
        <v>29494</v>
      </c>
      <c r="B35" s="3"/>
      <c r="C35">
        <v>-0.255042585698733</v>
      </c>
      <c r="D35" s="4">
        <v>1.38300155488847E-15</v>
      </c>
      <c r="E35" s="4">
        <v>-2.7837082544168302E-15</v>
      </c>
      <c r="F35" s="4">
        <v>-2.7900752170353099E-15</v>
      </c>
      <c r="G35" s="4">
        <v>-1.7465148262465199E-15</v>
      </c>
      <c r="H35" s="4">
        <v>-1.38901207185449E-15</v>
      </c>
      <c r="I35" s="4">
        <v>-6.9320711541775397E-17</v>
      </c>
      <c r="J35" s="3"/>
      <c r="K35" s="3"/>
      <c r="L35" s="3"/>
      <c r="M35" s="2">
        <f>C35</f>
        <v>-0.255042585698733</v>
      </c>
      <c r="N35" s="2">
        <f>D35/10</f>
        <v>1.3830015548884699E-16</v>
      </c>
      <c r="O35" s="2">
        <f>E35</f>
        <v>-2.7837082544168302E-15</v>
      </c>
      <c r="P35" s="2">
        <f>F35</f>
        <v>-2.7900752170353099E-15</v>
      </c>
      <c r="Q35" s="2">
        <f>G35</f>
        <v>-1.7465148262465199E-15</v>
      </c>
      <c r="R35" s="2">
        <f>H35</f>
        <v>-1.38901207185449E-15</v>
      </c>
      <c r="S35" s="2">
        <f>I35</f>
        <v>-6.9320711541775397E-17</v>
      </c>
    </row>
    <row r="36" spans="1:19" ht="15" x14ac:dyDescent="0.25">
      <c r="A36" s="3">
        <v>29586</v>
      </c>
      <c r="B36" s="3"/>
      <c r="C36">
        <v>9.8531312350894504E-2</v>
      </c>
      <c r="D36" s="4">
        <v>1.5327119332775199E-15</v>
      </c>
      <c r="E36" s="4">
        <v>-3.2708426390768202E-15</v>
      </c>
      <c r="F36" s="4">
        <v>-2.9292139818725899E-15</v>
      </c>
      <c r="G36" s="4">
        <v>-1.7852720137248398E-15</v>
      </c>
      <c r="H36" s="4">
        <v>-1.7666956191947999E-15</v>
      </c>
      <c r="I36" s="4">
        <v>-2.1711709414521201E-17</v>
      </c>
      <c r="J36" s="3"/>
      <c r="K36" s="3"/>
      <c r="L36" s="3"/>
      <c r="M36" s="2">
        <f>C36</f>
        <v>9.8531312350894504E-2</v>
      </c>
      <c r="N36" s="2">
        <f>D36/10</f>
        <v>1.53271193327752E-16</v>
      </c>
      <c r="O36" s="2">
        <f>E36</f>
        <v>-3.2708426390768202E-15</v>
      </c>
      <c r="P36" s="2">
        <f>F36</f>
        <v>-2.9292139818725899E-15</v>
      </c>
      <c r="Q36" s="2">
        <f>G36</f>
        <v>-1.7852720137248398E-15</v>
      </c>
      <c r="R36" s="2">
        <f>H36</f>
        <v>-1.7666956191947999E-15</v>
      </c>
      <c r="S36" s="2">
        <f>I36</f>
        <v>-2.1711709414521201E-17</v>
      </c>
    </row>
    <row r="37" spans="1:19" ht="15" x14ac:dyDescent="0.25">
      <c r="A37" s="3">
        <v>29676</v>
      </c>
      <c r="B37" s="3"/>
      <c r="C37">
        <v>0.20219433119722299</v>
      </c>
      <c r="D37" s="4">
        <v>1.04384784864485E-15</v>
      </c>
      <c r="E37" s="4">
        <v>-3.35547026397984E-15</v>
      </c>
      <c r="F37" s="4">
        <v>-2.9112515621861598E-15</v>
      </c>
      <c r="G37" s="4">
        <v>-2.1347615656030598E-15</v>
      </c>
      <c r="H37" s="4">
        <v>-1.6862912716536501E-15</v>
      </c>
      <c r="I37" s="4">
        <v>-8.5910957910238199E-18</v>
      </c>
      <c r="J37" s="3"/>
      <c r="K37" s="3"/>
      <c r="L37" s="3"/>
      <c r="M37" s="2">
        <f>C37</f>
        <v>0.20219433119722299</v>
      </c>
      <c r="N37" s="2">
        <f>D37/10</f>
        <v>1.04384784864485E-16</v>
      </c>
      <c r="O37" s="2">
        <f>E37</f>
        <v>-3.35547026397984E-15</v>
      </c>
      <c r="P37" s="2">
        <f>F37</f>
        <v>-2.9112515621861598E-15</v>
      </c>
      <c r="Q37" s="2">
        <f>G37</f>
        <v>-2.1347615656030598E-15</v>
      </c>
      <c r="R37" s="2">
        <f>H37</f>
        <v>-1.6862912716536501E-15</v>
      </c>
      <c r="S37" s="2">
        <f>I37</f>
        <v>-8.5910957910238199E-18</v>
      </c>
    </row>
    <row r="38" spans="1:19" ht="15" x14ac:dyDescent="0.25">
      <c r="A38" s="3">
        <v>29767</v>
      </c>
      <c r="B38" s="3"/>
      <c r="C38">
        <v>0.51297031618466404</v>
      </c>
      <c r="D38" s="4">
        <v>2.4503448388571301E-16</v>
      </c>
      <c r="E38" s="4">
        <v>-3.8595348703685098E-15</v>
      </c>
      <c r="F38" s="4">
        <v>-3.7271001228913899E-15</v>
      </c>
      <c r="G38" s="4">
        <v>-2.3984078567746699E-15</v>
      </c>
      <c r="H38" s="4">
        <v>-1.8511853779355002E-15</v>
      </c>
      <c r="I38" s="4">
        <v>-1.84874796261123E-16</v>
      </c>
      <c r="J38" s="3"/>
      <c r="K38" s="3"/>
      <c r="L38" s="3"/>
      <c r="M38" s="2">
        <f>C38</f>
        <v>0.51297031618466404</v>
      </c>
      <c r="N38" s="2">
        <f>D38/10</f>
        <v>2.4503448388571302E-17</v>
      </c>
      <c r="O38" s="2">
        <f>E38</f>
        <v>-3.8595348703685098E-15</v>
      </c>
      <c r="P38" s="2">
        <f>F38</f>
        <v>-3.7271001228913899E-15</v>
      </c>
      <c r="Q38" s="2">
        <f>G38</f>
        <v>-2.3984078567746699E-15</v>
      </c>
      <c r="R38" s="2">
        <f>H38</f>
        <v>-1.8511853779355002E-15</v>
      </c>
      <c r="S38" s="2">
        <f>I38</f>
        <v>-1.84874796261123E-16</v>
      </c>
    </row>
    <row r="39" spans="1:19" ht="15" x14ac:dyDescent="0.25">
      <c r="A39" s="3">
        <v>29859</v>
      </c>
      <c r="B39" s="3"/>
      <c r="C39">
        <v>0.24482964023031001</v>
      </c>
      <c r="D39" s="4">
        <v>6.9454076728737206E-17</v>
      </c>
      <c r="E39" s="4">
        <v>-4.1272208365399597E-15</v>
      </c>
      <c r="F39" s="4">
        <v>-3.5540224605507997E-15</v>
      </c>
      <c r="G39" s="4">
        <v>-2.2360630261947899E-15</v>
      </c>
      <c r="H39" s="4">
        <v>-1.7134098131650301E-15</v>
      </c>
      <c r="I39" s="4">
        <v>2.7805123492646498E-17</v>
      </c>
      <c r="J39" s="3"/>
      <c r="K39" s="3"/>
      <c r="L39" s="3"/>
      <c r="M39" s="2">
        <f>C39</f>
        <v>0.24482964023031001</v>
      </c>
      <c r="N39" s="2">
        <f>D39/10</f>
        <v>6.94540767287372E-18</v>
      </c>
      <c r="O39" s="2">
        <f>E39</f>
        <v>-4.1272208365399597E-15</v>
      </c>
      <c r="P39" s="2">
        <f>F39</f>
        <v>-3.5540224605507997E-15</v>
      </c>
      <c r="Q39" s="2">
        <f>G39</f>
        <v>-2.2360630261947899E-15</v>
      </c>
      <c r="R39" s="2">
        <f>H39</f>
        <v>-1.7134098131650301E-15</v>
      </c>
      <c r="S39" s="2">
        <f>I39</f>
        <v>2.7805123492646498E-17</v>
      </c>
    </row>
    <row r="40" spans="1:19" ht="15" x14ac:dyDescent="0.25">
      <c r="A40" s="3">
        <v>29951</v>
      </c>
      <c r="B40" s="3"/>
      <c r="C40">
        <v>-5.4903150701604397E-2</v>
      </c>
      <c r="D40" s="4">
        <v>1.68338229463854E-16</v>
      </c>
      <c r="E40" s="4">
        <v>-3.7217874906742896E-15</v>
      </c>
      <c r="F40" s="4">
        <v>-3.1481408586465799E-15</v>
      </c>
      <c r="G40" s="4">
        <v>-1.9307132159629601E-15</v>
      </c>
      <c r="H40" s="4">
        <v>-1.4201497586967001E-15</v>
      </c>
      <c r="I40" s="4">
        <v>1.27954083750014E-16</v>
      </c>
      <c r="J40" s="3"/>
      <c r="K40" s="3"/>
      <c r="L40" s="3"/>
      <c r="M40" s="2">
        <f>C40</f>
        <v>-5.4903150701604397E-2</v>
      </c>
      <c r="N40" s="2">
        <f>D40/10</f>
        <v>1.6833822946385401E-17</v>
      </c>
      <c r="O40" s="2">
        <f>E40</f>
        <v>-3.7217874906742896E-15</v>
      </c>
      <c r="P40" s="2">
        <f>F40</f>
        <v>-3.1481408586465799E-15</v>
      </c>
      <c r="Q40" s="2">
        <f>G40</f>
        <v>-1.9307132159629601E-15</v>
      </c>
      <c r="R40" s="2">
        <f>H40</f>
        <v>-1.4201497586967001E-15</v>
      </c>
      <c r="S40" s="2">
        <f>I40</f>
        <v>1.27954083750014E-16</v>
      </c>
    </row>
    <row r="41" spans="1:19" ht="15" x14ac:dyDescent="0.25">
      <c r="A41" s="3">
        <v>30041</v>
      </c>
      <c r="B41" s="3"/>
      <c r="C41">
        <v>-0.114190304965927</v>
      </c>
      <c r="D41" s="4">
        <v>4.4339356844133198E-16</v>
      </c>
      <c r="E41" s="4">
        <v>-3.6442952790665998E-15</v>
      </c>
      <c r="F41" s="4">
        <v>-3.0462307031317002E-15</v>
      </c>
      <c r="G41" s="4">
        <v>-1.8076903849778601E-15</v>
      </c>
      <c r="H41" s="4">
        <v>-1.56190976606186E-15</v>
      </c>
      <c r="I41" s="4">
        <v>-1.20353065613576E-16</v>
      </c>
      <c r="J41" s="3"/>
      <c r="K41" s="3"/>
      <c r="L41" s="3"/>
      <c r="M41" s="2">
        <f>C41</f>
        <v>-0.114190304965927</v>
      </c>
      <c r="N41" s="2">
        <f>D41/10</f>
        <v>4.4339356844133199E-17</v>
      </c>
      <c r="O41" s="2">
        <f>E41</f>
        <v>-3.6442952790665998E-15</v>
      </c>
      <c r="P41" s="2">
        <f>F41</f>
        <v>-3.0462307031317002E-15</v>
      </c>
      <c r="Q41" s="2">
        <f>G41</f>
        <v>-1.8076903849778601E-15</v>
      </c>
      <c r="R41" s="2">
        <f>H41</f>
        <v>-1.56190976606186E-15</v>
      </c>
      <c r="S41" s="2">
        <f>I41</f>
        <v>-1.20353065613576E-16</v>
      </c>
    </row>
    <row r="42" spans="1:19" ht="15" x14ac:dyDescent="0.25">
      <c r="A42" s="3">
        <v>30132</v>
      </c>
      <c r="B42" s="3"/>
      <c r="C42">
        <v>0.13778411244534999</v>
      </c>
      <c r="D42" s="4">
        <v>6.1774342740065197E-16</v>
      </c>
      <c r="E42" s="4">
        <v>-3.5311664320470901E-15</v>
      </c>
      <c r="F42" s="4">
        <v>-2.8564468941273201E-15</v>
      </c>
      <c r="G42" s="4">
        <v>-1.8825911098100398E-15</v>
      </c>
      <c r="H42" s="4">
        <v>-1.72382176612061E-15</v>
      </c>
      <c r="I42" s="4">
        <v>3.8428205243203598E-17</v>
      </c>
      <c r="J42" s="3"/>
      <c r="K42" s="3"/>
      <c r="L42" s="3"/>
      <c r="M42" s="2">
        <f>C42</f>
        <v>0.13778411244534999</v>
      </c>
      <c r="N42" s="2">
        <f>D42/10</f>
        <v>6.17743427400652E-17</v>
      </c>
      <c r="O42" s="2">
        <f>E42</f>
        <v>-3.5311664320470901E-15</v>
      </c>
      <c r="P42" s="2">
        <f>F42</f>
        <v>-2.8564468941273201E-15</v>
      </c>
      <c r="Q42" s="2">
        <f>G42</f>
        <v>-1.8825911098100398E-15</v>
      </c>
      <c r="R42" s="2">
        <f>H42</f>
        <v>-1.72382176612061E-15</v>
      </c>
      <c r="S42" s="2">
        <f>I42</f>
        <v>3.8428205243203598E-17</v>
      </c>
    </row>
    <row r="43" spans="1:19" ht="15" x14ac:dyDescent="0.25">
      <c r="A43" s="3">
        <v>30224</v>
      </c>
      <c r="B43" s="3"/>
      <c r="C43">
        <v>-3.8909823294696902E-2</v>
      </c>
      <c r="D43" s="4">
        <v>6.9287459059248297E-16</v>
      </c>
      <c r="E43" s="4">
        <v>-3.3966136638676599E-15</v>
      </c>
      <c r="F43" s="4">
        <v>-2.9162935512356899E-15</v>
      </c>
      <c r="G43" s="4">
        <v>-2.0473180227787198E-15</v>
      </c>
      <c r="H43" s="4">
        <v>-1.5284859608803801E-15</v>
      </c>
      <c r="I43" s="4">
        <v>1.00994126483074E-16</v>
      </c>
      <c r="J43" s="3"/>
      <c r="K43" s="3"/>
      <c r="L43" s="3"/>
      <c r="M43" s="2">
        <f>C43</f>
        <v>-3.8909823294696902E-2</v>
      </c>
      <c r="N43" s="2">
        <f>D43/10</f>
        <v>6.9287459059248292E-17</v>
      </c>
      <c r="O43" s="2">
        <f>E43</f>
        <v>-3.3966136638676599E-15</v>
      </c>
      <c r="P43" s="2">
        <f>F43</f>
        <v>-2.9162935512356899E-15</v>
      </c>
      <c r="Q43" s="2">
        <f>G43</f>
        <v>-2.0473180227787198E-15</v>
      </c>
      <c r="R43" s="2">
        <f>H43</f>
        <v>-1.5284859608803801E-15</v>
      </c>
      <c r="S43" s="2">
        <f>I43</f>
        <v>1.00994126483074E-16</v>
      </c>
    </row>
    <row r="44" spans="1:19" ht="15" x14ac:dyDescent="0.25">
      <c r="A44" s="3">
        <v>30316</v>
      </c>
      <c r="B44" s="3"/>
      <c r="C44">
        <v>-9.66233850750991E-2</v>
      </c>
      <c r="D44" s="4">
        <v>8.9797591716056498E-16</v>
      </c>
      <c r="E44" s="4">
        <v>-3.4911528422386001E-15</v>
      </c>
      <c r="F44" s="4">
        <v>-3.0751047604893901E-15</v>
      </c>
      <c r="G44" s="4">
        <v>-1.90176731325608E-15</v>
      </c>
      <c r="H44" s="4">
        <v>-1.50932110972542E-15</v>
      </c>
      <c r="I44" s="4">
        <v>5.9781821686624305E-17</v>
      </c>
      <c r="J44" s="3"/>
      <c r="K44" s="3"/>
      <c r="L44" s="3"/>
      <c r="M44" s="2">
        <f>C44</f>
        <v>-9.66233850750991E-2</v>
      </c>
      <c r="N44" s="2">
        <f>D44/10</f>
        <v>8.9797591716056498E-17</v>
      </c>
      <c r="O44" s="2">
        <f>E44</f>
        <v>-3.4911528422386001E-15</v>
      </c>
      <c r="P44" s="2">
        <f>F44</f>
        <v>-3.0751047604893901E-15</v>
      </c>
      <c r="Q44" s="2">
        <f>G44</f>
        <v>-1.90176731325608E-15</v>
      </c>
      <c r="R44" s="2">
        <f>H44</f>
        <v>-1.50932110972542E-15</v>
      </c>
      <c r="S44" s="2">
        <f>I44</f>
        <v>5.9781821686624305E-17</v>
      </c>
    </row>
    <row r="45" spans="1:19" ht="15" x14ac:dyDescent="0.25">
      <c r="A45" s="3">
        <v>30406</v>
      </c>
      <c r="B45" s="3"/>
      <c r="C45">
        <v>-9.4924922314730001E-2</v>
      </c>
      <c r="D45" s="4">
        <v>7.9583803537004103E-16</v>
      </c>
      <c r="E45" s="4">
        <v>-3.7505217612975497E-15</v>
      </c>
      <c r="F45" s="4">
        <v>-2.94039865269348E-15</v>
      </c>
      <c r="G45" s="4">
        <v>-1.93385989960417E-15</v>
      </c>
      <c r="H45" s="4">
        <v>-1.61553954368791E-15</v>
      </c>
      <c r="I45" s="4">
        <v>-2.2551003769222499E-17</v>
      </c>
      <c r="J45" s="3"/>
      <c r="K45" s="3"/>
      <c r="L45" s="3"/>
      <c r="M45" s="2">
        <f>C45</f>
        <v>-9.4924922314730001E-2</v>
      </c>
      <c r="N45" s="2">
        <f>D45/10</f>
        <v>7.9583803537004101E-17</v>
      </c>
      <c r="O45" s="2">
        <f>E45</f>
        <v>-3.7505217612975497E-15</v>
      </c>
      <c r="P45" s="2">
        <f>F45</f>
        <v>-2.94039865269348E-15</v>
      </c>
      <c r="Q45" s="2">
        <f>G45</f>
        <v>-1.93385989960417E-15</v>
      </c>
      <c r="R45" s="2">
        <f>H45</f>
        <v>-1.61553954368791E-15</v>
      </c>
      <c r="S45" s="2">
        <f>I45</f>
        <v>-2.2551003769222499E-17</v>
      </c>
    </row>
    <row r="46" spans="1:19" ht="15" x14ac:dyDescent="0.25">
      <c r="A46" s="3">
        <v>30497</v>
      </c>
      <c r="B46" s="3"/>
      <c r="C46">
        <v>2.3232914207258801E-2</v>
      </c>
      <c r="D46" s="4">
        <v>2.22187526775086E-16</v>
      </c>
      <c r="E46" s="4">
        <v>-3.8872055766707099E-15</v>
      </c>
      <c r="F46" s="4">
        <v>-3.1820616594264299E-15</v>
      </c>
      <c r="G46" s="4">
        <v>-2.2129778922653E-15</v>
      </c>
      <c r="H46" s="4">
        <v>-1.7592592376763801E-15</v>
      </c>
      <c r="I46" s="4">
        <v>-5.5665679534260603E-17</v>
      </c>
      <c r="J46" s="3"/>
      <c r="K46" s="3"/>
      <c r="L46" s="3"/>
      <c r="M46" s="2">
        <f>C46</f>
        <v>2.3232914207258801E-2</v>
      </c>
      <c r="N46" s="2">
        <f>D46/10</f>
        <v>2.22187526775086E-17</v>
      </c>
      <c r="O46" s="2">
        <f>E46</f>
        <v>-3.8872055766707099E-15</v>
      </c>
      <c r="P46" s="2">
        <f>F46</f>
        <v>-3.1820616594264299E-15</v>
      </c>
      <c r="Q46" s="2">
        <f>G46</f>
        <v>-2.2129778922653E-15</v>
      </c>
      <c r="R46" s="2">
        <f>H46</f>
        <v>-1.7592592376763801E-15</v>
      </c>
      <c r="S46" s="2">
        <f>I46</f>
        <v>-5.5665679534260603E-17</v>
      </c>
    </row>
    <row r="47" spans="1:19" ht="15" x14ac:dyDescent="0.25">
      <c r="A47" s="3">
        <v>30589</v>
      </c>
      <c r="B47" s="3"/>
      <c r="C47">
        <v>0.18434665414989301</v>
      </c>
      <c r="D47" s="4">
        <v>-8.9074923869709001E-17</v>
      </c>
      <c r="E47" s="4">
        <v>-4.1052524859623201E-15</v>
      </c>
      <c r="F47" s="4">
        <v>-3.4505858593593699E-15</v>
      </c>
      <c r="G47" s="4">
        <v>-2.3484158084203001E-15</v>
      </c>
      <c r="H47" s="4">
        <v>-1.70868908032973E-15</v>
      </c>
      <c r="I47" s="4">
        <v>-5.29268173676097E-17</v>
      </c>
      <c r="J47" s="3"/>
      <c r="K47" s="3"/>
      <c r="L47" s="3"/>
      <c r="M47" s="2">
        <f>C47</f>
        <v>0.18434665414989301</v>
      </c>
      <c r="N47" s="2">
        <f>D47/10</f>
        <v>-8.9074923869708998E-18</v>
      </c>
      <c r="O47" s="2">
        <f>E47</f>
        <v>-4.1052524859623201E-15</v>
      </c>
      <c r="P47" s="2">
        <f>F47</f>
        <v>-3.4505858593593699E-15</v>
      </c>
      <c r="Q47" s="2">
        <f>G47</f>
        <v>-2.3484158084203001E-15</v>
      </c>
      <c r="R47" s="2">
        <f>H47</f>
        <v>-1.70868908032973E-15</v>
      </c>
      <c r="S47" s="2">
        <f>I47</f>
        <v>-5.29268173676097E-17</v>
      </c>
    </row>
    <row r="48" spans="1:19" ht="15" x14ac:dyDescent="0.25">
      <c r="A48" s="3">
        <v>30681</v>
      </c>
      <c r="B48" s="3"/>
      <c r="C48">
        <v>-3.5744853637552601E-2</v>
      </c>
      <c r="D48" s="4">
        <v>9.9246409638570992E-19</v>
      </c>
      <c r="E48" s="4">
        <v>-4.0716110113637399E-15</v>
      </c>
      <c r="F48" s="4">
        <v>-3.3390236674260499E-15</v>
      </c>
      <c r="G48" s="4">
        <v>-2.17998115401639E-15</v>
      </c>
      <c r="H48" s="4">
        <v>-1.5717080584289001E-15</v>
      </c>
      <c r="I48" s="4">
        <v>7.4432188603665596E-17</v>
      </c>
      <c r="J48" s="3"/>
      <c r="K48" s="3"/>
      <c r="L48" s="3"/>
      <c r="M48" s="2">
        <f>C48</f>
        <v>-3.5744853637552601E-2</v>
      </c>
      <c r="N48" s="2">
        <f>D48/10</f>
        <v>9.9246409638570995E-20</v>
      </c>
      <c r="O48" s="2">
        <f>E48</f>
        <v>-4.0716110113637399E-15</v>
      </c>
      <c r="P48" s="2">
        <f>F48</f>
        <v>-3.3390236674260499E-15</v>
      </c>
      <c r="Q48" s="2">
        <f>G48</f>
        <v>-2.17998115401639E-15</v>
      </c>
      <c r="R48" s="2">
        <f>H48</f>
        <v>-1.5717080584289001E-15</v>
      </c>
      <c r="S48" s="2">
        <f>I48</f>
        <v>7.4432188603665596E-17</v>
      </c>
    </row>
    <row r="49" spans="1:19" ht="15" x14ac:dyDescent="0.25">
      <c r="A49" s="3">
        <v>30772</v>
      </c>
      <c r="B49" s="3"/>
      <c r="C49">
        <v>-0.15337863167999499</v>
      </c>
      <c r="D49" s="4">
        <v>-1.4702999722922499E-16</v>
      </c>
      <c r="E49" s="4">
        <v>-4.1886029871060501E-15</v>
      </c>
      <c r="F49" s="4">
        <v>-3.3237610836803899E-15</v>
      </c>
      <c r="G49" s="4">
        <v>-2.1761112761374699E-15</v>
      </c>
      <c r="H49" s="4">
        <v>-1.59514725206782E-15</v>
      </c>
      <c r="I49" s="4">
        <v>-1.0716406370866E-16</v>
      </c>
      <c r="J49" s="3"/>
      <c r="K49" s="3"/>
      <c r="L49" s="3"/>
      <c r="M49" s="2">
        <f>C49</f>
        <v>-0.15337863167999499</v>
      </c>
      <c r="N49" s="2">
        <f>D49/10</f>
        <v>-1.4702999722922498E-17</v>
      </c>
      <c r="O49" s="2">
        <f>E49</f>
        <v>-4.1886029871060501E-15</v>
      </c>
      <c r="P49" s="2">
        <f>F49</f>
        <v>-3.3237610836803899E-15</v>
      </c>
      <c r="Q49" s="2">
        <f>G49</f>
        <v>-2.1761112761374699E-15</v>
      </c>
      <c r="R49" s="2">
        <f>H49</f>
        <v>-1.59514725206782E-15</v>
      </c>
      <c r="S49" s="2">
        <f>I49</f>
        <v>-1.0716406370866E-16</v>
      </c>
    </row>
    <row r="50" spans="1:19" ht="15" x14ac:dyDescent="0.25">
      <c r="A50" s="3">
        <v>30863</v>
      </c>
      <c r="B50" s="3"/>
      <c r="C50">
        <v>1.25449351773445E-2</v>
      </c>
      <c r="D50" s="4">
        <v>-9.4579322090869999E-17</v>
      </c>
      <c r="E50" s="4">
        <v>-3.9765439018350496E-15</v>
      </c>
      <c r="F50" s="4">
        <v>-3.0442515167798499E-15</v>
      </c>
      <c r="G50" s="4">
        <v>-1.92211025625511E-15</v>
      </c>
      <c r="H50" s="4">
        <v>-1.49226008111307E-15</v>
      </c>
      <c r="I50" s="4">
        <v>2.7689142868891001E-16</v>
      </c>
      <c r="J50" s="3"/>
      <c r="K50" s="3"/>
      <c r="L50" s="3"/>
      <c r="M50" s="2">
        <f>C50</f>
        <v>1.25449351773445E-2</v>
      </c>
      <c r="N50" s="2">
        <f>D50/10</f>
        <v>-9.4579322090869999E-18</v>
      </c>
      <c r="O50" s="2">
        <f>E50</f>
        <v>-3.9765439018350496E-15</v>
      </c>
      <c r="P50" s="2">
        <f>F50</f>
        <v>-3.0442515167798499E-15</v>
      </c>
      <c r="Q50" s="2">
        <f>G50</f>
        <v>-1.92211025625511E-15</v>
      </c>
      <c r="R50" s="2">
        <f>H50</f>
        <v>-1.49226008111307E-15</v>
      </c>
      <c r="S50" s="2">
        <f>I50</f>
        <v>2.7689142868891001E-16</v>
      </c>
    </row>
    <row r="51" spans="1:19" ht="15" x14ac:dyDescent="0.25">
      <c r="A51" s="3">
        <v>30955</v>
      </c>
      <c r="B51" s="3"/>
      <c r="C51">
        <v>-5.5488789185062899E-2</v>
      </c>
      <c r="D51" s="4">
        <v>-6.6369896278416999E-16</v>
      </c>
      <c r="E51" s="4">
        <v>-4.4525834619204799E-15</v>
      </c>
      <c r="F51" s="4">
        <v>-3.4524025729542598E-15</v>
      </c>
      <c r="G51" s="4">
        <v>-2.41140221440926E-15</v>
      </c>
      <c r="H51" s="4">
        <v>-1.56826054923823E-15</v>
      </c>
      <c r="I51" s="4">
        <v>-2.3543558705196501E-16</v>
      </c>
      <c r="J51" s="3"/>
      <c r="K51" s="3"/>
      <c r="L51" s="3"/>
      <c r="M51" s="2">
        <f>C51</f>
        <v>-5.5488789185062899E-2</v>
      </c>
      <c r="N51" s="2">
        <f>D51/10</f>
        <v>-6.6369896278417001E-17</v>
      </c>
      <c r="O51" s="2">
        <f>E51</f>
        <v>-4.4525834619204799E-15</v>
      </c>
      <c r="P51" s="2">
        <f>F51</f>
        <v>-3.4524025729542598E-15</v>
      </c>
      <c r="Q51" s="2">
        <f>G51</f>
        <v>-2.41140221440926E-15</v>
      </c>
      <c r="R51" s="2">
        <f>H51</f>
        <v>-1.56826054923823E-15</v>
      </c>
      <c r="S51" s="2">
        <f>I51</f>
        <v>-2.3543558705196501E-16</v>
      </c>
    </row>
    <row r="52" spans="1:19" ht="15" x14ac:dyDescent="0.25">
      <c r="A52" s="3">
        <v>31047</v>
      </c>
      <c r="B52" s="3"/>
      <c r="C52">
        <v>-4.3864337722659297E-2</v>
      </c>
      <c r="D52" s="4">
        <v>-1.0199431093330201E-15</v>
      </c>
      <c r="E52" s="4">
        <v>-4.4847248031444697E-15</v>
      </c>
      <c r="F52" s="4">
        <v>-3.66220187640751E-15</v>
      </c>
      <c r="G52" s="4">
        <v>-2.25027401157849E-15</v>
      </c>
      <c r="H52" s="4">
        <v>-1.7944014005277399E-15</v>
      </c>
      <c r="I52" s="4">
        <v>-2.9308792508190001E-17</v>
      </c>
      <c r="J52" s="3"/>
      <c r="K52" s="3"/>
      <c r="L52" s="3"/>
      <c r="M52" s="2">
        <f>C52</f>
        <v>-4.3864337722659297E-2</v>
      </c>
      <c r="N52" s="2">
        <f>D52/10</f>
        <v>-1.0199431093330201E-16</v>
      </c>
      <c r="O52" s="2">
        <f>E52</f>
        <v>-4.4847248031444697E-15</v>
      </c>
      <c r="P52" s="2">
        <f>F52</f>
        <v>-3.66220187640751E-15</v>
      </c>
      <c r="Q52" s="2">
        <f>G52</f>
        <v>-2.25027401157849E-15</v>
      </c>
      <c r="R52" s="2">
        <f>H52</f>
        <v>-1.7944014005277399E-15</v>
      </c>
      <c r="S52" s="2">
        <f>I52</f>
        <v>-2.9308792508190001E-17</v>
      </c>
    </row>
    <row r="53" spans="1:19" ht="15" x14ac:dyDescent="0.25">
      <c r="A53" s="3">
        <v>31137</v>
      </c>
      <c r="B53" s="3"/>
      <c r="C53">
        <v>-5.8218266326113002E-2</v>
      </c>
      <c r="D53" s="4">
        <v>-8.8918634114894694E-16</v>
      </c>
      <c r="E53" s="4">
        <v>-4.4763109233667299E-15</v>
      </c>
      <c r="F53" s="4">
        <v>-3.30097385780558E-15</v>
      </c>
      <c r="G53" s="4">
        <v>-2.31989241188959E-15</v>
      </c>
      <c r="H53" s="4">
        <v>-1.4088702390053999E-15</v>
      </c>
      <c r="I53" s="4">
        <v>1.7077026735380301E-16</v>
      </c>
      <c r="J53" s="3"/>
      <c r="K53" s="3"/>
      <c r="L53" s="3"/>
      <c r="M53" s="2">
        <f>C53</f>
        <v>-5.8218266326113002E-2</v>
      </c>
      <c r="N53" s="2">
        <f>D53/10</f>
        <v>-8.8918634114894697E-17</v>
      </c>
      <c r="O53" s="2">
        <f>E53</f>
        <v>-4.4763109233667299E-15</v>
      </c>
      <c r="P53" s="2">
        <f>F53</f>
        <v>-3.30097385780558E-15</v>
      </c>
      <c r="Q53" s="2">
        <f>G53</f>
        <v>-2.31989241188959E-15</v>
      </c>
      <c r="R53" s="2">
        <f>H53</f>
        <v>-1.4088702390053999E-15</v>
      </c>
      <c r="S53" s="2">
        <f>I53</f>
        <v>1.7077026735380301E-16</v>
      </c>
    </row>
    <row r="54" spans="1:19" ht="15" x14ac:dyDescent="0.25">
      <c r="A54" s="3">
        <v>31228</v>
      </c>
      <c r="B54" s="3"/>
      <c r="C54">
        <v>7.3106447077691206E-2</v>
      </c>
      <c r="D54" s="4">
        <v>-1.2999607619241E-15</v>
      </c>
      <c r="E54" s="4">
        <v>-4.4761874589358404E-15</v>
      </c>
      <c r="F54" s="4">
        <v>-3.6604003318295097E-15</v>
      </c>
      <c r="G54" s="4">
        <v>-2.1854123867637602E-15</v>
      </c>
      <c r="H54" s="4">
        <v>-1.4251141967976099E-15</v>
      </c>
      <c r="I54" s="4">
        <v>-1.2030561204743099E-16</v>
      </c>
      <c r="J54" s="3"/>
      <c r="K54" s="3"/>
      <c r="L54" s="3"/>
      <c r="M54" s="2">
        <f>C54</f>
        <v>7.3106447077691206E-2</v>
      </c>
      <c r="N54" s="2">
        <f>D54/10</f>
        <v>-1.2999607619241001E-16</v>
      </c>
      <c r="O54" s="2">
        <f>E54</f>
        <v>-4.4761874589358404E-15</v>
      </c>
      <c r="P54" s="2">
        <f>F54</f>
        <v>-3.6604003318295097E-15</v>
      </c>
      <c r="Q54" s="2">
        <f>G54</f>
        <v>-2.1854123867637602E-15</v>
      </c>
      <c r="R54" s="2">
        <f>H54</f>
        <v>-1.4251141967976099E-15</v>
      </c>
      <c r="S54" s="2">
        <f>I54</f>
        <v>-1.2030561204743099E-16</v>
      </c>
    </row>
    <row r="55" spans="1:19" ht="15" x14ac:dyDescent="0.25">
      <c r="A55" s="3">
        <v>31320</v>
      </c>
      <c r="B55" s="3"/>
      <c r="C55">
        <v>-0.10030606878581599</v>
      </c>
      <c r="D55" s="4">
        <v>-1.0965756072930301E-15</v>
      </c>
      <c r="E55" s="4">
        <v>-4.5599654877784997E-15</v>
      </c>
      <c r="F55" s="4">
        <v>-3.3062889171157298E-15</v>
      </c>
      <c r="G55" s="4">
        <v>-2.0517860179297601E-15</v>
      </c>
      <c r="H55" s="4">
        <v>-1.5574151507407199E-15</v>
      </c>
      <c r="I55" s="4">
        <v>-4.8334814847756296E-18</v>
      </c>
      <c r="J55" s="3"/>
      <c r="K55" s="3"/>
      <c r="L55" s="3"/>
      <c r="M55" s="2">
        <f>C55</f>
        <v>-0.10030606878581599</v>
      </c>
      <c r="N55" s="2">
        <f>D55/10</f>
        <v>-1.09657560729303E-16</v>
      </c>
      <c r="O55" s="2">
        <f>E55</f>
        <v>-4.5599654877784997E-15</v>
      </c>
      <c r="P55" s="2">
        <f>F55</f>
        <v>-3.3062889171157298E-15</v>
      </c>
      <c r="Q55" s="2">
        <f>G55</f>
        <v>-2.0517860179297601E-15</v>
      </c>
      <c r="R55" s="2">
        <f>H55</f>
        <v>-1.5574151507407199E-15</v>
      </c>
      <c r="S55" s="2">
        <f>I55</f>
        <v>-4.8334814847756296E-18</v>
      </c>
    </row>
    <row r="56" spans="1:19" ht="15" x14ac:dyDescent="0.25">
      <c r="A56" s="3">
        <v>31412</v>
      </c>
      <c r="B56" s="3"/>
      <c r="C56">
        <v>-0.131462154113792</v>
      </c>
      <c r="D56" s="4">
        <v>-9.7078829030561798E-16</v>
      </c>
      <c r="E56" s="4">
        <v>-4.0323991256021201E-15</v>
      </c>
      <c r="F56" s="4">
        <v>-3.0173684474886801E-15</v>
      </c>
      <c r="G56" s="4">
        <v>-2.0881872672359499E-15</v>
      </c>
      <c r="H56" s="4">
        <v>-1.3676318820478101E-15</v>
      </c>
      <c r="I56" s="4">
        <v>4.1225963978976202E-17</v>
      </c>
      <c r="J56" s="3"/>
      <c r="K56" s="3"/>
      <c r="L56" s="3"/>
      <c r="M56" s="2">
        <f>C56</f>
        <v>-0.131462154113792</v>
      </c>
      <c r="N56" s="2">
        <f>D56/10</f>
        <v>-9.7078829030561801E-17</v>
      </c>
      <c r="O56" s="2">
        <f>E56</f>
        <v>-4.0323991256021201E-15</v>
      </c>
      <c r="P56" s="2">
        <f>F56</f>
        <v>-3.0173684474886801E-15</v>
      </c>
      <c r="Q56" s="2">
        <f>G56</f>
        <v>-2.0881872672359499E-15</v>
      </c>
      <c r="R56" s="2">
        <f>H56</f>
        <v>-1.3676318820478101E-15</v>
      </c>
      <c r="S56" s="2">
        <f>I56</f>
        <v>4.1225963978976202E-17</v>
      </c>
    </row>
    <row r="57" spans="1:19" ht="15" x14ac:dyDescent="0.25">
      <c r="A57" s="3">
        <v>31502</v>
      </c>
      <c r="B57" s="3"/>
      <c r="C57">
        <v>0.108064834017948</v>
      </c>
      <c r="D57" s="4">
        <v>-5.9123698960237798E-16</v>
      </c>
      <c r="E57" s="4">
        <v>-3.9108307813775803E-15</v>
      </c>
      <c r="F57" s="4">
        <v>-3.1379781838171099E-15</v>
      </c>
      <c r="G57" s="4">
        <v>-1.9559319268961399E-15</v>
      </c>
      <c r="H57" s="4">
        <v>-1.28894869480662E-15</v>
      </c>
      <c r="I57" s="4">
        <v>1.63561142263452E-16</v>
      </c>
      <c r="J57" s="3"/>
      <c r="K57" s="3"/>
      <c r="L57" s="3"/>
      <c r="M57" s="2">
        <f>C57</f>
        <v>0.108064834017948</v>
      </c>
      <c r="N57" s="2">
        <f>D57/10</f>
        <v>-5.9123698960237803E-17</v>
      </c>
      <c r="O57" s="2">
        <f>E57</f>
        <v>-3.9108307813775803E-15</v>
      </c>
      <c r="P57" s="2">
        <f>F57</f>
        <v>-3.1379781838171099E-15</v>
      </c>
      <c r="Q57" s="2">
        <f>G57</f>
        <v>-1.9559319268961399E-15</v>
      </c>
      <c r="R57" s="2">
        <f>H57</f>
        <v>-1.28894869480662E-15</v>
      </c>
      <c r="S57" s="2">
        <f>I57</f>
        <v>1.63561142263452E-16</v>
      </c>
    </row>
    <row r="58" spans="1:19" ht="15" x14ac:dyDescent="0.25">
      <c r="A58" s="3">
        <v>31593</v>
      </c>
      <c r="B58" s="3"/>
      <c r="C58">
        <v>-0.18188680700391399</v>
      </c>
      <c r="D58" s="4">
        <v>-5.1936681280951705E-16</v>
      </c>
      <c r="E58" s="4">
        <v>-4.11212062119538E-15</v>
      </c>
      <c r="F58" s="4">
        <v>-3.0943389074563301E-15</v>
      </c>
      <c r="G58" s="4">
        <v>-2.0542648226624599E-15</v>
      </c>
      <c r="H58" s="4">
        <v>-1.3453668417904301E-15</v>
      </c>
      <c r="I58" s="4">
        <v>-1.42540958347037E-16</v>
      </c>
      <c r="J58" s="3"/>
      <c r="K58" s="3"/>
      <c r="L58" s="3"/>
      <c r="M58" s="2">
        <f>C58</f>
        <v>-0.18188680700391399</v>
      </c>
      <c r="N58" s="2">
        <f>D58/10</f>
        <v>-5.1936681280951702E-17</v>
      </c>
      <c r="O58" s="2">
        <f>E58</f>
        <v>-4.11212062119538E-15</v>
      </c>
      <c r="P58" s="2">
        <f>F58</f>
        <v>-3.0943389074563301E-15</v>
      </c>
      <c r="Q58" s="2">
        <f>G58</f>
        <v>-2.0542648226624599E-15</v>
      </c>
      <c r="R58" s="2">
        <f>H58</f>
        <v>-1.3453668417904301E-15</v>
      </c>
      <c r="S58" s="2">
        <f>I58</f>
        <v>-1.42540958347037E-16</v>
      </c>
    </row>
    <row r="59" spans="1:19" ht="15" x14ac:dyDescent="0.25">
      <c r="A59" s="3">
        <v>31685</v>
      </c>
      <c r="B59" s="3"/>
      <c r="C59">
        <v>-2.48886021948906E-3</v>
      </c>
      <c r="D59" s="4">
        <v>-7.8370418971146104E-16</v>
      </c>
      <c r="E59" s="4">
        <v>-4.0647165420637399E-15</v>
      </c>
      <c r="F59" s="4">
        <v>-3.1596011138382099E-15</v>
      </c>
      <c r="G59" s="4">
        <v>-2.0152411494106398E-15</v>
      </c>
      <c r="H59" s="4">
        <v>-1.50209623122673E-15</v>
      </c>
      <c r="I59" s="4">
        <v>6.4602259158183902E-17</v>
      </c>
      <c r="J59" s="3"/>
      <c r="K59" s="3"/>
      <c r="L59" s="3"/>
      <c r="M59" s="2">
        <f>C59</f>
        <v>-2.48886021948906E-3</v>
      </c>
      <c r="N59" s="2">
        <f>D59/10</f>
        <v>-7.8370418971146101E-17</v>
      </c>
      <c r="O59" s="2">
        <f>E59</f>
        <v>-4.0647165420637399E-15</v>
      </c>
      <c r="P59" s="2">
        <f>F59</f>
        <v>-3.1596011138382099E-15</v>
      </c>
      <c r="Q59" s="2">
        <f>G59</f>
        <v>-2.0152411494106398E-15</v>
      </c>
      <c r="R59" s="2">
        <f>H59</f>
        <v>-1.50209623122673E-15</v>
      </c>
      <c r="S59" s="2">
        <f>I59</f>
        <v>6.4602259158183902E-17</v>
      </c>
    </row>
    <row r="60" spans="1:19" ht="15" x14ac:dyDescent="0.25">
      <c r="A60" s="3">
        <v>31777</v>
      </c>
      <c r="B60" s="3"/>
      <c r="C60">
        <v>-5.7007521690168495E-4</v>
      </c>
      <c r="D60" s="4">
        <v>-1.1799983410585401E-15</v>
      </c>
      <c r="E60" s="4">
        <v>-4.4337170210445397E-15</v>
      </c>
      <c r="F60" s="4">
        <v>-3.42277910963512E-15</v>
      </c>
      <c r="G60" s="4">
        <v>-2.4429232854156501E-15</v>
      </c>
      <c r="H60" s="4">
        <v>-1.42831643607472E-15</v>
      </c>
      <c r="I60" s="4">
        <v>-8.2818045833247806E-17</v>
      </c>
      <c r="J60" s="3"/>
      <c r="K60" s="3"/>
      <c r="L60" s="3"/>
      <c r="M60" s="2">
        <f>C60</f>
        <v>-5.7007521690168495E-4</v>
      </c>
      <c r="N60" s="2">
        <f>D60/10</f>
        <v>-1.17999834105854E-16</v>
      </c>
      <c r="O60" s="2">
        <f>E60</f>
        <v>-4.4337170210445397E-15</v>
      </c>
      <c r="P60" s="2">
        <f>F60</f>
        <v>-3.42277910963512E-15</v>
      </c>
      <c r="Q60" s="2">
        <f>G60</f>
        <v>-2.4429232854156501E-15</v>
      </c>
      <c r="R60" s="2">
        <f>H60</f>
        <v>-1.42831643607472E-15</v>
      </c>
      <c r="S60" s="2">
        <f>I60</f>
        <v>-8.2818045833247806E-17</v>
      </c>
    </row>
    <row r="61" spans="1:19" ht="15" x14ac:dyDescent="0.25">
      <c r="A61" s="3">
        <v>31867</v>
      </c>
      <c r="B61" s="3"/>
      <c r="C61">
        <v>7.1168647310821398E-2</v>
      </c>
      <c r="D61" s="4">
        <v>-1.9620296824928601E-15</v>
      </c>
      <c r="E61" s="4">
        <v>-4.79855508801345E-15</v>
      </c>
      <c r="F61" s="4">
        <v>-3.9402459316323197E-15</v>
      </c>
      <c r="G61" s="4">
        <v>-2.3958948531945698E-15</v>
      </c>
      <c r="H61" s="4">
        <v>-1.4542463736557699E-15</v>
      </c>
      <c r="I61" s="4">
        <v>4.2512960635735401E-17</v>
      </c>
      <c r="J61" s="3"/>
      <c r="K61" s="3"/>
      <c r="L61" s="3"/>
      <c r="M61" s="2">
        <f>C61</f>
        <v>7.1168647310821398E-2</v>
      </c>
      <c r="N61" s="2">
        <f>D61/10</f>
        <v>-1.9620296824928602E-16</v>
      </c>
      <c r="O61" s="2">
        <f>E61</f>
        <v>-4.79855508801345E-15</v>
      </c>
      <c r="P61" s="2">
        <f>F61</f>
        <v>-3.9402459316323197E-15</v>
      </c>
      <c r="Q61" s="2">
        <f>G61</f>
        <v>-2.3958948531945698E-15</v>
      </c>
      <c r="R61" s="2">
        <f>H61</f>
        <v>-1.4542463736557699E-15</v>
      </c>
      <c r="S61" s="2">
        <f>I61</f>
        <v>4.2512960635735401E-17</v>
      </c>
    </row>
    <row r="62" spans="1:19" ht="15" x14ac:dyDescent="0.25">
      <c r="A62" s="3">
        <v>31958</v>
      </c>
      <c r="B62" s="3"/>
      <c r="C62">
        <v>-1.74314239711333E-2</v>
      </c>
      <c r="D62" s="4">
        <v>-2.92617998074041E-15</v>
      </c>
      <c r="E62" s="4">
        <v>-5.5500206598378103E-15</v>
      </c>
      <c r="F62" s="4">
        <v>-4.1944180084959803E-15</v>
      </c>
      <c r="G62" s="4">
        <v>-2.6792838230162102E-15</v>
      </c>
      <c r="H62" s="4">
        <v>-1.46525148483104E-15</v>
      </c>
      <c r="I62" s="4">
        <v>-2.65257551100447E-16</v>
      </c>
      <c r="J62" s="3"/>
      <c r="K62" s="3"/>
      <c r="L62" s="3"/>
      <c r="M62" s="2">
        <f>C62</f>
        <v>-1.74314239711333E-2</v>
      </c>
      <c r="N62" s="2">
        <f>D62/10</f>
        <v>-2.9261799807404099E-16</v>
      </c>
      <c r="O62" s="2">
        <f>E62</f>
        <v>-5.5500206598378103E-15</v>
      </c>
      <c r="P62" s="2">
        <f>F62</f>
        <v>-4.1944180084959803E-15</v>
      </c>
      <c r="Q62" s="2">
        <f>G62</f>
        <v>-2.6792838230162102E-15</v>
      </c>
      <c r="R62" s="2">
        <f>H62</f>
        <v>-1.46525148483104E-15</v>
      </c>
      <c r="S62" s="2">
        <f>I62</f>
        <v>-2.65257551100447E-16</v>
      </c>
    </row>
    <row r="63" spans="1:19" ht="15" x14ac:dyDescent="0.25">
      <c r="A63" s="3">
        <v>32050</v>
      </c>
      <c r="B63" s="3"/>
      <c r="C63">
        <v>4.10546206874641E-2</v>
      </c>
      <c r="D63" s="4">
        <v>-3.5788923175662502E-15</v>
      </c>
      <c r="E63" s="4">
        <v>-5.3208338969684101E-15</v>
      </c>
      <c r="F63" s="4">
        <v>-4.1209695049718397E-15</v>
      </c>
      <c r="G63" s="4">
        <v>-2.32396886547573E-15</v>
      </c>
      <c r="H63" s="4">
        <v>-1.3802272517127601E-15</v>
      </c>
      <c r="I63" s="4">
        <v>4.7152094255883401E-17</v>
      </c>
      <c r="J63" s="3"/>
      <c r="K63" s="3"/>
      <c r="L63" s="3"/>
      <c r="M63" s="2">
        <f>C63</f>
        <v>4.10546206874641E-2</v>
      </c>
      <c r="N63" s="2">
        <f>D63/10</f>
        <v>-3.5788923175662504E-16</v>
      </c>
      <c r="O63" s="2">
        <f>E63</f>
        <v>-5.3208338969684101E-15</v>
      </c>
      <c r="P63" s="2">
        <f>F63</f>
        <v>-4.1209695049718397E-15</v>
      </c>
      <c r="Q63" s="2">
        <f>G63</f>
        <v>-2.32396886547573E-15</v>
      </c>
      <c r="R63" s="2">
        <f>H63</f>
        <v>-1.3802272517127601E-15</v>
      </c>
      <c r="S63" s="2">
        <f>I63</f>
        <v>4.7152094255883401E-17</v>
      </c>
    </row>
    <row r="64" spans="1:19" ht="15" x14ac:dyDescent="0.25">
      <c r="A64" s="3">
        <v>32142</v>
      </c>
      <c r="B64" s="3"/>
      <c r="C64">
        <v>1.9604463703073002E-2</v>
      </c>
      <c r="D64" s="4">
        <v>-3.16655181374023E-15</v>
      </c>
      <c r="E64" s="4">
        <v>-4.9502796278019603E-15</v>
      </c>
      <c r="F64" s="4">
        <v>-3.5811911996631397E-15</v>
      </c>
      <c r="G64" s="4">
        <v>-2.1220742391066799E-15</v>
      </c>
      <c r="H64" s="4">
        <v>-9.6445052838858794E-16</v>
      </c>
      <c r="I64" s="4">
        <v>6.4141077245797902E-17</v>
      </c>
      <c r="J64" s="3"/>
      <c r="K64" s="3"/>
      <c r="L64" s="3"/>
      <c r="M64" s="2">
        <f>C64</f>
        <v>1.9604463703073002E-2</v>
      </c>
      <c r="N64" s="2">
        <f>D64/10</f>
        <v>-3.1665518137402302E-16</v>
      </c>
      <c r="O64" s="2">
        <f>E64</f>
        <v>-4.9502796278019603E-15</v>
      </c>
      <c r="P64" s="2">
        <f>F64</f>
        <v>-3.5811911996631397E-15</v>
      </c>
      <c r="Q64" s="2">
        <f>G64</f>
        <v>-2.1220742391066799E-15</v>
      </c>
      <c r="R64" s="2">
        <f>H64</f>
        <v>-9.6445052838858794E-16</v>
      </c>
      <c r="S64" s="2">
        <f>I64</f>
        <v>6.4141077245797902E-17</v>
      </c>
    </row>
    <row r="65" spans="1:19" ht="15" x14ac:dyDescent="0.25">
      <c r="A65" s="3">
        <v>32233</v>
      </c>
      <c r="B65" s="3"/>
      <c r="C65">
        <v>-0.11965170981400799</v>
      </c>
      <c r="D65" s="4">
        <v>-2.7626747290250499E-15</v>
      </c>
      <c r="E65" s="4">
        <v>-4.3623839483400203E-15</v>
      </c>
      <c r="F65" s="4">
        <v>-3.3607963964134502E-15</v>
      </c>
      <c r="G65" s="4">
        <v>-1.6939818479152801E-15</v>
      </c>
      <c r="H65" s="4">
        <v>-9.4517565637654601E-16</v>
      </c>
      <c r="I65" s="4">
        <v>2.8456096943221299E-17</v>
      </c>
      <c r="J65" s="3"/>
      <c r="K65" s="3"/>
      <c r="L65" s="3"/>
      <c r="M65" s="2">
        <f>C65</f>
        <v>-0.11965170981400799</v>
      </c>
      <c r="N65" s="2">
        <f>D65/10</f>
        <v>-2.76267472902505E-16</v>
      </c>
      <c r="O65" s="2">
        <f>E65</f>
        <v>-4.3623839483400203E-15</v>
      </c>
      <c r="P65" s="2">
        <f>F65</f>
        <v>-3.3607963964134502E-15</v>
      </c>
      <c r="Q65" s="2">
        <f>G65</f>
        <v>-1.6939818479152801E-15</v>
      </c>
      <c r="R65" s="2">
        <f>H65</f>
        <v>-9.4517565637654601E-16</v>
      </c>
      <c r="S65" s="2">
        <f>I65</f>
        <v>2.8456096943221299E-17</v>
      </c>
    </row>
    <row r="66" spans="1:19" ht="15" x14ac:dyDescent="0.25">
      <c r="A66" s="3">
        <v>32324</v>
      </c>
      <c r="B66" s="3"/>
      <c r="C66">
        <v>-5.0488393017637898E-2</v>
      </c>
      <c r="D66" s="4">
        <v>-2.3925270313117499E-15</v>
      </c>
      <c r="E66" s="4">
        <v>-4.32250382201384E-15</v>
      </c>
      <c r="F66" s="4">
        <v>-3.1338417422854899E-15</v>
      </c>
      <c r="G66" s="4">
        <v>-1.8298459221384101E-15</v>
      </c>
      <c r="H66" s="4">
        <v>-1.0500786543825601E-15</v>
      </c>
      <c r="I66" s="4">
        <v>-3.3280786197936002E-17</v>
      </c>
      <c r="J66" s="3"/>
      <c r="K66" s="3"/>
      <c r="L66" s="3"/>
      <c r="M66" s="2">
        <f>C66</f>
        <v>-5.0488393017637898E-2</v>
      </c>
      <c r="N66" s="2">
        <f>D66/10</f>
        <v>-2.39252703131175E-16</v>
      </c>
      <c r="O66" s="2">
        <f>E66</f>
        <v>-4.32250382201384E-15</v>
      </c>
      <c r="P66" s="2">
        <f>F66</f>
        <v>-3.1338417422854899E-15</v>
      </c>
      <c r="Q66" s="2">
        <f>G66</f>
        <v>-1.8298459221384101E-15</v>
      </c>
      <c r="R66" s="2">
        <f>H66</f>
        <v>-1.0500786543825601E-15</v>
      </c>
      <c r="S66" s="2">
        <f>I66</f>
        <v>-3.3280786197936002E-17</v>
      </c>
    </row>
    <row r="67" spans="1:19" ht="15" x14ac:dyDescent="0.25">
      <c r="A67" s="3">
        <v>32416</v>
      </c>
      <c r="B67" s="3"/>
      <c r="C67">
        <v>9.5240001917353406E-2</v>
      </c>
      <c r="D67" s="4">
        <v>-2.43673259517186E-15</v>
      </c>
      <c r="E67" s="4">
        <v>-4.05697767884822E-15</v>
      </c>
      <c r="F67" s="4">
        <v>-3.2740428466154898E-15</v>
      </c>
      <c r="G67" s="4">
        <v>-1.9271172043270099E-15</v>
      </c>
      <c r="H67" s="4">
        <v>-1.0521859217718901E-15</v>
      </c>
      <c r="I67" s="4">
        <v>-8.0893625900826596E-19</v>
      </c>
      <c r="J67" s="3"/>
      <c r="K67" s="3"/>
      <c r="L67" s="3"/>
      <c r="M67" s="2">
        <f>C67</f>
        <v>9.5240001917353406E-2</v>
      </c>
      <c r="N67" s="2">
        <f>D67/10</f>
        <v>-2.4367325951718599E-16</v>
      </c>
      <c r="O67" s="2">
        <f>E67</f>
        <v>-4.05697767884822E-15</v>
      </c>
      <c r="P67" s="2">
        <f>F67</f>
        <v>-3.2740428466154898E-15</v>
      </c>
      <c r="Q67" s="2">
        <f>G67</f>
        <v>-1.9271172043270099E-15</v>
      </c>
      <c r="R67" s="2">
        <f>H67</f>
        <v>-1.0521859217718901E-15</v>
      </c>
      <c r="S67" s="2">
        <f>I67</f>
        <v>-8.0893625900826596E-19</v>
      </c>
    </row>
    <row r="68" spans="1:19" ht="15" x14ac:dyDescent="0.25">
      <c r="A68" s="3">
        <v>32508</v>
      </c>
      <c r="B68" s="3"/>
      <c r="C68">
        <v>0.154667024485204</v>
      </c>
      <c r="D68" s="4">
        <v>-2.0965094536027099E-15</v>
      </c>
      <c r="E68" s="4">
        <v>-4.02674392170131E-15</v>
      </c>
      <c r="F68" s="4">
        <v>-3.2415928370478602E-15</v>
      </c>
      <c r="G68" s="4">
        <v>-1.8204531325729299E-15</v>
      </c>
      <c r="H68" s="4">
        <v>-9.1673630103585193E-16</v>
      </c>
      <c r="I68" s="4">
        <v>5.1582329420901602E-17</v>
      </c>
      <c r="J68" s="3"/>
      <c r="K68" s="3"/>
      <c r="L68" s="3"/>
      <c r="M68" s="2">
        <f>C68</f>
        <v>0.154667024485204</v>
      </c>
      <c r="N68" s="2">
        <f>D68/10</f>
        <v>-2.0965094536027099E-16</v>
      </c>
      <c r="O68" s="2">
        <f>E68</f>
        <v>-4.02674392170131E-15</v>
      </c>
      <c r="P68" s="2">
        <f>F68</f>
        <v>-3.2415928370478602E-15</v>
      </c>
      <c r="Q68" s="2">
        <f>G68</f>
        <v>-1.8204531325729299E-15</v>
      </c>
      <c r="R68" s="2">
        <f>H68</f>
        <v>-9.1673630103585193E-16</v>
      </c>
      <c r="S68" s="2">
        <f>I68</f>
        <v>5.1582329420901602E-17</v>
      </c>
    </row>
    <row r="69" spans="1:19" ht="15" x14ac:dyDescent="0.25">
      <c r="A69" s="3">
        <v>32598</v>
      </c>
      <c r="B69" s="3"/>
      <c r="C69">
        <v>0.28431047169568102</v>
      </c>
      <c r="D69" s="4">
        <v>-2.4562319251685501E-15</v>
      </c>
      <c r="E69" s="4">
        <v>-4.2608423344661703E-15</v>
      </c>
      <c r="F69" s="4">
        <v>-3.4085937343235598E-15</v>
      </c>
      <c r="G69" s="4">
        <v>-1.8960598224523701E-15</v>
      </c>
      <c r="H69" s="4">
        <v>-9.6935171660099395E-16</v>
      </c>
      <c r="I69" s="4">
        <v>-7.63923128309854E-17</v>
      </c>
      <c r="J69" s="3"/>
      <c r="K69" s="3"/>
      <c r="L69" s="3"/>
      <c r="M69" s="2">
        <f>C69</f>
        <v>0.28431047169568102</v>
      </c>
      <c r="N69" s="2">
        <f>D69/10</f>
        <v>-2.45623192516855E-16</v>
      </c>
      <c r="O69" s="2">
        <f>E69</f>
        <v>-4.2608423344661703E-15</v>
      </c>
      <c r="P69" s="2">
        <f>F69</f>
        <v>-3.4085937343235598E-15</v>
      </c>
      <c r="Q69" s="2">
        <f>G69</f>
        <v>-1.8960598224523701E-15</v>
      </c>
      <c r="R69" s="2">
        <f>H69</f>
        <v>-9.6935171660099395E-16</v>
      </c>
      <c r="S69" s="2">
        <f>I69</f>
        <v>-7.63923128309854E-17</v>
      </c>
    </row>
    <row r="70" spans="1:19" ht="15" x14ac:dyDescent="0.25">
      <c r="A70" s="3">
        <v>32689</v>
      </c>
      <c r="B70" s="3"/>
      <c r="C70">
        <v>9.0124914465927006E-2</v>
      </c>
      <c r="D70" s="4">
        <v>-2.4365158529393099E-15</v>
      </c>
      <c r="E70" s="4">
        <v>-4.0598347248653599E-15</v>
      </c>
      <c r="F70" s="4">
        <v>-3.2137878381003899E-15</v>
      </c>
      <c r="G70" s="4">
        <v>-1.7422015023725001E-15</v>
      </c>
      <c r="H70" s="4">
        <v>-8.9199028277157392E-16</v>
      </c>
      <c r="I70" s="4">
        <v>8.4902818460609897E-17</v>
      </c>
      <c r="J70" s="3"/>
      <c r="K70" s="3"/>
      <c r="L70" s="3"/>
      <c r="M70" s="2">
        <f>C70</f>
        <v>9.0124914465927006E-2</v>
      </c>
      <c r="N70" s="2">
        <f>D70/10</f>
        <v>-2.4365158529393099E-16</v>
      </c>
      <c r="O70" s="2">
        <f>E70</f>
        <v>-4.0598347248653599E-15</v>
      </c>
      <c r="P70" s="2">
        <f>F70</f>
        <v>-3.2137878381003899E-15</v>
      </c>
      <c r="Q70" s="2">
        <f>G70</f>
        <v>-1.7422015023725001E-15</v>
      </c>
      <c r="R70" s="2">
        <f>H70</f>
        <v>-8.9199028277157392E-16</v>
      </c>
      <c r="S70" s="2">
        <f>I70</f>
        <v>8.4902818460609897E-17</v>
      </c>
    </row>
    <row r="71" spans="1:19" ht="15" x14ac:dyDescent="0.25">
      <c r="A71" s="3">
        <v>32781</v>
      </c>
      <c r="B71" s="3"/>
      <c r="C71">
        <v>0.19438345324944101</v>
      </c>
      <c r="D71" s="4">
        <v>-2.36771187773441E-15</v>
      </c>
      <c r="E71" s="4">
        <v>-3.9672358620368003E-15</v>
      </c>
      <c r="F71" s="4">
        <v>-3.1439834121491699E-15</v>
      </c>
      <c r="G71" s="4">
        <v>-1.70685827232883E-15</v>
      </c>
      <c r="H71" s="4">
        <v>-7.4421391472396298E-16</v>
      </c>
      <c r="I71" s="4">
        <v>8.9882636811833799E-17</v>
      </c>
      <c r="J71" s="3"/>
      <c r="K71" s="3"/>
      <c r="L71" s="3"/>
      <c r="M71" s="2">
        <f>C71</f>
        <v>0.19438345324944101</v>
      </c>
      <c r="N71" s="2">
        <f>D71/10</f>
        <v>-2.3677118777344101E-16</v>
      </c>
      <c r="O71" s="2">
        <f>E71</f>
        <v>-3.9672358620368003E-15</v>
      </c>
      <c r="P71" s="2">
        <f>F71</f>
        <v>-3.1439834121491699E-15</v>
      </c>
      <c r="Q71" s="2">
        <f>G71</f>
        <v>-1.70685827232883E-15</v>
      </c>
      <c r="R71" s="2">
        <f>H71</f>
        <v>-7.4421391472396298E-16</v>
      </c>
      <c r="S71" s="2">
        <f>I71</f>
        <v>8.9882636811833799E-17</v>
      </c>
    </row>
    <row r="72" spans="1:19" ht="15" x14ac:dyDescent="0.25">
      <c r="A72" s="3">
        <v>32873</v>
      </c>
      <c r="B72" s="3"/>
      <c r="C72">
        <v>0.406815721460696</v>
      </c>
      <c r="D72" s="4">
        <v>-2.63623214973476E-15</v>
      </c>
      <c r="E72" s="4">
        <v>-4.1158387626640303E-15</v>
      </c>
      <c r="F72" s="4">
        <v>-3.3014014574781498E-15</v>
      </c>
      <c r="G72" s="4">
        <v>-1.68366400148827E-15</v>
      </c>
      <c r="H72" s="4">
        <v>-8.0117018479239895E-16</v>
      </c>
      <c r="I72" s="4">
        <v>-2.3579292566662001E-17</v>
      </c>
      <c r="J72" s="3"/>
      <c r="K72" s="3"/>
      <c r="L72" s="3"/>
      <c r="M72" s="2">
        <f>C72</f>
        <v>0.406815721460696</v>
      </c>
      <c r="N72" s="2">
        <f>D72/10</f>
        <v>-2.6362321497347598E-16</v>
      </c>
      <c r="O72" s="2">
        <f>E72</f>
        <v>-4.1158387626640303E-15</v>
      </c>
      <c r="P72" s="2">
        <f>F72</f>
        <v>-3.3014014574781498E-15</v>
      </c>
      <c r="Q72" s="2">
        <f>G72</f>
        <v>-1.68366400148827E-15</v>
      </c>
      <c r="R72" s="2">
        <f>H72</f>
        <v>-8.0117018479239895E-16</v>
      </c>
      <c r="S72" s="2">
        <f>I72</f>
        <v>-2.3579292566662001E-17</v>
      </c>
    </row>
    <row r="73" spans="1:19" ht="15" x14ac:dyDescent="0.25">
      <c r="A73" s="3">
        <v>32963</v>
      </c>
      <c r="B73" s="3"/>
      <c r="C73">
        <v>0.28309980413018099</v>
      </c>
      <c r="D73" s="4">
        <v>-2.7875589527273099E-15</v>
      </c>
      <c r="E73" s="4">
        <v>-4.0990203534940299E-15</v>
      </c>
      <c r="F73" s="4">
        <v>-3.1799722189940799E-15</v>
      </c>
      <c r="G73" s="4">
        <v>-1.66793811720307E-15</v>
      </c>
      <c r="H73" s="4">
        <v>-7.9187598875684395E-16</v>
      </c>
      <c r="I73" s="4">
        <v>9.7856960230816902E-18</v>
      </c>
      <c r="J73" s="3"/>
      <c r="K73" s="3"/>
      <c r="L73" s="3"/>
      <c r="M73" s="2">
        <f>C73</f>
        <v>0.28309980413018099</v>
      </c>
      <c r="N73" s="2">
        <f>D73/10</f>
        <v>-2.7875589527273097E-16</v>
      </c>
      <c r="O73" s="2">
        <f>E73</f>
        <v>-4.0990203534940299E-15</v>
      </c>
      <c r="P73" s="2">
        <f>F73</f>
        <v>-3.1799722189940799E-15</v>
      </c>
      <c r="Q73" s="2">
        <f>G73</f>
        <v>-1.66793811720307E-15</v>
      </c>
      <c r="R73" s="2">
        <f>H73</f>
        <v>-7.9187598875684395E-16</v>
      </c>
      <c r="S73" s="2">
        <f>I73</f>
        <v>9.7856960230816902E-18</v>
      </c>
    </row>
    <row r="74" spans="1:19" ht="15" x14ac:dyDescent="0.25">
      <c r="A74" s="3">
        <v>33054</v>
      </c>
      <c r="B74" s="3"/>
      <c r="C74">
        <v>8.0563883311895207E-2</v>
      </c>
      <c r="D74" s="4">
        <v>-2.3009055603829298E-15</v>
      </c>
      <c r="E74" s="4">
        <v>-3.5215088502478101E-15</v>
      </c>
      <c r="F74" s="4">
        <v>-2.8104011162734998E-15</v>
      </c>
      <c r="G74" s="4">
        <v>-1.39847547745686E-15</v>
      </c>
      <c r="H74" s="4">
        <v>-5.2142508088958698E-16</v>
      </c>
      <c r="I74" s="4">
        <v>2.3406913058182198E-16</v>
      </c>
      <c r="J74" s="3"/>
      <c r="K74" s="3"/>
      <c r="L74" s="3"/>
      <c r="M74" s="2">
        <f>C74</f>
        <v>8.0563883311895207E-2</v>
      </c>
      <c r="N74" s="2">
        <f>D74/10</f>
        <v>-2.3009055603829296E-16</v>
      </c>
      <c r="O74" s="2">
        <f>E74</f>
        <v>-3.5215088502478101E-15</v>
      </c>
      <c r="P74" s="2">
        <f>F74</f>
        <v>-2.8104011162734998E-15</v>
      </c>
      <c r="Q74" s="2">
        <f>G74</f>
        <v>-1.39847547745686E-15</v>
      </c>
      <c r="R74" s="2">
        <f>H74</f>
        <v>-5.2142508088958698E-16</v>
      </c>
      <c r="S74" s="2">
        <f>I74</f>
        <v>2.3406913058182198E-16</v>
      </c>
    </row>
    <row r="75" spans="1:19" ht="15" x14ac:dyDescent="0.25">
      <c r="A75" s="3">
        <v>33146</v>
      </c>
      <c r="B75" s="3"/>
      <c r="C75">
        <v>0.18078793177066499</v>
      </c>
      <c r="D75" s="4">
        <v>-1.9804354148354601E-15</v>
      </c>
      <c r="E75" s="4">
        <v>-3.5126093987644701E-15</v>
      </c>
      <c r="F75" s="4">
        <v>-2.8372299755167001E-15</v>
      </c>
      <c r="G75" s="4">
        <v>-1.37316249223921E-15</v>
      </c>
      <c r="H75" s="4">
        <v>-5.15676329829666E-16</v>
      </c>
      <c r="I75" s="4">
        <v>2.42069822636428E-17</v>
      </c>
      <c r="J75" s="3"/>
      <c r="K75" s="3"/>
      <c r="L75" s="3"/>
      <c r="M75" s="2">
        <f>C75</f>
        <v>0.18078793177066499</v>
      </c>
      <c r="N75" s="2">
        <f>D75/10</f>
        <v>-1.9804354148354601E-16</v>
      </c>
      <c r="O75" s="2">
        <f>E75</f>
        <v>-3.5126093987644701E-15</v>
      </c>
      <c r="P75" s="2">
        <f>F75</f>
        <v>-2.8372299755167001E-15</v>
      </c>
      <c r="Q75" s="2">
        <f>G75</f>
        <v>-1.37316249223921E-15</v>
      </c>
      <c r="R75" s="2">
        <f>H75</f>
        <v>-5.15676329829666E-16</v>
      </c>
      <c r="S75" s="2">
        <f>I75</f>
        <v>2.42069822636428E-17</v>
      </c>
    </row>
    <row r="76" spans="1:19" ht="15" x14ac:dyDescent="0.25">
      <c r="A76" s="3">
        <v>33238</v>
      </c>
      <c r="B76" s="3"/>
      <c r="C76">
        <v>0.22781492990192001</v>
      </c>
      <c r="D76" s="4">
        <v>-1.9713942088299598E-15</v>
      </c>
      <c r="E76" s="4">
        <v>-3.5740840112041101E-15</v>
      </c>
      <c r="F76" s="4">
        <v>-2.8643873072887699E-15</v>
      </c>
      <c r="G76" s="4">
        <v>-1.4081313628623599E-15</v>
      </c>
      <c r="H76" s="4">
        <v>-7.7327517210026199E-16</v>
      </c>
      <c r="I76" s="4">
        <v>-3.6760162507829999E-17</v>
      </c>
      <c r="J76" s="3"/>
      <c r="K76" s="3"/>
      <c r="L76" s="3"/>
      <c r="M76" s="2">
        <f>C76</f>
        <v>0.22781492990192001</v>
      </c>
      <c r="N76" s="2">
        <f>D76/10</f>
        <v>-1.9713942088299599E-16</v>
      </c>
      <c r="O76" s="2">
        <f>E76</f>
        <v>-3.5740840112041101E-15</v>
      </c>
      <c r="P76" s="2">
        <f>F76</f>
        <v>-2.8643873072887699E-15</v>
      </c>
      <c r="Q76" s="2">
        <f>G76</f>
        <v>-1.4081313628623599E-15</v>
      </c>
      <c r="R76" s="2">
        <f>H76</f>
        <v>-7.7327517210026199E-16</v>
      </c>
      <c r="S76" s="2">
        <f>I76</f>
        <v>-3.6760162507829999E-17</v>
      </c>
    </row>
    <row r="77" spans="1:19" ht="15" x14ac:dyDescent="0.25">
      <c r="A77" s="3">
        <v>33328</v>
      </c>
      <c r="B77" s="3"/>
      <c r="C77">
        <v>0.14514925403366399</v>
      </c>
      <c r="D77" s="4">
        <v>-1.6797468079498601E-15</v>
      </c>
      <c r="E77" s="4">
        <v>-3.3329098086460701E-15</v>
      </c>
      <c r="F77" s="4">
        <v>-2.6276001898210598E-15</v>
      </c>
      <c r="G77" s="4">
        <v>-1.4540794651229099E-15</v>
      </c>
      <c r="H77" s="4">
        <v>-6.9089467424863002E-16</v>
      </c>
      <c r="I77" s="4">
        <v>1.3294730619676499E-16</v>
      </c>
      <c r="J77" s="3"/>
      <c r="K77" s="3"/>
      <c r="L77" s="3"/>
      <c r="M77" s="2">
        <f>C77</f>
        <v>0.14514925403366399</v>
      </c>
      <c r="N77" s="2">
        <f>D77/10</f>
        <v>-1.6797468079498601E-16</v>
      </c>
      <c r="O77" s="2">
        <f>E77</f>
        <v>-3.3329098086460701E-15</v>
      </c>
      <c r="P77" s="2">
        <f>F77</f>
        <v>-2.6276001898210598E-15</v>
      </c>
      <c r="Q77" s="2">
        <f>G77</f>
        <v>-1.4540794651229099E-15</v>
      </c>
      <c r="R77" s="2">
        <f>H77</f>
        <v>-6.9089467424863002E-16</v>
      </c>
      <c r="S77" s="2">
        <f>I77</f>
        <v>1.3294730619676499E-16</v>
      </c>
    </row>
    <row r="78" spans="1:19" ht="15" x14ac:dyDescent="0.25">
      <c r="A78" s="3">
        <v>33419</v>
      </c>
      <c r="B78" s="3"/>
      <c r="C78">
        <v>-7.6707813186822002E-2</v>
      </c>
      <c r="D78" s="4">
        <v>-1.6725889123469001E-15</v>
      </c>
      <c r="E78" s="4">
        <v>-3.4472990763702802E-15</v>
      </c>
      <c r="F78" s="4">
        <v>-2.9841893489791302E-15</v>
      </c>
      <c r="G78" s="4">
        <v>-1.61701336257663E-15</v>
      </c>
      <c r="H78" s="4">
        <v>-7.7157693320622197E-16</v>
      </c>
      <c r="I78" s="4">
        <v>-1.01986156584662E-16</v>
      </c>
      <c r="J78" s="3"/>
      <c r="K78" s="3"/>
      <c r="L78" s="3"/>
      <c r="M78" s="2">
        <f>C78</f>
        <v>-7.6707813186822002E-2</v>
      </c>
      <c r="N78" s="2">
        <f>D78/10</f>
        <v>-1.6725889123469002E-16</v>
      </c>
      <c r="O78" s="2">
        <f>E78</f>
        <v>-3.4472990763702802E-15</v>
      </c>
      <c r="P78" s="2">
        <f>F78</f>
        <v>-2.9841893489791302E-15</v>
      </c>
      <c r="Q78" s="2">
        <f>G78</f>
        <v>-1.61701336257663E-15</v>
      </c>
      <c r="R78" s="2">
        <f>H78</f>
        <v>-7.7157693320622197E-16</v>
      </c>
      <c r="S78" s="2">
        <f>I78</f>
        <v>-1.01986156584662E-16</v>
      </c>
    </row>
    <row r="79" spans="1:19" ht="15" x14ac:dyDescent="0.25">
      <c r="A79" s="3">
        <v>33511</v>
      </c>
      <c r="B79" s="3"/>
      <c r="C79">
        <v>0.123234555142388</v>
      </c>
      <c r="D79" s="4">
        <v>-1.7624623246790399E-15</v>
      </c>
      <c r="E79" s="4">
        <v>-3.72216240478089E-15</v>
      </c>
      <c r="F79" s="4">
        <v>-3.0634184869823998E-15</v>
      </c>
      <c r="G79" s="4">
        <v>-1.55105159349669E-15</v>
      </c>
      <c r="H79" s="4">
        <v>-8.75249569821823E-16</v>
      </c>
      <c r="I79" s="4">
        <v>5.6432132536667596E-17</v>
      </c>
      <c r="J79" s="3"/>
      <c r="K79" s="3"/>
      <c r="L79" s="3"/>
      <c r="M79" s="2">
        <f>C79</f>
        <v>0.123234555142388</v>
      </c>
      <c r="N79" s="2">
        <f>D79/10</f>
        <v>-1.76246232467904E-16</v>
      </c>
      <c r="O79" s="2">
        <f>E79</f>
        <v>-3.72216240478089E-15</v>
      </c>
      <c r="P79" s="2">
        <f>F79</f>
        <v>-3.0634184869823998E-15</v>
      </c>
      <c r="Q79" s="2">
        <f>G79</f>
        <v>-1.55105159349669E-15</v>
      </c>
      <c r="R79" s="2">
        <f>H79</f>
        <v>-8.75249569821823E-16</v>
      </c>
      <c r="S79" s="2">
        <f>I79</f>
        <v>5.6432132536667596E-17</v>
      </c>
    </row>
    <row r="80" spans="1:19" ht="15" x14ac:dyDescent="0.25">
      <c r="A80" s="3">
        <v>33603</v>
      </c>
      <c r="B80" s="3"/>
      <c r="C80">
        <v>0.10239575184303699</v>
      </c>
      <c r="D80" s="4">
        <v>-1.8135979154653701E-15</v>
      </c>
      <c r="E80" s="4">
        <v>-3.64358639644264E-15</v>
      </c>
      <c r="F80" s="4">
        <v>-2.8774107539323101E-15</v>
      </c>
      <c r="G80" s="4">
        <v>-1.5686585619733799E-15</v>
      </c>
      <c r="H80" s="4">
        <v>-6.8455522348293597E-16</v>
      </c>
      <c r="I80" s="4">
        <v>1.00650410996493E-16</v>
      </c>
      <c r="J80" s="3"/>
      <c r="K80" s="3"/>
      <c r="L80" s="3"/>
      <c r="M80" s="2">
        <f>C80</f>
        <v>0.10239575184303699</v>
      </c>
      <c r="N80" s="2">
        <f>D80/10</f>
        <v>-1.81359791546537E-16</v>
      </c>
      <c r="O80" s="2">
        <f>E80</f>
        <v>-3.64358639644264E-15</v>
      </c>
      <c r="P80" s="2">
        <f>F80</f>
        <v>-2.8774107539323101E-15</v>
      </c>
      <c r="Q80" s="2">
        <f>G80</f>
        <v>-1.5686585619733799E-15</v>
      </c>
      <c r="R80" s="2">
        <f>H80</f>
        <v>-6.8455522348293597E-16</v>
      </c>
      <c r="S80" s="2">
        <f>I80</f>
        <v>1.00650410996493E-16</v>
      </c>
    </row>
    <row r="81" spans="1:19" ht="15" x14ac:dyDescent="0.25">
      <c r="A81" s="3">
        <v>33694</v>
      </c>
      <c r="B81" s="3"/>
      <c r="C81">
        <v>0.22818157487376001</v>
      </c>
      <c r="D81" s="4">
        <v>-1.4625866565630099E-15</v>
      </c>
      <c r="E81" s="4">
        <v>-3.3221481932620898E-15</v>
      </c>
      <c r="F81" s="4">
        <v>-2.7545102962648401E-15</v>
      </c>
      <c r="G81" s="4">
        <v>-1.2447618278705299E-15</v>
      </c>
      <c r="H81" s="4">
        <v>-6.3967907849006298E-16</v>
      </c>
      <c r="I81" s="4">
        <v>6.9207470893199895E-17</v>
      </c>
      <c r="J81" s="3"/>
      <c r="K81" s="3"/>
      <c r="L81" s="3"/>
      <c r="M81" s="2">
        <f>C81</f>
        <v>0.22818157487376001</v>
      </c>
      <c r="N81" s="2">
        <f>D81/10</f>
        <v>-1.4625866565630099E-16</v>
      </c>
      <c r="O81" s="2">
        <f>E81</f>
        <v>-3.3221481932620898E-15</v>
      </c>
      <c r="P81" s="2">
        <f>F81</f>
        <v>-2.7545102962648401E-15</v>
      </c>
      <c r="Q81" s="2">
        <f>G81</f>
        <v>-1.2447618278705299E-15</v>
      </c>
      <c r="R81" s="2">
        <f>H81</f>
        <v>-6.3967907849006298E-16</v>
      </c>
      <c r="S81" s="2">
        <f>I81</f>
        <v>6.9207470893199895E-17</v>
      </c>
    </row>
    <row r="82" spans="1:19" ht="15" x14ac:dyDescent="0.25">
      <c r="A82" s="3">
        <v>33785</v>
      </c>
      <c r="B82" s="3"/>
      <c r="C82">
        <v>0.24717967085089801</v>
      </c>
      <c r="D82" s="4">
        <v>-7.7274120471340998E-16</v>
      </c>
      <c r="E82" s="4">
        <v>-3.0902921304128701E-15</v>
      </c>
      <c r="F82" s="4">
        <v>-2.3196201392239802E-15</v>
      </c>
      <c r="G82" s="4">
        <v>-1.0964199425219999E-15</v>
      </c>
      <c r="H82" s="4">
        <v>-6.4825034079207805E-16</v>
      </c>
      <c r="I82" s="4">
        <v>2.1518652142838101E-16</v>
      </c>
      <c r="J82" s="3"/>
      <c r="K82" s="3"/>
      <c r="L82" s="3"/>
      <c r="M82" s="2">
        <f>C82</f>
        <v>0.24717967085089801</v>
      </c>
      <c r="N82" s="2">
        <f>D82/10</f>
        <v>-7.7274120471340995E-17</v>
      </c>
      <c r="O82" s="2">
        <f>E82</f>
        <v>-3.0902921304128701E-15</v>
      </c>
      <c r="P82" s="2">
        <f>F82</f>
        <v>-2.3196201392239802E-15</v>
      </c>
      <c r="Q82" s="2">
        <f>G82</f>
        <v>-1.0964199425219999E-15</v>
      </c>
      <c r="R82" s="2">
        <f>H82</f>
        <v>-6.4825034079207805E-16</v>
      </c>
      <c r="S82" s="2">
        <f>I82</f>
        <v>2.1518652142838101E-16</v>
      </c>
    </row>
    <row r="83" spans="1:19" ht="15" x14ac:dyDescent="0.25">
      <c r="A83" s="3">
        <v>33877</v>
      </c>
      <c r="B83" s="3"/>
      <c r="C83">
        <v>0.47126039361091299</v>
      </c>
      <c r="D83" s="4">
        <v>-8.7688259119245495E-16</v>
      </c>
      <c r="E83" s="4">
        <v>-3.1774838442876998E-15</v>
      </c>
      <c r="F83" s="4">
        <v>-2.5575518568256501E-15</v>
      </c>
      <c r="G83" s="4">
        <v>-1.4185438549921801E-15</v>
      </c>
      <c r="H83" s="4">
        <v>-8.1305714482409897E-16</v>
      </c>
      <c r="I83" s="4">
        <v>-6.0281003070046995E-17</v>
      </c>
      <c r="J83" s="3"/>
      <c r="K83" s="3"/>
      <c r="L83" s="3"/>
      <c r="M83" s="2">
        <f>C83</f>
        <v>0.47126039361091299</v>
      </c>
      <c r="N83" s="2">
        <f>D83/10</f>
        <v>-8.7688259119245495E-17</v>
      </c>
      <c r="O83" s="2">
        <f>E83</f>
        <v>-3.1774838442876998E-15</v>
      </c>
      <c r="P83" s="2">
        <f>F83</f>
        <v>-2.5575518568256501E-15</v>
      </c>
      <c r="Q83" s="2">
        <f>G83</f>
        <v>-1.4185438549921801E-15</v>
      </c>
      <c r="R83" s="2">
        <f>H83</f>
        <v>-8.1305714482409897E-16</v>
      </c>
      <c r="S83" s="2">
        <f>I83</f>
        <v>-6.0281003070046995E-17</v>
      </c>
    </row>
    <row r="84" spans="1:19" ht="15" x14ac:dyDescent="0.25">
      <c r="A84" s="3">
        <v>33969</v>
      </c>
      <c r="B84" s="3"/>
      <c r="C84">
        <v>9.1990989768498607E-3</v>
      </c>
      <c r="D84" s="4">
        <v>-1.30681372269127E-16</v>
      </c>
      <c r="E84" s="4">
        <v>-2.88020115742201E-15</v>
      </c>
      <c r="F84" s="4">
        <v>-2.4117821321739101E-15</v>
      </c>
      <c r="G84" s="4">
        <v>-1.2793840652833E-15</v>
      </c>
      <c r="H84" s="4">
        <v>-9.9457596476990704E-16</v>
      </c>
      <c r="I84" s="4">
        <v>2.3131063187421299E-17</v>
      </c>
      <c r="J84" s="3"/>
      <c r="K84" s="3"/>
      <c r="L84" s="3"/>
      <c r="M84" s="2">
        <f>C84</f>
        <v>9.1990989768498607E-3</v>
      </c>
      <c r="N84" s="2">
        <f>D84/10</f>
        <v>-1.30681372269127E-17</v>
      </c>
      <c r="O84" s="2">
        <f>E84</f>
        <v>-2.88020115742201E-15</v>
      </c>
      <c r="P84" s="2">
        <f>F84</f>
        <v>-2.4117821321739101E-15</v>
      </c>
      <c r="Q84" s="2">
        <f>G84</f>
        <v>-1.2793840652833E-15</v>
      </c>
      <c r="R84" s="2">
        <f>H84</f>
        <v>-9.9457596476990704E-16</v>
      </c>
      <c r="S84" s="2">
        <f>I84</f>
        <v>2.3131063187421299E-17</v>
      </c>
    </row>
    <row r="85" spans="1:19" ht="15" x14ac:dyDescent="0.25">
      <c r="A85" s="3">
        <v>34059</v>
      </c>
      <c r="B85" s="3"/>
      <c r="C85">
        <v>0.14228596973608601</v>
      </c>
      <c r="D85" s="4">
        <v>4.3005612341552898E-16</v>
      </c>
      <c r="E85" s="4">
        <v>-2.8560659854118499E-15</v>
      </c>
      <c r="F85" s="4">
        <v>-2.1891996280621701E-15</v>
      </c>
      <c r="G85" s="4">
        <v>-1.3309708892186599E-15</v>
      </c>
      <c r="H85" s="4">
        <v>-9.25007677636103E-16</v>
      </c>
      <c r="I85" s="4">
        <v>1.7054616013672099E-16</v>
      </c>
      <c r="J85" s="3"/>
      <c r="K85" s="3"/>
      <c r="L85" s="3"/>
      <c r="M85" s="2">
        <f>C85</f>
        <v>0.14228596973608601</v>
      </c>
      <c r="N85" s="2">
        <f>D85/10</f>
        <v>4.3005612341552896E-17</v>
      </c>
      <c r="O85" s="2">
        <f>E85</f>
        <v>-2.8560659854118499E-15</v>
      </c>
      <c r="P85" s="2">
        <f>F85</f>
        <v>-2.1891996280621701E-15</v>
      </c>
      <c r="Q85" s="2">
        <f>G85</f>
        <v>-1.3309708892186599E-15</v>
      </c>
      <c r="R85" s="2">
        <f>H85</f>
        <v>-9.25007677636103E-16</v>
      </c>
      <c r="S85" s="2">
        <f>I85</f>
        <v>1.7054616013672099E-16</v>
      </c>
    </row>
    <row r="86" spans="1:19" ht="15" x14ac:dyDescent="0.25">
      <c r="A86" s="3">
        <v>34150</v>
      </c>
      <c r="B86" s="3"/>
      <c r="C86">
        <v>-0.240605181127134</v>
      </c>
      <c r="D86" s="4">
        <v>2.4013687231767E-16</v>
      </c>
      <c r="E86" s="4">
        <v>-3.1344848746887201E-15</v>
      </c>
      <c r="F86" s="4">
        <v>-2.6340738295440502E-15</v>
      </c>
      <c r="G86" s="4">
        <v>-1.6210402467183999E-15</v>
      </c>
      <c r="H86" s="4">
        <v>-1.12084447585792E-15</v>
      </c>
      <c r="I86" s="4">
        <v>-8.5460866390952795E-17</v>
      </c>
      <c r="J86" s="3"/>
      <c r="K86" s="3"/>
      <c r="L86" s="3"/>
      <c r="M86" s="2">
        <f>C86</f>
        <v>-0.240605181127134</v>
      </c>
      <c r="N86" s="2">
        <f>D86/10</f>
        <v>2.4013687231767E-17</v>
      </c>
      <c r="O86" s="2">
        <f>E86</f>
        <v>-3.1344848746887201E-15</v>
      </c>
      <c r="P86" s="2">
        <f>F86</f>
        <v>-2.6340738295440502E-15</v>
      </c>
      <c r="Q86" s="2">
        <f>G86</f>
        <v>-1.6210402467183999E-15</v>
      </c>
      <c r="R86" s="2">
        <f>H86</f>
        <v>-1.12084447585792E-15</v>
      </c>
      <c r="S86" s="2">
        <f>I86</f>
        <v>-8.5460866390952795E-17</v>
      </c>
    </row>
    <row r="87" spans="1:19" ht="15" x14ac:dyDescent="0.25">
      <c r="A87" s="3">
        <v>34242</v>
      </c>
      <c r="B87" s="3"/>
      <c r="C87">
        <v>-0.15270622755515101</v>
      </c>
      <c r="D87" s="4">
        <v>2.2630812796600998E-16</v>
      </c>
      <c r="E87" s="4">
        <v>-3.45157051492103E-15</v>
      </c>
      <c r="F87" s="4">
        <v>-2.7710721048243202E-15</v>
      </c>
      <c r="G87" s="4">
        <v>-1.6642020898847499E-15</v>
      </c>
      <c r="H87" s="4">
        <v>-1.32859527596828E-15</v>
      </c>
      <c r="I87" s="4">
        <v>-2.3365085708936999E-17</v>
      </c>
      <c r="J87" s="3"/>
      <c r="K87" s="3"/>
      <c r="L87" s="3"/>
      <c r="M87" s="2">
        <f>C87</f>
        <v>-0.15270622755515101</v>
      </c>
      <c r="N87" s="2">
        <f>D87/10</f>
        <v>2.2630812796600997E-17</v>
      </c>
      <c r="O87" s="2">
        <f>E87</f>
        <v>-3.45157051492103E-15</v>
      </c>
      <c r="P87" s="2">
        <f>F87</f>
        <v>-2.7710721048243202E-15</v>
      </c>
      <c r="Q87" s="2">
        <f>G87</f>
        <v>-1.6642020898847499E-15</v>
      </c>
      <c r="R87" s="2">
        <f>H87</f>
        <v>-1.32859527596828E-15</v>
      </c>
      <c r="S87" s="2">
        <f>I87</f>
        <v>-2.3365085708936999E-17</v>
      </c>
    </row>
    <row r="88" spans="1:19" ht="15" x14ac:dyDescent="0.25">
      <c r="A88" s="3">
        <v>34334</v>
      </c>
      <c r="B88" s="3"/>
      <c r="C88">
        <v>-0.12547862410083199</v>
      </c>
      <c r="D88" s="4">
        <v>-5.4057515797429198E-18</v>
      </c>
      <c r="E88" s="4">
        <v>-3.6687419205428004E-15</v>
      </c>
      <c r="F88" s="4">
        <v>-2.8039490498643001E-15</v>
      </c>
      <c r="G88" s="4">
        <v>-1.8399825552310301E-15</v>
      </c>
      <c r="H88" s="4">
        <v>-1.26019395387944E-15</v>
      </c>
      <c r="I88" s="4">
        <v>1.04872836345254E-16</v>
      </c>
      <c r="J88" s="3"/>
      <c r="K88" s="3"/>
      <c r="L88" s="3"/>
      <c r="M88" s="2">
        <f>C88</f>
        <v>-0.12547862410083199</v>
      </c>
      <c r="N88" s="2">
        <f>D88/10</f>
        <v>-5.4057515797429199E-19</v>
      </c>
      <c r="O88" s="2">
        <f>E88</f>
        <v>-3.6687419205428004E-15</v>
      </c>
      <c r="P88" s="2">
        <f>F88</f>
        <v>-2.8039490498643001E-15</v>
      </c>
      <c r="Q88" s="2">
        <f>G88</f>
        <v>-1.8399825552310301E-15</v>
      </c>
      <c r="R88" s="2">
        <f>H88</f>
        <v>-1.26019395387944E-15</v>
      </c>
      <c r="S88" s="2">
        <f>I88</f>
        <v>1.04872836345254E-16</v>
      </c>
    </row>
    <row r="89" spans="1:19" ht="15" x14ac:dyDescent="0.25">
      <c r="A89" s="3">
        <v>34424</v>
      </c>
      <c r="B89" s="3"/>
      <c r="C89">
        <v>-2.38919282102956E-2</v>
      </c>
      <c r="D89" s="4">
        <v>-5.6293244660136497E-16</v>
      </c>
      <c r="E89" s="4">
        <v>-4.0552419716716803E-15</v>
      </c>
      <c r="F89" s="4">
        <v>-3.2438521015887699E-15</v>
      </c>
      <c r="G89" s="4">
        <v>-1.9770054276931701E-15</v>
      </c>
      <c r="H89" s="4">
        <v>-1.3224598364811501E-15</v>
      </c>
      <c r="I89" s="4">
        <v>-9.96357942038299E-17</v>
      </c>
      <c r="J89" s="3"/>
      <c r="K89" s="3"/>
      <c r="L89" s="3"/>
      <c r="M89" s="2">
        <f>C89</f>
        <v>-2.38919282102956E-2</v>
      </c>
      <c r="N89" s="2">
        <f>D89/10</f>
        <v>-5.6293244660136492E-17</v>
      </c>
      <c r="O89" s="2">
        <f>E89</f>
        <v>-4.0552419716716803E-15</v>
      </c>
      <c r="P89" s="2">
        <f>F89</f>
        <v>-3.2438521015887699E-15</v>
      </c>
      <c r="Q89" s="2">
        <f>G89</f>
        <v>-1.9770054276931701E-15</v>
      </c>
      <c r="R89" s="2">
        <f>H89</f>
        <v>-1.3224598364811501E-15</v>
      </c>
      <c r="S89" s="2">
        <f>I89</f>
        <v>-9.96357942038299E-17</v>
      </c>
    </row>
    <row r="90" spans="1:19" ht="15" x14ac:dyDescent="0.25">
      <c r="A90" s="3">
        <v>34515</v>
      </c>
      <c r="B90" s="3"/>
      <c r="C90">
        <v>-6.9292126846865504E-2</v>
      </c>
      <c r="D90" s="4">
        <v>-1.1919031248272901E-15</v>
      </c>
      <c r="E90" s="4">
        <v>-4.5821850765795501E-15</v>
      </c>
      <c r="F90" s="4">
        <v>-3.4662191336368601E-15</v>
      </c>
      <c r="G90" s="4">
        <v>-2.0697394931049002E-15</v>
      </c>
      <c r="H90" s="4">
        <v>-1.4771062124475399E-15</v>
      </c>
      <c r="I90" s="4">
        <v>-4.3044057680714797E-17</v>
      </c>
      <c r="J90" s="3"/>
      <c r="K90" s="3"/>
      <c r="L90" s="3"/>
      <c r="M90" s="2">
        <f>C90</f>
        <v>-6.9292126846865504E-2</v>
      </c>
      <c r="N90" s="2">
        <f>D90/10</f>
        <v>-1.1919031248272901E-16</v>
      </c>
      <c r="O90" s="2">
        <f>E90</f>
        <v>-4.5821850765795501E-15</v>
      </c>
      <c r="P90" s="2">
        <f>F90</f>
        <v>-3.4662191336368601E-15</v>
      </c>
      <c r="Q90" s="2">
        <f>G90</f>
        <v>-2.0697394931049002E-15</v>
      </c>
      <c r="R90" s="2">
        <f>H90</f>
        <v>-1.4771062124475399E-15</v>
      </c>
      <c r="S90" s="2">
        <f>I90</f>
        <v>-4.3044057680714797E-17</v>
      </c>
    </row>
    <row r="91" spans="1:19" ht="15" x14ac:dyDescent="0.25">
      <c r="A91" s="3">
        <v>34607</v>
      </c>
      <c r="B91" s="3"/>
      <c r="C91">
        <v>-2.157764533934E-2</v>
      </c>
      <c r="D91" s="4">
        <v>-1.74914675153659E-15</v>
      </c>
      <c r="E91" s="4">
        <v>-4.6561263613005098E-15</v>
      </c>
      <c r="F91" s="4">
        <v>-3.4572998155377902E-15</v>
      </c>
      <c r="G91" s="4">
        <v>-2.14296994776202E-15</v>
      </c>
      <c r="H91" s="4">
        <v>-1.2878376899406401E-15</v>
      </c>
      <c r="I91" s="4">
        <v>5.3290761948997801E-17</v>
      </c>
      <c r="J91" s="3"/>
      <c r="K91" s="3"/>
      <c r="L91" s="3"/>
      <c r="M91" s="2">
        <f>C91</f>
        <v>-2.157764533934E-2</v>
      </c>
      <c r="N91" s="2">
        <f>D91/10</f>
        <v>-1.74914675153659E-16</v>
      </c>
      <c r="O91" s="2">
        <f>E91</f>
        <v>-4.6561263613005098E-15</v>
      </c>
      <c r="P91" s="2">
        <f>F91</f>
        <v>-3.4572998155377902E-15</v>
      </c>
      <c r="Q91" s="2">
        <f>G91</f>
        <v>-2.14296994776202E-15</v>
      </c>
      <c r="R91" s="2">
        <f>H91</f>
        <v>-1.2878376899406401E-15</v>
      </c>
      <c r="S91" s="2">
        <f>I91</f>
        <v>5.3290761948997801E-17</v>
      </c>
    </row>
    <row r="92" spans="1:19" ht="15" x14ac:dyDescent="0.25">
      <c r="A92" s="3">
        <v>34699</v>
      </c>
      <c r="B92" s="3"/>
      <c r="C92">
        <v>9.0925347180813701E-2</v>
      </c>
      <c r="D92" s="4">
        <v>-1.96116554401294E-15</v>
      </c>
      <c r="E92" s="4">
        <v>-4.6530239601595598E-15</v>
      </c>
      <c r="F92" s="4">
        <v>-3.5515395236341798E-15</v>
      </c>
      <c r="G92" s="4">
        <v>-1.98140806629375E-15</v>
      </c>
      <c r="H92" s="4">
        <v>-1.1975738804412E-15</v>
      </c>
      <c r="I92" s="4">
        <v>-3.8656071744495499E-17</v>
      </c>
      <c r="J92" s="3"/>
      <c r="K92" s="3"/>
      <c r="L92" s="3"/>
      <c r="M92" s="2">
        <f>C92</f>
        <v>9.0925347180813701E-2</v>
      </c>
      <c r="N92" s="2">
        <f>D92/10</f>
        <v>-1.9611655440129401E-16</v>
      </c>
      <c r="O92" s="2">
        <f>E92</f>
        <v>-4.6530239601595598E-15</v>
      </c>
      <c r="P92" s="2">
        <f>F92</f>
        <v>-3.5515395236341798E-15</v>
      </c>
      <c r="Q92" s="2">
        <f>G92</f>
        <v>-1.98140806629375E-15</v>
      </c>
      <c r="R92" s="2">
        <f>H92</f>
        <v>-1.1975738804412E-15</v>
      </c>
      <c r="S92" s="2">
        <f>I92</f>
        <v>-3.8656071744495499E-17</v>
      </c>
    </row>
    <row r="93" spans="1:19" ht="15" x14ac:dyDescent="0.25">
      <c r="A93" s="3">
        <v>34789</v>
      </c>
      <c r="B93" s="3"/>
      <c r="C93">
        <v>0.150327652374178</v>
      </c>
      <c r="D93" s="4">
        <v>-1.6292313088758099E-15</v>
      </c>
      <c r="E93" s="4">
        <v>-4.4161860383948499E-15</v>
      </c>
      <c r="F93" s="4">
        <v>-3.0994595737381398E-15</v>
      </c>
      <c r="G93" s="4">
        <v>-1.68537450058451E-15</v>
      </c>
      <c r="H93" s="4">
        <v>-1.06844842820792E-15</v>
      </c>
      <c r="I93" s="4">
        <v>2.2479860907397998E-16</v>
      </c>
      <c r="J93" s="3"/>
      <c r="K93" s="3"/>
      <c r="L93" s="3"/>
      <c r="M93" s="2">
        <f>C93</f>
        <v>0.150327652374178</v>
      </c>
      <c r="N93" s="2">
        <f>D93/10</f>
        <v>-1.62923130887581E-16</v>
      </c>
      <c r="O93" s="2">
        <f>E93</f>
        <v>-4.4161860383948499E-15</v>
      </c>
      <c r="P93" s="2">
        <f>F93</f>
        <v>-3.0994595737381398E-15</v>
      </c>
      <c r="Q93" s="2">
        <f>G93</f>
        <v>-1.68537450058451E-15</v>
      </c>
      <c r="R93" s="2">
        <f>H93</f>
        <v>-1.06844842820792E-15</v>
      </c>
      <c r="S93" s="2">
        <f>I93</f>
        <v>2.2479860907397998E-16</v>
      </c>
    </row>
    <row r="94" spans="1:19" ht="15" x14ac:dyDescent="0.25">
      <c r="A94" s="3">
        <v>34880</v>
      </c>
      <c r="B94" s="3"/>
      <c r="C94">
        <v>0.134152712812458</v>
      </c>
      <c r="D94" s="4">
        <v>-1.51197292768402E-15</v>
      </c>
      <c r="E94" s="4">
        <v>-4.1900691741837199E-15</v>
      </c>
      <c r="F94" s="4">
        <v>-2.9832182985582E-15</v>
      </c>
      <c r="G94" s="4">
        <v>-1.75157478746283E-15</v>
      </c>
      <c r="H94" s="4">
        <v>-1.03318139934837E-15</v>
      </c>
      <c r="I94" s="4">
        <v>-5.3077060977949999E-17</v>
      </c>
      <c r="J94" s="3"/>
      <c r="K94" s="3"/>
      <c r="L94" s="3"/>
      <c r="M94" s="2">
        <f>C94</f>
        <v>0.134152712812458</v>
      </c>
      <c r="N94" s="2">
        <f>D94/10</f>
        <v>-1.51197292768402E-16</v>
      </c>
      <c r="O94" s="2">
        <f>E94</f>
        <v>-4.1900691741837199E-15</v>
      </c>
      <c r="P94" s="2">
        <f>F94</f>
        <v>-2.9832182985582E-15</v>
      </c>
      <c r="Q94" s="2">
        <f>G94</f>
        <v>-1.75157478746283E-15</v>
      </c>
      <c r="R94" s="2">
        <f>H94</f>
        <v>-1.03318139934837E-15</v>
      </c>
      <c r="S94" s="2">
        <f>I94</f>
        <v>-5.3077060977949999E-17</v>
      </c>
    </row>
    <row r="95" spans="1:19" ht="15" x14ac:dyDescent="0.25">
      <c r="A95" s="3">
        <v>34972</v>
      </c>
      <c r="B95" s="3"/>
      <c r="C95">
        <v>-1.8975450856864699E-3</v>
      </c>
      <c r="D95" s="4">
        <v>-8.5645655592983E-16</v>
      </c>
      <c r="E95" s="4">
        <v>-3.7936300359541699E-15</v>
      </c>
      <c r="F95" s="4">
        <v>-2.73837137517915E-15</v>
      </c>
      <c r="G95" s="4">
        <v>-1.47759534638287E-15</v>
      </c>
      <c r="H95" s="4">
        <v>-1.1694804913087099E-15</v>
      </c>
      <c r="I95" s="4">
        <v>1.2540353781677201E-16</v>
      </c>
      <c r="J95" s="3"/>
      <c r="K95" s="3"/>
      <c r="L95" s="3"/>
      <c r="M95" s="2">
        <f>C95</f>
        <v>-1.8975450856864699E-3</v>
      </c>
      <c r="N95" s="2">
        <f>D95/10</f>
        <v>-8.5645655592982998E-17</v>
      </c>
      <c r="O95" s="2">
        <f>E95</f>
        <v>-3.7936300359541699E-15</v>
      </c>
      <c r="P95" s="2">
        <f>F95</f>
        <v>-2.73837137517915E-15</v>
      </c>
      <c r="Q95" s="2">
        <f>G95</f>
        <v>-1.47759534638287E-15</v>
      </c>
      <c r="R95" s="2">
        <f>H95</f>
        <v>-1.1694804913087099E-15</v>
      </c>
      <c r="S95" s="2">
        <f>I95</f>
        <v>1.2540353781677201E-16</v>
      </c>
    </row>
    <row r="96" spans="1:19" ht="15" x14ac:dyDescent="0.25">
      <c r="A96" s="3">
        <v>35064</v>
      </c>
      <c r="B96" s="3"/>
      <c r="C96">
        <v>4.5721725728235997E-2</v>
      </c>
      <c r="D96" s="4">
        <v>-8.3708814539622195E-16</v>
      </c>
      <c r="E96" s="4">
        <v>-4.0497136052527197E-15</v>
      </c>
      <c r="F96" s="4">
        <v>-2.8359316903380099E-15</v>
      </c>
      <c r="G96" s="4">
        <v>-1.9207006889096101E-15</v>
      </c>
      <c r="H96" s="4">
        <v>-1.2557526387465001E-15</v>
      </c>
      <c r="I96" s="4">
        <v>-9.2253452845465797E-17</v>
      </c>
      <c r="J96" s="3"/>
      <c r="K96" s="3"/>
      <c r="L96" s="3"/>
      <c r="M96" s="2">
        <f>C96</f>
        <v>4.5721725728235997E-2</v>
      </c>
      <c r="N96" s="2">
        <f>D96/10</f>
        <v>-8.3708814539622193E-17</v>
      </c>
      <c r="O96" s="2">
        <f>E96</f>
        <v>-4.0497136052527197E-15</v>
      </c>
      <c r="P96" s="2">
        <f>F96</f>
        <v>-2.8359316903380099E-15</v>
      </c>
      <c r="Q96" s="2">
        <f>G96</f>
        <v>-1.9207006889096101E-15</v>
      </c>
      <c r="R96" s="2">
        <f>H96</f>
        <v>-1.2557526387465001E-15</v>
      </c>
      <c r="S96" s="2">
        <f>I96</f>
        <v>-9.2253452845465797E-17</v>
      </c>
    </row>
    <row r="97" spans="1:19" ht="15" x14ac:dyDescent="0.25">
      <c r="A97" s="3">
        <v>35155</v>
      </c>
      <c r="B97" s="3"/>
      <c r="C97">
        <v>-0.19749898426309101</v>
      </c>
      <c r="D97" s="4">
        <v>-6.9792910110954997E-16</v>
      </c>
      <c r="E97" s="4">
        <v>-3.8268992177052203E-15</v>
      </c>
      <c r="F97" s="4">
        <v>-2.9696507356645699E-15</v>
      </c>
      <c r="G97" s="4">
        <v>-1.7841362233575101E-15</v>
      </c>
      <c r="H97" s="4">
        <v>-1.2956769194857699E-15</v>
      </c>
      <c r="I97" s="4">
        <v>1.2117853169441499E-16</v>
      </c>
      <c r="J97" s="3"/>
      <c r="K97" s="3"/>
      <c r="L97" s="3"/>
      <c r="M97" s="2">
        <f>C97</f>
        <v>-0.19749898426309101</v>
      </c>
      <c r="N97" s="2">
        <f>D97/10</f>
        <v>-6.9792910110955002E-17</v>
      </c>
      <c r="O97" s="2">
        <f>E97</f>
        <v>-3.8268992177052203E-15</v>
      </c>
      <c r="P97" s="2">
        <f>F97</f>
        <v>-2.9696507356645699E-15</v>
      </c>
      <c r="Q97" s="2">
        <f>G97</f>
        <v>-1.7841362233575101E-15</v>
      </c>
      <c r="R97" s="2">
        <f>H97</f>
        <v>-1.2956769194857699E-15</v>
      </c>
      <c r="S97" s="2">
        <f>I97</f>
        <v>1.2117853169441499E-16</v>
      </c>
    </row>
    <row r="98" spans="1:19" ht="15" x14ac:dyDescent="0.25">
      <c r="A98" s="3">
        <v>35246</v>
      </c>
      <c r="B98" s="3"/>
      <c r="C98">
        <v>-2.05560784019303E-2</v>
      </c>
      <c r="D98" s="4">
        <v>-8.7624123671506396E-16</v>
      </c>
      <c r="E98" s="4">
        <v>-4.3705016149867101E-15</v>
      </c>
      <c r="F98" s="4">
        <v>-3.1245364919184698E-15</v>
      </c>
      <c r="G98" s="4">
        <v>-2.0264819508621699E-15</v>
      </c>
      <c r="H98" s="4">
        <v>-1.2755023677322301E-15</v>
      </c>
      <c r="I98" s="4">
        <v>-8.4350155848862801E-17</v>
      </c>
      <c r="J98" s="3"/>
      <c r="K98" s="3"/>
      <c r="L98" s="3"/>
      <c r="M98" s="2">
        <f>C98</f>
        <v>-2.05560784019303E-2</v>
      </c>
      <c r="N98" s="2">
        <f>D98/10</f>
        <v>-8.7624123671506396E-17</v>
      </c>
      <c r="O98" s="2">
        <f>E98</f>
        <v>-4.3705016149867101E-15</v>
      </c>
      <c r="P98" s="2">
        <f>F98</f>
        <v>-3.1245364919184698E-15</v>
      </c>
      <c r="Q98" s="2">
        <f>G98</f>
        <v>-2.0264819508621699E-15</v>
      </c>
      <c r="R98" s="2">
        <f>H98</f>
        <v>-1.2755023677322301E-15</v>
      </c>
      <c r="S98" s="2">
        <f>I98</f>
        <v>-8.4350155848862801E-17</v>
      </c>
    </row>
    <row r="99" spans="1:19" ht="15" x14ac:dyDescent="0.25">
      <c r="A99" s="3">
        <v>35338</v>
      </c>
      <c r="B99" s="3"/>
      <c r="C99">
        <v>-3.4837600441340599E-2</v>
      </c>
      <c r="D99" s="4">
        <v>-1.2199578426761801E-15</v>
      </c>
      <c r="E99" s="4">
        <v>-4.2986160568949996E-15</v>
      </c>
      <c r="F99" s="4">
        <v>-3.1983768749033999E-15</v>
      </c>
      <c r="G99" s="4">
        <v>-1.89247691479724E-15</v>
      </c>
      <c r="H99" s="4">
        <v>-1.3300204016673601E-15</v>
      </c>
      <c r="I99" s="4">
        <v>1.04143405740302E-16</v>
      </c>
      <c r="J99" s="3"/>
      <c r="K99" s="3"/>
      <c r="L99" s="3"/>
      <c r="M99" s="2">
        <f>C99</f>
        <v>-3.4837600441340599E-2</v>
      </c>
      <c r="N99" s="2">
        <f>D99/10</f>
        <v>-1.2199578426761802E-16</v>
      </c>
      <c r="O99" s="2">
        <f>E99</f>
        <v>-4.2986160568949996E-15</v>
      </c>
      <c r="P99" s="2">
        <f>F99</f>
        <v>-3.1983768749033999E-15</v>
      </c>
      <c r="Q99" s="2">
        <f>G99</f>
        <v>-1.89247691479724E-15</v>
      </c>
      <c r="R99" s="2">
        <f>H99</f>
        <v>-1.3300204016673601E-15</v>
      </c>
      <c r="S99" s="2">
        <f>I99</f>
        <v>1.04143405740302E-16</v>
      </c>
    </row>
    <row r="100" spans="1:19" ht="15" x14ac:dyDescent="0.25">
      <c r="A100" s="3">
        <v>35430</v>
      </c>
      <c r="B100" s="3"/>
      <c r="C100">
        <v>-1.6269839662756899E-2</v>
      </c>
      <c r="D100" s="4">
        <v>-1.0984922712874699E-15</v>
      </c>
      <c r="E100" s="4">
        <v>-4.3164025725524399E-15</v>
      </c>
      <c r="F100" s="4">
        <v>-3.0038216961597999E-15</v>
      </c>
      <c r="G100" s="4">
        <v>-1.9090709187588298E-15</v>
      </c>
      <c r="H100" s="4">
        <v>-1.1121775612347201E-15</v>
      </c>
      <c r="I100" s="4">
        <v>1.2187669769574001E-16</v>
      </c>
      <c r="J100" s="3"/>
      <c r="K100" s="3"/>
      <c r="L100" s="3"/>
      <c r="M100" s="2">
        <f>C100</f>
        <v>-1.6269839662756899E-2</v>
      </c>
      <c r="N100" s="2">
        <f>D100/10</f>
        <v>-1.0984922712874699E-16</v>
      </c>
      <c r="O100" s="2">
        <f>E100</f>
        <v>-4.3164025725524399E-15</v>
      </c>
      <c r="P100" s="2">
        <f>F100</f>
        <v>-3.0038216961597999E-15</v>
      </c>
      <c r="Q100" s="2">
        <f>G100</f>
        <v>-1.9090709187588298E-15</v>
      </c>
      <c r="R100" s="2">
        <f>H100</f>
        <v>-1.1121775612347201E-15</v>
      </c>
      <c r="S100" s="2">
        <f>I100</f>
        <v>1.2187669769574001E-16</v>
      </c>
    </row>
    <row r="101" spans="1:19" ht="15" x14ac:dyDescent="0.25">
      <c r="A101" s="3">
        <v>35520</v>
      </c>
      <c r="B101" s="3"/>
      <c r="C101">
        <v>5.9666042268754597E-2</v>
      </c>
      <c r="D101" s="4">
        <v>-1.2283603794666699E-15</v>
      </c>
      <c r="E101" s="4">
        <v>-4.2451330721294896E-15</v>
      </c>
      <c r="F101" s="4">
        <v>-3.1162493534481901E-15</v>
      </c>
      <c r="G101" s="4">
        <v>-1.74763712058647E-15</v>
      </c>
      <c r="H101" s="4">
        <v>-1.1471596338019399E-15</v>
      </c>
      <c r="I101" s="4">
        <v>8.6253568700527397E-17</v>
      </c>
      <c r="J101" s="3"/>
      <c r="K101" s="3"/>
      <c r="L101" s="3"/>
      <c r="M101" s="2">
        <f>C101</f>
        <v>5.9666042268754597E-2</v>
      </c>
      <c r="N101" s="2">
        <f>D101/10</f>
        <v>-1.2283603794666699E-16</v>
      </c>
      <c r="O101" s="2">
        <f>E101</f>
        <v>-4.2451330721294896E-15</v>
      </c>
      <c r="P101" s="2">
        <f>F101</f>
        <v>-3.1162493534481901E-15</v>
      </c>
      <c r="Q101" s="2">
        <f>G101</f>
        <v>-1.74763712058647E-15</v>
      </c>
      <c r="R101" s="2">
        <f>H101</f>
        <v>-1.1471596338019399E-15</v>
      </c>
      <c r="S101" s="2">
        <f>I101</f>
        <v>8.6253568700527397E-17</v>
      </c>
    </row>
    <row r="102" spans="1:19" ht="15" x14ac:dyDescent="0.25">
      <c r="A102" s="3">
        <v>35611</v>
      </c>
      <c r="B102" s="3"/>
      <c r="C102">
        <v>5.1192625387651403E-2</v>
      </c>
      <c r="D102" s="4">
        <v>-1.18207459294427E-15</v>
      </c>
      <c r="E102" s="4">
        <v>-4.4192403586545799E-15</v>
      </c>
      <c r="F102" s="4">
        <v>-3.0396050710547798E-15</v>
      </c>
      <c r="G102" s="4">
        <v>-1.8849190727810799E-15</v>
      </c>
      <c r="H102" s="4">
        <v>-1.36224000233512E-15</v>
      </c>
      <c r="I102" s="4">
        <v>-2.2068316078201499E-16</v>
      </c>
      <c r="J102" s="3"/>
      <c r="K102" s="3"/>
      <c r="L102" s="3"/>
      <c r="M102" s="2">
        <f>C102</f>
        <v>5.1192625387651403E-2</v>
      </c>
      <c r="N102" s="2">
        <f>D102/10</f>
        <v>-1.18207459294427E-16</v>
      </c>
      <c r="O102" s="2">
        <f>E102</f>
        <v>-4.4192403586545799E-15</v>
      </c>
      <c r="P102" s="2">
        <f>F102</f>
        <v>-3.0396050710547798E-15</v>
      </c>
      <c r="Q102" s="2">
        <f>G102</f>
        <v>-1.8849190727810799E-15</v>
      </c>
      <c r="R102" s="2">
        <f>H102</f>
        <v>-1.36224000233512E-15</v>
      </c>
      <c r="S102" s="2">
        <f>I102</f>
        <v>-2.2068316078201499E-16</v>
      </c>
    </row>
    <row r="103" spans="1:19" ht="15" x14ac:dyDescent="0.25">
      <c r="A103" s="3">
        <v>35703</v>
      </c>
      <c r="B103" s="3"/>
      <c r="C103" s="4">
        <v>6.1577440457205497E-6</v>
      </c>
      <c r="D103" s="4">
        <v>-3.1697964343081602E-16</v>
      </c>
      <c r="E103" s="4">
        <v>-3.5502748288139199E-15</v>
      </c>
      <c r="F103" s="4">
        <v>-2.46970844986575E-15</v>
      </c>
      <c r="G103" s="4">
        <v>-1.5686668185322299E-15</v>
      </c>
      <c r="H103" s="4">
        <v>-1.2811765587114301E-15</v>
      </c>
      <c r="I103" s="4">
        <v>2.5163368596658899E-16</v>
      </c>
      <c r="J103" s="3"/>
      <c r="K103" s="3"/>
      <c r="L103" s="3"/>
      <c r="M103" s="2">
        <f>C103</f>
        <v>6.1577440457205497E-6</v>
      </c>
      <c r="N103" s="2">
        <f>D103/10</f>
        <v>-3.1697964343081602E-17</v>
      </c>
      <c r="O103" s="2">
        <f>E103</f>
        <v>-3.5502748288139199E-15</v>
      </c>
      <c r="P103" s="2">
        <f>F103</f>
        <v>-2.46970844986575E-15</v>
      </c>
      <c r="Q103" s="2">
        <f>G103</f>
        <v>-1.5686668185322299E-15</v>
      </c>
      <c r="R103" s="2">
        <f>H103</f>
        <v>-1.2811765587114301E-15</v>
      </c>
      <c r="S103" s="2">
        <f>I103</f>
        <v>2.5163368596658899E-16</v>
      </c>
    </row>
    <row r="104" spans="1:19" ht="15" x14ac:dyDescent="0.25">
      <c r="A104" s="3">
        <v>35795</v>
      </c>
      <c r="B104" s="3"/>
      <c r="C104">
        <v>8.2124289100876796E-3</v>
      </c>
      <c r="D104" s="4">
        <v>6.0929044234115399E-16</v>
      </c>
      <c r="E104" s="4">
        <v>-3.3169313805437198E-15</v>
      </c>
      <c r="F104" s="4">
        <v>-2.37528529146097E-15</v>
      </c>
      <c r="G104" s="4">
        <v>-1.7183685086028299E-15</v>
      </c>
      <c r="H104" s="4">
        <v>-1.14815633847549E-15</v>
      </c>
      <c r="I104" s="4">
        <v>-4.2880008979876297E-17</v>
      </c>
      <c r="J104" s="3"/>
      <c r="K104" s="3"/>
      <c r="L104" s="3"/>
      <c r="M104" s="2">
        <f>C104</f>
        <v>8.2124289100876796E-3</v>
      </c>
      <c r="N104" s="2">
        <f>D104/10</f>
        <v>6.0929044234115394E-17</v>
      </c>
      <c r="O104" s="2">
        <f>E104</f>
        <v>-3.3169313805437198E-15</v>
      </c>
      <c r="P104" s="2">
        <f>F104</f>
        <v>-2.37528529146097E-15</v>
      </c>
      <c r="Q104" s="2">
        <f>G104</f>
        <v>-1.7183685086028299E-15</v>
      </c>
      <c r="R104" s="2">
        <f>H104</f>
        <v>-1.14815633847549E-15</v>
      </c>
      <c r="S104" s="2">
        <f>I104</f>
        <v>-4.2880008979876297E-17</v>
      </c>
    </row>
    <row r="105" spans="1:19" ht="15" x14ac:dyDescent="0.25">
      <c r="A105" s="3">
        <v>35885</v>
      </c>
      <c r="B105" s="3"/>
      <c r="C105">
        <v>4.5255303704287098E-2</v>
      </c>
      <c r="D105" s="4">
        <v>1.0975142375449599E-15</v>
      </c>
      <c r="E105" s="4">
        <v>-3.2130366668090802E-15</v>
      </c>
      <c r="F105" s="4">
        <v>-2.4309490297984298E-15</v>
      </c>
      <c r="G105" s="4">
        <v>-1.5036191324218299E-15</v>
      </c>
      <c r="H105" s="4">
        <v>-1.44842243736404E-15</v>
      </c>
      <c r="I105" s="4">
        <v>2.4498404712337801E-17</v>
      </c>
      <c r="J105" s="3"/>
      <c r="K105" s="3"/>
      <c r="L105" s="3"/>
      <c r="M105" s="2">
        <f>C105</f>
        <v>4.5255303704287098E-2</v>
      </c>
      <c r="N105" s="2">
        <f>D105/10</f>
        <v>1.0975142375449599E-16</v>
      </c>
      <c r="O105" s="2">
        <f>E105</f>
        <v>-3.2130366668090802E-15</v>
      </c>
      <c r="P105" s="2">
        <f>F105</f>
        <v>-2.4309490297984298E-15</v>
      </c>
      <c r="Q105" s="2">
        <f>G105</f>
        <v>-1.5036191324218299E-15</v>
      </c>
      <c r="R105" s="2">
        <f>H105</f>
        <v>-1.44842243736404E-15</v>
      </c>
      <c r="S105" s="2">
        <f>I105</f>
        <v>2.4498404712337801E-17</v>
      </c>
    </row>
    <row r="106" spans="1:19" ht="15" x14ac:dyDescent="0.25">
      <c r="A106" s="3">
        <v>35976</v>
      </c>
      <c r="B106" s="3"/>
      <c r="C106">
        <v>-5.6968007927215902E-2</v>
      </c>
      <c r="D106" s="4">
        <v>1.60274720961457E-15</v>
      </c>
      <c r="E106" s="4">
        <v>-3.1820017720620802E-15</v>
      </c>
      <c r="F106" s="4">
        <v>-2.1261310509254E-15</v>
      </c>
      <c r="G106" s="4">
        <v>-1.8012534542263799E-15</v>
      </c>
      <c r="H106" s="4">
        <v>-1.44876674021943E-15</v>
      </c>
      <c r="I106" s="4">
        <v>2.9517798421894401E-17</v>
      </c>
      <c r="J106" s="3"/>
      <c r="K106" s="3"/>
      <c r="L106" s="3"/>
      <c r="M106" s="2">
        <f>C106</f>
        <v>-5.6968007927215902E-2</v>
      </c>
      <c r="N106" s="2">
        <f>D106/10</f>
        <v>1.6027472096145699E-16</v>
      </c>
      <c r="O106" s="2">
        <f>E106</f>
        <v>-3.1820017720620802E-15</v>
      </c>
      <c r="P106" s="2">
        <f>F106</f>
        <v>-2.1261310509254E-15</v>
      </c>
      <c r="Q106" s="2">
        <f>G106</f>
        <v>-1.8012534542263799E-15</v>
      </c>
      <c r="R106" s="2">
        <f>H106</f>
        <v>-1.44876674021943E-15</v>
      </c>
      <c r="S106" s="2">
        <f>I106</f>
        <v>2.9517798421894401E-17</v>
      </c>
    </row>
    <row r="107" spans="1:19" ht="15" x14ac:dyDescent="0.25">
      <c r="A107" s="3">
        <v>36068</v>
      </c>
      <c r="B107" s="3"/>
      <c r="C107">
        <v>-0.14256775548845199</v>
      </c>
      <c r="D107" s="4">
        <v>-2.7821181480979598E-16</v>
      </c>
      <c r="E107" s="4">
        <v>-4.4825201220022797E-15</v>
      </c>
      <c r="F107" s="4">
        <v>-3.7555975940848797E-15</v>
      </c>
      <c r="G107" s="4">
        <v>-2.7260703718088498E-15</v>
      </c>
      <c r="H107" s="4">
        <v>-1.95235397846427E-15</v>
      </c>
      <c r="I107" s="4">
        <v>-2.97865142770655E-16</v>
      </c>
      <c r="J107" s="3"/>
      <c r="K107" s="3"/>
      <c r="L107" s="3"/>
      <c r="M107" s="2">
        <f>C107</f>
        <v>-0.14256775548845199</v>
      </c>
      <c r="N107" s="2">
        <f>D107/10</f>
        <v>-2.7821181480979599E-17</v>
      </c>
      <c r="O107" s="2">
        <f>E107</f>
        <v>-4.4825201220022797E-15</v>
      </c>
      <c r="P107" s="2">
        <f>F107</f>
        <v>-3.7555975940848797E-15</v>
      </c>
      <c r="Q107" s="2">
        <f>G107</f>
        <v>-2.7260703718088498E-15</v>
      </c>
      <c r="R107" s="2">
        <f>H107</f>
        <v>-1.95235397846427E-15</v>
      </c>
      <c r="S107" s="2">
        <f>I107</f>
        <v>-2.97865142770655E-16</v>
      </c>
    </row>
    <row r="108" spans="1:19" ht="15" x14ac:dyDescent="0.25">
      <c r="A108" s="3">
        <v>36160</v>
      </c>
      <c r="B108" s="3"/>
      <c r="C108">
        <v>-9.8669622967429593E-2</v>
      </c>
      <c r="D108" s="4">
        <v>-1.8783783166331601E-15</v>
      </c>
      <c r="E108" s="4">
        <v>-5.5937187686102203E-15</v>
      </c>
      <c r="F108" s="4">
        <v>-4.3272061040709099E-15</v>
      </c>
      <c r="G108" s="4">
        <v>-2.9014190958569099E-15</v>
      </c>
      <c r="H108" s="4">
        <v>-1.7817774115394901E-15</v>
      </c>
      <c r="I108" s="4">
        <v>1.78926232376798E-17</v>
      </c>
      <c r="J108" s="3"/>
      <c r="K108" s="3"/>
      <c r="L108" s="3"/>
      <c r="M108" s="2">
        <f>C108</f>
        <v>-9.8669622967429593E-2</v>
      </c>
      <c r="N108" s="2">
        <f>D108/10</f>
        <v>-1.8783783166331601E-16</v>
      </c>
      <c r="O108" s="2">
        <f>E108</f>
        <v>-5.5937187686102203E-15</v>
      </c>
      <c r="P108" s="2">
        <f>F108</f>
        <v>-4.3272061040709099E-15</v>
      </c>
      <c r="Q108" s="2">
        <f>G108</f>
        <v>-2.9014190958569099E-15</v>
      </c>
      <c r="R108" s="2">
        <f>H108</f>
        <v>-1.7817774115394901E-15</v>
      </c>
      <c r="S108" s="2">
        <f>I108</f>
        <v>1.78926232376798E-17</v>
      </c>
    </row>
    <row r="109" spans="1:19" ht="15" x14ac:dyDescent="0.25">
      <c r="A109" s="3">
        <v>36250</v>
      </c>
      <c r="B109" s="3"/>
      <c r="C109">
        <v>-0.15440296035613499</v>
      </c>
      <c r="D109" s="4">
        <v>-1.5717503697219199E-15</v>
      </c>
      <c r="E109" s="4">
        <v>-4.7472864000037902E-15</v>
      </c>
      <c r="F109" s="4">
        <v>-3.3985448618794202E-15</v>
      </c>
      <c r="G109" s="4">
        <v>-2.04653896395347E-15</v>
      </c>
      <c r="H109" s="4">
        <v>-1.0959161824705301E-15</v>
      </c>
      <c r="I109" s="4">
        <v>8.2087506958707706E-17</v>
      </c>
      <c r="J109" s="3"/>
      <c r="K109" s="3"/>
      <c r="L109" s="3"/>
      <c r="M109" s="2">
        <f>C109</f>
        <v>-0.15440296035613499</v>
      </c>
      <c r="N109" s="2">
        <f>D109/10</f>
        <v>-1.5717503697219198E-16</v>
      </c>
      <c r="O109" s="2">
        <f>E109</f>
        <v>-4.7472864000037902E-15</v>
      </c>
      <c r="P109" s="2">
        <f>F109</f>
        <v>-3.3985448618794202E-15</v>
      </c>
      <c r="Q109" s="2">
        <f>G109</f>
        <v>-2.04653896395347E-15</v>
      </c>
      <c r="R109" s="2">
        <f>H109</f>
        <v>-1.0959161824705301E-15</v>
      </c>
      <c r="S109" s="2">
        <f>I109</f>
        <v>8.2087506958707706E-17</v>
      </c>
    </row>
    <row r="110" spans="1:19" ht="15" x14ac:dyDescent="0.25">
      <c r="A110" s="3">
        <v>36341</v>
      </c>
      <c r="B110" s="3"/>
      <c r="C110">
        <v>-0.303903190931815</v>
      </c>
      <c r="D110" s="4">
        <v>-5.4118192808476799E-16</v>
      </c>
      <c r="E110" s="4">
        <v>-4.1490630779880401E-15</v>
      </c>
      <c r="F110" s="4">
        <v>-2.8099674303507901E-15</v>
      </c>
      <c r="G110" s="4">
        <v>-1.60435286794262E-15</v>
      </c>
      <c r="H110" s="4">
        <v>-1.38449425797614E-15</v>
      </c>
      <c r="I110" s="4">
        <v>-1.41192410500535E-16</v>
      </c>
      <c r="J110" s="3"/>
      <c r="K110" s="3"/>
      <c r="L110" s="3"/>
      <c r="M110" s="2">
        <f>C110</f>
        <v>-0.303903190931815</v>
      </c>
      <c r="N110" s="2">
        <f>D110/10</f>
        <v>-5.4118192808476801E-17</v>
      </c>
      <c r="O110" s="2">
        <f>E110</f>
        <v>-4.1490630779880401E-15</v>
      </c>
      <c r="P110" s="2">
        <f>F110</f>
        <v>-2.8099674303507901E-15</v>
      </c>
      <c r="Q110" s="2">
        <f>G110</f>
        <v>-1.60435286794262E-15</v>
      </c>
      <c r="R110" s="2">
        <f>H110</f>
        <v>-1.38449425797614E-15</v>
      </c>
      <c r="S110" s="2">
        <f>I110</f>
        <v>-1.41192410500535E-16</v>
      </c>
    </row>
    <row r="111" spans="1:19" ht="15" x14ac:dyDescent="0.25">
      <c r="A111" s="3">
        <v>36433</v>
      </c>
      <c r="B111" s="3"/>
      <c r="C111">
        <v>-9.4549835514944003E-2</v>
      </c>
      <c r="D111" s="4">
        <v>3.6607266897972198E-16</v>
      </c>
      <c r="E111" s="4">
        <v>-3.4485049524981101E-15</v>
      </c>
      <c r="F111" s="4">
        <v>-2.1465918706241299E-15</v>
      </c>
      <c r="G111" s="4">
        <v>-1.6385863784872E-15</v>
      </c>
      <c r="H111" s="4">
        <v>-1.4453479923210101E-15</v>
      </c>
      <c r="I111" s="4">
        <v>1.45498870641312E-16</v>
      </c>
      <c r="J111" s="3"/>
      <c r="K111" s="3"/>
      <c r="L111" s="3"/>
      <c r="M111" s="2">
        <f>C111</f>
        <v>-9.4549835514944003E-2</v>
      </c>
      <c r="N111" s="2">
        <f>D111/10</f>
        <v>3.66072668979722E-17</v>
      </c>
      <c r="O111" s="2">
        <f>E111</f>
        <v>-3.4485049524981101E-15</v>
      </c>
      <c r="P111" s="2">
        <f>F111</f>
        <v>-2.1465918706241299E-15</v>
      </c>
      <c r="Q111" s="2">
        <f>G111</f>
        <v>-1.6385863784872E-15</v>
      </c>
      <c r="R111" s="2">
        <f>H111</f>
        <v>-1.4453479923210101E-15</v>
      </c>
      <c r="S111" s="2">
        <f>I111</f>
        <v>1.45498870641312E-16</v>
      </c>
    </row>
    <row r="112" spans="1:19" ht="15" x14ac:dyDescent="0.25">
      <c r="A112" s="3">
        <v>36525</v>
      </c>
      <c r="B112" s="3"/>
      <c r="C112">
        <v>1.5169720786504101E-3</v>
      </c>
      <c r="D112" s="4">
        <v>1.2481288051228701E-15</v>
      </c>
      <c r="E112" s="4">
        <v>-2.8995312165876699E-15</v>
      </c>
      <c r="F112" s="4">
        <v>-2.2827081521033599E-15</v>
      </c>
      <c r="G112" s="4">
        <v>-1.8257848775231702E-15</v>
      </c>
      <c r="H112" s="4">
        <v>-1.3705766237109E-15</v>
      </c>
      <c r="I112" s="4">
        <v>-6.6188224696359599E-18</v>
      </c>
      <c r="J112" s="3"/>
      <c r="K112" s="3"/>
      <c r="L112" s="3"/>
      <c r="M112" s="2">
        <f>C112</f>
        <v>1.5169720786504101E-3</v>
      </c>
      <c r="N112" s="2">
        <f>D112/10</f>
        <v>1.2481288051228701E-16</v>
      </c>
      <c r="O112" s="2">
        <f>E112</f>
        <v>-2.8995312165876699E-15</v>
      </c>
      <c r="P112" s="2">
        <f>F112</f>
        <v>-2.2827081521033599E-15</v>
      </c>
      <c r="Q112" s="2">
        <f>G112</f>
        <v>-1.8257848775231702E-15</v>
      </c>
      <c r="R112" s="2">
        <f>H112</f>
        <v>-1.3705766237109E-15</v>
      </c>
      <c r="S112" s="2">
        <f>I112</f>
        <v>-6.6188224696359599E-18</v>
      </c>
    </row>
    <row r="113" spans="1:19" ht="15" x14ac:dyDescent="0.25">
      <c r="A113" s="3">
        <v>36616</v>
      </c>
      <c r="B113" s="3"/>
      <c r="C113">
        <v>-7.3743808513960701E-2</v>
      </c>
      <c r="D113" s="4">
        <v>1.8304381333246801E-15</v>
      </c>
      <c r="E113" s="4">
        <v>-3.1681942393151598E-15</v>
      </c>
      <c r="F113" s="4">
        <v>-2.56012554885874E-15</v>
      </c>
      <c r="G113" s="4">
        <v>-1.8474916987962102E-15</v>
      </c>
      <c r="H113" s="4">
        <v>-1.67631723526932E-15</v>
      </c>
      <c r="I113" s="4">
        <v>-1.4374110481631299E-16</v>
      </c>
      <c r="J113" s="3"/>
      <c r="K113" s="3"/>
      <c r="L113" s="3"/>
      <c r="M113" s="2">
        <f>C113</f>
        <v>-7.3743808513960701E-2</v>
      </c>
      <c r="N113" s="2">
        <f>D113/10</f>
        <v>1.8304381333246802E-16</v>
      </c>
      <c r="O113" s="2">
        <f>E113</f>
        <v>-3.1681942393151598E-15</v>
      </c>
      <c r="P113" s="2">
        <f>F113</f>
        <v>-2.56012554885874E-15</v>
      </c>
      <c r="Q113" s="2">
        <f>G113</f>
        <v>-1.8474916987962102E-15</v>
      </c>
      <c r="R113" s="2">
        <f>H113</f>
        <v>-1.67631723526932E-15</v>
      </c>
      <c r="S113" s="2">
        <f>I113</f>
        <v>-1.4374110481631299E-16</v>
      </c>
    </row>
    <row r="114" spans="1:19" ht="15" x14ac:dyDescent="0.25">
      <c r="A114" s="3">
        <v>36707</v>
      </c>
      <c r="B114" s="3"/>
      <c r="C114">
        <v>8.6106835206953003E-2</v>
      </c>
      <c r="D114" s="4">
        <v>6.8585778626666199E-16</v>
      </c>
      <c r="E114" s="4">
        <v>-4.1100782513750802E-15</v>
      </c>
      <c r="F114" s="4">
        <v>-3.0989213021367398E-15</v>
      </c>
      <c r="G114" s="4">
        <v>-2.4416591453891101E-15</v>
      </c>
      <c r="H114" s="4">
        <v>-1.8492375998317798E-15</v>
      </c>
      <c r="I114" s="4">
        <v>2.0384118859347701E-17</v>
      </c>
      <c r="J114" s="3"/>
      <c r="K114" s="3"/>
      <c r="L114" s="3"/>
      <c r="M114" s="2">
        <f>C114</f>
        <v>8.6106835206953003E-2</v>
      </c>
      <c r="N114" s="2">
        <f>D114/10</f>
        <v>6.8585778626666199E-17</v>
      </c>
      <c r="O114" s="2">
        <f>E114</f>
        <v>-4.1100782513750802E-15</v>
      </c>
      <c r="P114" s="2">
        <f>F114</f>
        <v>-3.0989213021367398E-15</v>
      </c>
      <c r="Q114" s="2">
        <f>G114</f>
        <v>-2.4416591453891101E-15</v>
      </c>
      <c r="R114" s="2">
        <f>H114</f>
        <v>-1.8492375998317798E-15</v>
      </c>
      <c r="S114" s="2">
        <f>I114</f>
        <v>2.0384118859347701E-17</v>
      </c>
    </row>
    <row r="115" spans="1:19" ht="15" x14ac:dyDescent="0.25">
      <c r="A115" s="3">
        <v>36799</v>
      </c>
      <c r="B115" s="3"/>
      <c r="C115">
        <v>4.6745781453468402E-2</v>
      </c>
      <c r="D115" s="4">
        <v>-1.00549087005865E-15</v>
      </c>
      <c r="E115" s="4">
        <v>-4.8719147398861499E-15</v>
      </c>
      <c r="F115" s="4">
        <v>-3.98459949309328E-15</v>
      </c>
      <c r="G115" s="4">
        <v>-2.85575297149928E-15</v>
      </c>
      <c r="H115" s="4">
        <v>-1.74979875172974E-15</v>
      </c>
      <c r="I115" s="4">
        <v>-1.9960298464819999E-16</v>
      </c>
      <c r="J115" s="3"/>
      <c r="K115" s="3"/>
      <c r="L115" s="3"/>
      <c r="M115" s="2">
        <f>C115</f>
        <v>4.6745781453468402E-2</v>
      </c>
      <c r="N115" s="2">
        <f>D115/10</f>
        <v>-1.0054908700586499E-16</v>
      </c>
      <c r="O115" s="2">
        <f>E115</f>
        <v>-4.8719147398861499E-15</v>
      </c>
      <c r="P115" s="2">
        <f>F115</f>
        <v>-3.98459949309328E-15</v>
      </c>
      <c r="Q115" s="2">
        <f>G115</f>
        <v>-2.85575297149928E-15</v>
      </c>
      <c r="R115" s="2">
        <f>H115</f>
        <v>-1.74979875172974E-15</v>
      </c>
      <c r="S115" s="2">
        <f>I115</f>
        <v>-1.9960298464819999E-16</v>
      </c>
    </row>
    <row r="116" spans="1:19" ht="15" x14ac:dyDescent="0.25">
      <c r="A116" s="3">
        <v>36891</v>
      </c>
      <c r="B116" s="3"/>
      <c r="C116">
        <v>-5.5790370612410298E-3</v>
      </c>
      <c r="D116" s="4">
        <v>-3.9758229890069103E-15</v>
      </c>
      <c r="E116" s="4">
        <v>-6.9397002170573203E-15</v>
      </c>
      <c r="F116" s="4">
        <v>-5.5151341175039804E-15</v>
      </c>
      <c r="G116" s="4">
        <v>-3.4772843482556199E-15</v>
      </c>
      <c r="H116" s="4">
        <v>-2.1032776459211601E-15</v>
      </c>
      <c r="I116" s="4">
        <v>-3.33288238299754E-16</v>
      </c>
      <c r="J116" s="3"/>
      <c r="K116" s="3"/>
      <c r="L116" s="3"/>
      <c r="M116" s="2">
        <f>C116</f>
        <v>-5.5790370612410298E-3</v>
      </c>
      <c r="N116" s="2">
        <f>D116/10</f>
        <v>-3.9758229890069104E-16</v>
      </c>
      <c r="O116" s="2">
        <f>E116</f>
        <v>-6.9397002170573203E-15</v>
      </c>
      <c r="P116" s="2">
        <f>F116</f>
        <v>-5.5151341175039804E-15</v>
      </c>
      <c r="Q116" s="2">
        <f>G116</f>
        <v>-3.4772843482556199E-15</v>
      </c>
      <c r="R116" s="2">
        <f>H116</f>
        <v>-2.1032776459211601E-15</v>
      </c>
      <c r="S116" s="2">
        <f>I116</f>
        <v>-3.33288238299754E-16</v>
      </c>
    </row>
    <row r="117" spans="1:19" ht="15" x14ac:dyDescent="0.25">
      <c r="A117" s="3">
        <v>36981</v>
      </c>
      <c r="B117" s="3"/>
      <c r="C117">
        <v>-0.130934921165202</v>
      </c>
      <c r="D117" s="4">
        <v>-4.6891821797626197E-15</v>
      </c>
      <c r="E117" s="4">
        <v>-6.4289876687322997E-15</v>
      </c>
      <c r="F117" s="4">
        <v>-4.6367148069540498E-15</v>
      </c>
      <c r="G117" s="4">
        <v>-2.8126791889387201E-15</v>
      </c>
      <c r="H117" s="4">
        <v>-1.42334182253176E-15</v>
      </c>
      <c r="I117" s="4">
        <v>-4.0393411397227703E-17</v>
      </c>
      <c r="J117" s="3"/>
      <c r="K117" s="3"/>
      <c r="L117" s="3"/>
      <c r="M117" s="2">
        <f>C117</f>
        <v>-0.130934921165202</v>
      </c>
      <c r="N117" s="2">
        <f>D117/10</f>
        <v>-4.6891821797626201E-16</v>
      </c>
      <c r="O117" s="2">
        <f>E117</f>
        <v>-6.4289876687322997E-15</v>
      </c>
      <c r="P117" s="2">
        <f>F117</f>
        <v>-4.6367148069540498E-15</v>
      </c>
      <c r="Q117" s="2">
        <f>G117</f>
        <v>-2.8126791889387201E-15</v>
      </c>
      <c r="R117" s="2">
        <f>H117</f>
        <v>-1.42334182253176E-15</v>
      </c>
      <c r="S117" s="2">
        <f>I117</f>
        <v>-4.0393411397227703E-17</v>
      </c>
    </row>
    <row r="118" spans="1:19" ht="15" x14ac:dyDescent="0.25">
      <c r="A118" s="3">
        <v>37072</v>
      </c>
      <c r="B118" s="3"/>
      <c r="C118">
        <v>-7.5275419515730496E-2</v>
      </c>
      <c r="D118" s="4">
        <v>-4.8554972661699697E-15</v>
      </c>
      <c r="E118" s="4">
        <v>-6.0951714664903702E-15</v>
      </c>
      <c r="F118" s="4">
        <v>-4.4108347878761701E-15</v>
      </c>
      <c r="G118" s="4">
        <v>-2.3649086406214901E-15</v>
      </c>
      <c r="H118" s="4">
        <v>-1.21113639653521E-15</v>
      </c>
      <c r="I118" s="4">
        <v>1.3568752963517999E-17</v>
      </c>
      <c r="J118" s="3"/>
      <c r="K118" s="3"/>
      <c r="L118" s="3"/>
      <c r="M118" s="2">
        <f>C118</f>
        <v>-7.5275419515730496E-2</v>
      </c>
      <c r="N118" s="2">
        <f>D118/10</f>
        <v>-4.8554972661699695E-16</v>
      </c>
      <c r="O118" s="2">
        <f>E118</f>
        <v>-6.0951714664903702E-15</v>
      </c>
      <c r="P118" s="2">
        <f>F118</f>
        <v>-4.4108347878761701E-15</v>
      </c>
      <c r="Q118" s="2">
        <f>G118</f>
        <v>-2.3649086406214901E-15</v>
      </c>
      <c r="R118" s="2">
        <f>H118</f>
        <v>-1.21113639653521E-15</v>
      </c>
      <c r="S118" s="2">
        <f>I118</f>
        <v>1.3568752963517999E-17</v>
      </c>
    </row>
    <row r="119" spans="1:19" ht="15" x14ac:dyDescent="0.25">
      <c r="A119" s="3">
        <v>37164</v>
      </c>
      <c r="B119" s="3"/>
      <c r="C119">
        <v>-9.8315817149818102E-2</v>
      </c>
      <c r="D119" s="4">
        <v>-5.82943813704264E-15</v>
      </c>
      <c r="E119" s="4">
        <v>-6.6236218828279596E-15</v>
      </c>
      <c r="F119" s="4">
        <v>-4.6600808226783702E-15</v>
      </c>
      <c r="G119" s="4">
        <v>-2.6122626404272899E-15</v>
      </c>
      <c r="H119" s="4">
        <v>-1.3070252805755801E-15</v>
      </c>
      <c r="I119" s="4">
        <v>-1.47618664178988E-16</v>
      </c>
      <c r="J119" s="3"/>
      <c r="K119" s="3"/>
      <c r="L119" s="3"/>
      <c r="M119" s="2">
        <f>C119</f>
        <v>-9.8315817149818102E-2</v>
      </c>
      <c r="N119" s="2">
        <f>D119/10</f>
        <v>-5.8294381370426398E-16</v>
      </c>
      <c r="O119" s="2">
        <f>E119</f>
        <v>-6.6236218828279596E-15</v>
      </c>
      <c r="P119" s="2">
        <f>F119</f>
        <v>-4.6600808226783702E-15</v>
      </c>
      <c r="Q119" s="2">
        <f>G119</f>
        <v>-2.6122626404272899E-15</v>
      </c>
      <c r="R119" s="2">
        <f>H119</f>
        <v>-1.3070252805755801E-15</v>
      </c>
      <c r="S119" s="2">
        <f>I119</f>
        <v>-1.47618664178988E-16</v>
      </c>
    </row>
    <row r="120" spans="1:19" ht="15" x14ac:dyDescent="0.25">
      <c r="A120" s="3">
        <v>37256</v>
      </c>
      <c r="B120" s="3"/>
      <c r="C120">
        <v>-0.23482484265367301</v>
      </c>
      <c r="D120" s="4">
        <v>-7.3231937200204393E-15</v>
      </c>
      <c r="E120" s="4">
        <v>-7.0127348448921601E-15</v>
      </c>
      <c r="F120" s="4">
        <v>-5.1751406385319596E-15</v>
      </c>
      <c r="G120" s="4">
        <v>-2.8594942138145999E-15</v>
      </c>
      <c r="H120" s="4">
        <v>-1.3535865031458101E-15</v>
      </c>
      <c r="I120" s="4">
        <v>-2.2704188166008998E-16</v>
      </c>
      <c r="J120" s="3"/>
      <c r="K120" s="3"/>
      <c r="L120" s="3"/>
      <c r="M120" s="2">
        <f>C120</f>
        <v>-0.23482484265367301</v>
      </c>
      <c r="N120" s="2">
        <f>D120/10</f>
        <v>-7.3231937200204393E-16</v>
      </c>
      <c r="O120" s="2">
        <f>E120</f>
        <v>-7.0127348448921601E-15</v>
      </c>
      <c r="P120" s="2">
        <f>F120</f>
        <v>-5.1751406385319596E-15</v>
      </c>
      <c r="Q120" s="2">
        <f>G120</f>
        <v>-2.8594942138145999E-15</v>
      </c>
      <c r="R120" s="2">
        <f>H120</f>
        <v>-1.3535865031458101E-15</v>
      </c>
      <c r="S120" s="2">
        <f>I120</f>
        <v>-2.2704188166008998E-16</v>
      </c>
    </row>
    <row r="121" spans="1:19" ht="15" x14ac:dyDescent="0.25">
      <c r="A121" s="3">
        <v>37346</v>
      </c>
      <c r="B121" s="3"/>
      <c r="C121">
        <v>-5.9396694279357301E-2</v>
      </c>
      <c r="D121" s="4">
        <v>-5.0182661522947602E-15</v>
      </c>
      <c r="E121" s="4">
        <v>-4.9722502761491E-15</v>
      </c>
      <c r="F121" s="4">
        <v>-3.35496368805537E-15</v>
      </c>
      <c r="G121" s="4">
        <v>-1.47910356893501E-15</v>
      </c>
      <c r="H121" s="4">
        <v>-5.8345785970954399E-16</v>
      </c>
      <c r="I121" s="4">
        <v>2.20489483784151E-16</v>
      </c>
      <c r="J121" s="3"/>
      <c r="K121" s="3"/>
      <c r="L121" s="3"/>
      <c r="M121" s="2">
        <f>C121</f>
        <v>-5.9396694279357301E-2</v>
      </c>
      <c r="N121" s="2">
        <f>D121/10</f>
        <v>-5.0182661522947602E-16</v>
      </c>
      <c r="O121" s="2">
        <f>E121</f>
        <v>-4.9722502761491E-15</v>
      </c>
      <c r="P121" s="2">
        <f>F121</f>
        <v>-3.35496368805537E-15</v>
      </c>
      <c r="Q121" s="2">
        <f>G121</f>
        <v>-1.47910356893501E-15</v>
      </c>
      <c r="R121" s="2">
        <f>H121</f>
        <v>-5.8345785970954399E-16</v>
      </c>
      <c r="S121" s="2">
        <f>I121</f>
        <v>2.20489483784151E-16</v>
      </c>
    </row>
    <row r="122" spans="1:19" ht="15" x14ac:dyDescent="0.25">
      <c r="A122" s="3">
        <v>37437</v>
      </c>
      <c r="B122" s="3"/>
      <c r="C122">
        <v>-1.6721812750450399E-2</v>
      </c>
      <c r="D122" s="4">
        <v>-3.0123448368533098E-15</v>
      </c>
      <c r="E122" s="4">
        <v>-4.0352815724531697E-15</v>
      </c>
      <c r="F122" s="4">
        <v>-2.5550999770526E-15</v>
      </c>
      <c r="G122" s="4">
        <v>-1.1204509039337199E-15</v>
      </c>
      <c r="H122" s="4">
        <v>-6.5607413556298298E-16</v>
      </c>
      <c r="I122" s="4">
        <v>9.3969641317934992E-18</v>
      </c>
      <c r="J122" s="3"/>
      <c r="K122" s="3"/>
      <c r="L122" s="3"/>
      <c r="M122" s="2">
        <f>C122</f>
        <v>-1.6721812750450399E-2</v>
      </c>
      <c r="N122" s="2">
        <f>D122/10</f>
        <v>-3.01234483685331E-16</v>
      </c>
      <c r="O122" s="2">
        <f>E122</f>
        <v>-4.0352815724531697E-15</v>
      </c>
      <c r="P122" s="2">
        <f>F122</f>
        <v>-2.5550999770526E-15</v>
      </c>
      <c r="Q122" s="2">
        <f>G122</f>
        <v>-1.1204509039337199E-15</v>
      </c>
      <c r="R122" s="2">
        <f>H122</f>
        <v>-6.5607413556298298E-16</v>
      </c>
      <c r="S122" s="2">
        <f>I122</f>
        <v>9.3969641317934992E-18</v>
      </c>
    </row>
    <row r="123" spans="1:19" ht="15" x14ac:dyDescent="0.25">
      <c r="A123" s="3">
        <v>37529</v>
      </c>
      <c r="B123" s="3"/>
      <c r="C123">
        <v>-1.54299004669642E-2</v>
      </c>
      <c r="D123" s="4">
        <v>-3.1818461329678499E-15</v>
      </c>
      <c r="E123" s="4">
        <v>-4.3736056233871696E-15</v>
      </c>
      <c r="F123" s="4">
        <v>-3.0868720470271698E-15</v>
      </c>
      <c r="G123" s="4">
        <v>-1.7413926009059401E-15</v>
      </c>
      <c r="H123" s="4">
        <v>-1.1762069698577999E-15</v>
      </c>
      <c r="I123" s="4">
        <v>-5.4693165846509601E-17</v>
      </c>
      <c r="J123" s="3"/>
      <c r="K123" s="3"/>
      <c r="L123" s="3"/>
      <c r="M123" s="2">
        <f>C123</f>
        <v>-1.54299004669642E-2</v>
      </c>
      <c r="N123" s="2">
        <f>D123/10</f>
        <v>-3.18184613296785E-16</v>
      </c>
      <c r="O123" s="2">
        <f>E123</f>
        <v>-4.3736056233871696E-15</v>
      </c>
      <c r="P123" s="2">
        <f>F123</f>
        <v>-3.0868720470271698E-15</v>
      </c>
      <c r="Q123" s="2">
        <f>G123</f>
        <v>-1.7413926009059401E-15</v>
      </c>
      <c r="R123" s="2">
        <f>H123</f>
        <v>-1.1762069698577999E-15</v>
      </c>
      <c r="S123" s="2">
        <f>I123</f>
        <v>-5.4693165846509601E-17</v>
      </c>
    </row>
    <row r="124" spans="1:19" ht="15" x14ac:dyDescent="0.25">
      <c r="A124" s="3">
        <v>37621</v>
      </c>
      <c r="B124" s="3"/>
      <c r="C124">
        <v>-7.8731015869338006E-2</v>
      </c>
      <c r="D124" s="4">
        <v>-2.6843193181494699E-15</v>
      </c>
      <c r="E124" s="4">
        <v>-4.0296820244415497E-15</v>
      </c>
      <c r="F124" s="4">
        <v>-3.0396612212410202E-15</v>
      </c>
      <c r="G124" s="4">
        <v>-1.8351142570062298E-15</v>
      </c>
      <c r="H124" s="4">
        <v>-9.9640226250060206E-16</v>
      </c>
      <c r="I124" s="4">
        <v>-1.72049606956807E-17</v>
      </c>
      <c r="J124" s="3"/>
      <c r="K124" s="3"/>
      <c r="L124" s="3"/>
      <c r="M124" s="2">
        <f>C124</f>
        <v>-7.8731015869338006E-2</v>
      </c>
      <c r="N124" s="2">
        <f>D124/10</f>
        <v>-2.6843193181494698E-16</v>
      </c>
      <c r="O124" s="2">
        <f>E124</f>
        <v>-4.0296820244415497E-15</v>
      </c>
      <c r="P124" s="2">
        <f>F124</f>
        <v>-3.0396612212410202E-15</v>
      </c>
      <c r="Q124" s="2">
        <f>G124</f>
        <v>-1.8351142570062298E-15</v>
      </c>
      <c r="R124" s="2">
        <f>H124</f>
        <v>-9.9640226250060206E-16</v>
      </c>
      <c r="S124" s="2">
        <f>I124</f>
        <v>-1.72049606956807E-17</v>
      </c>
    </row>
    <row r="125" spans="1:19" ht="15" x14ac:dyDescent="0.25">
      <c r="A125" s="3">
        <v>37711</v>
      </c>
      <c r="B125" s="3"/>
      <c r="C125">
        <v>-0.14406728467598701</v>
      </c>
      <c r="D125" s="4">
        <v>5.9700147571796604E-16</v>
      </c>
      <c r="E125" s="4">
        <v>-2.1042473422464001E-15</v>
      </c>
      <c r="F125" s="4">
        <v>-1.4483517201578E-15</v>
      </c>
      <c r="G125" s="4">
        <v>-5.4837741011992404E-16</v>
      </c>
      <c r="H125" s="4">
        <v>-5.8190281430809201E-16</v>
      </c>
      <c r="I125" s="4">
        <v>2.7203087591619202E-16</v>
      </c>
      <c r="J125" s="3"/>
      <c r="K125" s="3"/>
      <c r="L125" s="3"/>
      <c r="M125" s="2">
        <f>C125</f>
        <v>-0.14406728467598701</v>
      </c>
      <c r="N125" s="2">
        <f>D125/10</f>
        <v>5.9700147571796609E-17</v>
      </c>
      <c r="O125" s="2">
        <f>E125</f>
        <v>-2.1042473422464001E-15</v>
      </c>
      <c r="P125" s="2">
        <f>F125</f>
        <v>-1.4483517201578E-15</v>
      </c>
      <c r="Q125" s="2">
        <f>G125</f>
        <v>-5.4837741011992404E-16</v>
      </c>
      <c r="R125" s="2">
        <f>H125</f>
        <v>-5.8190281430809201E-16</v>
      </c>
      <c r="S125" s="2">
        <f>I125</f>
        <v>2.7203087591619202E-16</v>
      </c>
    </row>
    <row r="126" spans="1:19" ht="15" x14ac:dyDescent="0.25">
      <c r="A126" s="3">
        <v>37802</v>
      </c>
      <c r="B126" s="3"/>
      <c r="C126">
        <v>-6.2427150383697901E-2</v>
      </c>
      <c r="D126" s="4">
        <v>3.2752605593823801E-15</v>
      </c>
      <c r="E126" s="4">
        <v>-1.2266320344540199E-15</v>
      </c>
      <c r="F126" s="4">
        <v>-4.26025778058509E-16</v>
      </c>
      <c r="G126" s="4">
        <v>-3.4475277008319502E-16</v>
      </c>
      <c r="H126" s="4">
        <v>-8.4178890745218903E-16</v>
      </c>
      <c r="I126" s="4">
        <v>1.7618603653319E-16</v>
      </c>
      <c r="J126" s="3"/>
      <c r="K126" s="3"/>
      <c r="L126" s="3"/>
      <c r="M126" s="2">
        <f>C126</f>
        <v>-6.2427150383697901E-2</v>
      </c>
      <c r="N126" s="2">
        <f>D126/10</f>
        <v>3.2752605593823802E-16</v>
      </c>
      <c r="O126" s="2">
        <f>E126</f>
        <v>-1.2266320344540199E-15</v>
      </c>
      <c r="P126" s="2">
        <f>F126</f>
        <v>-4.26025778058509E-16</v>
      </c>
      <c r="Q126" s="2">
        <f>G126</f>
        <v>-3.4475277008319502E-16</v>
      </c>
      <c r="R126" s="2">
        <f>H126</f>
        <v>-8.4178890745218903E-16</v>
      </c>
      <c r="S126" s="2">
        <f>I126</f>
        <v>1.7618603653319E-16</v>
      </c>
    </row>
    <row r="127" spans="1:19" ht="15" x14ac:dyDescent="0.25">
      <c r="A127" s="3">
        <v>37894</v>
      </c>
      <c r="B127" s="3"/>
      <c r="C127">
        <v>-0.13674537132265399</v>
      </c>
      <c r="D127" s="4">
        <v>4.1616755760495497E-15</v>
      </c>
      <c r="E127" s="4">
        <v>-1.07244187557808E-15</v>
      </c>
      <c r="F127" s="4">
        <v>-7.7673247543765101E-16</v>
      </c>
      <c r="G127" s="4">
        <v>-1.0468819817794101E-15</v>
      </c>
      <c r="H127" s="4">
        <v>-1.4857202155667301E-15</v>
      </c>
      <c r="I127" s="4">
        <v>-7.9598158927624199E-17</v>
      </c>
      <c r="J127" s="3"/>
      <c r="K127" s="3"/>
      <c r="L127" s="3"/>
      <c r="M127" s="2">
        <f>C127</f>
        <v>-0.13674537132265399</v>
      </c>
      <c r="N127" s="2">
        <f>D127/10</f>
        <v>4.1616755760495495E-16</v>
      </c>
      <c r="O127" s="2">
        <f>E127</f>
        <v>-1.07244187557808E-15</v>
      </c>
      <c r="P127" s="2">
        <f>F127</f>
        <v>-7.7673247543765101E-16</v>
      </c>
      <c r="Q127" s="2">
        <f>G127</f>
        <v>-1.0468819817794101E-15</v>
      </c>
      <c r="R127" s="2">
        <f>H127</f>
        <v>-1.4857202155667301E-15</v>
      </c>
      <c r="S127" s="2">
        <f>I127</f>
        <v>-7.9598158927624199E-17</v>
      </c>
    </row>
    <row r="128" spans="1:19" ht="15" x14ac:dyDescent="0.25">
      <c r="A128" s="3">
        <v>37986</v>
      </c>
      <c r="B128" s="3"/>
      <c r="C128">
        <v>-7.5706616787551306E-2</v>
      </c>
      <c r="D128" s="4">
        <v>4.7741072624403099E-15</v>
      </c>
      <c r="E128" s="4">
        <v>-1.41265046740838E-15</v>
      </c>
      <c r="F128" s="4">
        <v>-1.3492660744575801E-15</v>
      </c>
      <c r="G128" s="4">
        <v>-1.58982612281429E-15</v>
      </c>
      <c r="H128" s="4">
        <v>-1.7534420399818E-15</v>
      </c>
      <c r="I128" s="4">
        <v>7.2702522584558597E-17</v>
      </c>
      <c r="J128" s="3"/>
      <c r="K128" s="3"/>
      <c r="L128" s="3"/>
      <c r="M128" s="2">
        <f>C128</f>
        <v>-7.5706616787551306E-2</v>
      </c>
      <c r="N128" s="2">
        <f>D128/10</f>
        <v>4.7741072624403095E-16</v>
      </c>
      <c r="O128" s="2">
        <f>E128</f>
        <v>-1.41265046740838E-15</v>
      </c>
      <c r="P128" s="2">
        <f>F128</f>
        <v>-1.3492660744575801E-15</v>
      </c>
      <c r="Q128" s="2">
        <f>G128</f>
        <v>-1.58982612281429E-15</v>
      </c>
      <c r="R128" s="2">
        <f>H128</f>
        <v>-1.7534420399818E-15</v>
      </c>
      <c r="S128" s="2">
        <f>I128</f>
        <v>7.2702522584558597E-17</v>
      </c>
    </row>
    <row r="129" spans="1:37" ht="15" x14ac:dyDescent="0.25">
      <c r="A129" s="3">
        <v>38077</v>
      </c>
      <c r="B129" s="3"/>
      <c r="C129">
        <v>-6.5153455211203901E-2</v>
      </c>
      <c r="D129" s="4">
        <v>4.1135103201726099E-15</v>
      </c>
      <c r="E129" s="4">
        <v>-2.51057565020528E-15</v>
      </c>
      <c r="F129" s="4">
        <v>-2.23454519015952E-15</v>
      </c>
      <c r="G129" s="4">
        <v>-2.1179968607276499E-15</v>
      </c>
      <c r="H129" s="4">
        <v>-1.81394117406087E-15</v>
      </c>
      <c r="I129" s="4">
        <v>-6.4179801403471802E-18</v>
      </c>
      <c r="J129" s="3"/>
      <c r="K129" s="3"/>
      <c r="L129" s="3"/>
      <c r="M129" s="2">
        <f>C129</f>
        <v>-6.5153455211203901E-2</v>
      </c>
      <c r="N129" s="2">
        <f>D129/10</f>
        <v>4.1135103201726099E-16</v>
      </c>
      <c r="O129" s="2">
        <f>E129</f>
        <v>-2.51057565020528E-15</v>
      </c>
      <c r="P129" s="2">
        <f>F129</f>
        <v>-2.23454519015952E-15</v>
      </c>
      <c r="Q129" s="2">
        <f>G129</f>
        <v>-2.1179968607276499E-15</v>
      </c>
      <c r="R129" s="2">
        <f>H129</f>
        <v>-1.81394117406087E-15</v>
      </c>
      <c r="S129" s="2">
        <f>I129</f>
        <v>-6.4179801403471802E-18</v>
      </c>
    </row>
    <row r="130" spans="1:37" ht="15" x14ac:dyDescent="0.25">
      <c r="A130" s="3">
        <v>38168</v>
      </c>
      <c r="B130" s="3"/>
      <c r="C130">
        <v>-7.1529093619430897E-2</v>
      </c>
      <c r="D130" s="4">
        <v>2.95490355510635E-15</v>
      </c>
      <c r="E130" s="4">
        <v>-3.4633015139127101E-15</v>
      </c>
      <c r="F130" s="4">
        <v>-2.7978259204990798E-15</v>
      </c>
      <c r="G130" s="4">
        <v>-2.2560283728943401E-15</v>
      </c>
      <c r="H130" s="4">
        <v>-1.9501777814082399E-15</v>
      </c>
      <c r="I130" s="4">
        <v>-8.0123133822975598E-17</v>
      </c>
      <c r="J130" s="3"/>
      <c r="K130" s="3"/>
      <c r="L130" s="3"/>
      <c r="M130" s="2">
        <f>C130</f>
        <v>-7.1529093619430897E-2</v>
      </c>
      <c r="N130" s="2">
        <f>D130/10</f>
        <v>2.9549035551063502E-16</v>
      </c>
      <c r="O130" s="2">
        <f>E130</f>
        <v>-3.4633015139127101E-15</v>
      </c>
      <c r="P130" s="2">
        <f>F130</f>
        <v>-2.7978259204990798E-15</v>
      </c>
      <c r="Q130" s="2">
        <f>G130</f>
        <v>-2.2560283728943401E-15</v>
      </c>
      <c r="R130" s="2">
        <f>H130</f>
        <v>-1.9501777814082399E-15</v>
      </c>
      <c r="S130" s="2">
        <f>I130</f>
        <v>-8.0123133822975598E-17</v>
      </c>
    </row>
    <row r="131" spans="1:37" ht="15" x14ac:dyDescent="0.25">
      <c r="A131" s="3">
        <v>38260</v>
      </c>
      <c r="B131" s="3"/>
      <c r="C131">
        <v>-3.07844879806351E-2</v>
      </c>
      <c r="D131" s="4">
        <v>2.0482524148077602E-15</v>
      </c>
      <c r="E131" s="4">
        <v>-3.9494337713048596E-15</v>
      </c>
      <c r="F131" s="4">
        <v>-2.8273229631489298E-15</v>
      </c>
      <c r="G131" s="4">
        <v>-2.3364946741956598E-15</v>
      </c>
      <c r="H131" s="4">
        <v>-1.94563466452163E-15</v>
      </c>
      <c r="I131" s="4">
        <v>2.3403419718053402E-18</v>
      </c>
      <c r="J131" s="3"/>
      <c r="K131" s="3"/>
      <c r="L131" s="3"/>
      <c r="M131" s="2">
        <f>C131</f>
        <v>-3.07844879806351E-2</v>
      </c>
      <c r="N131" s="2">
        <f>D131/10</f>
        <v>2.0482524148077602E-16</v>
      </c>
      <c r="O131" s="2">
        <f>E131</f>
        <v>-3.9494337713048596E-15</v>
      </c>
      <c r="P131" s="2">
        <f>F131</f>
        <v>-2.8273229631489298E-15</v>
      </c>
      <c r="Q131" s="2">
        <f>G131</f>
        <v>-2.3364946741956598E-15</v>
      </c>
      <c r="R131" s="2">
        <f>H131</f>
        <v>-1.94563466452163E-15</v>
      </c>
      <c r="S131" s="2">
        <f>I131</f>
        <v>2.3403419718053402E-18</v>
      </c>
    </row>
    <row r="132" spans="1:37" ht="15" x14ac:dyDescent="0.25">
      <c r="A132" s="3">
        <v>38352</v>
      </c>
      <c r="B132" s="3"/>
      <c r="C132">
        <v>-7.8651508144608501E-2</v>
      </c>
      <c r="D132" s="4">
        <v>2.05942388671215E-15</v>
      </c>
      <c r="E132" s="4">
        <v>-3.6548681249908702E-15</v>
      </c>
      <c r="F132" s="4">
        <v>-2.60714690973811E-15</v>
      </c>
      <c r="G132" s="4">
        <v>-2.19771524931474E-15</v>
      </c>
      <c r="H132" s="4">
        <v>-1.8247817207698002E-15</v>
      </c>
      <c r="I132" s="4">
        <v>7.1850919751853707E-18</v>
      </c>
      <c r="J132" s="3"/>
      <c r="K132" s="3"/>
      <c r="L132" s="3"/>
      <c r="M132" s="2">
        <f>C132</f>
        <v>-7.8651508144608501E-2</v>
      </c>
      <c r="N132" s="2">
        <f>D132/10</f>
        <v>2.05942388671215E-16</v>
      </c>
      <c r="O132" s="2">
        <f>E132</f>
        <v>-3.6548681249908702E-15</v>
      </c>
      <c r="P132" s="2">
        <f>F132</f>
        <v>-2.60714690973811E-15</v>
      </c>
      <c r="Q132" s="2">
        <f>G132</f>
        <v>-2.19771524931474E-15</v>
      </c>
      <c r="R132" s="2">
        <f>H132</f>
        <v>-1.8247817207698002E-15</v>
      </c>
      <c r="S132" s="2">
        <f>I132</f>
        <v>7.1850919751853707E-18</v>
      </c>
    </row>
    <row r="133" spans="1:37" ht="15" x14ac:dyDescent="0.25">
      <c r="A133" s="3">
        <v>38442</v>
      </c>
      <c r="B133" s="3"/>
      <c r="C133">
        <v>-3.7537052110963399E-2</v>
      </c>
      <c r="D133" s="4">
        <v>2.6246466722728301E-15</v>
      </c>
      <c r="E133" s="4">
        <v>-3.4351339828450599E-15</v>
      </c>
      <c r="F133" s="4">
        <v>-2.3537954488109099E-15</v>
      </c>
      <c r="G133" s="4">
        <v>-2.0223664028602799E-15</v>
      </c>
      <c r="H133" s="4">
        <v>-1.8422357379786699E-15</v>
      </c>
      <c r="I133" s="4">
        <v>6.6336599201430897E-17</v>
      </c>
      <c r="J133" s="3"/>
      <c r="K133" s="3"/>
      <c r="L133" s="3"/>
      <c r="M133" s="2">
        <f>C133</f>
        <v>-3.7537052110963399E-2</v>
      </c>
      <c r="N133" s="2">
        <f>D133/10</f>
        <v>2.6246466722728302E-16</v>
      </c>
      <c r="O133" s="2">
        <f>E133</f>
        <v>-3.4351339828450599E-15</v>
      </c>
      <c r="P133" s="2">
        <f>F133</f>
        <v>-2.3537954488109099E-15</v>
      </c>
      <c r="Q133" s="2">
        <f>G133</f>
        <v>-2.0223664028602799E-15</v>
      </c>
      <c r="R133" s="2">
        <f>H133</f>
        <v>-1.8422357379786699E-15</v>
      </c>
      <c r="S133" s="2">
        <f>I133</f>
        <v>6.6336599201430897E-17</v>
      </c>
    </row>
    <row r="134" spans="1:37" ht="15" x14ac:dyDescent="0.25">
      <c r="A134" s="3">
        <v>38533</v>
      </c>
      <c r="B134" s="3"/>
      <c r="C134">
        <v>-0.12615350071818399</v>
      </c>
      <c r="D134" s="4">
        <v>1.27449984004223E-15</v>
      </c>
      <c r="E134" s="4">
        <v>-4.5770686604610398E-15</v>
      </c>
      <c r="F134" s="4">
        <v>-3.3458420064071701E-15</v>
      </c>
      <c r="G134" s="4">
        <v>-2.9197939131354599E-15</v>
      </c>
      <c r="H134" s="4">
        <v>-2.3440737621883001E-15</v>
      </c>
      <c r="I134" s="4">
        <v>-3.9919779223623702E-16</v>
      </c>
      <c r="J134" s="3"/>
      <c r="K134" s="3"/>
      <c r="L134" s="3"/>
      <c r="M134" s="2">
        <f>C134</f>
        <v>-0.12615350071818399</v>
      </c>
      <c r="N134" s="2">
        <f>D134/10</f>
        <v>1.2744998400422301E-16</v>
      </c>
      <c r="O134" s="2">
        <f>E134</f>
        <v>-4.5770686604610398E-15</v>
      </c>
      <c r="P134" s="2">
        <f>F134</f>
        <v>-3.3458420064071701E-15</v>
      </c>
      <c r="Q134" s="2">
        <f>G134</f>
        <v>-2.9197939131354599E-15</v>
      </c>
      <c r="R134" s="2">
        <f>H134</f>
        <v>-2.3440737621883001E-15</v>
      </c>
      <c r="S134" s="2">
        <f>I134</f>
        <v>-3.9919779223623702E-16</v>
      </c>
    </row>
    <row r="135" spans="1:37" ht="15" x14ac:dyDescent="0.25">
      <c r="A135" s="3">
        <v>38625</v>
      </c>
      <c r="B135" s="3"/>
      <c r="C135">
        <v>-5.0097369548394298E-2</v>
      </c>
      <c r="D135" s="4">
        <v>1.75545503710707E-15</v>
      </c>
      <c r="E135" s="4">
        <v>-3.7631184466738498E-15</v>
      </c>
      <c r="F135" s="4">
        <v>-2.7362963391755001E-15</v>
      </c>
      <c r="G135" s="4">
        <v>-2.3438695092578401E-15</v>
      </c>
      <c r="H135" s="4">
        <v>-1.9846004217838002E-15</v>
      </c>
      <c r="I135" s="4">
        <v>1.9375815514107E-16</v>
      </c>
      <c r="J135" s="3"/>
      <c r="K135" s="3"/>
      <c r="L135" s="3"/>
      <c r="M135" s="2">
        <f>C135</f>
        <v>-5.0097369548394298E-2</v>
      </c>
      <c r="N135" s="2">
        <f>D135/10</f>
        <v>1.7554550371070699E-16</v>
      </c>
      <c r="O135" s="2">
        <f>E135</f>
        <v>-3.7631184466738498E-15</v>
      </c>
      <c r="P135" s="2">
        <f>F135</f>
        <v>-2.7362963391755001E-15</v>
      </c>
      <c r="Q135" s="2">
        <f>G135</f>
        <v>-2.3438695092578401E-15</v>
      </c>
      <c r="R135" s="2">
        <f>H135</f>
        <v>-1.9846004217838002E-15</v>
      </c>
      <c r="S135" s="2">
        <f>I135</f>
        <v>1.9375815514107E-16</v>
      </c>
    </row>
    <row r="136" spans="1:37" ht="15" x14ac:dyDescent="0.25">
      <c r="A136" s="3">
        <v>38717</v>
      </c>
      <c r="B136" s="3"/>
      <c r="C136">
        <v>-6.2405994451686403E-2</v>
      </c>
      <c r="D136" s="4">
        <v>2.25071934030657E-15</v>
      </c>
      <c r="E136" s="4">
        <v>-3.8114998769817201E-15</v>
      </c>
      <c r="F136" s="4">
        <v>-2.6605568715882398E-15</v>
      </c>
      <c r="G136" s="4">
        <v>-2.4336115144765102E-15</v>
      </c>
      <c r="H136" s="4">
        <v>-1.8203609562181402E-15</v>
      </c>
      <c r="I136" s="4">
        <v>-1.2072770980595201E-16</v>
      </c>
      <c r="J136" s="3"/>
      <c r="K136" s="3"/>
      <c r="L136" s="3"/>
      <c r="M136" s="2">
        <f>C136</f>
        <v>-6.2405994451686403E-2</v>
      </c>
      <c r="N136" s="2">
        <f>D136/10</f>
        <v>2.2507193403065701E-16</v>
      </c>
      <c r="O136" s="2">
        <f>E136</f>
        <v>-3.8114998769817201E-15</v>
      </c>
      <c r="P136" s="2">
        <f>F136</f>
        <v>-2.6605568715882398E-15</v>
      </c>
      <c r="Q136" s="2">
        <f>G136</f>
        <v>-2.4336115144765102E-15</v>
      </c>
      <c r="R136" s="2">
        <f>H136</f>
        <v>-1.8203609562181402E-15</v>
      </c>
      <c r="S136" s="2">
        <f>I136</f>
        <v>-1.2072770980595201E-16</v>
      </c>
    </row>
    <row r="137" spans="1:37" ht="15" x14ac:dyDescent="0.25">
      <c r="A137" s="3">
        <v>38807</v>
      </c>
      <c r="B137" s="3"/>
      <c r="C137">
        <v>-8.1246221903752497E-2</v>
      </c>
      <c r="D137" s="4">
        <v>1.8731475289880202E-15</v>
      </c>
      <c r="E137" s="4">
        <v>-4.0143375006243599E-15</v>
      </c>
      <c r="F137" s="4">
        <v>-2.9763480221279901E-15</v>
      </c>
      <c r="G137" s="4">
        <v>-2.45900925484495E-15</v>
      </c>
      <c r="H137" s="4">
        <v>-2.2674106822318399E-15</v>
      </c>
      <c r="I137" s="4">
        <v>-2.5594597835871699E-16</v>
      </c>
      <c r="J137" s="3"/>
      <c r="K137" s="3"/>
      <c r="L137" s="3"/>
      <c r="M137" s="2">
        <f>C137</f>
        <v>-8.1246221903752497E-2</v>
      </c>
      <c r="N137" s="2">
        <f>D137/10</f>
        <v>1.8731475289880201E-16</v>
      </c>
      <c r="O137" s="2">
        <f>E137</f>
        <v>-4.0143375006243599E-15</v>
      </c>
      <c r="P137" s="2">
        <f>F137</f>
        <v>-2.9763480221279901E-15</v>
      </c>
      <c r="Q137" s="2">
        <f>G137</f>
        <v>-2.45900925484495E-15</v>
      </c>
      <c r="R137" s="2">
        <f>H137</f>
        <v>-2.2674106822318399E-15</v>
      </c>
      <c r="S137" s="2">
        <f>I137</f>
        <v>-2.5594597835871699E-16</v>
      </c>
    </row>
    <row r="138" spans="1:37" ht="15" x14ac:dyDescent="0.25">
      <c r="A138" s="3">
        <v>38898</v>
      </c>
      <c r="B138" s="3"/>
      <c r="C138">
        <v>-5.7303214847122398E-2</v>
      </c>
      <c r="D138" s="4">
        <v>2.3212547893044498E-15</v>
      </c>
      <c r="E138" s="4">
        <v>-3.7008016695310397E-15</v>
      </c>
      <c r="F138" s="4">
        <v>-2.4517189080640799E-15</v>
      </c>
      <c r="G138" s="4">
        <v>-2.50510543859083E-15</v>
      </c>
      <c r="H138" s="4">
        <v>-2.1062123071415199E-15</v>
      </c>
      <c r="I138" s="4">
        <v>2.1364170579836799E-17</v>
      </c>
      <c r="J138" s="3"/>
      <c r="K138" s="3"/>
      <c r="L138" s="3"/>
      <c r="M138" s="2">
        <f>C138</f>
        <v>-5.7303214847122398E-2</v>
      </c>
      <c r="N138" s="2">
        <f>D138/10</f>
        <v>2.3212547893044499E-16</v>
      </c>
      <c r="O138" s="2">
        <f>E138</f>
        <v>-3.7008016695310397E-15</v>
      </c>
      <c r="P138" s="2">
        <f>F138</f>
        <v>-2.4517189080640799E-15</v>
      </c>
      <c r="Q138" s="2">
        <f>G138</f>
        <v>-2.50510543859083E-15</v>
      </c>
      <c r="R138" s="2">
        <f>H138</f>
        <v>-2.1062123071415199E-15</v>
      </c>
      <c r="S138" s="2">
        <f>I138</f>
        <v>2.1364170579836799E-17</v>
      </c>
    </row>
    <row r="139" spans="1:37" ht="15" x14ac:dyDescent="0.25">
      <c r="A139" s="3">
        <v>38990</v>
      </c>
      <c r="B139" s="3"/>
      <c r="C139">
        <v>-3.9358029931245597E-2</v>
      </c>
      <c r="D139" s="4">
        <v>2.33770754138224E-15</v>
      </c>
      <c r="E139" s="4">
        <v>-3.5670960324053701E-15</v>
      </c>
      <c r="F139" s="4">
        <v>-2.8115491412716401E-15</v>
      </c>
      <c r="G139" s="4">
        <v>-2.6163473626006E-15</v>
      </c>
      <c r="H139" s="4">
        <v>-2.0661088404606299E-15</v>
      </c>
      <c r="I139" s="4">
        <v>-1.5581606912037799E-16</v>
      </c>
      <c r="J139" s="3"/>
      <c r="K139" s="3"/>
      <c r="L139" s="3"/>
      <c r="M139" s="2">
        <f>C139</f>
        <v>-3.9358029931245597E-2</v>
      </c>
      <c r="N139" s="2">
        <f>D139/10</f>
        <v>2.33770754138224E-16</v>
      </c>
      <c r="O139" s="2">
        <f>E139</f>
        <v>-3.5670960324053701E-15</v>
      </c>
      <c r="P139" s="2">
        <f>F139</f>
        <v>-2.8115491412716401E-15</v>
      </c>
      <c r="Q139" s="2">
        <f>G139</f>
        <v>-2.6163473626006E-15</v>
      </c>
      <c r="R139" s="2">
        <f>H139</f>
        <v>-2.0661088404606299E-15</v>
      </c>
      <c r="S139" s="2">
        <f>I139</f>
        <v>-1.5581606912037799E-16</v>
      </c>
    </row>
    <row r="140" spans="1:37" ht="15" x14ac:dyDescent="0.25">
      <c r="A140" s="3">
        <v>39082</v>
      </c>
      <c r="B140" s="3"/>
      <c r="C140">
        <v>-2.3644414013734402E-2</v>
      </c>
      <c r="D140" s="4">
        <v>2.7887859334320901E-15</v>
      </c>
      <c r="E140" s="4">
        <v>-3.6528126162892399E-15</v>
      </c>
      <c r="F140" s="4">
        <v>-2.6915987945837E-15</v>
      </c>
      <c r="G140" s="4">
        <v>-2.4458754876849002E-15</v>
      </c>
      <c r="H140" s="4">
        <v>-2.1922428137305999E-15</v>
      </c>
      <c r="I140" s="4">
        <v>-1.56764981576563E-16</v>
      </c>
      <c r="J140" s="3"/>
      <c r="K140" s="3"/>
      <c r="L140" s="3"/>
      <c r="M140" s="2">
        <f>C140</f>
        <v>-2.3644414013734402E-2</v>
      </c>
      <c r="N140" s="2">
        <f>D140/10</f>
        <v>2.78878593343209E-16</v>
      </c>
      <c r="O140" s="2">
        <f>E140</f>
        <v>-3.6528126162892399E-15</v>
      </c>
      <c r="P140" s="2">
        <f>F140</f>
        <v>-2.6915987945837E-15</v>
      </c>
      <c r="Q140" s="2">
        <f>G140</f>
        <v>-2.4458754876849002E-15</v>
      </c>
      <c r="R140" s="2">
        <f>H140</f>
        <v>-2.1922428137305999E-15</v>
      </c>
      <c r="S140" s="2">
        <f>I140</f>
        <v>-1.56764981576563E-16</v>
      </c>
    </row>
    <row r="141" spans="1:37" ht="15" x14ac:dyDescent="0.25">
      <c r="A141" s="3">
        <v>39172</v>
      </c>
      <c r="B141" s="1" t="s">
        <v>69</v>
      </c>
      <c r="C141">
        <v>-2.4990917942303702E-2</v>
      </c>
      <c r="D141" s="4">
        <v>2.7814897720132501E-15</v>
      </c>
      <c r="E141" s="4">
        <v>-3.54390718671859E-15</v>
      </c>
      <c r="F141" s="4">
        <v>-2.51585621235616E-15</v>
      </c>
      <c r="G141" s="4">
        <v>-2.5719485233272001E-15</v>
      </c>
      <c r="H141" s="4">
        <v>-2.2267660133698201E-15</v>
      </c>
      <c r="I141" s="4">
        <v>-1.55632651329818E-16</v>
      </c>
      <c r="L141" s="1" t="str">
        <f>"20"&amp;RIGHT(B141,2)&amp;"Q"&amp;LEFT(B141,1)</f>
        <v>2007Q1</v>
      </c>
      <c r="M141" s="2">
        <f>C141</f>
        <v>-2.4990917942303702E-2</v>
      </c>
      <c r="N141" s="2">
        <f>D141/10</f>
        <v>2.7814897720132501E-16</v>
      </c>
      <c r="O141" s="2">
        <f>E141</f>
        <v>-3.54390718671859E-15</v>
      </c>
      <c r="P141" s="2">
        <f>F141</f>
        <v>-2.51585621235616E-15</v>
      </c>
      <c r="Q141" s="2">
        <f>G141</f>
        <v>-2.5719485233272001E-15</v>
      </c>
      <c r="R141" s="2">
        <f>H141</f>
        <v>-2.2267660133698201E-15</v>
      </c>
      <c r="S141" s="2">
        <f>I141</f>
        <v>-1.55632651329818E-16</v>
      </c>
      <c r="AE141" s="2">
        <f>M141</f>
        <v>-2.4990917942303702E-2</v>
      </c>
      <c r="AF141" s="2">
        <f>N141</f>
        <v>2.7814897720132501E-16</v>
      </c>
      <c r="AG141" s="2">
        <f>O141</f>
        <v>-3.54390718671859E-15</v>
      </c>
      <c r="AH141" s="2">
        <f>P141</f>
        <v>-2.51585621235616E-15</v>
      </c>
      <c r="AI141" s="2">
        <f>Q141</f>
        <v>-2.5719485233272001E-15</v>
      </c>
      <c r="AJ141" s="2">
        <f>R141</f>
        <v>-2.2267660133698201E-15</v>
      </c>
      <c r="AK141" s="2">
        <f>S141</f>
        <v>-1.55632651329818E-16</v>
      </c>
    </row>
    <row r="142" spans="1:37" ht="15" x14ac:dyDescent="0.25">
      <c r="A142" s="3">
        <v>39263</v>
      </c>
      <c r="B142" s="1" t="s">
        <v>68</v>
      </c>
      <c r="C142">
        <v>-0.11419290290127</v>
      </c>
      <c r="D142" s="4">
        <v>3.41450526444911E-15</v>
      </c>
      <c r="E142" s="4">
        <v>-3.0439715861635901E-15</v>
      </c>
      <c r="F142" s="4">
        <v>-2.3523014244576898E-15</v>
      </c>
      <c r="G142" s="4">
        <v>-2.43866128355882E-15</v>
      </c>
      <c r="H142" s="4">
        <v>-2.1318954583823001E-15</v>
      </c>
      <c r="I142" s="4">
        <v>2.63672189933829E-17</v>
      </c>
      <c r="L142" s="1" t="str">
        <f>"20"&amp;RIGHT(B142,2)&amp;"Q"&amp;LEFT(B142,1)</f>
        <v>2007Q2</v>
      </c>
      <c r="M142" s="2">
        <f>C142</f>
        <v>-0.11419290290127</v>
      </c>
      <c r="N142" s="2">
        <f>D142/10</f>
        <v>3.4145052644491102E-16</v>
      </c>
      <c r="O142" s="2">
        <f>E142</f>
        <v>-3.0439715861635901E-15</v>
      </c>
      <c r="P142" s="2">
        <f>F142</f>
        <v>-2.3523014244576898E-15</v>
      </c>
      <c r="Q142" s="2">
        <f>G142</f>
        <v>-2.43866128355882E-15</v>
      </c>
      <c r="R142" s="2">
        <f>H142</f>
        <v>-2.1318954583823001E-15</v>
      </c>
      <c r="S142" s="2">
        <f>I142</f>
        <v>2.63672189933829E-17</v>
      </c>
      <c r="AE142" s="2">
        <f>M142</f>
        <v>-0.11419290290127</v>
      </c>
      <c r="AF142" s="2">
        <f>N142</f>
        <v>3.4145052644491102E-16</v>
      </c>
      <c r="AG142" s="2">
        <f>O142</f>
        <v>-3.0439715861635901E-15</v>
      </c>
      <c r="AH142" s="2">
        <f>P142</f>
        <v>-2.3523014244576898E-15</v>
      </c>
      <c r="AI142" s="2">
        <f>Q142</f>
        <v>-2.43866128355882E-15</v>
      </c>
      <c r="AJ142" s="2">
        <f>R142</f>
        <v>-2.1318954583823001E-15</v>
      </c>
      <c r="AK142" s="2">
        <f>S142</f>
        <v>2.63672189933829E-17</v>
      </c>
    </row>
    <row r="143" spans="1:37" ht="15" x14ac:dyDescent="0.25">
      <c r="A143" s="3">
        <v>39355</v>
      </c>
      <c r="B143" s="1" t="s">
        <v>67</v>
      </c>
      <c r="C143">
        <v>-9.0478080471159093E-3</v>
      </c>
      <c r="D143" s="4">
        <v>2.2813500121396502E-15</v>
      </c>
      <c r="E143" s="4">
        <v>-4.2738873531425901E-15</v>
      </c>
      <c r="F143" s="4">
        <v>-3.3436428722225201E-15</v>
      </c>
      <c r="G143" s="4">
        <v>-3.0995648779988E-15</v>
      </c>
      <c r="H143" s="4">
        <v>-2.40710861685175E-15</v>
      </c>
      <c r="I143" s="4">
        <v>-2.61426787426237E-16</v>
      </c>
      <c r="L143" s="1" t="str">
        <f>"20"&amp;RIGHT(B143,2)&amp;"Q"&amp;LEFT(B143,1)</f>
        <v>2007Q3</v>
      </c>
      <c r="M143" s="2">
        <f>C143</f>
        <v>-9.0478080471159093E-3</v>
      </c>
      <c r="N143" s="2">
        <f>D143/10</f>
        <v>2.2813500121396504E-16</v>
      </c>
      <c r="O143" s="2">
        <f>E143</f>
        <v>-4.2738873531425901E-15</v>
      </c>
      <c r="P143" s="2">
        <f>F143</f>
        <v>-3.3436428722225201E-15</v>
      </c>
      <c r="Q143" s="2">
        <f>G143</f>
        <v>-3.0995648779988E-15</v>
      </c>
      <c r="R143" s="2">
        <f>H143</f>
        <v>-2.40710861685175E-15</v>
      </c>
      <c r="S143" s="2">
        <f>I143</f>
        <v>-2.61426787426237E-16</v>
      </c>
      <c r="AE143" s="2">
        <f>M143</f>
        <v>-9.0478080471159093E-3</v>
      </c>
      <c r="AF143" s="2">
        <f>N143</f>
        <v>2.2813500121396504E-16</v>
      </c>
      <c r="AG143" s="2">
        <f>O143</f>
        <v>-4.2738873531425901E-15</v>
      </c>
      <c r="AH143" s="2">
        <f>P143</f>
        <v>-3.3436428722225201E-15</v>
      </c>
      <c r="AI143" s="2">
        <f>Q143</f>
        <v>-3.0995648779988E-15</v>
      </c>
      <c r="AJ143" s="2">
        <f>R143</f>
        <v>-2.40710861685175E-15</v>
      </c>
      <c r="AK143" s="2">
        <f>S143</f>
        <v>-2.61426787426237E-16</v>
      </c>
    </row>
    <row r="144" spans="1:37" ht="15" x14ac:dyDescent="0.25">
      <c r="A144" s="3">
        <v>39447</v>
      </c>
      <c r="B144" s="1" t="s">
        <v>66</v>
      </c>
      <c r="C144">
        <v>-8.9819542168629002E-2</v>
      </c>
      <c r="D144" s="4">
        <v>8.2326317280932697E-16</v>
      </c>
      <c r="E144" s="4">
        <v>-4.9056363419289499E-15</v>
      </c>
      <c r="F144" s="4">
        <v>-3.82452798506327E-15</v>
      </c>
      <c r="G144" s="4">
        <v>-3.25006733727786E-15</v>
      </c>
      <c r="H144" s="4">
        <v>-2.4845698980406498E-15</v>
      </c>
      <c r="I144" s="4">
        <v>-2.63741954753108E-16</v>
      </c>
      <c r="L144" s="1" t="str">
        <f>"20"&amp;RIGHT(B144,2)&amp;"Q"&amp;LEFT(B144,1)</f>
        <v>2007Q4</v>
      </c>
      <c r="M144" s="2">
        <f>C144</f>
        <v>-8.9819542168629002E-2</v>
      </c>
      <c r="N144" s="2">
        <f>D144/10</f>
        <v>8.2326317280932694E-17</v>
      </c>
      <c r="O144" s="2">
        <f>E144</f>
        <v>-4.9056363419289499E-15</v>
      </c>
      <c r="P144" s="2">
        <f>F144</f>
        <v>-3.82452798506327E-15</v>
      </c>
      <c r="Q144" s="2">
        <f>G144</f>
        <v>-3.25006733727786E-15</v>
      </c>
      <c r="R144" s="2">
        <f>H144</f>
        <v>-2.4845698980406498E-15</v>
      </c>
      <c r="S144" s="2">
        <f>I144</f>
        <v>-2.63741954753108E-16</v>
      </c>
      <c r="AD144" s="1">
        <f>LEFT(L144,4)+1</f>
        <v>2008</v>
      </c>
      <c r="AE144" s="2">
        <f>M144</f>
        <v>-8.9819542168629002E-2</v>
      </c>
      <c r="AF144" s="2">
        <f>N144</f>
        <v>8.2326317280932694E-17</v>
      </c>
      <c r="AG144" s="2">
        <f>O144</f>
        <v>-4.9056363419289499E-15</v>
      </c>
      <c r="AH144" s="2">
        <f>P144</f>
        <v>-3.82452798506327E-15</v>
      </c>
      <c r="AI144" s="2">
        <f>Q144</f>
        <v>-3.25006733727786E-15</v>
      </c>
      <c r="AJ144" s="2">
        <f>R144</f>
        <v>-2.4845698980406498E-15</v>
      </c>
      <c r="AK144" s="2">
        <f>S144</f>
        <v>-2.63741954753108E-16</v>
      </c>
    </row>
    <row r="145" spans="1:37" ht="15" x14ac:dyDescent="0.25">
      <c r="A145" s="3">
        <v>39538</v>
      </c>
      <c r="B145" s="1" t="s">
        <v>65</v>
      </c>
      <c r="C145">
        <v>-0.14491432837811799</v>
      </c>
      <c r="D145" s="4">
        <v>-1.4657060829640301E-15</v>
      </c>
      <c r="E145" s="4">
        <v>-6.2442519622946497E-15</v>
      </c>
      <c r="F145" s="4">
        <v>-4.7761183263065804E-15</v>
      </c>
      <c r="G145" s="4">
        <v>-3.8123966122048899E-15</v>
      </c>
      <c r="H145" s="4">
        <v>-2.5269650566543102E-15</v>
      </c>
      <c r="I145" s="4">
        <v>-2.4100112601369101E-16</v>
      </c>
      <c r="L145" s="1" t="str">
        <f>"20"&amp;RIGHT(B145,2)&amp;"Q"&amp;LEFT(B145,1)</f>
        <v>2008Q1</v>
      </c>
      <c r="M145" s="2">
        <f>C145</f>
        <v>-0.14491432837811799</v>
      </c>
      <c r="N145" s="2">
        <f>D145/10</f>
        <v>-1.46570608296403E-16</v>
      </c>
      <c r="O145" s="2">
        <f>E145</f>
        <v>-6.2442519622946497E-15</v>
      </c>
      <c r="P145" s="2">
        <f>F145</f>
        <v>-4.7761183263065804E-15</v>
      </c>
      <c r="Q145" s="2">
        <f>G145</f>
        <v>-3.8123966122048899E-15</v>
      </c>
      <c r="R145" s="2">
        <f>H145</f>
        <v>-2.5269650566543102E-15</v>
      </c>
      <c r="S145" s="2">
        <f>I145</f>
        <v>-2.4100112601369101E-16</v>
      </c>
      <c r="AD145" s="1">
        <f>LEFT(L145,4)+1</f>
        <v>2009</v>
      </c>
      <c r="AE145" s="2">
        <f>M145</f>
        <v>-0.14491432837811799</v>
      </c>
      <c r="AF145" s="2">
        <f>N145</f>
        <v>-1.46570608296403E-16</v>
      </c>
      <c r="AG145" s="2">
        <f>O145</f>
        <v>-6.2442519622946497E-15</v>
      </c>
      <c r="AH145" s="2">
        <f>P145</f>
        <v>-4.7761183263065804E-15</v>
      </c>
      <c r="AI145" s="2">
        <f>Q145</f>
        <v>-3.8123966122048899E-15</v>
      </c>
      <c r="AJ145" s="2">
        <f>R145</f>
        <v>-2.5269650566543102E-15</v>
      </c>
      <c r="AK145" s="2">
        <f>S145</f>
        <v>-2.4100112601369101E-16</v>
      </c>
    </row>
    <row r="146" spans="1:37" ht="15" x14ac:dyDescent="0.25">
      <c r="A146" s="3">
        <v>39629</v>
      </c>
      <c r="B146" s="1" t="s">
        <v>64</v>
      </c>
      <c r="C146">
        <v>6.54171086147394E-2</v>
      </c>
      <c r="D146" s="4">
        <v>-1.49231924086295E-15</v>
      </c>
      <c r="E146" s="4">
        <v>-5.3909185232871399E-15</v>
      </c>
      <c r="F146" s="4">
        <v>-3.9592532971499599E-15</v>
      </c>
      <c r="G146" s="4">
        <v>-2.8885303618880198E-15</v>
      </c>
      <c r="H146" s="4">
        <v>-1.8020480672583499E-15</v>
      </c>
      <c r="I146" s="4">
        <v>2.77251862471945E-17</v>
      </c>
      <c r="L146" s="1" t="str">
        <f>"20"&amp;RIGHT(B146,2)&amp;"Q"&amp;LEFT(B146,1)</f>
        <v>2008Q2</v>
      </c>
      <c r="M146" s="2">
        <f>C146</f>
        <v>6.54171086147394E-2</v>
      </c>
      <c r="N146" s="2">
        <f>D146/10</f>
        <v>-1.4923192408629501E-16</v>
      </c>
      <c r="O146" s="2">
        <f>E146</f>
        <v>-5.3909185232871399E-15</v>
      </c>
      <c r="P146" s="2">
        <f>F146</f>
        <v>-3.9592532971499599E-15</v>
      </c>
      <c r="Q146" s="2">
        <f>G146</f>
        <v>-2.8885303618880198E-15</v>
      </c>
      <c r="R146" s="2">
        <f>H146</f>
        <v>-1.8020480672583499E-15</v>
      </c>
      <c r="S146" s="2">
        <f>I146</f>
        <v>2.77251862471945E-17</v>
      </c>
      <c r="AD146" s="1">
        <f>LEFT(L146,4)+1</f>
        <v>2009</v>
      </c>
      <c r="AE146" s="2">
        <f>M146</f>
        <v>6.54171086147394E-2</v>
      </c>
      <c r="AF146" s="2">
        <f>N146</f>
        <v>-1.4923192408629501E-16</v>
      </c>
      <c r="AG146" s="2">
        <f>O146</f>
        <v>-5.3909185232871399E-15</v>
      </c>
      <c r="AH146" s="2">
        <f>P146</f>
        <v>-3.9592532971499599E-15</v>
      </c>
      <c r="AI146" s="2">
        <f>Q146</f>
        <v>-2.8885303618880198E-15</v>
      </c>
      <c r="AJ146" s="2">
        <f>R146</f>
        <v>-1.8020480672583499E-15</v>
      </c>
      <c r="AK146" s="2">
        <f>S146</f>
        <v>2.77251862471945E-17</v>
      </c>
    </row>
    <row r="147" spans="1:37" ht="15" x14ac:dyDescent="0.25">
      <c r="A147" s="3">
        <v>39721</v>
      </c>
      <c r="B147" s="1" t="s">
        <v>63</v>
      </c>
      <c r="C147">
        <v>9.8499101159246996E-2</v>
      </c>
      <c r="D147" s="4">
        <v>-3.03371631294586E-15</v>
      </c>
      <c r="E147" s="4">
        <v>-6.5421696403603702E-15</v>
      </c>
      <c r="F147" s="4">
        <v>-4.6656216943090304E-15</v>
      </c>
      <c r="G147" s="4">
        <v>-3.2465390554728601E-15</v>
      </c>
      <c r="H147" s="4">
        <v>-2.06421647796101E-15</v>
      </c>
      <c r="I147" s="4">
        <v>-1.9727100801273601E-16</v>
      </c>
      <c r="L147" s="1" t="str">
        <f>"20"&amp;RIGHT(B147,2)&amp;"Q"&amp;LEFT(B147,1)</f>
        <v>2008Q3</v>
      </c>
      <c r="M147" s="2">
        <f>C147</f>
        <v>9.8499101159246996E-2</v>
      </c>
      <c r="N147" s="2">
        <f>D147/10</f>
        <v>-3.0337163129458601E-16</v>
      </c>
      <c r="O147" s="2">
        <f>E147</f>
        <v>-6.5421696403603702E-15</v>
      </c>
      <c r="P147" s="2">
        <f>F147</f>
        <v>-4.6656216943090304E-15</v>
      </c>
      <c r="Q147" s="2">
        <f>G147</f>
        <v>-3.2465390554728601E-15</v>
      </c>
      <c r="R147" s="2">
        <f>H147</f>
        <v>-2.06421647796101E-15</v>
      </c>
      <c r="S147" s="2">
        <f>I147</f>
        <v>-1.9727100801273601E-16</v>
      </c>
      <c r="AD147" s="1">
        <f>LEFT(L147,4)+1</f>
        <v>2009</v>
      </c>
      <c r="AE147" s="2">
        <f>M147</f>
        <v>9.8499101159246996E-2</v>
      </c>
      <c r="AF147" s="2">
        <f>N147</f>
        <v>-3.0337163129458601E-16</v>
      </c>
      <c r="AG147" s="2">
        <f>O147</f>
        <v>-6.5421696403603702E-15</v>
      </c>
      <c r="AH147" s="2">
        <f>P147</f>
        <v>-4.6656216943090304E-15</v>
      </c>
      <c r="AI147" s="2">
        <f>Q147</f>
        <v>-3.2465390554728601E-15</v>
      </c>
      <c r="AJ147" s="2">
        <f>R147</f>
        <v>-2.06421647796101E-15</v>
      </c>
      <c r="AK147" s="2">
        <f>S147</f>
        <v>-1.9727100801273601E-16</v>
      </c>
    </row>
    <row r="148" spans="1:37" ht="15" x14ac:dyDescent="0.25">
      <c r="A148" s="3">
        <v>39813</v>
      </c>
      <c r="B148" s="1" t="s">
        <v>62</v>
      </c>
      <c r="C148">
        <v>1.7668286999281201E-2</v>
      </c>
      <c r="D148">
        <v>-6.29247052007125E-2</v>
      </c>
      <c r="E148">
        <v>1.08248113065792E-2</v>
      </c>
      <c r="F148">
        <v>2.38640391248333E-2</v>
      </c>
      <c r="G148">
        <v>6.42723430201699E-3</v>
      </c>
      <c r="H148">
        <v>4.7491528835860702E-3</v>
      </c>
      <c r="I148">
        <v>4.8688031840390502E-3</v>
      </c>
      <c r="L148" s="1" t="str">
        <f>"20"&amp;RIGHT(B148,2)&amp;"Q"&amp;LEFT(B148,1)</f>
        <v>2008Q4</v>
      </c>
      <c r="M148" s="2">
        <f>C148</f>
        <v>1.7668286999281201E-2</v>
      </c>
      <c r="N148" s="2">
        <f>D148/10</f>
        <v>-6.2924705200712496E-3</v>
      </c>
      <c r="O148" s="2">
        <f>E148</f>
        <v>1.08248113065792E-2</v>
      </c>
      <c r="P148" s="2">
        <f>F148</f>
        <v>2.38640391248333E-2</v>
      </c>
      <c r="Q148" s="2">
        <f>G148</f>
        <v>6.42723430201699E-3</v>
      </c>
      <c r="R148" s="2">
        <f>H148</f>
        <v>4.7491528835860702E-3</v>
      </c>
      <c r="S148" s="2">
        <f>I148</f>
        <v>4.8688031840390502E-3</v>
      </c>
      <c r="AD148" s="1">
        <f>LEFT(L148,4)+1</f>
        <v>2009</v>
      </c>
      <c r="AE148" s="2">
        <f>M148</f>
        <v>1.7668286999281201E-2</v>
      </c>
      <c r="AF148" s="2">
        <f>N148</f>
        <v>-6.2924705200712496E-3</v>
      </c>
      <c r="AG148" s="2">
        <f>O148</f>
        <v>1.08248113065792E-2</v>
      </c>
      <c r="AH148" s="2">
        <f>P148</f>
        <v>2.38640391248333E-2</v>
      </c>
      <c r="AI148" s="2">
        <f>Q148</f>
        <v>6.42723430201699E-3</v>
      </c>
      <c r="AJ148" s="2">
        <f>R148</f>
        <v>4.7491528835860702E-3</v>
      </c>
      <c r="AK148" s="2">
        <f>S148</f>
        <v>4.8688031840390502E-3</v>
      </c>
    </row>
    <row r="149" spans="1:37" ht="15" x14ac:dyDescent="0.25">
      <c r="A149" s="3">
        <v>39903</v>
      </c>
      <c r="B149" s="1" t="s">
        <v>61</v>
      </c>
      <c r="C149">
        <v>-0.21119259737476601</v>
      </c>
      <c r="D149">
        <v>5.5841430392642402E-2</v>
      </c>
      <c r="E149">
        <v>6.6290195054513196E-2</v>
      </c>
      <c r="F149">
        <v>2.7200391130327399E-2</v>
      </c>
      <c r="G149">
        <v>2.1695584909056199E-2</v>
      </c>
      <c r="H149">
        <v>2.0473859939250001E-2</v>
      </c>
      <c r="I149">
        <v>2.2781570813233301E-2</v>
      </c>
      <c r="L149" s="1" t="str">
        <f>"20"&amp;RIGHT(B149,2)&amp;"Q"&amp;LEFT(B149,1)</f>
        <v>2009Q1</v>
      </c>
      <c r="M149" s="2">
        <f>C149</f>
        <v>-0.21119259737476601</v>
      </c>
      <c r="N149" s="2">
        <f>D149/10</f>
        <v>5.58414303926424E-3</v>
      </c>
      <c r="O149" s="2">
        <f>E149</f>
        <v>6.6290195054513196E-2</v>
      </c>
      <c r="P149" s="2">
        <f>F149</f>
        <v>2.7200391130327399E-2</v>
      </c>
      <c r="Q149" s="2">
        <f>G149</f>
        <v>2.1695584909056199E-2</v>
      </c>
      <c r="R149" s="2">
        <f>H149</f>
        <v>2.0473859939250001E-2</v>
      </c>
      <c r="S149" s="2">
        <f>I149</f>
        <v>2.2781570813233301E-2</v>
      </c>
      <c r="AD149" s="1">
        <f>LEFT(L149,4)+1</f>
        <v>2010</v>
      </c>
      <c r="AE149" s="2">
        <f>M149</f>
        <v>-0.21119259737476601</v>
      </c>
      <c r="AF149" s="2">
        <f>N149</f>
        <v>5.58414303926424E-3</v>
      </c>
      <c r="AG149" s="2">
        <f>O149</f>
        <v>6.6290195054513196E-2</v>
      </c>
      <c r="AH149" s="2">
        <f>P149</f>
        <v>2.7200391130327399E-2</v>
      </c>
      <c r="AI149" s="2">
        <f>Q149</f>
        <v>2.1695584909056199E-2</v>
      </c>
      <c r="AJ149" s="2">
        <f>R149</f>
        <v>2.0473859939250001E-2</v>
      </c>
      <c r="AK149" s="2">
        <f>S149</f>
        <v>2.2781570813233301E-2</v>
      </c>
    </row>
    <row r="150" spans="1:37" ht="15" x14ac:dyDescent="0.25">
      <c r="A150" s="3">
        <v>39994</v>
      </c>
      <c r="B150" s="1" t="s">
        <v>60</v>
      </c>
      <c r="C150">
        <v>-2.7768160911512602E-2</v>
      </c>
      <c r="D150">
        <v>3.7662482321688798E-2</v>
      </c>
      <c r="E150">
        <v>2.4496482847909101E-2</v>
      </c>
      <c r="F150">
        <v>1.45115019178013E-2</v>
      </c>
      <c r="G150">
        <v>1.72733308562532E-2</v>
      </c>
      <c r="H150">
        <v>1.4855620296338801E-2</v>
      </c>
      <c r="I150">
        <v>1.73607111818792E-2</v>
      </c>
      <c r="L150" s="1" t="str">
        <f>"20"&amp;RIGHT(B150,2)&amp;"Q"&amp;LEFT(B150,1)</f>
        <v>2009Q2</v>
      </c>
      <c r="M150" s="2">
        <f>C150</f>
        <v>-2.7768160911512602E-2</v>
      </c>
      <c r="N150" s="2">
        <f>D150/10</f>
        <v>3.7662482321688799E-3</v>
      </c>
      <c r="O150" s="2">
        <f>E150</f>
        <v>2.4496482847909101E-2</v>
      </c>
      <c r="P150" s="2">
        <f>F150</f>
        <v>1.45115019178013E-2</v>
      </c>
      <c r="Q150" s="2">
        <f>G150</f>
        <v>1.72733308562532E-2</v>
      </c>
      <c r="R150" s="2">
        <f>H150</f>
        <v>1.4855620296338801E-2</v>
      </c>
      <c r="S150" s="2">
        <f>I150</f>
        <v>1.73607111818792E-2</v>
      </c>
      <c r="AD150" s="1">
        <f>LEFT(L150,4)+1</f>
        <v>2010</v>
      </c>
      <c r="AE150" s="2">
        <f>M150</f>
        <v>-2.7768160911512602E-2</v>
      </c>
      <c r="AF150" s="2">
        <f>N150</f>
        <v>3.7662482321688799E-3</v>
      </c>
      <c r="AG150" s="2">
        <f>O150</f>
        <v>2.4496482847909101E-2</v>
      </c>
      <c r="AH150" s="2">
        <f>P150</f>
        <v>1.45115019178013E-2</v>
      </c>
      <c r="AI150" s="2">
        <f>Q150</f>
        <v>1.72733308562532E-2</v>
      </c>
      <c r="AJ150" s="2">
        <f>R150</f>
        <v>1.4855620296338801E-2</v>
      </c>
      <c r="AK150" s="2">
        <f>S150</f>
        <v>1.73607111818792E-2</v>
      </c>
    </row>
    <row r="151" spans="1:37" ht="15" x14ac:dyDescent="0.25">
      <c r="A151" s="3">
        <v>40086</v>
      </c>
      <c r="B151" s="1" t="s">
        <v>59</v>
      </c>
      <c r="C151">
        <v>2.6948247303760699E-2</v>
      </c>
      <c r="D151">
        <v>3.5338774104016102E-3</v>
      </c>
      <c r="E151">
        <v>1.13376681525137E-2</v>
      </c>
      <c r="F151">
        <v>6.9020475569436497E-3</v>
      </c>
      <c r="G151">
        <v>1.04010412660913E-2</v>
      </c>
      <c r="H151">
        <v>1.15788077846075E-2</v>
      </c>
      <c r="I151">
        <v>1.47258127515391E-2</v>
      </c>
      <c r="L151" s="1" t="str">
        <f>"20"&amp;RIGHT(B151,2)&amp;"Q"&amp;LEFT(B151,1)</f>
        <v>2009Q3</v>
      </c>
      <c r="M151" s="2">
        <f>C151</f>
        <v>2.6948247303760699E-2</v>
      </c>
      <c r="N151" s="2">
        <f>D151/10</f>
        <v>3.5338774104016102E-4</v>
      </c>
      <c r="O151" s="2">
        <f>E151</f>
        <v>1.13376681525137E-2</v>
      </c>
      <c r="P151" s="2">
        <f>F151</f>
        <v>6.9020475569436497E-3</v>
      </c>
      <c r="Q151" s="2">
        <f>G151</f>
        <v>1.04010412660913E-2</v>
      </c>
      <c r="R151" s="2">
        <f>H151</f>
        <v>1.15788077846075E-2</v>
      </c>
      <c r="S151" s="2">
        <f>I151</f>
        <v>1.47258127515391E-2</v>
      </c>
      <c r="AD151" s="1">
        <f>LEFT(L151,4)+1</f>
        <v>2010</v>
      </c>
      <c r="AE151" s="2">
        <f>M151</f>
        <v>2.6948247303760699E-2</v>
      </c>
      <c r="AF151" s="2">
        <f>N151</f>
        <v>3.5338774104016102E-4</v>
      </c>
      <c r="AG151" s="2">
        <f>O151</f>
        <v>1.13376681525137E-2</v>
      </c>
      <c r="AH151" s="2">
        <f>P151</f>
        <v>6.9020475569436497E-3</v>
      </c>
      <c r="AI151" s="2">
        <f>Q151</f>
        <v>1.04010412660913E-2</v>
      </c>
      <c r="AJ151" s="2">
        <f>R151</f>
        <v>1.15788077846075E-2</v>
      </c>
      <c r="AK151" s="2">
        <f>S151</f>
        <v>1.47258127515391E-2</v>
      </c>
    </row>
    <row r="152" spans="1:37" ht="15" x14ac:dyDescent="0.25">
      <c r="A152" s="3">
        <v>40178</v>
      </c>
      <c r="B152" s="1" t="s">
        <v>58</v>
      </c>
      <c r="C152">
        <v>6.2528698771621302E-2</v>
      </c>
      <c r="D152">
        <v>2.1625004930780501E-3</v>
      </c>
      <c r="E152">
        <v>1.49904066896594E-2</v>
      </c>
      <c r="F152">
        <v>1.9716201507600801E-2</v>
      </c>
      <c r="G152">
        <v>2.1296758287659201E-2</v>
      </c>
      <c r="H152">
        <v>1.761825356611E-2</v>
      </c>
      <c r="I152">
        <v>1.8662960536027499E-2</v>
      </c>
      <c r="L152" s="1" t="str">
        <f>"20"&amp;RIGHT(B152,2)&amp;"Q"&amp;LEFT(B152,1)</f>
        <v>2009Q4</v>
      </c>
      <c r="M152" s="2">
        <f>C152</f>
        <v>6.2528698771621302E-2</v>
      </c>
      <c r="N152" s="2">
        <f>D152/10</f>
        <v>2.1625004930780502E-4</v>
      </c>
      <c r="O152" s="2">
        <f>E152</f>
        <v>1.49904066896594E-2</v>
      </c>
      <c r="P152" s="2">
        <f>F152</f>
        <v>1.9716201507600801E-2</v>
      </c>
      <c r="Q152" s="2">
        <f>G152</f>
        <v>2.1296758287659201E-2</v>
      </c>
      <c r="R152" s="2">
        <f>H152</f>
        <v>1.761825356611E-2</v>
      </c>
      <c r="S152" s="2">
        <f>I152</f>
        <v>1.8662960536027499E-2</v>
      </c>
      <c r="AD152" s="1">
        <f>LEFT(L152,4)+1</f>
        <v>2010</v>
      </c>
      <c r="AE152" s="2">
        <f>M152</f>
        <v>6.2528698771621302E-2</v>
      </c>
      <c r="AF152" s="2">
        <f>N152</f>
        <v>2.1625004930780502E-4</v>
      </c>
      <c r="AG152" s="2">
        <f>O152</f>
        <v>1.49904066896594E-2</v>
      </c>
      <c r="AH152" s="2">
        <f>P152</f>
        <v>1.9716201507600801E-2</v>
      </c>
      <c r="AI152" s="2">
        <f>Q152</f>
        <v>2.1296758287659201E-2</v>
      </c>
      <c r="AJ152" s="2">
        <f>R152</f>
        <v>1.761825356611E-2</v>
      </c>
      <c r="AK152" s="2">
        <f>S152</f>
        <v>1.8662960536027499E-2</v>
      </c>
    </row>
    <row r="153" spans="1:37" ht="15" x14ac:dyDescent="0.25">
      <c r="A153" s="3">
        <v>40268</v>
      </c>
      <c r="B153" s="1" t="s">
        <v>57</v>
      </c>
      <c r="C153">
        <v>-4.1806314749415402E-2</v>
      </c>
      <c r="D153">
        <v>-3.0780742693446099E-2</v>
      </c>
      <c r="E153">
        <v>1.16909791261651E-2</v>
      </c>
      <c r="F153">
        <v>5.9763775295607197E-3</v>
      </c>
      <c r="G153">
        <v>7.5489939417762199E-3</v>
      </c>
      <c r="H153">
        <v>5.8323897679328799E-3</v>
      </c>
      <c r="I153">
        <v>7.27113006236058E-3</v>
      </c>
      <c r="L153" s="1" t="str">
        <f>"20"&amp;RIGHT(B153,2)&amp;"Q"&amp;LEFT(B153,1)</f>
        <v>2010Q1</v>
      </c>
      <c r="M153" s="2">
        <f>C153</f>
        <v>-4.1806314749415402E-2</v>
      </c>
      <c r="N153" s="2">
        <f>D153/10</f>
        <v>-3.0780742693446101E-3</v>
      </c>
      <c r="O153" s="2">
        <f>E153</f>
        <v>1.16909791261651E-2</v>
      </c>
      <c r="P153" s="2">
        <f>F153</f>
        <v>5.9763775295607197E-3</v>
      </c>
      <c r="Q153" s="2">
        <f>G153</f>
        <v>7.5489939417762199E-3</v>
      </c>
      <c r="R153" s="2">
        <f>H153</f>
        <v>5.8323897679328799E-3</v>
      </c>
      <c r="S153" s="2">
        <f>I153</f>
        <v>7.27113006236058E-3</v>
      </c>
      <c r="AD153" s="1">
        <f>LEFT(L153,4)+1</f>
        <v>2011</v>
      </c>
      <c r="AE153" s="2">
        <f>M153</f>
        <v>-4.1806314749415402E-2</v>
      </c>
      <c r="AF153" s="2">
        <f>N153</f>
        <v>-3.0780742693446101E-3</v>
      </c>
      <c r="AG153" s="2">
        <f>O153</f>
        <v>1.16909791261651E-2</v>
      </c>
      <c r="AH153" s="2">
        <f>P153</f>
        <v>5.9763775295607197E-3</v>
      </c>
      <c r="AI153" s="2">
        <f>Q153</f>
        <v>7.5489939417762199E-3</v>
      </c>
      <c r="AJ153" s="2">
        <f>R153</f>
        <v>5.8323897679328799E-3</v>
      </c>
      <c r="AK153" s="2">
        <f>S153</f>
        <v>7.27113006236058E-3</v>
      </c>
    </row>
    <row r="154" spans="1:37" ht="15" x14ac:dyDescent="0.25">
      <c r="A154" s="3">
        <v>40359</v>
      </c>
      <c r="B154" s="1" t="s">
        <v>56</v>
      </c>
      <c r="C154">
        <v>2.6291022304074298E-4</v>
      </c>
      <c r="D154">
        <v>-2.56846335795618E-2</v>
      </c>
      <c r="E154">
        <v>-1.53303315651895E-3</v>
      </c>
      <c r="F154">
        <v>-1.3989517035623299E-2</v>
      </c>
      <c r="G154">
        <v>-1.20280874226217E-2</v>
      </c>
      <c r="H154">
        <v>-9.0953215606401003E-3</v>
      </c>
      <c r="I154">
        <v>-7.4111867818483102E-3</v>
      </c>
      <c r="L154" s="1" t="str">
        <f>"20"&amp;RIGHT(B154,2)&amp;"Q"&amp;LEFT(B154,1)</f>
        <v>2010Q2</v>
      </c>
      <c r="M154" s="2">
        <f>C154</f>
        <v>2.6291022304074298E-4</v>
      </c>
      <c r="N154" s="2">
        <f>D154/10</f>
        <v>-2.5684633579561799E-3</v>
      </c>
      <c r="O154" s="2">
        <f>E154</f>
        <v>-1.53303315651895E-3</v>
      </c>
      <c r="P154" s="2">
        <f>F154</f>
        <v>-1.3989517035623299E-2</v>
      </c>
      <c r="Q154" s="2">
        <f>G154</f>
        <v>-1.20280874226217E-2</v>
      </c>
      <c r="R154" s="2">
        <f>H154</f>
        <v>-9.0953215606401003E-3</v>
      </c>
      <c r="S154" s="2">
        <f>I154</f>
        <v>-7.4111867818483102E-3</v>
      </c>
      <c r="AD154" s="1">
        <f>LEFT(L154,4)+1</f>
        <v>2011</v>
      </c>
      <c r="AE154" s="2">
        <f>M154</f>
        <v>2.6291022304074298E-4</v>
      </c>
      <c r="AF154" s="2">
        <f>N154</f>
        <v>-2.5684633579561799E-3</v>
      </c>
      <c r="AG154" s="2">
        <f>O154</f>
        <v>-1.53303315651895E-3</v>
      </c>
      <c r="AH154" s="2">
        <f>P154</f>
        <v>-1.3989517035623299E-2</v>
      </c>
      <c r="AI154" s="2">
        <f>Q154</f>
        <v>-1.20280874226217E-2</v>
      </c>
      <c r="AJ154" s="2">
        <f>R154</f>
        <v>-9.0953215606401003E-3</v>
      </c>
      <c r="AK154" s="2">
        <f>S154</f>
        <v>-7.4111867818483102E-3</v>
      </c>
    </row>
    <row r="155" spans="1:37" ht="15" x14ac:dyDescent="0.25">
      <c r="A155" s="3">
        <v>40451</v>
      </c>
      <c r="B155" s="1" t="s">
        <v>55</v>
      </c>
      <c r="C155">
        <v>5.9432247091283003E-2</v>
      </c>
      <c r="D155">
        <v>-3.6263415848481098E-2</v>
      </c>
      <c r="E155">
        <v>1.12410369790913E-2</v>
      </c>
      <c r="F155">
        <v>-2.06877328246657E-3</v>
      </c>
      <c r="G155">
        <v>-2.5057468595976102E-3</v>
      </c>
      <c r="H155">
        <v>-2.7252132216555001E-3</v>
      </c>
      <c r="I155">
        <v>-2.6090900674959699E-3</v>
      </c>
      <c r="L155" s="1" t="str">
        <f>"20"&amp;RIGHT(B155,2)&amp;"Q"&amp;LEFT(B155,1)</f>
        <v>2010Q3</v>
      </c>
      <c r="M155" s="2">
        <f>C155</f>
        <v>5.9432247091283003E-2</v>
      </c>
      <c r="N155" s="2">
        <f>D155/10</f>
        <v>-3.62634158484811E-3</v>
      </c>
      <c r="O155" s="2">
        <f>E155</f>
        <v>1.12410369790913E-2</v>
      </c>
      <c r="P155" s="2">
        <f>F155</f>
        <v>-2.06877328246657E-3</v>
      </c>
      <c r="Q155" s="2">
        <f>G155</f>
        <v>-2.5057468595976102E-3</v>
      </c>
      <c r="R155" s="2">
        <f>H155</f>
        <v>-2.7252132216555001E-3</v>
      </c>
      <c r="S155" s="2">
        <f>I155</f>
        <v>-2.6090900674959699E-3</v>
      </c>
      <c r="AD155" s="1">
        <f>LEFT(L155,4)+1</f>
        <v>2011</v>
      </c>
      <c r="AE155" s="2">
        <f>M155</f>
        <v>5.9432247091283003E-2</v>
      </c>
      <c r="AF155" s="2">
        <f>N155</f>
        <v>-3.62634158484811E-3</v>
      </c>
      <c r="AG155" s="2">
        <f>O155</f>
        <v>1.12410369790913E-2</v>
      </c>
      <c r="AH155" s="2">
        <f>P155</f>
        <v>-2.06877328246657E-3</v>
      </c>
      <c r="AI155" s="2">
        <f>Q155</f>
        <v>-2.5057468595976102E-3</v>
      </c>
      <c r="AJ155" s="2">
        <f>R155</f>
        <v>-2.7252132216555001E-3</v>
      </c>
      <c r="AK155" s="2">
        <f>S155</f>
        <v>-2.6090900674959699E-3</v>
      </c>
    </row>
    <row r="156" spans="1:37" ht="15" x14ac:dyDescent="0.25">
      <c r="A156" s="3">
        <v>40543</v>
      </c>
      <c r="B156" s="1" t="s">
        <v>54</v>
      </c>
      <c r="C156">
        <v>4.26904542872781E-2</v>
      </c>
      <c r="D156">
        <v>-3.6073327373363197E-2</v>
      </c>
      <c r="E156">
        <v>2.4090015843093698E-2</v>
      </c>
      <c r="F156">
        <v>7.3852652981611297E-3</v>
      </c>
      <c r="G156">
        <v>7.72928275918024E-3</v>
      </c>
      <c r="H156">
        <v>8.4887596903045395E-3</v>
      </c>
      <c r="I156">
        <v>8.0079965605882198E-3</v>
      </c>
      <c r="L156" s="1" t="str">
        <f>"20"&amp;RIGHT(B156,2)&amp;"Q"&amp;LEFT(B156,1)</f>
        <v>2010Q4</v>
      </c>
      <c r="M156" s="2">
        <f>C156</f>
        <v>4.26904542872781E-2</v>
      </c>
      <c r="N156" s="2">
        <f>D156/10</f>
        <v>-3.6073327373363196E-3</v>
      </c>
      <c r="O156" s="2">
        <f>E156</f>
        <v>2.4090015843093698E-2</v>
      </c>
      <c r="P156" s="2">
        <f>F156</f>
        <v>7.3852652981611297E-3</v>
      </c>
      <c r="Q156" s="2">
        <f>G156</f>
        <v>7.72928275918024E-3</v>
      </c>
      <c r="R156" s="2">
        <f>H156</f>
        <v>8.4887596903045395E-3</v>
      </c>
      <c r="S156" s="2">
        <f>I156</f>
        <v>8.0079965605882198E-3</v>
      </c>
      <c r="AD156" s="1">
        <f>LEFT(L156,4)+1</f>
        <v>2011</v>
      </c>
      <c r="AE156" s="2">
        <f>M156</f>
        <v>4.26904542872781E-2</v>
      </c>
      <c r="AF156" s="2">
        <f>N156</f>
        <v>-3.6073327373363196E-3</v>
      </c>
      <c r="AG156" s="2">
        <f>O156</f>
        <v>2.4090015843093698E-2</v>
      </c>
      <c r="AH156" s="2">
        <f>P156</f>
        <v>7.3852652981611297E-3</v>
      </c>
      <c r="AI156" s="2">
        <f>Q156</f>
        <v>7.72928275918024E-3</v>
      </c>
      <c r="AJ156" s="2">
        <f>R156</f>
        <v>8.4887596903045395E-3</v>
      </c>
      <c r="AK156" s="2">
        <f>S156</f>
        <v>8.0079965605882198E-3</v>
      </c>
    </row>
    <row r="157" spans="1:37" ht="15" x14ac:dyDescent="0.25">
      <c r="A157" s="3">
        <v>40633</v>
      </c>
      <c r="B157" s="1" t="s">
        <v>53</v>
      </c>
      <c r="C157">
        <v>-2.0559393152613601E-2</v>
      </c>
      <c r="D157">
        <v>-1.70731550010026E-2</v>
      </c>
      <c r="E157">
        <v>3.7003135417451601E-2</v>
      </c>
      <c r="F157">
        <v>2.00680126157292E-2</v>
      </c>
      <c r="G157">
        <v>1.9483384074450098E-2</v>
      </c>
      <c r="H157">
        <v>1.8442797033485399E-2</v>
      </c>
      <c r="I157">
        <v>1.78957054776391E-2</v>
      </c>
      <c r="L157" s="1" t="str">
        <f>"20"&amp;RIGHT(B157,2)&amp;"Q"&amp;LEFT(B157,1)</f>
        <v>2011Q1</v>
      </c>
      <c r="M157" s="2">
        <f>C157</f>
        <v>-2.0559393152613601E-2</v>
      </c>
      <c r="N157" s="2">
        <f>D157/10</f>
        <v>-1.7073155001002601E-3</v>
      </c>
      <c r="O157" s="2">
        <f>E157</f>
        <v>3.7003135417451601E-2</v>
      </c>
      <c r="P157" s="2">
        <f>F157</f>
        <v>2.00680126157292E-2</v>
      </c>
      <c r="Q157" s="2">
        <f>G157</f>
        <v>1.9483384074450098E-2</v>
      </c>
      <c r="R157" s="2">
        <f>H157</f>
        <v>1.8442797033485399E-2</v>
      </c>
      <c r="S157" s="2">
        <f>I157</f>
        <v>1.78957054776391E-2</v>
      </c>
      <c r="AD157" s="1">
        <f>LEFT(L157,4)+1</f>
        <v>2012</v>
      </c>
      <c r="AE157" s="2">
        <f>M157</f>
        <v>-2.0559393152613601E-2</v>
      </c>
      <c r="AF157" s="2">
        <f>N157</f>
        <v>-1.7073155001002601E-3</v>
      </c>
      <c r="AG157" s="2">
        <f>O157</f>
        <v>3.7003135417451601E-2</v>
      </c>
      <c r="AH157" s="2">
        <f>P157</f>
        <v>2.00680126157292E-2</v>
      </c>
      <c r="AI157" s="2">
        <f>Q157</f>
        <v>1.9483384074450098E-2</v>
      </c>
      <c r="AJ157" s="2">
        <f>R157</f>
        <v>1.8442797033485399E-2</v>
      </c>
      <c r="AK157" s="2">
        <f>S157</f>
        <v>1.78957054776391E-2</v>
      </c>
    </row>
    <row r="158" spans="1:37" ht="15" x14ac:dyDescent="0.25">
      <c r="A158" s="3">
        <v>40724</v>
      </c>
      <c r="B158" s="1" t="s">
        <v>52</v>
      </c>
      <c r="C158">
        <v>0.143008216601543</v>
      </c>
      <c r="D158">
        <v>-2.8273128206056201E-2</v>
      </c>
      <c r="E158">
        <v>5.56273320693743E-2</v>
      </c>
      <c r="F158">
        <v>3.1424407927767697E-2</v>
      </c>
      <c r="G158">
        <v>2.84781577650315E-2</v>
      </c>
      <c r="H158">
        <v>2.5735527769219599E-2</v>
      </c>
      <c r="I158">
        <v>2.31709975826155E-2</v>
      </c>
      <c r="L158" s="1" t="str">
        <f>"20"&amp;RIGHT(B158,2)&amp;"Q"&amp;LEFT(B158,1)</f>
        <v>2011Q2</v>
      </c>
      <c r="M158" s="2">
        <f>C158</f>
        <v>0.143008216601543</v>
      </c>
      <c r="N158" s="2">
        <f>D158/10</f>
        <v>-2.8273128206056201E-3</v>
      </c>
      <c r="O158" s="2">
        <f>E158</f>
        <v>5.56273320693743E-2</v>
      </c>
      <c r="P158" s="2">
        <f>F158</f>
        <v>3.1424407927767697E-2</v>
      </c>
      <c r="Q158" s="2">
        <f>G158</f>
        <v>2.84781577650315E-2</v>
      </c>
      <c r="R158" s="2">
        <f>H158</f>
        <v>2.5735527769219599E-2</v>
      </c>
      <c r="S158" s="2">
        <f>I158</f>
        <v>2.31709975826155E-2</v>
      </c>
      <c r="AD158" s="1">
        <f>LEFT(L158,4)+1</f>
        <v>2012</v>
      </c>
      <c r="AE158" s="2">
        <f>M158</f>
        <v>0.143008216601543</v>
      </c>
      <c r="AF158" s="2">
        <f>N158</f>
        <v>-2.8273128206056201E-3</v>
      </c>
      <c r="AG158" s="2">
        <f>O158</f>
        <v>5.56273320693743E-2</v>
      </c>
      <c r="AH158" s="2">
        <f>P158</f>
        <v>3.1424407927767697E-2</v>
      </c>
      <c r="AI158" s="2">
        <f>Q158</f>
        <v>2.84781577650315E-2</v>
      </c>
      <c r="AJ158" s="2">
        <f>R158</f>
        <v>2.5735527769219599E-2</v>
      </c>
      <c r="AK158" s="2">
        <f>S158</f>
        <v>2.31709975826155E-2</v>
      </c>
    </row>
    <row r="159" spans="1:37" ht="15" x14ac:dyDescent="0.25">
      <c r="A159" s="3">
        <v>40816</v>
      </c>
      <c r="B159" s="1" t="s">
        <v>51</v>
      </c>
      <c r="C159">
        <v>0.13236237018913499</v>
      </c>
      <c r="D159">
        <v>-0.103225964966635</v>
      </c>
      <c r="E159">
        <v>3.5548901652231603E-2</v>
      </c>
      <c r="F159">
        <v>-1.7733212816796701E-3</v>
      </c>
      <c r="G159">
        <v>-3.4547658667141001E-3</v>
      </c>
      <c r="H159">
        <v>-3.3335034823260999E-3</v>
      </c>
      <c r="I159">
        <v>-4.0983190522255897E-3</v>
      </c>
      <c r="L159" s="1" t="str">
        <f>"20"&amp;RIGHT(B159,2)&amp;"Q"&amp;LEFT(B159,1)</f>
        <v>2011Q3</v>
      </c>
      <c r="M159" s="2">
        <f>C159</f>
        <v>0.13236237018913499</v>
      </c>
      <c r="N159" s="2">
        <f>D159/10</f>
        <v>-1.03225964966635E-2</v>
      </c>
      <c r="O159" s="2">
        <f>E159</f>
        <v>3.5548901652231603E-2</v>
      </c>
      <c r="P159" s="2">
        <f>F159</f>
        <v>-1.7733212816796701E-3</v>
      </c>
      <c r="Q159" s="2">
        <f>G159</f>
        <v>-3.4547658667141001E-3</v>
      </c>
      <c r="R159" s="2">
        <f>H159</f>
        <v>-3.3335034823260999E-3</v>
      </c>
      <c r="S159" s="2">
        <f>I159</f>
        <v>-4.0983190522255897E-3</v>
      </c>
      <c r="AD159" s="1">
        <f>LEFT(L159,4)+1</f>
        <v>2012</v>
      </c>
      <c r="AE159" s="2">
        <f>M159</f>
        <v>0.13236237018913499</v>
      </c>
      <c r="AF159" s="2">
        <f>N159</f>
        <v>-1.03225964966635E-2</v>
      </c>
      <c r="AG159" s="2">
        <f>O159</f>
        <v>3.5548901652231603E-2</v>
      </c>
      <c r="AH159" s="2">
        <f>P159</f>
        <v>-1.7733212816796701E-3</v>
      </c>
      <c r="AI159" s="2">
        <f>Q159</f>
        <v>-3.4547658667141001E-3</v>
      </c>
      <c r="AJ159" s="2">
        <f>R159</f>
        <v>-3.3335034823260999E-3</v>
      </c>
      <c r="AK159" s="2">
        <f>S159</f>
        <v>-4.0983190522255897E-3</v>
      </c>
    </row>
    <row r="160" spans="1:37" ht="15" x14ac:dyDescent="0.25">
      <c r="A160" s="3">
        <v>40908</v>
      </c>
      <c r="B160" s="1" t="s">
        <v>50</v>
      </c>
      <c r="C160">
        <v>8.43407568231586E-2</v>
      </c>
      <c r="D160">
        <v>-0.14285197616390699</v>
      </c>
      <c r="E160">
        <v>3.3250628529609402E-2</v>
      </c>
      <c r="F160">
        <v>-1.28474672198592E-2</v>
      </c>
      <c r="G160">
        <v>-1.6698406972845001E-2</v>
      </c>
      <c r="H160">
        <v>-1.5538949416107801E-2</v>
      </c>
      <c r="I160">
        <v>-1.35512854039562E-2</v>
      </c>
      <c r="L160" s="1" t="str">
        <f>"20"&amp;RIGHT(B160,2)&amp;"Q"&amp;LEFT(B160,1)</f>
        <v>2011Q4</v>
      </c>
      <c r="M160" s="2">
        <f>C160</f>
        <v>8.43407568231586E-2</v>
      </c>
      <c r="N160" s="2">
        <f>D160/10</f>
        <v>-1.4285197616390698E-2</v>
      </c>
      <c r="O160" s="2">
        <f>E160</f>
        <v>3.3250628529609402E-2</v>
      </c>
      <c r="P160" s="2">
        <f>F160</f>
        <v>-1.28474672198592E-2</v>
      </c>
      <c r="Q160" s="2">
        <f>G160</f>
        <v>-1.6698406972845001E-2</v>
      </c>
      <c r="R160" s="2">
        <f>H160</f>
        <v>-1.5538949416107801E-2</v>
      </c>
      <c r="S160" s="2">
        <f>I160</f>
        <v>-1.35512854039562E-2</v>
      </c>
      <c r="AD160" s="1">
        <f>LEFT(L160,4)+1</f>
        <v>2012</v>
      </c>
      <c r="AE160" s="2">
        <f>M160</f>
        <v>8.43407568231586E-2</v>
      </c>
      <c r="AF160" s="2">
        <f>N160</f>
        <v>-1.4285197616390698E-2</v>
      </c>
      <c r="AG160" s="2">
        <f>O160</f>
        <v>3.3250628529609402E-2</v>
      </c>
      <c r="AH160" s="2">
        <f>P160</f>
        <v>-1.28474672198592E-2</v>
      </c>
      <c r="AI160" s="2">
        <f>Q160</f>
        <v>-1.6698406972845001E-2</v>
      </c>
      <c r="AJ160" s="2">
        <f>R160</f>
        <v>-1.5538949416107801E-2</v>
      </c>
      <c r="AK160" s="2">
        <f>S160</f>
        <v>-1.35512854039562E-2</v>
      </c>
    </row>
    <row r="161" spans="1:37" ht="15" x14ac:dyDescent="0.25">
      <c r="A161" s="3">
        <v>40999</v>
      </c>
      <c r="B161" s="1" t="s">
        <v>49</v>
      </c>
      <c r="C161">
        <v>-2.84894525700429E-2</v>
      </c>
      <c r="D161">
        <v>-2.4906281461304101E-2</v>
      </c>
      <c r="E161">
        <v>1.07107122758658E-2</v>
      </c>
      <c r="F161">
        <v>-1.44179226512904E-2</v>
      </c>
      <c r="G161">
        <v>-1.6323701097298901E-2</v>
      </c>
      <c r="H161">
        <v>-1.58730229547689E-2</v>
      </c>
      <c r="I161">
        <v>-1.4198597703980499E-2</v>
      </c>
      <c r="L161" s="1" t="str">
        <f>"20"&amp;RIGHT(B161,2)&amp;"Q"&amp;LEFT(B161,1)</f>
        <v>2012Q1</v>
      </c>
      <c r="M161" s="2">
        <f>C161</f>
        <v>-2.84894525700429E-2</v>
      </c>
      <c r="N161" s="2">
        <f>D161/10</f>
        <v>-2.4906281461304102E-3</v>
      </c>
      <c r="O161" s="2">
        <f>E161</f>
        <v>1.07107122758658E-2</v>
      </c>
      <c r="P161" s="2">
        <f>F161</f>
        <v>-1.44179226512904E-2</v>
      </c>
      <c r="Q161" s="2">
        <f>G161</f>
        <v>-1.6323701097298901E-2</v>
      </c>
      <c r="R161" s="2">
        <f>H161</f>
        <v>-1.58730229547689E-2</v>
      </c>
      <c r="S161" s="2">
        <f>I161</f>
        <v>-1.4198597703980499E-2</v>
      </c>
      <c r="AD161" s="1">
        <f>LEFT(L161,4)+1</f>
        <v>2013</v>
      </c>
      <c r="AE161" s="2">
        <f>M161</f>
        <v>-2.84894525700429E-2</v>
      </c>
      <c r="AF161" s="2">
        <f>N161</f>
        <v>-2.4906281461304102E-3</v>
      </c>
      <c r="AG161" s="2">
        <f>O161</f>
        <v>1.07107122758658E-2</v>
      </c>
      <c r="AH161" s="2">
        <f>P161</f>
        <v>-1.44179226512904E-2</v>
      </c>
      <c r="AI161" s="2">
        <f>Q161</f>
        <v>-1.6323701097298901E-2</v>
      </c>
      <c r="AJ161" s="2">
        <f>R161</f>
        <v>-1.58730229547689E-2</v>
      </c>
      <c r="AK161" s="2">
        <f>S161</f>
        <v>-1.4198597703980499E-2</v>
      </c>
    </row>
    <row r="162" spans="1:37" ht="15" x14ac:dyDescent="0.25">
      <c r="A162" s="3">
        <v>41090</v>
      </c>
      <c r="B162" s="1" t="s">
        <v>48</v>
      </c>
      <c r="C162">
        <v>0.13316222068410299</v>
      </c>
      <c r="D162">
        <v>-6.7581535481524803E-3</v>
      </c>
      <c r="E162">
        <v>-2.7147848252600799E-3</v>
      </c>
      <c r="F162">
        <v>-1.3109601347184901E-2</v>
      </c>
      <c r="G162">
        <v>-1.5735684586260599E-2</v>
      </c>
      <c r="H162">
        <v>-1.5820559235370599E-2</v>
      </c>
      <c r="I162">
        <v>-1.4901572920317799E-2</v>
      </c>
      <c r="L162" s="1" t="str">
        <f>"20"&amp;RIGHT(B162,2)&amp;"Q"&amp;LEFT(B162,1)</f>
        <v>2012Q2</v>
      </c>
      <c r="M162" s="2">
        <f>C162</f>
        <v>0.13316222068410299</v>
      </c>
      <c r="N162" s="2">
        <f>D162/10</f>
        <v>-6.75815354815248E-4</v>
      </c>
      <c r="O162" s="2">
        <f>E162</f>
        <v>-2.7147848252600799E-3</v>
      </c>
      <c r="P162" s="2">
        <f>F162</f>
        <v>-1.3109601347184901E-2</v>
      </c>
      <c r="Q162" s="2">
        <f>G162</f>
        <v>-1.5735684586260599E-2</v>
      </c>
      <c r="R162" s="2">
        <f>H162</f>
        <v>-1.5820559235370599E-2</v>
      </c>
      <c r="S162" s="2">
        <f>I162</f>
        <v>-1.4901572920317799E-2</v>
      </c>
      <c r="AD162" s="1">
        <f>LEFT(L162,4)+1</f>
        <v>2013</v>
      </c>
      <c r="AE162" s="2">
        <f>M162</f>
        <v>0.13316222068410299</v>
      </c>
      <c r="AF162" s="2">
        <f>N162</f>
        <v>-6.75815354815248E-4</v>
      </c>
      <c r="AG162" s="2">
        <f>O162</f>
        <v>-2.7147848252600799E-3</v>
      </c>
      <c r="AH162" s="2">
        <f>P162</f>
        <v>-1.3109601347184901E-2</v>
      </c>
      <c r="AI162" s="2">
        <f>Q162</f>
        <v>-1.5735684586260599E-2</v>
      </c>
      <c r="AJ162" s="2">
        <f>R162</f>
        <v>-1.5820559235370599E-2</v>
      </c>
      <c r="AK162" s="2">
        <f>S162</f>
        <v>-1.4901572920317799E-2</v>
      </c>
    </row>
    <row r="163" spans="1:37" ht="15" x14ac:dyDescent="0.25">
      <c r="A163" s="3">
        <v>41182</v>
      </c>
      <c r="B163" s="1" t="s">
        <v>47</v>
      </c>
      <c r="C163">
        <v>0.124236900254334</v>
      </c>
      <c r="D163">
        <v>3.1650895183433698E-3</v>
      </c>
      <c r="E163">
        <v>-4.1988574005580297E-3</v>
      </c>
      <c r="F163">
        <v>-1.29407270920612E-2</v>
      </c>
      <c r="G163">
        <v>-1.55745744885283E-2</v>
      </c>
      <c r="H163">
        <v>-1.5643877008115498E-2</v>
      </c>
      <c r="I163">
        <v>-1.4838968477251999E-2</v>
      </c>
      <c r="L163" s="1" t="str">
        <f>"20"&amp;RIGHT(B163,2)&amp;"Q"&amp;LEFT(B163,1)</f>
        <v>2012Q3</v>
      </c>
      <c r="M163" s="2">
        <f>C163</f>
        <v>0.124236900254334</v>
      </c>
      <c r="N163" s="2">
        <f>D163/10</f>
        <v>3.16508951834337E-4</v>
      </c>
      <c r="O163" s="2">
        <f>E163</f>
        <v>-4.1988574005580297E-3</v>
      </c>
      <c r="P163" s="2">
        <f>F163</f>
        <v>-1.29407270920612E-2</v>
      </c>
      <c r="Q163" s="2">
        <f>G163</f>
        <v>-1.55745744885283E-2</v>
      </c>
      <c r="R163" s="2">
        <f>H163</f>
        <v>-1.5643877008115498E-2</v>
      </c>
      <c r="S163" s="2">
        <f>I163</f>
        <v>-1.4838968477251999E-2</v>
      </c>
      <c r="AD163" s="1">
        <f>LEFT(L163,4)+1</f>
        <v>2013</v>
      </c>
      <c r="AE163" s="2">
        <f>M163</f>
        <v>0.124236900254334</v>
      </c>
      <c r="AF163" s="2">
        <f>N163</f>
        <v>3.16508951834337E-4</v>
      </c>
      <c r="AG163" s="2">
        <f>O163</f>
        <v>-4.1988574005580297E-3</v>
      </c>
      <c r="AH163" s="2">
        <f>P163</f>
        <v>-1.29407270920612E-2</v>
      </c>
      <c r="AI163" s="2">
        <f>Q163</f>
        <v>-1.55745744885283E-2</v>
      </c>
      <c r="AJ163" s="2">
        <f>R163</f>
        <v>-1.5643877008115498E-2</v>
      </c>
      <c r="AK163" s="2">
        <f>S163</f>
        <v>-1.4838968477251999E-2</v>
      </c>
    </row>
    <row r="164" spans="1:37" ht="15" x14ac:dyDescent="0.25">
      <c r="A164" s="3">
        <v>41274</v>
      </c>
      <c r="B164" s="1" t="s">
        <v>46</v>
      </c>
      <c r="C164">
        <v>0.18903261558874301</v>
      </c>
      <c r="D164">
        <v>-3.4058528135477001E-3</v>
      </c>
      <c r="E164">
        <v>9.4315756418121999E-4</v>
      </c>
      <c r="F164">
        <v>-3.3565681443372998E-3</v>
      </c>
      <c r="G164">
        <v>-6.9603588650439096E-3</v>
      </c>
      <c r="H164">
        <v>-7.7959018512562201E-3</v>
      </c>
      <c r="I164">
        <v>-7.7673557517737501E-3</v>
      </c>
      <c r="L164" s="1" t="str">
        <f>"20"&amp;RIGHT(B164,2)&amp;"Q"&amp;LEFT(B164,1)</f>
        <v>2012Q4</v>
      </c>
      <c r="M164" s="2">
        <f>C164</f>
        <v>0.18903261558874301</v>
      </c>
      <c r="N164" s="2">
        <f>D164/10</f>
        <v>-3.4058528135477001E-4</v>
      </c>
      <c r="O164" s="2">
        <f>E164</f>
        <v>9.4315756418121999E-4</v>
      </c>
      <c r="P164" s="2">
        <f>F164</f>
        <v>-3.3565681443372998E-3</v>
      </c>
      <c r="Q164" s="2">
        <f>G164</f>
        <v>-6.9603588650439096E-3</v>
      </c>
      <c r="R164" s="2">
        <f>H164</f>
        <v>-7.7959018512562201E-3</v>
      </c>
      <c r="S164" s="2">
        <f>I164</f>
        <v>-7.7673557517737501E-3</v>
      </c>
      <c r="AD164" s="1">
        <f>LEFT(L164,4)+1</f>
        <v>2013</v>
      </c>
      <c r="AE164" s="2">
        <f>M164</f>
        <v>0.18903261558874301</v>
      </c>
      <c r="AF164" s="2">
        <f>N164</f>
        <v>-3.4058528135477001E-4</v>
      </c>
      <c r="AG164" s="2">
        <f>O164</f>
        <v>9.4315756418121999E-4</v>
      </c>
      <c r="AH164" s="2">
        <f>P164</f>
        <v>-3.3565681443372998E-3</v>
      </c>
      <c r="AI164" s="2">
        <f>Q164</f>
        <v>-6.9603588650439096E-3</v>
      </c>
      <c r="AJ164" s="2">
        <f>R164</f>
        <v>-7.7959018512562201E-3</v>
      </c>
      <c r="AK164" s="2">
        <f>S164</f>
        <v>-7.7673557517737501E-3</v>
      </c>
    </row>
    <row r="165" spans="1:37" ht="15" x14ac:dyDescent="0.25">
      <c r="A165" s="3">
        <v>41364</v>
      </c>
      <c r="B165" s="1" t="s">
        <v>45</v>
      </c>
      <c r="C165">
        <v>0.26863732531501</v>
      </c>
      <c r="D165">
        <v>1.07516793924588E-2</v>
      </c>
      <c r="E165">
        <v>1.4922802208688199E-2</v>
      </c>
      <c r="F165">
        <v>4.8401467666106196E-3</v>
      </c>
      <c r="G165">
        <v>1.24040170057407E-3</v>
      </c>
      <c r="H165">
        <v>-1.2889374624605199E-3</v>
      </c>
      <c r="I165">
        <v>-2.9267718725164301E-3</v>
      </c>
      <c r="L165" s="1" t="str">
        <f>"20"&amp;RIGHT(B165,2)&amp;"Q"&amp;LEFT(B165,1)</f>
        <v>2013Q1</v>
      </c>
      <c r="M165" s="2">
        <f>C165</f>
        <v>0.26863732531501</v>
      </c>
      <c r="N165" s="2">
        <f>D165/10</f>
        <v>1.07516793924588E-3</v>
      </c>
      <c r="O165" s="2">
        <f>E165</f>
        <v>1.4922802208688199E-2</v>
      </c>
      <c r="P165" s="2">
        <f>F165</f>
        <v>4.8401467666106196E-3</v>
      </c>
      <c r="Q165" s="2">
        <f>G165</f>
        <v>1.24040170057407E-3</v>
      </c>
      <c r="R165" s="2">
        <f>H165</f>
        <v>-1.2889374624605199E-3</v>
      </c>
      <c r="S165" s="2">
        <f>I165</f>
        <v>-2.9267718725164301E-3</v>
      </c>
      <c r="AD165" s="1">
        <f>LEFT(L165,4)+1</f>
        <v>2014</v>
      </c>
      <c r="AE165" s="2">
        <f>M165</f>
        <v>0.26863732531501</v>
      </c>
      <c r="AF165" s="2">
        <f>N165</f>
        <v>1.07516793924588E-3</v>
      </c>
      <c r="AG165" s="2">
        <f>O165</f>
        <v>1.4922802208688199E-2</v>
      </c>
      <c r="AH165" s="2">
        <f>P165</f>
        <v>4.8401467666106196E-3</v>
      </c>
      <c r="AI165" s="2">
        <f>Q165</f>
        <v>1.24040170057407E-3</v>
      </c>
      <c r="AJ165" s="2">
        <f>R165</f>
        <v>-1.2889374624605199E-3</v>
      </c>
      <c r="AK165" s="2">
        <f>S165</f>
        <v>-2.9267718725164301E-3</v>
      </c>
    </row>
    <row r="166" spans="1:37" ht="15" x14ac:dyDescent="0.25">
      <c r="A166" s="3">
        <v>41455</v>
      </c>
      <c r="B166" s="1" t="s">
        <v>44</v>
      </c>
      <c r="C166">
        <v>0.158751939138048</v>
      </c>
      <c r="D166">
        <v>-1.02772822732889E-3</v>
      </c>
      <c r="E166">
        <v>2.1697724939497899E-3</v>
      </c>
      <c r="F166">
        <v>-4.9839973723782103E-3</v>
      </c>
      <c r="G166">
        <v>-7.8528720969830695E-3</v>
      </c>
      <c r="H166">
        <v>-9.2651156479417792E-3</v>
      </c>
      <c r="I166">
        <v>-9.4139004550053001E-3</v>
      </c>
      <c r="L166" s="1" t="str">
        <f>"20"&amp;RIGHT(B166,2)&amp;"Q"&amp;LEFT(B166,1)</f>
        <v>2013Q2</v>
      </c>
      <c r="M166" s="2">
        <f>C166</f>
        <v>0.158751939138048</v>
      </c>
      <c r="N166" s="2">
        <f>D166/10</f>
        <v>-1.02772822732889E-4</v>
      </c>
      <c r="O166" s="2">
        <f>E166</f>
        <v>2.1697724939497899E-3</v>
      </c>
      <c r="P166" s="2">
        <f>F166</f>
        <v>-4.9839973723782103E-3</v>
      </c>
      <c r="Q166" s="2">
        <f>G166</f>
        <v>-7.8528720969830695E-3</v>
      </c>
      <c r="R166" s="2">
        <f>H166</f>
        <v>-9.2651156479417792E-3</v>
      </c>
      <c r="S166" s="2">
        <f>I166</f>
        <v>-9.4139004550053001E-3</v>
      </c>
      <c r="AD166" s="1">
        <f>LEFT(L166,4)+1</f>
        <v>2014</v>
      </c>
      <c r="AE166" s="2">
        <f>M166</f>
        <v>0.158751939138048</v>
      </c>
      <c r="AF166" s="2">
        <f>N166</f>
        <v>-1.02772822732889E-4</v>
      </c>
      <c r="AG166" s="2">
        <f>O166</f>
        <v>2.1697724939497899E-3</v>
      </c>
      <c r="AH166" s="2">
        <f>P166</f>
        <v>-4.9839973723782103E-3</v>
      </c>
      <c r="AI166" s="2">
        <f>Q166</f>
        <v>-7.8528720969830695E-3</v>
      </c>
      <c r="AJ166" s="2">
        <f>R166</f>
        <v>-9.2651156479417792E-3</v>
      </c>
      <c r="AK166" s="2">
        <f>S166</f>
        <v>-9.4139004550053001E-3</v>
      </c>
    </row>
    <row r="167" spans="1:37" ht="15" x14ac:dyDescent="0.25">
      <c r="A167" s="3">
        <v>41547</v>
      </c>
      <c r="B167" s="1" t="s">
        <v>43</v>
      </c>
      <c r="C167">
        <v>0.13650560478849399</v>
      </c>
      <c r="D167">
        <v>-2.8944540043666302E-3</v>
      </c>
      <c r="E167">
        <v>2.1878837515110498E-3</v>
      </c>
      <c r="F167">
        <v>-1.0813045013817199E-3</v>
      </c>
      <c r="G167">
        <v>-2.5208478617714798E-3</v>
      </c>
      <c r="H167">
        <v>-4.4467807962507398E-3</v>
      </c>
      <c r="I167">
        <v>-4.9134828316064602E-3</v>
      </c>
      <c r="L167" s="1" t="str">
        <f>"20"&amp;RIGHT(B167,2)&amp;"Q"&amp;LEFT(B167,1)</f>
        <v>2013Q3</v>
      </c>
      <c r="M167" s="2">
        <f>C167</f>
        <v>0.13650560478849399</v>
      </c>
      <c r="N167" s="2">
        <f>D167/10</f>
        <v>-2.8944540043666304E-4</v>
      </c>
      <c r="O167" s="2">
        <f>E167</f>
        <v>2.1878837515110498E-3</v>
      </c>
      <c r="P167" s="2">
        <f>F167</f>
        <v>-1.0813045013817199E-3</v>
      </c>
      <c r="Q167" s="2">
        <f>G167</f>
        <v>-2.5208478617714798E-3</v>
      </c>
      <c r="R167" s="2">
        <f>H167</f>
        <v>-4.4467807962507398E-3</v>
      </c>
      <c r="S167" s="2">
        <f>I167</f>
        <v>-4.9134828316064602E-3</v>
      </c>
      <c r="AD167" s="1">
        <f>LEFT(L167,4)+1</f>
        <v>2014</v>
      </c>
      <c r="AE167" s="2">
        <f>M167</f>
        <v>0.13650560478849399</v>
      </c>
      <c r="AF167" s="2">
        <f>N167</f>
        <v>-2.8944540043666304E-4</v>
      </c>
      <c r="AG167" s="2">
        <f>O167</f>
        <v>2.1878837515110498E-3</v>
      </c>
      <c r="AH167" s="2">
        <f>P167</f>
        <v>-1.0813045013817199E-3</v>
      </c>
      <c r="AI167" s="2">
        <f>Q167</f>
        <v>-2.5208478617714798E-3</v>
      </c>
      <c r="AJ167" s="2">
        <f>R167</f>
        <v>-4.4467807962507398E-3</v>
      </c>
      <c r="AK167" s="2">
        <f>S167</f>
        <v>-4.9134828316064602E-3</v>
      </c>
    </row>
    <row r="168" spans="1:37" ht="15" x14ac:dyDescent="0.25">
      <c r="A168" s="3">
        <v>41639</v>
      </c>
      <c r="B168" s="1" t="s">
        <v>42</v>
      </c>
      <c r="C168">
        <v>0.13299804474565399</v>
      </c>
      <c r="D168">
        <v>2.77357662958235E-3</v>
      </c>
      <c r="E168">
        <v>1.08651050927386E-2</v>
      </c>
      <c r="F168">
        <v>5.3106546481543199E-3</v>
      </c>
      <c r="G168">
        <v>1.5121663349599501E-3</v>
      </c>
      <c r="H168">
        <v>-5.0207309344443504E-4</v>
      </c>
      <c r="I168">
        <v>-1.63189364510644E-3</v>
      </c>
      <c r="L168" s="1" t="str">
        <f>"20"&amp;RIGHT(B168,2)&amp;"Q"&amp;LEFT(B168,1)</f>
        <v>2013Q4</v>
      </c>
      <c r="M168" s="2">
        <f>C168</f>
        <v>0.13299804474565399</v>
      </c>
      <c r="N168" s="2">
        <f>D168/10</f>
        <v>2.7735766295823502E-4</v>
      </c>
      <c r="O168" s="2">
        <f>E168</f>
        <v>1.08651050927386E-2</v>
      </c>
      <c r="P168" s="2">
        <f>F168</f>
        <v>5.3106546481543199E-3</v>
      </c>
      <c r="Q168" s="2">
        <f>G168</f>
        <v>1.5121663349599501E-3</v>
      </c>
      <c r="R168" s="2">
        <f>H168</f>
        <v>-5.0207309344443504E-4</v>
      </c>
      <c r="S168" s="2">
        <f>I168</f>
        <v>-1.63189364510644E-3</v>
      </c>
      <c r="AD168" s="1">
        <f>LEFT(L168,4)+1</f>
        <v>2014</v>
      </c>
      <c r="AE168" s="2">
        <f>M168</f>
        <v>0.13299804474565399</v>
      </c>
      <c r="AF168" s="2">
        <f>N168</f>
        <v>2.7735766295823502E-4</v>
      </c>
      <c r="AG168" s="2">
        <f>O168</f>
        <v>1.08651050927386E-2</v>
      </c>
      <c r="AH168" s="2">
        <f>P168</f>
        <v>5.3106546481543199E-3</v>
      </c>
      <c r="AI168" s="2">
        <f>Q168</f>
        <v>1.5121663349599501E-3</v>
      </c>
      <c r="AJ168" s="2">
        <f>R168</f>
        <v>-5.0207309344443504E-4</v>
      </c>
      <c r="AK168" s="2">
        <f>S168</f>
        <v>-1.63189364510644E-3</v>
      </c>
    </row>
    <row r="169" spans="1:37" ht="15" x14ac:dyDescent="0.25">
      <c r="A169" s="3">
        <v>41729</v>
      </c>
      <c r="B169" s="1" t="s">
        <v>41</v>
      </c>
      <c r="C169">
        <v>0.27751354444445298</v>
      </c>
      <c r="D169">
        <v>3.0972878917172701E-3</v>
      </c>
      <c r="E169">
        <v>2.2782337640927401E-2</v>
      </c>
      <c r="F169">
        <v>1.17372313631267E-2</v>
      </c>
      <c r="G169">
        <v>6.7854201947896197E-3</v>
      </c>
      <c r="H169">
        <v>4.1764029214087098E-3</v>
      </c>
      <c r="I169">
        <v>2.2782925008483202E-3</v>
      </c>
      <c r="L169" s="1" t="str">
        <f>"20"&amp;RIGHT(B169,2)&amp;"Q"&amp;LEFT(B169,1)</f>
        <v>2014Q1</v>
      </c>
      <c r="M169" s="2">
        <f>C169</f>
        <v>0.27751354444445298</v>
      </c>
      <c r="N169" s="2">
        <f>D169/10</f>
        <v>3.0972878917172699E-4</v>
      </c>
      <c r="O169" s="2">
        <f>E169</f>
        <v>2.2782337640927401E-2</v>
      </c>
      <c r="P169" s="2">
        <f>F169</f>
        <v>1.17372313631267E-2</v>
      </c>
      <c r="Q169" s="2">
        <f>G169</f>
        <v>6.7854201947896197E-3</v>
      </c>
      <c r="R169" s="2">
        <f>H169</f>
        <v>4.1764029214087098E-3</v>
      </c>
      <c r="S169" s="2">
        <f>I169</f>
        <v>2.2782925008483202E-3</v>
      </c>
      <c r="AD169" s="1">
        <f>LEFT(L169,4)+1</f>
        <v>2015</v>
      </c>
      <c r="AE169" s="2">
        <f>M169</f>
        <v>0.27751354444445298</v>
      </c>
      <c r="AF169" s="2">
        <f>N169</f>
        <v>3.0972878917172699E-4</v>
      </c>
      <c r="AG169" s="2">
        <f>O169</f>
        <v>2.2782337640927401E-2</v>
      </c>
      <c r="AH169" s="2">
        <f>P169</f>
        <v>1.17372313631267E-2</v>
      </c>
      <c r="AI169" s="2">
        <f>Q169</f>
        <v>6.7854201947896197E-3</v>
      </c>
      <c r="AJ169" s="2">
        <f>R169</f>
        <v>4.1764029214087098E-3</v>
      </c>
      <c r="AK169" s="2">
        <f>S169</f>
        <v>2.2782925008483202E-3</v>
      </c>
    </row>
    <row r="170" spans="1:37" ht="15" x14ac:dyDescent="0.25">
      <c r="A170" s="3">
        <v>41820</v>
      </c>
      <c r="B170" s="1" t="s">
        <v>40</v>
      </c>
      <c r="C170">
        <v>0.17781995286097399</v>
      </c>
      <c r="D170">
        <v>1.8147684666897299E-2</v>
      </c>
      <c r="E170">
        <v>3.74405707678796E-2</v>
      </c>
      <c r="F170">
        <v>2.58274979811727E-2</v>
      </c>
      <c r="G170">
        <v>1.9652119037593299E-2</v>
      </c>
      <c r="H170">
        <v>1.5460289927887999E-2</v>
      </c>
      <c r="I170">
        <v>1.15825236752979E-2</v>
      </c>
      <c r="L170" s="1" t="str">
        <f>"20"&amp;RIGHT(B170,2)&amp;"Q"&amp;LEFT(B170,1)</f>
        <v>2014Q2</v>
      </c>
      <c r="M170" s="2">
        <f>C170</f>
        <v>0.17781995286097399</v>
      </c>
      <c r="N170" s="2">
        <f>D170/10</f>
        <v>1.8147684666897299E-3</v>
      </c>
      <c r="O170" s="2">
        <f>E170</f>
        <v>3.74405707678796E-2</v>
      </c>
      <c r="P170" s="2">
        <f>F170</f>
        <v>2.58274979811727E-2</v>
      </c>
      <c r="Q170" s="2">
        <f>G170</f>
        <v>1.9652119037593299E-2</v>
      </c>
      <c r="R170" s="2">
        <f>H170</f>
        <v>1.5460289927887999E-2</v>
      </c>
      <c r="S170" s="2">
        <f>I170</f>
        <v>1.15825236752979E-2</v>
      </c>
      <c r="AD170" s="1">
        <f>LEFT(L170,4)+1</f>
        <v>2015</v>
      </c>
      <c r="AE170" s="2">
        <f>M170</f>
        <v>0.17781995286097399</v>
      </c>
      <c r="AF170" s="2">
        <f>N170</f>
        <v>1.8147684666897299E-3</v>
      </c>
      <c r="AG170" s="2">
        <f>O170</f>
        <v>3.74405707678796E-2</v>
      </c>
      <c r="AH170" s="2">
        <f>P170</f>
        <v>2.58274979811727E-2</v>
      </c>
      <c r="AI170" s="2">
        <f>Q170</f>
        <v>1.9652119037593299E-2</v>
      </c>
      <c r="AJ170" s="2">
        <f>R170</f>
        <v>1.5460289927887999E-2</v>
      </c>
      <c r="AK170" s="2">
        <f>S170</f>
        <v>1.15825236752979E-2</v>
      </c>
    </row>
    <row r="171" spans="1:37" ht="15" x14ac:dyDescent="0.25">
      <c r="A171" s="3">
        <v>41912</v>
      </c>
      <c r="B171" s="1" t="s">
        <v>39</v>
      </c>
      <c r="C171">
        <v>0.102443780762229</v>
      </c>
      <c r="D171">
        <v>1.7626296539229099E-2</v>
      </c>
      <c r="E171">
        <v>1.6756378399511301E-2</v>
      </c>
      <c r="F171">
        <v>5.26940860685432E-3</v>
      </c>
      <c r="G171">
        <v>2.5843991118115E-3</v>
      </c>
      <c r="H171">
        <v>1.67441029355589E-3</v>
      </c>
      <c r="I171">
        <v>-7.93694701661729E-4</v>
      </c>
      <c r="L171" s="1" t="str">
        <f>"20"&amp;RIGHT(B171,2)&amp;"Q"&amp;LEFT(B171,1)</f>
        <v>2014Q3</v>
      </c>
      <c r="M171" s="2">
        <f>C171</f>
        <v>0.102443780762229</v>
      </c>
      <c r="N171" s="2">
        <f>D171/10</f>
        <v>1.7626296539229099E-3</v>
      </c>
      <c r="O171" s="2">
        <f>E171</f>
        <v>1.6756378399511301E-2</v>
      </c>
      <c r="P171" s="2">
        <f>F171</f>
        <v>5.26940860685432E-3</v>
      </c>
      <c r="Q171" s="2">
        <f>G171</f>
        <v>2.5843991118115E-3</v>
      </c>
      <c r="R171" s="2">
        <f>H171</f>
        <v>1.67441029355589E-3</v>
      </c>
      <c r="S171" s="2">
        <f>I171</f>
        <v>-7.93694701661729E-4</v>
      </c>
      <c r="AD171" s="1">
        <f>LEFT(L171,4)+1</f>
        <v>2015</v>
      </c>
      <c r="AE171" s="2">
        <f>M171</f>
        <v>0.102443780762229</v>
      </c>
      <c r="AF171" s="2">
        <f>N171</f>
        <v>1.7626296539229099E-3</v>
      </c>
      <c r="AG171" s="2">
        <f>O171</f>
        <v>1.6756378399511301E-2</v>
      </c>
      <c r="AH171" s="2">
        <f>P171</f>
        <v>5.26940860685432E-3</v>
      </c>
      <c r="AI171" s="2">
        <f>Q171</f>
        <v>2.5843991118115E-3</v>
      </c>
      <c r="AJ171" s="2">
        <f>R171</f>
        <v>1.67441029355589E-3</v>
      </c>
      <c r="AK171" s="2">
        <f>S171</f>
        <v>-7.93694701661729E-4</v>
      </c>
    </row>
    <row r="172" spans="1:37" ht="15" x14ac:dyDescent="0.25">
      <c r="A172" s="3">
        <v>42004</v>
      </c>
      <c r="B172" s="1" t="s">
        <v>38</v>
      </c>
      <c r="C172">
        <v>0.10405252587354399</v>
      </c>
      <c r="D172">
        <v>4.31900702419706E-2</v>
      </c>
      <c r="E172">
        <v>2.60469622004143E-2</v>
      </c>
      <c r="F172">
        <v>1.8187361170142899E-2</v>
      </c>
      <c r="G172">
        <v>1.4218391060141101E-2</v>
      </c>
      <c r="H172">
        <v>1.1721127858108899E-2</v>
      </c>
      <c r="I172">
        <v>7.5540169389795003E-3</v>
      </c>
      <c r="L172" s="1" t="str">
        <f>"20"&amp;RIGHT(B172,2)&amp;"Q"&amp;LEFT(B172,1)</f>
        <v>2014Q4</v>
      </c>
      <c r="M172" s="2">
        <f>C172</f>
        <v>0.10405252587354399</v>
      </c>
      <c r="N172" s="2">
        <f>D172/10</f>
        <v>4.3190070241970599E-3</v>
      </c>
      <c r="O172" s="2">
        <f>E172</f>
        <v>2.60469622004143E-2</v>
      </c>
      <c r="P172" s="2">
        <f>F172</f>
        <v>1.8187361170142899E-2</v>
      </c>
      <c r="Q172" s="2">
        <f>G172</f>
        <v>1.4218391060141101E-2</v>
      </c>
      <c r="R172" s="2">
        <f>H172</f>
        <v>1.1721127858108899E-2</v>
      </c>
      <c r="S172" s="2">
        <f>I172</f>
        <v>7.5540169389795003E-3</v>
      </c>
      <c r="AD172" s="1">
        <f>LEFT(L172,4)+1</f>
        <v>2015</v>
      </c>
      <c r="AE172" s="2">
        <f>M172</f>
        <v>0.10405252587354399</v>
      </c>
      <c r="AF172" s="2">
        <f>N172</f>
        <v>4.3190070241970599E-3</v>
      </c>
      <c r="AG172" s="2">
        <f>O172</f>
        <v>2.60469622004143E-2</v>
      </c>
      <c r="AH172" s="2">
        <f>P172</f>
        <v>1.8187361170142899E-2</v>
      </c>
      <c r="AI172" s="2">
        <f>Q172</f>
        <v>1.4218391060141101E-2</v>
      </c>
      <c r="AJ172" s="2">
        <f>R172</f>
        <v>1.1721127858108899E-2</v>
      </c>
      <c r="AK172" s="2">
        <f>S172</f>
        <v>7.5540169389795003E-3</v>
      </c>
    </row>
    <row r="173" spans="1:37" ht="15" x14ac:dyDescent="0.25">
      <c r="A173" s="3">
        <v>42094</v>
      </c>
      <c r="B173" s="1" t="s">
        <v>37</v>
      </c>
      <c r="C173">
        <v>0.24105884806757599</v>
      </c>
      <c r="D173">
        <v>3.72478837036938E-2</v>
      </c>
      <c r="E173">
        <v>3.1623425723236502E-2</v>
      </c>
      <c r="F173">
        <v>2.3476193488177002E-2</v>
      </c>
      <c r="G173">
        <v>1.8343151751158401E-2</v>
      </c>
      <c r="H173">
        <v>1.45496978630913E-2</v>
      </c>
      <c r="I173">
        <v>1.02874642415656E-2</v>
      </c>
      <c r="L173" s="1" t="str">
        <f>"20"&amp;RIGHT(B173,2)&amp;"Q"&amp;LEFT(B173,1)</f>
        <v>2015Q1</v>
      </c>
      <c r="M173" s="2">
        <f>C173</f>
        <v>0.24105884806757599</v>
      </c>
      <c r="N173" s="2">
        <f>D173/10</f>
        <v>3.7247883703693798E-3</v>
      </c>
      <c r="O173" s="2">
        <f>E173</f>
        <v>3.1623425723236502E-2</v>
      </c>
      <c r="P173" s="2">
        <f>F173</f>
        <v>2.3476193488177002E-2</v>
      </c>
      <c r="Q173" s="2">
        <f>G173</f>
        <v>1.8343151751158401E-2</v>
      </c>
      <c r="R173" s="2">
        <f>H173</f>
        <v>1.45496978630913E-2</v>
      </c>
      <c r="S173" s="2">
        <f>I173</f>
        <v>1.02874642415656E-2</v>
      </c>
      <c r="AD173" s="1">
        <f>LEFT(L173,4)+1</f>
        <v>2016</v>
      </c>
      <c r="AE173" s="2">
        <f>M173</f>
        <v>0.24105884806757599</v>
      </c>
      <c r="AF173" s="2">
        <f>N173</f>
        <v>3.7247883703693798E-3</v>
      </c>
      <c r="AG173" s="2">
        <f>O173</f>
        <v>3.1623425723236502E-2</v>
      </c>
      <c r="AH173" s="2">
        <f>P173</f>
        <v>2.3476193488177002E-2</v>
      </c>
      <c r="AI173" s="2">
        <f>Q173</f>
        <v>1.8343151751158401E-2</v>
      </c>
      <c r="AJ173" s="2">
        <f>R173</f>
        <v>1.45496978630913E-2</v>
      </c>
      <c r="AK173" s="2">
        <f>S173</f>
        <v>1.02874642415656E-2</v>
      </c>
    </row>
    <row r="174" spans="1:37" ht="15" x14ac:dyDescent="0.25">
      <c r="A174" s="3">
        <v>42185</v>
      </c>
      <c r="B174" s="1" t="s">
        <v>36</v>
      </c>
      <c r="C174">
        <v>6.1048571799659598E-2</v>
      </c>
      <c r="D174">
        <v>-4.07704815154648E-3</v>
      </c>
      <c r="E174">
        <v>1.42391802709736E-2</v>
      </c>
      <c r="F174">
        <v>8.2170303647824908E-3</v>
      </c>
      <c r="G174">
        <v>6.0117168753340599E-3</v>
      </c>
      <c r="H174">
        <v>4.4184659474622197E-3</v>
      </c>
      <c r="I174">
        <v>2.5955655482279199E-3</v>
      </c>
      <c r="L174" s="1" t="str">
        <f>"20"&amp;RIGHT(B174,2)&amp;"Q"&amp;LEFT(B174,1)</f>
        <v>2015Q2</v>
      </c>
      <c r="M174" s="2">
        <f>C174</f>
        <v>6.1048571799659598E-2</v>
      </c>
      <c r="N174" s="2">
        <f>D174/10</f>
        <v>-4.0770481515464799E-4</v>
      </c>
      <c r="O174" s="2">
        <f>E174</f>
        <v>1.42391802709736E-2</v>
      </c>
      <c r="P174" s="2">
        <f>F174</f>
        <v>8.2170303647824908E-3</v>
      </c>
      <c r="Q174" s="2">
        <f>G174</f>
        <v>6.0117168753340599E-3</v>
      </c>
      <c r="R174" s="2">
        <f>H174</f>
        <v>4.4184659474622197E-3</v>
      </c>
      <c r="S174" s="2">
        <f>I174</f>
        <v>2.5955655482279199E-3</v>
      </c>
      <c r="AD174" s="1">
        <f>LEFT(L174,4)+1</f>
        <v>2016</v>
      </c>
      <c r="AE174" s="2">
        <f>M174</f>
        <v>6.1048571799659598E-2</v>
      </c>
      <c r="AF174" s="2">
        <f>N174</f>
        <v>-4.0770481515464799E-4</v>
      </c>
      <c r="AG174" s="2">
        <f>O174</f>
        <v>1.42391802709736E-2</v>
      </c>
      <c r="AH174" s="2">
        <f>P174</f>
        <v>8.2170303647824908E-3</v>
      </c>
      <c r="AI174" s="2">
        <f>Q174</f>
        <v>6.0117168753340599E-3</v>
      </c>
      <c r="AJ174" s="2">
        <f>R174</f>
        <v>4.4184659474622197E-3</v>
      </c>
      <c r="AK174" s="2">
        <f>S174</f>
        <v>2.5955655482279199E-3</v>
      </c>
    </row>
    <row r="175" spans="1:37" ht="15" x14ac:dyDescent="0.25">
      <c r="A175" s="3">
        <v>42277</v>
      </c>
      <c r="B175" s="1" t="s">
        <v>35</v>
      </c>
      <c r="C175">
        <v>0.123004933412604</v>
      </c>
      <c r="D175">
        <v>3.1266190300889299E-2</v>
      </c>
      <c r="E175">
        <v>3.2510205425828997E-2</v>
      </c>
      <c r="F175">
        <v>2.2328105845015399E-2</v>
      </c>
      <c r="G175">
        <v>1.7051176755570101E-2</v>
      </c>
      <c r="H175">
        <v>1.3392111807329399E-2</v>
      </c>
      <c r="I175">
        <v>9.6640638204375899E-3</v>
      </c>
      <c r="L175" s="1" t="str">
        <f>"20"&amp;RIGHT(B175,2)&amp;"Q"&amp;LEFT(B175,1)</f>
        <v>2015Q3</v>
      </c>
      <c r="M175" s="2">
        <f>C175</f>
        <v>0.123004933412604</v>
      </c>
      <c r="N175" s="2">
        <f>D175/10</f>
        <v>3.1266190300889298E-3</v>
      </c>
      <c r="O175" s="2">
        <f>E175</f>
        <v>3.2510205425828997E-2</v>
      </c>
      <c r="P175" s="2">
        <f>F175</f>
        <v>2.2328105845015399E-2</v>
      </c>
      <c r="Q175" s="2">
        <f>G175</f>
        <v>1.7051176755570101E-2</v>
      </c>
      <c r="R175" s="2">
        <f>H175</f>
        <v>1.3392111807329399E-2</v>
      </c>
      <c r="S175" s="2">
        <f>I175</f>
        <v>9.6640638204375899E-3</v>
      </c>
      <c r="AD175" s="1">
        <f>LEFT(L175,4)+1</f>
        <v>2016</v>
      </c>
      <c r="AE175" s="2">
        <f>M175</f>
        <v>0.123004933412604</v>
      </c>
      <c r="AF175" s="2">
        <f>N175</f>
        <v>3.1266190300889298E-3</v>
      </c>
      <c r="AG175" s="2">
        <f>O175</f>
        <v>3.2510205425828997E-2</v>
      </c>
      <c r="AH175" s="2">
        <f>P175</f>
        <v>2.2328105845015399E-2</v>
      </c>
      <c r="AI175" s="2">
        <f>Q175</f>
        <v>1.7051176755570101E-2</v>
      </c>
      <c r="AJ175" s="2">
        <f>R175</f>
        <v>1.3392111807329399E-2</v>
      </c>
      <c r="AK175" s="2">
        <f>S175</f>
        <v>9.6640638204375899E-3</v>
      </c>
    </row>
    <row r="176" spans="1:37" ht="15" x14ac:dyDescent="0.25">
      <c r="A176" s="3">
        <v>42369</v>
      </c>
      <c r="B176" s="1" t="s">
        <v>34</v>
      </c>
      <c r="C176">
        <v>0.112318958007877</v>
      </c>
      <c r="D176">
        <v>4.9631157570643103E-3</v>
      </c>
      <c r="E176">
        <v>7.4477155090279402E-3</v>
      </c>
      <c r="F176">
        <v>3.4096377130895801E-3</v>
      </c>
      <c r="G176">
        <v>1.44002475135532E-3</v>
      </c>
      <c r="H176" s="4">
        <v>1.2567697456115201E-5</v>
      </c>
      <c r="I176">
        <v>-2.2356307892485898E-3</v>
      </c>
      <c r="L176" s="1" t="str">
        <f>"20"&amp;RIGHT(B176,2)&amp;"Q"&amp;LEFT(B176,1)</f>
        <v>2015Q4</v>
      </c>
      <c r="M176" s="2">
        <f>C176</f>
        <v>0.112318958007877</v>
      </c>
      <c r="N176" s="2">
        <f>D176/10</f>
        <v>4.9631157570643103E-4</v>
      </c>
      <c r="O176" s="2">
        <f>E176</f>
        <v>7.4477155090279402E-3</v>
      </c>
      <c r="P176" s="2">
        <f>F176</f>
        <v>3.4096377130895801E-3</v>
      </c>
      <c r="Q176" s="2">
        <f>G176</f>
        <v>1.44002475135532E-3</v>
      </c>
      <c r="R176" s="2">
        <f>H176</f>
        <v>1.2567697456115201E-5</v>
      </c>
      <c r="S176" s="2">
        <f>I176</f>
        <v>-2.2356307892485898E-3</v>
      </c>
      <c r="AD176" s="1">
        <f>LEFT(L176,4)+1</f>
        <v>2016</v>
      </c>
      <c r="AE176" s="2">
        <f>M176</f>
        <v>0.112318958007877</v>
      </c>
      <c r="AF176" s="2">
        <f>N176</f>
        <v>4.9631157570643103E-4</v>
      </c>
      <c r="AG176" s="2">
        <f>O176</f>
        <v>7.4477155090279402E-3</v>
      </c>
      <c r="AH176" s="2">
        <f>P176</f>
        <v>3.4096377130895801E-3</v>
      </c>
      <c r="AI176" s="2">
        <f>Q176</f>
        <v>1.44002475135532E-3</v>
      </c>
      <c r="AJ176" s="2">
        <f>R176</f>
        <v>1.2567697456115201E-5</v>
      </c>
      <c r="AK176" s="2">
        <f>S176</f>
        <v>-2.2356307892485898E-3</v>
      </c>
    </row>
    <row r="177" spans="1:37" ht="15" x14ac:dyDescent="0.25">
      <c r="A177" s="3">
        <v>42460</v>
      </c>
      <c r="B177" s="1" t="s">
        <v>33</v>
      </c>
      <c r="C177">
        <v>1.9373625681624301E-2</v>
      </c>
      <c r="D177">
        <v>2.2992386932249701E-2</v>
      </c>
      <c r="E177">
        <v>1.0558669256352999E-2</v>
      </c>
      <c r="F177">
        <v>6.3453131140163797E-3</v>
      </c>
      <c r="G177">
        <v>3.96403913493163E-3</v>
      </c>
      <c r="H177">
        <v>2.3789635973619498E-3</v>
      </c>
      <c r="I177">
        <v>-6.7399137956840804E-4</v>
      </c>
      <c r="L177" s="1" t="str">
        <f>"20"&amp;RIGHT(B177,2)&amp;"Q"&amp;LEFT(B177,1)</f>
        <v>2016Q1</v>
      </c>
      <c r="M177" s="2">
        <f>C177</f>
        <v>1.9373625681624301E-2</v>
      </c>
      <c r="N177" s="2">
        <f>D177/10</f>
        <v>2.2992386932249699E-3</v>
      </c>
      <c r="O177" s="2">
        <f>E177</f>
        <v>1.0558669256352999E-2</v>
      </c>
      <c r="P177" s="2">
        <f>F177</f>
        <v>6.3453131140163797E-3</v>
      </c>
      <c r="Q177" s="2">
        <f>G177</f>
        <v>3.96403913493163E-3</v>
      </c>
      <c r="R177" s="2">
        <f>H177</f>
        <v>2.3789635973619498E-3</v>
      </c>
      <c r="S177" s="2">
        <f>I177</f>
        <v>-6.7399137956840804E-4</v>
      </c>
      <c r="AD177" s="1">
        <f>LEFT(L177,4)+1</f>
        <v>2017</v>
      </c>
      <c r="AE177" s="2">
        <f>M177</f>
        <v>1.9373625681624301E-2</v>
      </c>
      <c r="AF177" s="2">
        <f>N177</f>
        <v>2.2992386932249699E-3</v>
      </c>
      <c r="AG177" s="2">
        <f>O177</f>
        <v>1.0558669256352999E-2</v>
      </c>
      <c r="AH177" s="2">
        <f>P177</f>
        <v>6.3453131140163797E-3</v>
      </c>
      <c r="AI177" s="2">
        <f>Q177</f>
        <v>3.96403913493163E-3</v>
      </c>
      <c r="AJ177" s="2">
        <f>R177</f>
        <v>2.3789635973619498E-3</v>
      </c>
      <c r="AK177" s="2">
        <f>S177</f>
        <v>-6.7399137956840804E-4</v>
      </c>
    </row>
    <row r="178" spans="1:37" ht="15" x14ac:dyDescent="0.25">
      <c r="A178" s="3">
        <v>42551</v>
      </c>
      <c r="B178" s="1" t="s">
        <v>32</v>
      </c>
      <c r="C178">
        <v>4.1393981698760199E-2</v>
      </c>
      <c r="D178">
        <v>2.7049095928908699E-2</v>
      </c>
      <c r="E178">
        <v>4.6783301781770899E-3</v>
      </c>
      <c r="F178">
        <v>3.2889333847415502E-3</v>
      </c>
      <c r="G178">
        <v>3.0249741357696899E-4</v>
      </c>
      <c r="H178">
        <v>-1.7754652258318499E-3</v>
      </c>
      <c r="I178">
        <v>-3.8750120908195101E-3</v>
      </c>
      <c r="L178" s="1" t="str">
        <f>"20"&amp;RIGHT(B178,2)&amp;"Q"&amp;LEFT(B178,1)</f>
        <v>2016Q2</v>
      </c>
      <c r="M178" s="2">
        <f>C178</f>
        <v>4.1393981698760199E-2</v>
      </c>
      <c r="N178" s="2">
        <f>D178/10</f>
        <v>2.7049095928908698E-3</v>
      </c>
      <c r="O178" s="2">
        <f>E178</f>
        <v>4.6783301781770899E-3</v>
      </c>
      <c r="P178" s="2">
        <f>F178</f>
        <v>3.2889333847415502E-3</v>
      </c>
      <c r="Q178" s="2">
        <f>G178</f>
        <v>3.0249741357696899E-4</v>
      </c>
      <c r="R178" s="2">
        <f>H178</f>
        <v>-1.7754652258318499E-3</v>
      </c>
      <c r="S178" s="2">
        <f>I178</f>
        <v>-3.8750120908195101E-3</v>
      </c>
      <c r="AD178" s="1">
        <f>LEFT(L178,4)+1</f>
        <v>2017</v>
      </c>
      <c r="AE178" s="2">
        <f>M178</f>
        <v>4.1393981698760199E-2</v>
      </c>
      <c r="AF178" s="2">
        <f>N178</f>
        <v>2.7049095928908698E-3</v>
      </c>
      <c r="AG178" s="2">
        <f>O178</f>
        <v>4.6783301781770899E-3</v>
      </c>
      <c r="AH178" s="2">
        <f>P178</f>
        <v>3.2889333847415502E-3</v>
      </c>
      <c r="AI178" s="2">
        <f>Q178</f>
        <v>3.0249741357696899E-4</v>
      </c>
      <c r="AJ178" s="2">
        <f>R178</f>
        <v>-1.7754652258318499E-3</v>
      </c>
      <c r="AK178" s="2">
        <f>S178</f>
        <v>-3.8750120908195101E-3</v>
      </c>
    </row>
    <row r="179" spans="1:37" ht="15" x14ac:dyDescent="0.25">
      <c r="A179" s="3">
        <v>42643</v>
      </c>
      <c r="B179" s="1" t="s">
        <v>31</v>
      </c>
      <c r="C179">
        <v>8.08803366549041E-2</v>
      </c>
      <c r="D179">
        <v>7.8937751789710398E-3</v>
      </c>
      <c r="E179">
        <v>-5.8038415842859396E-3</v>
      </c>
      <c r="F179">
        <v>-4.1900405047257698E-3</v>
      </c>
      <c r="G179">
        <v>-6.2274163937127303E-3</v>
      </c>
      <c r="H179">
        <v>-7.7083415792309198E-3</v>
      </c>
      <c r="I179">
        <v>-8.7016960420974992E-3</v>
      </c>
      <c r="L179" s="1" t="str">
        <f>"20"&amp;RIGHT(B179,2)&amp;"Q"&amp;LEFT(B179,1)</f>
        <v>2016Q3</v>
      </c>
      <c r="M179" s="2">
        <f>C179</f>
        <v>8.08803366549041E-2</v>
      </c>
      <c r="N179" s="2">
        <f>D179/10</f>
        <v>7.8937751789710396E-4</v>
      </c>
      <c r="O179" s="2">
        <f>E179</f>
        <v>-5.8038415842859396E-3</v>
      </c>
      <c r="P179" s="2">
        <f>F179</f>
        <v>-4.1900405047257698E-3</v>
      </c>
      <c r="Q179" s="2">
        <f>G179</f>
        <v>-6.2274163937127303E-3</v>
      </c>
      <c r="R179" s="2">
        <f>H179</f>
        <v>-7.7083415792309198E-3</v>
      </c>
      <c r="S179" s="2">
        <f>I179</f>
        <v>-8.7016960420974992E-3</v>
      </c>
      <c r="AD179" s="1">
        <f>LEFT(L179,4)+1</f>
        <v>2017</v>
      </c>
      <c r="AE179" s="2">
        <f>M179</f>
        <v>8.08803366549041E-2</v>
      </c>
      <c r="AF179" s="2">
        <f>N179</f>
        <v>7.8937751789710396E-4</v>
      </c>
      <c r="AG179" s="2">
        <f>O179</f>
        <v>-5.8038415842859396E-3</v>
      </c>
      <c r="AH179" s="2">
        <f>P179</f>
        <v>-4.1900405047257698E-3</v>
      </c>
      <c r="AI179" s="2">
        <f>Q179</f>
        <v>-6.2274163937127303E-3</v>
      </c>
      <c r="AJ179" s="2">
        <f>R179</f>
        <v>-7.7083415792309198E-3</v>
      </c>
      <c r="AK179" s="2">
        <f>S179</f>
        <v>-8.7016960420974992E-3</v>
      </c>
    </row>
    <row r="180" spans="1:37" ht="15" x14ac:dyDescent="0.25">
      <c r="A180" s="3">
        <v>42735</v>
      </c>
      <c r="B180" s="1" t="s">
        <v>30</v>
      </c>
      <c r="C180">
        <v>1.18545827348343E-2</v>
      </c>
      <c r="D180">
        <v>3.8705805529818901E-3</v>
      </c>
      <c r="E180">
        <v>-4.49611157435753E-3</v>
      </c>
      <c r="F180">
        <v>-4.8741228053916204E-3</v>
      </c>
      <c r="G180">
        <v>-5.82399432526607E-3</v>
      </c>
      <c r="H180">
        <v>-6.7020924432843196E-3</v>
      </c>
      <c r="I180">
        <v>-7.3758496218715996E-3</v>
      </c>
      <c r="L180" s="1" t="str">
        <f>"20"&amp;RIGHT(B180,2)&amp;"Q"&amp;LEFT(B180,1)</f>
        <v>2016Q4</v>
      </c>
      <c r="M180" s="2">
        <f>C180</f>
        <v>1.18545827348343E-2</v>
      </c>
      <c r="N180" s="2">
        <f>D180/10</f>
        <v>3.8705805529818901E-4</v>
      </c>
      <c r="O180" s="2">
        <f>E180</f>
        <v>-4.49611157435753E-3</v>
      </c>
      <c r="P180" s="2">
        <f>F180</f>
        <v>-4.8741228053916204E-3</v>
      </c>
      <c r="Q180" s="2">
        <f>G180</f>
        <v>-5.82399432526607E-3</v>
      </c>
      <c r="R180" s="2">
        <f>H180</f>
        <v>-6.7020924432843196E-3</v>
      </c>
      <c r="S180" s="2">
        <f>I180</f>
        <v>-7.3758496218715996E-3</v>
      </c>
      <c r="AD180" s="1">
        <f>LEFT(L180,4)+1</f>
        <v>2017</v>
      </c>
      <c r="AE180" s="2">
        <f>M180</f>
        <v>1.18545827348343E-2</v>
      </c>
      <c r="AF180" s="2">
        <f>N180</f>
        <v>3.8705805529818901E-4</v>
      </c>
      <c r="AG180" s="2">
        <f>O180</f>
        <v>-4.49611157435753E-3</v>
      </c>
      <c r="AH180" s="2">
        <f>P180</f>
        <v>-4.8741228053916204E-3</v>
      </c>
      <c r="AI180" s="2">
        <f>Q180</f>
        <v>-5.82399432526607E-3</v>
      </c>
      <c r="AJ180" s="2">
        <f>R180</f>
        <v>-6.7020924432843196E-3</v>
      </c>
      <c r="AK180" s="2">
        <f>S180</f>
        <v>-7.3758496218715996E-3</v>
      </c>
    </row>
    <row r="181" spans="1:37" ht="15" x14ac:dyDescent="0.25">
      <c r="A181" s="3">
        <v>42825</v>
      </c>
      <c r="B181" s="1" t="s">
        <v>29</v>
      </c>
      <c r="C181">
        <v>4.7772178479286602E-4</v>
      </c>
      <c r="D181">
        <v>1.6215568577604799E-4</v>
      </c>
      <c r="E181">
        <v>-7.7175210605255002E-3</v>
      </c>
      <c r="F181">
        <v>-7.6189249611582502E-3</v>
      </c>
      <c r="G181">
        <v>-8.0956244474725495E-3</v>
      </c>
      <c r="H181">
        <v>-8.7374120504347796E-3</v>
      </c>
      <c r="I181">
        <v>-8.4607272454566493E-3</v>
      </c>
      <c r="L181" s="1" t="str">
        <f>"20"&amp;RIGHT(B181,2)&amp;"Q"&amp;LEFT(B181,1)</f>
        <v>2017Q1</v>
      </c>
      <c r="M181" s="2">
        <f>C181</f>
        <v>4.7772178479286602E-4</v>
      </c>
      <c r="N181" s="2">
        <f>D181/10</f>
        <v>1.6215568577604798E-5</v>
      </c>
      <c r="O181" s="2">
        <f>E181</f>
        <v>-7.7175210605255002E-3</v>
      </c>
      <c r="P181" s="2">
        <f>F181</f>
        <v>-7.6189249611582502E-3</v>
      </c>
      <c r="Q181" s="2">
        <f>G181</f>
        <v>-8.0956244474725495E-3</v>
      </c>
      <c r="R181" s="2">
        <f>H181</f>
        <v>-8.7374120504347796E-3</v>
      </c>
      <c r="S181" s="2">
        <f>I181</f>
        <v>-8.4607272454566493E-3</v>
      </c>
      <c r="AD181" s="1">
        <f>LEFT(L181,4)+1</f>
        <v>2018</v>
      </c>
      <c r="AE181" s="2">
        <f>M181</f>
        <v>4.7772178479286602E-4</v>
      </c>
      <c r="AF181" s="2">
        <f>N181</f>
        <v>1.6215568577604798E-5</v>
      </c>
      <c r="AG181" s="2">
        <f>O181</f>
        <v>-7.7175210605255002E-3</v>
      </c>
      <c r="AH181" s="2">
        <f>P181</f>
        <v>-7.6189249611582502E-3</v>
      </c>
      <c r="AI181" s="2">
        <f>Q181</f>
        <v>-8.0956244474725495E-3</v>
      </c>
      <c r="AJ181" s="2">
        <f>R181</f>
        <v>-8.7374120504347796E-3</v>
      </c>
      <c r="AK181" s="2">
        <f>S181</f>
        <v>-8.4607272454566493E-3</v>
      </c>
    </row>
    <row r="182" spans="1:37" ht="15" x14ac:dyDescent="0.25">
      <c r="A182" s="3">
        <v>42916</v>
      </c>
      <c r="B182" s="1" t="s">
        <v>28</v>
      </c>
      <c r="C182">
        <v>-5.3846154197835401E-3</v>
      </c>
      <c r="D182">
        <v>-7.9805442144560094E-3</v>
      </c>
      <c r="E182">
        <v>-1.0360795694355201E-2</v>
      </c>
      <c r="F182">
        <v>-9.8399896061041603E-3</v>
      </c>
      <c r="G182">
        <v>-9.2573604479976607E-3</v>
      </c>
      <c r="H182">
        <v>-9.2524505799221994E-3</v>
      </c>
      <c r="I182">
        <v>-8.4099722107944305E-3</v>
      </c>
      <c r="L182" s="1" t="str">
        <f>"20"&amp;RIGHT(B182,2)&amp;"Q"&amp;LEFT(B182,1)</f>
        <v>2017Q2</v>
      </c>
      <c r="M182" s="2">
        <f>C182</f>
        <v>-5.3846154197835401E-3</v>
      </c>
      <c r="N182" s="2">
        <f>D182/10</f>
        <v>-7.9805442144560094E-4</v>
      </c>
      <c r="O182" s="2">
        <f>E182</f>
        <v>-1.0360795694355201E-2</v>
      </c>
      <c r="P182" s="2">
        <f>F182</f>
        <v>-9.8399896061041603E-3</v>
      </c>
      <c r="Q182" s="2">
        <f>G182</f>
        <v>-9.2573604479976607E-3</v>
      </c>
      <c r="R182" s="2">
        <f>H182</f>
        <v>-9.2524505799221994E-3</v>
      </c>
      <c r="S182" s="2">
        <f>I182</f>
        <v>-8.4099722107944305E-3</v>
      </c>
      <c r="AD182" s="1">
        <f>LEFT(L182,4)+1</f>
        <v>2018</v>
      </c>
      <c r="AE182" s="2">
        <f>M182</f>
        <v>-5.3846154197835401E-3</v>
      </c>
      <c r="AF182" s="2">
        <f>N182</f>
        <v>-7.9805442144560094E-4</v>
      </c>
      <c r="AG182" s="2">
        <f>O182</f>
        <v>-1.0360795694355201E-2</v>
      </c>
      <c r="AH182" s="2">
        <f>P182</f>
        <v>-9.8399896061041603E-3</v>
      </c>
      <c r="AI182" s="2">
        <f>Q182</f>
        <v>-9.2573604479976607E-3</v>
      </c>
      <c r="AJ182" s="2">
        <f>R182</f>
        <v>-9.2524505799221994E-3</v>
      </c>
      <c r="AK182" s="2">
        <f>S182</f>
        <v>-8.4099722107944305E-3</v>
      </c>
    </row>
    <row r="183" spans="1:37" ht="15" x14ac:dyDescent="0.25">
      <c r="A183" s="3">
        <v>43008</v>
      </c>
      <c r="B183" s="1" t="s">
        <v>27</v>
      </c>
      <c r="C183">
        <v>2.7674623693728799E-2</v>
      </c>
      <c r="D183">
        <v>1.7320549823649601E-2</v>
      </c>
      <c r="E183">
        <v>9.2493717523609402E-3</v>
      </c>
      <c r="F183">
        <v>5.2703157904662899E-3</v>
      </c>
      <c r="G183">
        <v>3.8403497835271701E-3</v>
      </c>
      <c r="H183">
        <v>2.28523677754969E-3</v>
      </c>
      <c r="I183">
        <v>1.58215500634023E-3</v>
      </c>
      <c r="L183" s="1" t="str">
        <f>"20"&amp;RIGHT(B183,2)&amp;"Q"&amp;LEFT(B183,1)</f>
        <v>2017Q3</v>
      </c>
      <c r="M183" s="2">
        <f>C183</f>
        <v>2.7674623693728799E-2</v>
      </c>
      <c r="N183" s="2">
        <f>D183/10</f>
        <v>1.73205498236496E-3</v>
      </c>
      <c r="O183" s="2">
        <f>E183</f>
        <v>9.2493717523609402E-3</v>
      </c>
      <c r="P183" s="2">
        <f>F183</f>
        <v>5.2703157904662899E-3</v>
      </c>
      <c r="Q183" s="2">
        <f>G183</f>
        <v>3.8403497835271701E-3</v>
      </c>
      <c r="R183" s="2">
        <f>H183</f>
        <v>2.28523677754969E-3</v>
      </c>
      <c r="S183" s="2">
        <f>I183</f>
        <v>1.58215500634023E-3</v>
      </c>
      <c r="AD183" s="1">
        <f>LEFT(L183,4)+1</f>
        <v>2018</v>
      </c>
      <c r="AE183" s="2">
        <f>M183</f>
        <v>2.7674623693728799E-2</v>
      </c>
      <c r="AF183" s="2">
        <f>N183</f>
        <v>1.73205498236496E-3</v>
      </c>
      <c r="AG183" s="2">
        <f>O183</f>
        <v>9.2493717523609402E-3</v>
      </c>
      <c r="AH183" s="2">
        <f>P183</f>
        <v>5.2703157904662899E-3</v>
      </c>
      <c r="AI183" s="2">
        <f>Q183</f>
        <v>3.8403497835271701E-3</v>
      </c>
      <c r="AJ183" s="2">
        <f>R183</f>
        <v>2.28523677754969E-3</v>
      </c>
      <c r="AK183" s="2">
        <f>S183</f>
        <v>1.58215500634023E-3</v>
      </c>
    </row>
    <row r="184" spans="1:37" ht="15" x14ac:dyDescent="0.25">
      <c r="A184" s="3">
        <v>43100</v>
      </c>
      <c r="B184" s="1" t="s">
        <v>26</v>
      </c>
      <c r="C184">
        <v>-4.7190922647352203E-2</v>
      </c>
      <c r="D184">
        <v>2.2921848527516298E-3</v>
      </c>
      <c r="E184">
        <v>-5.3041038976974399E-3</v>
      </c>
      <c r="F184">
        <v>-5.9117569684508601E-3</v>
      </c>
      <c r="G184">
        <v>-6.36678073010645E-3</v>
      </c>
      <c r="H184">
        <v>-6.4466554363746698E-3</v>
      </c>
      <c r="I184">
        <v>-5.8860757855745101E-3</v>
      </c>
      <c r="L184" s="1" t="str">
        <f>"20"&amp;RIGHT(B184,2)&amp;"Q"&amp;LEFT(B184,1)</f>
        <v>2017Q4</v>
      </c>
      <c r="M184" s="2">
        <f>C184</f>
        <v>-4.7190922647352203E-2</v>
      </c>
      <c r="N184" s="2">
        <f>D184/10</f>
        <v>2.2921848527516299E-4</v>
      </c>
      <c r="O184" s="2">
        <f>E184</f>
        <v>-5.3041038976974399E-3</v>
      </c>
      <c r="P184" s="2">
        <f>F184</f>
        <v>-5.9117569684508601E-3</v>
      </c>
      <c r="Q184" s="2">
        <f>G184</f>
        <v>-6.36678073010645E-3</v>
      </c>
      <c r="R184" s="2">
        <f>H184</f>
        <v>-6.4466554363746698E-3</v>
      </c>
      <c r="S184" s="2">
        <f>I184</f>
        <v>-5.8860757855745101E-3</v>
      </c>
      <c r="AD184" s="1">
        <f>LEFT(L184,4)+1</f>
        <v>2018</v>
      </c>
      <c r="AE184" s="2">
        <f>M184</f>
        <v>-4.7190922647352203E-2</v>
      </c>
      <c r="AF184" s="2">
        <f>N184</f>
        <v>2.2921848527516299E-4</v>
      </c>
      <c r="AG184" s="2">
        <f>O184</f>
        <v>-5.3041038976974399E-3</v>
      </c>
      <c r="AH184" s="2">
        <f>P184</f>
        <v>-5.9117569684508601E-3</v>
      </c>
      <c r="AI184" s="2">
        <f>Q184</f>
        <v>-6.36678073010645E-3</v>
      </c>
      <c r="AJ184" s="2">
        <f>R184</f>
        <v>-6.4466554363746698E-3</v>
      </c>
      <c r="AK184" s="2">
        <f>S184</f>
        <v>-5.8860757855745101E-3</v>
      </c>
    </row>
    <row r="185" spans="1:37" ht="15" x14ac:dyDescent="0.25">
      <c r="A185" s="3">
        <v>43190</v>
      </c>
      <c r="B185" s="1" t="s">
        <v>25</v>
      </c>
      <c r="C185">
        <v>-3.5272544281394903E-2</v>
      </c>
      <c r="D185">
        <v>-2.54855706104349E-2</v>
      </c>
      <c r="E185">
        <v>-2.1147936579196999E-2</v>
      </c>
      <c r="F185">
        <v>-1.81037665541086E-2</v>
      </c>
      <c r="G185">
        <v>-1.5750892386583899E-2</v>
      </c>
      <c r="H185">
        <v>-1.3137501851749901E-2</v>
      </c>
      <c r="I185">
        <v>-9.9376661046039708E-3</v>
      </c>
      <c r="L185" s="1" t="str">
        <f>"20"&amp;RIGHT(B185,2)&amp;"Q"&amp;LEFT(B185,1)</f>
        <v>2018Q1</v>
      </c>
      <c r="M185" s="2">
        <f>C185</f>
        <v>-3.5272544281394903E-2</v>
      </c>
      <c r="N185" s="2">
        <f>D185/10</f>
        <v>-2.54855706104349E-3</v>
      </c>
      <c r="O185" s="2">
        <f>E185</f>
        <v>-2.1147936579196999E-2</v>
      </c>
      <c r="P185" s="2">
        <f>F185</f>
        <v>-1.81037665541086E-2</v>
      </c>
      <c r="Q185" s="2">
        <f>G185</f>
        <v>-1.5750892386583899E-2</v>
      </c>
      <c r="R185" s="2">
        <f>H185</f>
        <v>-1.3137501851749901E-2</v>
      </c>
      <c r="S185" s="2">
        <f>I185</f>
        <v>-9.9376661046039708E-3</v>
      </c>
      <c r="AD185" s="1">
        <f>LEFT(L185,4)+1</f>
        <v>2019</v>
      </c>
      <c r="AE185" s="2">
        <f>M185</f>
        <v>-3.5272544281394903E-2</v>
      </c>
      <c r="AF185" s="2">
        <f>N185</f>
        <v>-2.54855706104349E-3</v>
      </c>
      <c r="AG185" s="2">
        <f>O185</f>
        <v>-2.1147936579196999E-2</v>
      </c>
      <c r="AH185" s="2">
        <f>P185</f>
        <v>-1.81037665541086E-2</v>
      </c>
      <c r="AI185" s="2">
        <f>Q185</f>
        <v>-1.5750892386583899E-2</v>
      </c>
      <c r="AJ185" s="2">
        <f>R185</f>
        <v>-1.3137501851749901E-2</v>
      </c>
      <c r="AK185" s="2">
        <f>S185</f>
        <v>-9.9376661046039708E-3</v>
      </c>
    </row>
    <row r="186" spans="1:37" ht="15" x14ac:dyDescent="0.25">
      <c r="A186" s="3">
        <v>43281</v>
      </c>
      <c r="B186" s="1" t="s">
        <v>24</v>
      </c>
      <c r="C186">
        <v>-0.13647831511386299</v>
      </c>
      <c r="D186">
        <v>-2.27822539162457E-2</v>
      </c>
      <c r="E186">
        <v>-1.7562675336122002E-2</v>
      </c>
      <c r="F186">
        <v>-1.6843785431095999E-2</v>
      </c>
      <c r="G186">
        <v>-1.5296824507966199E-2</v>
      </c>
      <c r="H186">
        <v>-1.3457264156163801E-2</v>
      </c>
      <c r="I186">
        <v>-1.0955442406345601E-2</v>
      </c>
      <c r="L186" s="1" t="str">
        <f>"20"&amp;RIGHT(B186,2)&amp;"Q"&amp;LEFT(B186,1)</f>
        <v>2018Q2</v>
      </c>
      <c r="M186" s="2">
        <f>C186</f>
        <v>-0.13647831511386299</v>
      </c>
      <c r="N186" s="2">
        <f>D186/10</f>
        <v>-2.2782253916245701E-3</v>
      </c>
      <c r="O186" s="2">
        <f>E186</f>
        <v>-1.7562675336122002E-2</v>
      </c>
      <c r="P186" s="2">
        <f>F186</f>
        <v>-1.6843785431095999E-2</v>
      </c>
      <c r="Q186" s="2">
        <f>G186</f>
        <v>-1.5296824507966199E-2</v>
      </c>
      <c r="R186" s="2">
        <f>H186</f>
        <v>-1.3457264156163801E-2</v>
      </c>
      <c r="S186" s="2">
        <f>I186</f>
        <v>-1.0955442406345601E-2</v>
      </c>
      <c r="AD186" s="1">
        <f>LEFT(L186,4)+1</f>
        <v>2019</v>
      </c>
      <c r="AE186" s="2">
        <f>M186</f>
        <v>-0.13647831511386299</v>
      </c>
      <c r="AF186" s="2">
        <f>N186</f>
        <v>-2.2782253916245701E-3</v>
      </c>
      <c r="AG186" s="2">
        <f>O186</f>
        <v>-1.7562675336122002E-2</v>
      </c>
      <c r="AH186" s="2">
        <f>P186</f>
        <v>-1.6843785431095999E-2</v>
      </c>
      <c r="AI186" s="2">
        <f>Q186</f>
        <v>-1.5296824507966199E-2</v>
      </c>
      <c r="AJ186" s="2">
        <f>R186</f>
        <v>-1.3457264156163801E-2</v>
      </c>
      <c r="AK186" s="2">
        <f>S186</f>
        <v>-1.0955442406345601E-2</v>
      </c>
    </row>
    <row r="187" spans="1:37" ht="15" x14ac:dyDescent="0.25">
      <c r="A187" s="3">
        <v>43373</v>
      </c>
      <c r="B187" s="1" t="s">
        <v>23</v>
      </c>
      <c r="C187">
        <v>-5.3144367706255302E-2</v>
      </c>
      <c r="D187">
        <v>-2.9218829869696698E-2</v>
      </c>
      <c r="E187">
        <v>-2.46759760614245E-2</v>
      </c>
      <c r="F187">
        <v>-2.408745619022E-2</v>
      </c>
      <c r="G187">
        <v>-2.2261519887800198E-2</v>
      </c>
      <c r="H187">
        <v>-1.9428840098438802E-2</v>
      </c>
      <c r="I187">
        <v>-1.5797211224214999E-2</v>
      </c>
      <c r="L187" s="1" t="str">
        <f>"20"&amp;RIGHT(B187,2)&amp;"Q"&amp;LEFT(B187,1)</f>
        <v>2018Q3</v>
      </c>
      <c r="M187" s="2">
        <f>C187</f>
        <v>-5.3144367706255302E-2</v>
      </c>
      <c r="N187" s="2">
        <f>D187/10</f>
        <v>-2.9218829869696698E-3</v>
      </c>
      <c r="O187" s="2">
        <f>E187</f>
        <v>-2.46759760614245E-2</v>
      </c>
      <c r="P187" s="2">
        <f>F187</f>
        <v>-2.408745619022E-2</v>
      </c>
      <c r="Q187" s="2">
        <f>G187</f>
        <v>-2.2261519887800198E-2</v>
      </c>
      <c r="R187" s="2">
        <f>H187</f>
        <v>-1.9428840098438802E-2</v>
      </c>
      <c r="S187" s="2">
        <f>I187</f>
        <v>-1.5797211224214999E-2</v>
      </c>
      <c r="AD187" s="1">
        <f>LEFT(L187,4)+1</f>
        <v>2019</v>
      </c>
      <c r="AE187" s="2">
        <f>M187</f>
        <v>-5.3144367706255302E-2</v>
      </c>
      <c r="AF187" s="2">
        <f>N187</f>
        <v>-2.9218829869696698E-3</v>
      </c>
      <c r="AG187" s="2">
        <f>O187</f>
        <v>-2.46759760614245E-2</v>
      </c>
      <c r="AH187" s="2">
        <f>P187</f>
        <v>-2.408745619022E-2</v>
      </c>
      <c r="AI187" s="2">
        <f>Q187</f>
        <v>-2.2261519887800198E-2</v>
      </c>
      <c r="AJ187" s="2">
        <f>R187</f>
        <v>-1.9428840098438802E-2</v>
      </c>
      <c r="AK187" s="2">
        <f>S187</f>
        <v>-1.5797211224214999E-2</v>
      </c>
    </row>
    <row r="188" spans="1:37" ht="15" x14ac:dyDescent="0.25">
      <c r="A188" s="3">
        <v>43465</v>
      </c>
      <c r="B188" s="1" t="s">
        <v>22</v>
      </c>
      <c r="C188">
        <v>-0.102037412542772</v>
      </c>
      <c r="D188">
        <v>-2.4134717710136401E-2</v>
      </c>
      <c r="E188">
        <v>-2.6779825459803001E-2</v>
      </c>
      <c r="F188">
        <v>-2.46821073500068E-2</v>
      </c>
      <c r="G188">
        <v>-2.2727698961721599E-2</v>
      </c>
      <c r="H188">
        <v>-1.96194498768506E-2</v>
      </c>
      <c r="I188">
        <v>-1.60986447465888E-2</v>
      </c>
      <c r="L188" s="1" t="str">
        <f>"20"&amp;RIGHT(B188,2)&amp;"Q"&amp;LEFT(B188,1)</f>
        <v>2018Q4</v>
      </c>
      <c r="M188" s="2">
        <f>C188</f>
        <v>-0.102037412542772</v>
      </c>
      <c r="N188" s="2">
        <f>D188/10</f>
        <v>-2.41347177101364E-3</v>
      </c>
      <c r="O188" s="2">
        <f>E188</f>
        <v>-2.6779825459803001E-2</v>
      </c>
      <c r="P188" s="2">
        <f>F188</f>
        <v>-2.46821073500068E-2</v>
      </c>
      <c r="Q188" s="2">
        <f>G188</f>
        <v>-2.2727698961721599E-2</v>
      </c>
      <c r="R188" s="2">
        <f>H188</f>
        <v>-1.96194498768506E-2</v>
      </c>
      <c r="S188" s="2">
        <f>I188</f>
        <v>-1.60986447465888E-2</v>
      </c>
      <c r="AD188" s="1">
        <f>LEFT(L188,4)+1</f>
        <v>2019</v>
      </c>
      <c r="AE188" s="2">
        <f>M188</f>
        <v>-0.102037412542772</v>
      </c>
      <c r="AF188" s="2">
        <f>N188</f>
        <v>-2.41347177101364E-3</v>
      </c>
      <c r="AG188" s="2">
        <f>O188</f>
        <v>-2.6779825459803001E-2</v>
      </c>
      <c r="AH188" s="2">
        <f>P188</f>
        <v>-2.46821073500068E-2</v>
      </c>
      <c r="AI188" s="2">
        <f>Q188</f>
        <v>-2.2727698961721599E-2</v>
      </c>
      <c r="AJ188" s="2">
        <f>R188</f>
        <v>-1.96194498768506E-2</v>
      </c>
      <c r="AK188" s="2">
        <f>S188</f>
        <v>-1.60986447465888E-2</v>
      </c>
    </row>
    <row r="189" spans="1:37" ht="15" x14ac:dyDescent="0.25">
      <c r="A189" s="3">
        <v>43555</v>
      </c>
      <c r="B189" s="1" t="s">
        <v>21</v>
      </c>
      <c r="C189">
        <v>-9.8429155042303207E-2</v>
      </c>
      <c r="D189">
        <v>-5.7412894115646401E-3</v>
      </c>
      <c r="E189">
        <v>-1.2911733970758101E-2</v>
      </c>
      <c r="F189">
        <v>-1.38839713128849E-2</v>
      </c>
      <c r="G189">
        <v>-1.32759479435059E-2</v>
      </c>
      <c r="H189">
        <v>-1.2405590356812201E-2</v>
      </c>
      <c r="I189">
        <v>-1.08070418674963E-2</v>
      </c>
      <c r="L189" s="1" t="str">
        <f>"20"&amp;RIGHT(B189,2)&amp;"Q"&amp;LEFT(B189,1)</f>
        <v>2019Q1</v>
      </c>
      <c r="M189" s="2">
        <f>C189</f>
        <v>-9.8429155042303207E-2</v>
      </c>
      <c r="N189" s="2">
        <f>D189/10</f>
        <v>-5.7412894115646399E-4</v>
      </c>
      <c r="O189" s="2">
        <f>E189</f>
        <v>-1.2911733970758101E-2</v>
      </c>
      <c r="P189" s="2">
        <f>F189</f>
        <v>-1.38839713128849E-2</v>
      </c>
      <c r="Q189" s="2">
        <f>G189</f>
        <v>-1.32759479435059E-2</v>
      </c>
      <c r="R189" s="2">
        <f>H189</f>
        <v>-1.2405590356812201E-2</v>
      </c>
      <c r="S189" s="2">
        <f>I189</f>
        <v>-1.08070418674963E-2</v>
      </c>
      <c r="AD189" s="1">
        <f>LEFT(L189,4)+1</f>
        <v>2020</v>
      </c>
      <c r="AE189" s="2">
        <f>M189</f>
        <v>-9.8429155042303207E-2</v>
      </c>
      <c r="AF189" s="2">
        <f>N189</f>
        <v>-5.7412894115646399E-4</v>
      </c>
      <c r="AG189" s="2">
        <f>O189</f>
        <v>-1.2911733970758101E-2</v>
      </c>
      <c r="AH189" s="2">
        <f>P189</f>
        <v>-1.38839713128849E-2</v>
      </c>
      <c r="AI189" s="2">
        <f>Q189</f>
        <v>-1.32759479435059E-2</v>
      </c>
      <c r="AJ189" s="2">
        <f>R189</f>
        <v>-1.2405590356812201E-2</v>
      </c>
      <c r="AK189" s="2">
        <f>S189</f>
        <v>-1.08070418674963E-2</v>
      </c>
    </row>
    <row r="190" spans="1:37" ht="15" x14ac:dyDescent="0.25">
      <c r="A190" s="3">
        <v>43646</v>
      </c>
      <c r="B190" s="1" t="s">
        <v>20</v>
      </c>
      <c r="C190">
        <v>-7.8116455584404595E-2</v>
      </c>
      <c r="D190">
        <v>-3.2999534364331402E-2</v>
      </c>
      <c r="E190">
        <v>-3.0780435866294899E-2</v>
      </c>
      <c r="F190">
        <v>-2.6042349751849599E-2</v>
      </c>
      <c r="G190">
        <v>-2.33666265960993E-2</v>
      </c>
      <c r="H190">
        <v>-2.0263573143752201E-2</v>
      </c>
      <c r="I190">
        <v>-1.7810862391938999E-2</v>
      </c>
      <c r="L190" s="1" t="str">
        <f>"20"&amp;RIGHT(B190,2)&amp;"Q"&amp;LEFT(B190,1)</f>
        <v>2019Q2</v>
      </c>
      <c r="M190" s="2">
        <f>C190</f>
        <v>-7.8116455584404595E-2</v>
      </c>
      <c r="N190" s="2">
        <f>D190/10</f>
        <v>-3.2999534364331401E-3</v>
      </c>
      <c r="O190" s="2">
        <f>E190</f>
        <v>-3.0780435866294899E-2</v>
      </c>
      <c r="P190" s="2">
        <f>F190</f>
        <v>-2.6042349751849599E-2</v>
      </c>
      <c r="Q190" s="2">
        <f>G190</f>
        <v>-2.33666265960993E-2</v>
      </c>
      <c r="R190" s="2">
        <f>H190</f>
        <v>-2.0263573143752201E-2</v>
      </c>
      <c r="S190" s="2">
        <f>I190</f>
        <v>-1.7810862391938999E-2</v>
      </c>
      <c r="AD190" s="1">
        <f>LEFT(L190,4)+1</f>
        <v>2020</v>
      </c>
      <c r="AE190" s="2">
        <f>M190</f>
        <v>-7.8116455584404595E-2</v>
      </c>
      <c r="AF190" s="2">
        <f>N190</f>
        <v>-3.2999534364331401E-3</v>
      </c>
      <c r="AG190" s="2">
        <f>O190</f>
        <v>-3.0780435866294899E-2</v>
      </c>
      <c r="AH190" s="2">
        <f>P190</f>
        <v>-2.6042349751849599E-2</v>
      </c>
      <c r="AI190" s="2">
        <f>Q190</f>
        <v>-2.33666265960993E-2</v>
      </c>
      <c r="AJ190" s="2">
        <f>R190</f>
        <v>-2.0263573143752201E-2</v>
      </c>
      <c r="AK190" s="2">
        <f>S190</f>
        <v>-1.7810862391938999E-2</v>
      </c>
    </row>
    <row r="191" spans="1:37" ht="15" x14ac:dyDescent="0.25">
      <c r="A191" s="3">
        <v>43738</v>
      </c>
      <c r="B191" s="1" t="s">
        <v>19</v>
      </c>
      <c r="C191">
        <v>-0.105530013140224</v>
      </c>
      <c r="D191">
        <v>5.5944438790615798E-3</v>
      </c>
      <c r="E191">
        <v>-1.10649190174971E-2</v>
      </c>
      <c r="F191">
        <v>-6.0925785266572104E-3</v>
      </c>
      <c r="G191">
        <v>-6.0286032605031603E-3</v>
      </c>
      <c r="H191">
        <v>-5.8334468179663396E-3</v>
      </c>
      <c r="I191">
        <v>-6.3113752544428697E-3</v>
      </c>
      <c r="L191" s="1" t="str">
        <f>"20"&amp;RIGHT(B191,2)&amp;"Q"&amp;LEFT(B191,1)</f>
        <v>2019Q3</v>
      </c>
      <c r="M191" s="2">
        <f>C191</f>
        <v>-0.105530013140224</v>
      </c>
      <c r="N191" s="2">
        <f>D191/10</f>
        <v>5.5944438790615802E-4</v>
      </c>
      <c r="O191" s="2">
        <f>E191</f>
        <v>-1.10649190174971E-2</v>
      </c>
      <c r="P191" s="2">
        <f>F191</f>
        <v>-6.0925785266572104E-3</v>
      </c>
      <c r="Q191" s="2">
        <f>G191</f>
        <v>-6.0286032605031603E-3</v>
      </c>
      <c r="R191" s="2">
        <f>H191</f>
        <v>-5.8334468179663396E-3</v>
      </c>
      <c r="S191" s="2">
        <f>I191</f>
        <v>-6.3113752544428697E-3</v>
      </c>
      <c r="AD191" s="1">
        <f>LEFT(L191,4)+1</f>
        <v>2020</v>
      </c>
      <c r="AE191" s="2">
        <f>M191</f>
        <v>-0.105530013140224</v>
      </c>
      <c r="AF191" s="2">
        <f>N191</f>
        <v>5.5944438790615802E-4</v>
      </c>
      <c r="AG191" s="2">
        <f>O191</f>
        <v>-1.10649190174971E-2</v>
      </c>
      <c r="AH191" s="2">
        <f>P191</f>
        <v>-6.0925785266572104E-3</v>
      </c>
      <c r="AI191" s="2">
        <f>Q191</f>
        <v>-6.0286032605031603E-3</v>
      </c>
      <c r="AJ191" s="2">
        <f>R191</f>
        <v>-5.8334468179663396E-3</v>
      </c>
      <c r="AK191" s="2">
        <f>S191</f>
        <v>-6.3113752544428697E-3</v>
      </c>
    </row>
    <row r="192" spans="1:37" ht="15" x14ac:dyDescent="0.25">
      <c r="A192" s="3">
        <v>43830</v>
      </c>
      <c r="B192" s="1" t="s">
        <v>18</v>
      </c>
      <c r="C192">
        <v>-4.8879620212975802E-2</v>
      </c>
      <c r="D192">
        <v>-1.9895497699789402E-2</v>
      </c>
      <c r="E192">
        <v>-1.6101691485530999E-2</v>
      </c>
      <c r="F192">
        <v>-1.5936370756721201E-2</v>
      </c>
      <c r="G192">
        <v>-1.4399154016329499E-2</v>
      </c>
      <c r="H192">
        <v>-1.2414623617349199E-2</v>
      </c>
      <c r="I192">
        <v>-1.1429923739358401E-2</v>
      </c>
      <c r="L192" s="1" t="str">
        <f>"20"&amp;RIGHT(B192,2)&amp;"Q"&amp;LEFT(B192,1)</f>
        <v>2019Q4</v>
      </c>
      <c r="M192" s="2">
        <f>C192</f>
        <v>-4.8879620212975802E-2</v>
      </c>
      <c r="N192" s="2">
        <f>D192/10</f>
        <v>-1.9895497699789402E-3</v>
      </c>
      <c r="O192" s="2">
        <f>E192</f>
        <v>-1.6101691485530999E-2</v>
      </c>
      <c r="P192" s="2">
        <f>F192</f>
        <v>-1.5936370756721201E-2</v>
      </c>
      <c r="Q192" s="2">
        <f>G192</f>
        <v>-1.4399154016329499E-2</v>
      </c>
      <c r="R192" s="2">
        <f>H192</f>
        <v>-1.2414623617349199E-2</v>
      </c>
      <c r="S192" s="2">
        <f>I192</f>
        <v>-1.1429923739358401E-2</v>
      </c>
      <c r="AD192" s="1">
        <f>LEFT(L192,4)+1</f>
        <v>2020</v>
      </c>
      <c r="AE192" s="2">
        <f>M192</f>
        <v>-4.8879620212975802E-2</v>
      </c>
      <c r="AF192" s="2">
        <f>N192</f>
        <v>-1.9895497699789402E-3</v>
      </c>
      <c r="AG192" s="2">
        <f>O192</f>
        <v>-1.6101691485530999E-2</v>
      </c>
      <c r="AH192" s="2">
        <f>P192</f>
        <v>-1.5936370756721201E-2</v>
      </c>
      <c r="AI192" s="2">
        <f>Q192</f>
        <v>-1.4399154016329499E-2</v>
      </c>
      <c r="AJ192" s="2">
        <f>R192</f>
        <v>-1.2414623617349199E-2</v>
      </c>
      <c r="AK192" s="2">
        <f>S192</f>
        <v>-1.1429923739358401E-2</v>
      </c>
    </row>
    <row r="193" spans="1:37" ht="15" x14ac:dyDescent="0.25">
      <c r="A193" s="3">
        <v>43921</v>
      </c>
      <c r="B193" s="1" t="s">
        <v>17</v>
      </c>
      <c r="C193">
        <v>0.25549312764432103</v>
      </c>
      <c r="D193">
        <v>1.6998586958282599E-2</v>
      </c>
      <c r="E193">
        <v>3.0904085855693701E-3</v>
      </c>
      <c r="F193">
        <v>5.2174775087707301E-4</v>
      </c>
      <c r="G193">
        <v>-1.2312310396587599E-3</v>
      </c>
      <c r="H193">
        <v>-1.74963522073951E-3</v>
      </c>
      <c r="I193">
        <v>-3.30540605986756E-3</v>
      </c>
      <c r="L193" s="1" t="str">
        <f>"20"&amp;RIGHT(B193,2)&amp;"Q"&amp;LEFT(B193,1)</f>
        <v>2020Q1</v>
      </c>
      <c r="M193" s="2">
        <f>C193</f>
        <v>0.25549312764432103</v>
      </c>
      <c r="N193" s="2">
        <f>D193/10</f>
        <v>1.6998586958282599E-3</v>
      </c>
      <c r="O193" s="2">
        <f>E193</f>
        <v>3.0904085855693701E-3</v>
      </c>
      <c r="P193" s="2">
        <f>F193</f>
        <v>5.2174775087707301E-4</v>
      </c>
      <c r="Q193" s="2">
        <f>G193</f>
        <v>-1.2312310396587599E-3</v>
      </c>
      <c r="R193" s="2">
        <f>H193</f>
        <v>-1.74963522073951E-3</v>
      </c>
      <c r="S193" s="2">
        <f>I193</f>
        <v>-3.30540605986756E-3</v>
      </c>
      <c r="AD193" s="1">
        <f>LEFT(L193,4)+1</f>
        <v>2021</v>
      </c>
      <c r="AE193" s="2">
        <f>M193</f>
        <v>0.25549312764432103</v>
      </c>
      <c r="AF193" s="2">
        <f>N193</f>
        <v>1.6998586958282599E-3</v>
      </c>
      <c r="AG193" s="2">
        <f>O193</f>
        <v>3.0904085855693701E-3</v>
      </c>
      <c r="AH193" s="2">
        <f>P193</f>
        <v>5.2174775087707301E-4</v>
      </c>
      <c r="AI193" s="2">
        <f>Q193</f>
        <v>-1.2312310396587599E-3</v>
      </c>
      <c r="AJ193" s="2">
        <f>R193</f>
        <v>-1.74963522073951E-3</v>
      </c>
      <c r="AK193" s="2">
        <f>S193</f>
        <v>-3.30540605986756E-3</v>
      </c>
    </row>
    <row r="194" spans="1:37" ht="15" x14ac:dyDescent="0.25">
      <c r="A194" s="3">
        <v>44012</v>
      </c>
      <c r="B194" s="1" t="s">
        <v>16</v>
      </c>
      <c r="C194">
        <v>0.44566547179567001</v>
      </c>
      <c r="D194">
        <v>3.8060780148908097E-2</v>
      </c>
      <c r="E194">
        <v>1.8200530507933299E-2</v>
      </c>
      <c r="F194">
        <v>1.1910533183139E-2</v>
      </c>
      <c r="G194">
        <v>6.8600779577284799E-3</v>
      </c>
      <c r="H194">
        <v>3.50231375846449E-3</v>
      </c>
      <c r="I194">
        <v>7.0669299155421599E-4</v>
      </c>
      <c r="L194" s="1" t="str">
        <f>"20"&amp;RIGHT(B194,2)&amp;"Q"&amp;LEFT(B194,1)</f>
        <v>2020Q2</v>
      </c>
      <c r="M194" s="2">
        <f>C194</f>
        <v>0.44566547179567001</v>
      </c>
      <c r="N194" s="2">
        <f>D194/10</f>
        <v>3.8060780148908096E-3</v>
      </c>
      <c r="O194" s="2">
        <f>E194</f>
        <v>1.8200530507933299E-2</v>
      </c>
      <c r="P194" s="2">
        <f>F194</f>
        <v>1.1910533183139E-2</v>
      </c>
      <c r="Q194" s="2">
        <f>G194</f>
        <v>6.8600779577284799E-3</v>
      </c>
      <c r="R194" s="2">
        <f>H194</f>
        <v>3.50231375846449E-3</v>
      </c>
      <c r="S194" s="2">
        <f>I194</f>
        <v>7.0669299155421599E-4</v>
      </c>
      <c r="AD194" s="1">
        <f>LEFT(L194,4)+1</f>
        <v>2021</v>
      </c>
      <c r="AE194" s="2">
        <f>M194</f>
        <v>0.44566547179567001</v>
      </c>
      <c r="AF194" s="2">
        <f>N194</f>
        <v>3.8060780148908096E-3</v>
      </c>
      <c r="AG194" s="2">
        <f>O194</f>
        <v>1.8200530507933299E-2</v>
      </c>
      <c r="AH194" s="2">
        <f>P194</f>
        <v>1.1910533183139E-2</v>
      </c>
      <c r="AI194" s="2">
        <f>Q194</f>
        <v>6.8600779577284799E-3</v>
      </c>
      <c r="AJ194" s="2">
        <f>R194</f>
        <v>3.50231375846449E-3</v>
      </c>
      <c r="AK194" s="2">
        <f>S194</f>
        <v>7.0669299155421599E-4</v>
      </c>
    </row>
    <row r="195" spans="1:37" ht="15" x14ac:dyDescent="0.25">
      <c r="A195" s="3">
        <v>44104</v>
      </c>
      <c r="B195" s="1" t="s">
        <v>15</v>
      </c>
      <c r="C195">
        <v>0.638207091863357</v>
      </c>
      <c r="D195">
        <v>6.1487794992014601E-2</v>
      </c>
      <c r="E195">
        <v>2.62663415301655E-2</v>
      </c>
      <c r="F195">
        <v>2.26768858903286E-2</v>
      </c>
      <c r="G195">
        <v>1.4843075857914299E-2</v>
      </c>
      <c r="H195">
        <v>8.9871566327449706E-3</v>
      </c>
      <c r="I195">
        <v>4.3231284601443799E-3</v>
      </c>
      <c r="L195" s="1" t="str">
        <f>"20"&amp;RIGHT(B195,2)&amp;"Q"&amp;LEFT(B195,1)</f>
        <v>2020Q3</v>
      </c>
      <c r="M195" s="2">
        <f>C195</f>
        <v>0.638207091863357</v>
      </c>
      <c r="N195" s="2">
        <f>D195/10</f>
        <v>6.1487794992014597E-3</v>
      </c>
      <c r="O195" s="2">
        <f>E195</f>
        <v>2.62663415301655E-2</v>
      </c>
      <c r="P195" s="2">
        <f>F195</f>
        <v>2.26768858903286E-2</v>
      </c>
      <c r="Q195" s="2">
        <f>G195</f>
        <v>1.4843075857914299E-2</v>
      </c>
      <c r="R195" s="2">
        <f>H195</f>
        <v>8.9871566327449706E-3</v>
      </c>
      <c r="S195" s="2">
        <f>I195</f>
        <v>4.3231284601443799E-3</v>
      </c>
      <c r="AD195" s="1">
        <f>LEFT(L195,4)+1</f>
        <v>2021</v>
      </c>
      <c r="AE195" s="2">
        <f>M195</f>
        <v>0.638207091863357</v>
      </c>
      <c r="AF195" s="2">
        <f>N195</f>
        <v>6.1487794992014597E-3</v>
      </c>
      <c r="AG195" s="2">
        <f>O195</f>
        <v>2.62663415301655E-2</v>
      </c>
      <c r="AH195" s="2">
        <f>P195</f>
        <v>2.26768858903286E-2</v>
      </c>
      <c r="AI195" s="2">
        <f>Q195</f>
        <v>1.4843075857914299E-2</v>
      </c>
      <c r="AJ195" s="2">
        <f>R195</f>
        <v>8.9871566327449706E-3</v>
      </c>
      <c r="AK195" s="2">
        <f>S195</f>
        <v>4.3231284601443799E-3</v>
      </c>
    </row>
    <row r="196" spans="1:37" ht="15" x14ac:dyDescent="0.25">
      <c r="A196" s="3">
        <v>44196</v>
      </c>
      <c r="B196" s="1" t="s">
        <v>14</v>
      </c>
      <c r="C196">
        <v>0.58428135466330999</v>
      </c>
      <c r="D196">
        <v>9.4567898041968898E-2</v>
      </c>
      <c r="E196">
        <v>2.8067507495561299E-2</v>
      </c>
      <c r="F196">
        <v>1.94497562408786E-2</v>
      </c>
      <c r="G196">
        <v>1.0654997859662001E-2</v>
      </c>
      <c r="H196">
        <v>5.3198716850731201E-3</v>
      </c>
      <c r="I196">
        <v>1.0304913934177299E-3</v>
      </c>
      <c r="L196" s="1" t="str">
        <f>"20"&amp;RIGHT(B196,2)&amp;"Q"&amp;LEFT(B196,1)</f>
        <v>2020Q4</v>
      </c>
      <c r="M196" s="2">
        <f>C196</f>
        <v>0.58428135466330999</v>
      </c>
      <c r="N196" s="2">
        <f>D196/10</f>
        <v>9.4567898041968898E-3</v>
      </c>
      <c r="O196" s="2">
        <f>E196</f>
        <v>2.8067507495561299E-2</v>
      </c>
      <c r="P196" s="2">
        <f>F196</f>
        <v>1.94497562408786E-2</v>
      </c>
      <c r="Q196" s="2">
        <f>G196</f>
        <v>1.0654997859662001E-2</v>
      </c>
      <c r="R196" s="2">
        <f>H196</f>
        <v>5.3198716850731201E-3</v>
      </c>
      <c r="S196" s="2">
        <f>I196</f>
        <v>1.0304913934177299E-3</v>
      </c>
      <c r="AD196" s="1">
        <f>LEFT(L196,4)+1</f>
        <v>2021</v>
      </c>
      <c r="AE196" s="2">
        <f>M196</f>
        <v>0.58428135466330999</v>
      </c>
      <c r="AF196" s="2">
        <f>N196</f>
        <v>9.4567898041968898E-3</v>
      </c>
      <c r="AG196" s="2">
        <f>O196</f>
        <v>2.8067507495561299E-2</v>
      </c>
      <c r="AH196" s="2">
        <f>P196</f>
        <v>1.94497562408786E-2</v>
      </c>
      <c r="AI196" s="2">
        <f>Q196</f>
        <v>1.0654997859662001E-2</v>
      </c>
      <c r="AJ196" s="2">
        <f>R196</f>
        <v>5.3198716850731201E-3</v>
      </c>
      <c r="AK196" s="2">
        <f>S196</f>
        <v>1.0304913934177299E-3</v>
      </c>
    </row>
    <row r="197" spans="1:37" ht="15" x14ac:dyDescent="0.25">
      <c r="A197" s="3">
        <v>44286</v>
      </c>
      <c r="B197" s="1" t="s">
        <v>13</v>
      </c>
      <c r="C197">
        <v>0.26997458306090899</v>
      </c>
      <c r="D197">
        <v>6.5117668311579099E-2</v>
      </c>
      <c r="E197">
        <v>1.40551037593183E-2</v>
      </c>
      <c r="F197">
        <v>1.31401793492093E-2</v>
      </c>
      <c r="G197">
        <v>7.4290895971492396E-3</v>
      </c>
      <c r="H197">
        <v>3.9739709928798602E-3</v>
      </c>
      <c r="I197">
        <v>1.14412389147376E-3</v>
      </c>
      <c r="L197" s="1" t="str">
        <f>"20"&amp;RIGHT(B197,2)&amp;"Q"&amp;LEFT(B197,1)</f>
        <v>2021Q1</v>
      </c>
      <c r="M197" s="2">
        <f>C197</f>
        <v>0.26997458306090899</v>
      </c>
      <c r="N197" s="2">
        <f>D197/10</f>
        <v>6.5117668311579103E-3</v>
      </c>
      <c r="O197" s="2">
        <f>E197</f>
        <v>1.40551037593183E-2</v>
      </c>
      <c r="P197" s="2">
        <f>F197</f>
        <v>1.31401793492093E-2</v>
      </c>
      <c r="Q197" s="2">
        <f>G197</f>
        <v>7.4290895971492396E-3</v>
      </c>
      <c r="R197" s="2">
        <f>H197</f>
        <v>3.9739709928798602E-3</v>
      </c>
      <c r="S197" s="2">
        <f>I197</f>
        <v>1.14412389147376E-3</v>
      </c>
      <c r="AD197" s="1">
        <f>LEFT(L197,4)+1</f>
        <v>2022</v>
      </c>
      <c r="AE197" s="2">
        <f>M197</f>
        <v>0.26997458306090899</v>
      </c>
      <c r="AF197" s="2">
        <f>N197</f>
        <v>6.5117668311579103E-3</v>
      </c>
      <c r="AG197" s="2">
        <f>O197</f>
        <v>1.40551037593183E-2</v>
      </c>
      <c r="AH197" s="2">
        <f>P197</f>
        <v>1.31401793492093E-2</v>
      </c>
      <c r="AI197" s="2">
        <f>Q197</f>
        <v>7.4290895971492396E-3</v>
      </c>
      <c r="AJ197" s="2">
        <f>R197</f>
        <v>3.9739709928798602E-3</v>
      </c>
      <c r="AK197" s="2">
        <f>S197</f>
        <v>1.14412389147376E-3</v>
      </c>
    </row>
    <row r="198" spans="1:37" ht="15" x14ac:dyDescent="0.25">
      <c r="A198" s="3">
        <v>44377</v>
      </c>
      <c r="B198" s="1" t="s">
        <v>12</v>
      </c>
      <c r="C198">
        <v>-0.52720721617412603</v>
      </c>
      <c r="D198">
        <v>-2.48677505473048E-2</v>
      </c>
      <c r="E198">
        <v>-4.1761827369391803E-2</v>
      </c>
      <c r="F198">
        <v>-3.0152436346291601E-2</v>
      </c>
      <c r="G198">
        <v>-2.6110892034707098E-2</v>
      </c>
      <c r="H198">
        <v>-2.2055694261354401E-2</v>
      </c>
      <c r="I198">
        <v>-1.9951832587264601E-2</v>
      </c>
      <c r="L198" s="1" t="str">
        <f>"20"&amp;RIGHT(B198,2)&amp;"Q"&amp;LEFT(B198,1)</f>
        <v>2021Q2</v>
      </c>
      <c r="M198" s="2">
        <f>C198</f>
        <v>-0.52720721617412603</v>
      </c>
      <c r="N198" s="2">
        <f>D198/10</f>
        <v>-2.4867750547304798E-3</v>
      </c>
      <c r="O198" s="2">
        <f>E198</f>
        <v>-4.1761827369391803E-2</v>
      </c>
      <c r="P198" s="2">
        <f>F198</f>
        <v>-3.0152436346291601E-2</v>
      </c>
      <c r="Q198" s="2">
        <f>G198</f>
        <v>-2.6110892034707098E-2</v>
      </c>
      <c r="R198" s="2">
        <f>H198</f>
        <v>-2.2055694261354401E-2</v>
      </c>
      <c r="S198" s="2">
        <f>I198</f>
        <v>-1.9951832587264601E-2</v>
      </c>
      <c r="AD198" s="1">
        <f>LEFT(L198,4)+1</f>
        <v>2022</v>
      </c>
      <c r="AE198" s="2">
        <f>M198</f>
        <v>-0.52720721617412603</v>
      </c>
      <c r="AF198" s="2">
        <f>N198</f>
        <v>-2.4867750547304798E-3</v>
      </c>
      <c r="AG198" s="2">
        <f>O198</f>
        <v>-4.1761827369391803E-2</v>
      </c>
      <c r="AH198" s="2">
        <f>P198</f>
        <v>-3.0152436346291601E-2</v>
      </c>
      <c r="AI198" s="2">
        <f>Q198</f>
        <v>-2.6110892034707098E-2</v>
      </c>
      <c r="AJ198" s="2">
        <f>R198</f>
        <v>-2.2055694261354401E-2</v>
      </c>
      <c r="AK198" s="2">
        <f>S198</f>
        <v>-1.9951832587264601E-2</v>
      </c>
    </row>
    <row r="199" spans="1:37" ht="15" x14ac:dyDescent="0.25">
      <c r="A199" s="3">
        <v>44469</v>
      </c>
      <c r="B199" s="1" t="s">
        <v>11</v>
      </c>
      <c r="C199">
        <v>-0.44702695287873001</v>
      </c>
      <c r="D199">
        <v>-3.3276084344473301E-2</v>
      </c>
      <c r="E199">
        <v>-4.8285690684055797E-2</v>
      </c>
      <c r="F199">
        <v>-3.40473937051868E-2</v>
      </c>
      <c r="G199">
        <v>-2.8080578158102401E-2</v>
      </c>
      <c r="H199">
        <v>-2.2753427647530699E-2</v>
      </c>
      <c r="I199">
        <v>-1.9847768355553099E-2</v>
      </c>
      <c r="L199" s="1" t="str">
        <f>"20"&amp;RIGHT(B199,2)&amp;"Q"&amp;LEFT(B199,1)</f>
        <v>2021Q3</v>
      </c>
      <c r="M199" s="2">
        <f>C199</f>
        <v>-0.44702695287873001</v>
      </c>
      <c r="N199" s="2">
        <f>D199/10</f>
        <v>-3.3276084344473302E-3</v>
      </c>
      <c r="O199" s="2">
        <f>E199</f>
        <v>-4.8285690684055797E-2</v>
      </c>
      <c r="P199" s="2">
        <f>F199</f>
        <v>-3.40473937051868E-2</v>
      </c>
      <c r="Q199" s="2">
        <f>G199</f>
        <v>-2.8080578158102401E-2</v>
      </c>
      <c r="R199" s="2">
        <f>H199</f>
        <v>-2.2753427647530699E-2</v>
      </c>
      <c r="S199" s="2">
        <f>I199</f>
        <v>-1.9847768355553099E-2</v>
      </c>
      <c r="AD199" s="1">
        <f>LEFT(L199,4)+1</f>
        <v>2022</v>
      </c>
      <c r="AE199" s="2">
        <f>M199</f>
        <v>-0.44702695287873001</v>
      </c>
      <c r="AF199" s="2">
        <f>N199</f>
        <v>-3.3276084344473302E-3</v>
      </c>
      <c r="AG199" s="2">
        <f>O199</f>
        <v>-4.8285690684055797E-2</v>
      </c>
      <c r="AH199" s="2">
        <f>P199</f>
        <v>-3.40473937051868E-2</v>
      </c>
      <c r="AI199" s="2">
        <f>Q199</f>
        <v>-2.8080578158102401E-2</v>
      </c>
      <c r="AJ199" s="2">
        <f>R199</f>
        <v>-2.2753427647530699E-2</v>
      </c>
      <c r="AK199" s="2">
        <f>S199</f>
        <v>-1.9847768355553099E-2</v>
      </c>
    </row>
    <row r="200" spans="1:37" ht="15" x14ac:dyDescent="0.25">
      <c r="A200" s="3">
        <v>44561</v>
      </c>
      <c r="B200" s="1" t="s">
        <v>10</v>
      </c>
      <c r="C200">
        <v>-0.106449297655619</v>
      </c>
      <c r="D200">
        <v>-4.0294974451643897E-3</v>
      </c>
      <c r="E200">
        <v>-3.8201320750806601E-2</v>
      </c>
      <c r="F200">
        <v>-2.1969341651982301E-2</v>
      </c>
      <c r="G200">
        <v>-1.83518139173534E-2</v>
      </c>
      <c r="H200">
        <v>2.6136925326860302E-3</v>
      </c>
      <c r="I200">
        <v>2.04851648721735E-2</v>
      </c>
      <c r="L200" s="1" t="str">
        <f>"20"&amp;RIGHT(B200,2)&amp;"Q"&amp;LEFT(B200,1)</f>
        <v>2021Q4</v>
      </c>
      <c r="M200" s="2">
        <f>C200</f>
        <v>-0.106449297655619</v>
      </c>
      <c r="N200" s="2">
        <f>D200/10</f>
        <v>-4.0294974451643894E-4</v>
      </c>
      <c r="O200" s="2">
        <f>E200</f>
        <v>-3.8201320750806601E-2</v>
      </c>
      <c r="P200" s="2">
        <f>F200</f>
        <v>-2.1969341651982301E-2</v>
      </c>
      <c r="Q200" s="2">
        <f>G200</f>
        <v>-1.83518139173534E-2</v>
      </c>
      <c r="R200" s="2">
        <f>H200</f>
        <v>2.6136925326860302E-3</v>
      </c>
      <c r="S200" s="2">
        <f>I200</f>
        <v>2.04851648721735E-2</v>
      </c>
      <c r="AD200" s="1">
        <f>LEFT(L200,4)+1</f>
        <v>2022</v>
      </c>
      <c r="AE200" s="2">
        <f>M200</f>
        <v>-0.106449297655619</v>
      </c>
      <c r="AF200" s="2">
        <f>N200</f>
        <v>-4.0294974451643894E-4</v>
      </c>
      <c r="AG200" s="2">
        <f>O200</f>
        <v>-3.8201320750806601E-2</v>
      </c>
      <c r="AH200" s="2">
        <f>P200</f>
        <v>-2.1969341651982301E-2</v>
      </c>
      <c r="AI200" s="2">
        <f>Q200</f>
        <v>-1.83518139173534E-2</v>
      </c>
      <c r="AJ200" s="2">
        <f>R200</f>
        <v>2.6136925326860302E-3</v>
      </c>
      <c r="AK200" s="2">
        <f>S200</f>
        <v>2.04851648721735E-2</v>
      </c>
    </row>
    <row r="201" spans="1:37" ht="15" x14ac:dyDescent="0.25">
      <c r="A201" s="3">
        <v>44651</v>
      </c>
      <c r="B201" s="1" t="s">
        <v>9</v>
      </c>
      <c r="C201">
        <v>-0.24082499018470899</v>
      </c>
      <c r="D201">
        <v>-2.8635933055124099E-2</v>
      </c>
      <c r="E201">
        <v>-1.5232096510049699E-2</v>
      </c>
      <c r="F201">
        <v>-2.6758316678113501E-3</v>
      </c>
      <c r="G201">
        <v>8.9280170921685401E-3</v>
      </c>
      <c r="H201">
        <v>2.72630324219055E-2</v>
      </c>
      <c r="I201">
        <v>3.5348685536075201E-3</v>
      </c>
      <c r="L201" s="1" t="str">
        <f>"20"&amp;RIGHT(B201,2)&amp;"Q"&amp;LEFT(B201,1)</f>
        <v>2022Q1</v>
      </c>
      <c r="M201" s="2">
        <f>C201</f>
        <v>-0.24082499018470899</v>
      </c>
      <c r="N201" s="2">
        <f>D201/10</f>
        <v>-2.8635933055124099E-3</v>
      </c>
      <c r="O201" s="2">
        <f>E201</f>
        <v>-1.5232096510049699E-2</v>
      </c>
      <c r="P201" s="2">
        <f>F201</f>
        <v>-2.6758316678113501E-3</v>
      </c>
      <c r="Q201" s="2">
        <f>G201</f>
        <v>8.9280170921685401E-3</v>
      </c>
      <c r="R201" s="2">
        <f>H201</f>
        <v>2.72630324219055E-2</v>
      </c>
      <c r="S201" s="2">
        <f>I201</f>
        <v>3.5348685536075201E-3</v>
      </c>
      <c r="AD201" s="1">
        <f>LEFT(L201,4)+1</f>
        <v>2023</v>
      </c>
      <c r="AE201" s="2">
        <f>M201</f>
        <v>-0.24082499018470899</v>
      </c>
      <c r="AF201" s="2">
        <f>N201</f>
        <v>-2.8635933055124099E-3</v>
      </c>
      <c r="AG201" s="2">
        <f>O201</f>
        <v>-1.5232096510049699E-2</v>
      </c>
      <c r="AH201" s="2">
        <f>P201</f>
        <v>-2.6758316678113501E-3</v>
      </c>
      <c r="AI201" s="2">
        <f>Q201</f>
        <v>8.9280170921685401E-3</v>
      </c>
      <c r="AJ201" s="2">
        <f>R201</f>
        <v>2.72630324219055E-2</v>
      </c>
      <c r="AK201" s="2">
        <f>S201</f>
        <v>3.5348685536075201E-3</v>
      </c>
    </row>
    <row r="202" spans="1:37" ht="15" x14ac:dyDescent="0.25">
      <c r="A202" s="3">
        <v>44742</v>
      </c>
      <c r="B202" s="1" t="s">
        <v>8</v>
      </c>
      <c r="C202">
        <v>-0.26002079553936802</v>
      </c>
      <c r="D202">
        <v>1.4278272149815001E-2</v>
      </c>
      <c r="E202">
        <v>2.4446597109481698E-2</v>
      </c>
      <c r="F202">
        <v>2.31306302751468E-2</v>
      </c>
      <c r="G202">
        <v>3.9742186715325797E-2</v>
      </c>
      <c r="H202">
        <v>1.11669829822929E-2</v>
      </c>
      <c r="I202">
        <v>7.8201314869196792E-3</v>
      </c>
      <c r="L202" s="1" t="str">
        <f>"20"&amp;RIGHT(B202,2)&amp;"Q"&amp;LEFT(B202,1)</f>
        <v>2022Q2</v>
      </c>
      <c r="M202" s="2">
        <f>C202</f>
        <v>-0.26002079553936802</v>
      </c>
      <c r="N202" s="2">
        <f>D202/10</f>
        <v>1.4278272149815001E-3</v>
      </c>
      <c r="O202" s="2">
        <f>E202</f>
        <v>2.4446597109481698E-2</v>
      </c>
      <c r="P202" s="2">
        <f>F202</f>
        <v>2.31306302751468E-2</v>
      </c>
      <c r="Q202" s="2">
        <f>G202</f>
        <v>3.9742186715325797E-2</v>
      </c>
      <c r="R202" s="2">
        <f>H202</f>
        <v>1.11669829822929E-2</v>
      </c>
      <c r="S202" s="2">
        <f>I202</f>
        <v>7.8201314869196792E-3</v>
      </c>
      <c r="AD202" s="1">
        <f>LEFT(L202,4)+1</f>
        <v>2023</v>
      </c>
      <c r="AE202" s="2">
        <f>M202</f>
        <v>-0.26002079553936802</v>
      </c>
      <c r="AF202" s="2">
        <f>N202</f>
        <v>1.4278272149815001E-3</v>
      </c>
      <c r="AG202" s="2">
        <f>O202</f>
        <v>2.4446597109481698E-2</v>
      </c>
      <c r="AH202" s="2">
        <f>P202</f>
        <v>2.31306302751468E-2</v>
      </c>
      <c r="AI202" s="2">
        <f>Q202</f>
        <v>3.9742186715325797E-2</v>
      </c>
      <c r="AJ202" s="2">
        <f>R202</f>
        <v>1.11669829822929E-2</v>
      </c>
      <c r="AK202" s="2">
        <f>S202</f>
        <v>7.8201314869196792E-3</v>
      </c>
    </row>
    <row r="203" spans="1:37" ht="15" x14ac:dyDescent="0.25">
      <c r="A203" s="3">
        <v>44834</v>
      </c>
      <c r="B203" s="1" t="s">
        <v>7</v>
      </c>
      <c r="C203">
        <v>-8.4684901935361906E-2</v>
      </c>
      <c r="D203">
        <v>4.0674004269464201E-2</v>
      </c>
      <c r="E203">
        <v>2.36828339978538E-2</v>
      </c>
      <c r="F203">
        <v>4.0300245939031198E-2</v>
      </c>
      <c r="G203">
        <v>8.1452138550923703E-3</v>
      </c>
      <c r="H203">
        <v>5.9915565741759597E-3</v>
      </c>
      <c r="I203">
        <v>-2.4869440103947901E-3</v>
      </c>
      <c r="L203" s="1" t="str">
        <f>"20"&amp;RIGHT(B203,2)&amp;"Q"&amp;LEFT(B203,1)</f>
        <v>2022Q3</v>
      </c>
      <c r="M203" s="2">
        <f>C203</f>
        <v>-8.4684901935361906E-2</v>
      </c>
      <c r="N203" s="2">
        <f>D203/10</f>
        <v>4.0674004269464197E-3</v>
      </c>
      <c r="O203" s="2">
        <f>E203</f>
        <v>2.36828339978538E-2</v>
      </c>
      <c r="P203" s="2">
        <f>F203</f>
        <v>4.0300245939031198E-2</v>
      </c>
      <c r="Q203" s="2">
        <f>G203</f>
        <v>8.1452138550923703E-3</v>
      </c>
      <c r="R203" s="2">
        <f>H203</f>
        <v>5.9915565741759597E-3</v>
      </c>
      <c r="S203" s="2">
        <f>I203</f>
        <v>-2.4869440103947901E-3</v>
      </c>
      <c r="AD203" s="1">
        <f>LEFT(L203,4)+1</f>
        <v>2023</v>
      </c>
      <c r="AE203" s="2">
        <f>M203</f>
        <v>-8.4684901935361906E-2</v>
      </c>
      <c r="AF203" s="2">
        <f>N203</f>
        <v>4.0674004269464197E-3</v>
      </c>
      <c r="AG203" s="2">
        <f>O203</f>
        <v>2.36828339978538E-2</v>
      </c>
      <c r="AH203" s="2">
        <f>P203</f>
        <v>4.0300245939031198E-2</v>
      </c>
      <c r="AI203" s="2">
        <f>Q203</f>
        <v>8.1452138550923703E-3</v>
      </c>
      <c r="AJ203" s="2">
        <f>R203</f>
        <v>5.9915565741759597E-3</v>
      </c>
      <c r="AK203" s="2">
        <f>S203</f>
        <v>-2.4869440103947901E-3</v>
      </c>
    </row>
    <row r="204" spans="1:37" ht="15" x14ac:dyDescent="0.25">
      <c r="A204" s="3">
        <v>44926</v>
      </c>
      <c r="B204" s="1" t="s">
        <v>6</v>
      </c>
      <c r="C204">
        <v>0.19504715455560701</v>
      </c>
      <c r="D204">
        <v>4.3311666416656097E-2</v>
      </c>
      <c r="E204">
        <v>5.2307671556407503E-2</v>
      </c>
      <c r="F204">
        <v>1.47655919143206E-2</v>
      </c>
      <c r="G204">
        <v>1.2746187534520399E-2</v>
      </c>
      <c r="H204">
        <v>2.8924204517759098E-3</v>
      </c>
      <c r="I204">
        <v>3.81324182105971E-3</v>
      </c>
      <c r="L204" s="1" t="str">
        <f>"20"&amp;RIGHT(B204,2)&amp;"Q"&amp;LEFT(B204,1)</f>
        <v>2022Q4</v>
      </c>
      <c r="M204" s="2">
        <f>C204</f>
        <v>0.19504715455560701</v>
      </c>
      <c r="N204" s="2">
        <f>D204/10</f>
        <v>4.3311666416656095E-3</v>
      </c>
      <c r="O204" s="2">
        <f>E204</f>
        <v>5.2307671556407503E-2</v>
      </c>
      <c r="P204" s="2">
        <f>F204</f>
        <v>1.47655919143206E-2</v>
      </c>
      <c r="Q204" s="2">
        <f>G204</f>
        <v>1.2746187534520399E-2</v>
      </c>
      <c r="R204" s="2">
        <f>H204</f>
        <v>2.8924204517759098E-3</v>
      </c>
      <c r="S204" s="2">
        <f>I204</f>
        <v>3.81324182105971E-3</v>
      </c>
      <c r="AD204" s="1">
        <f>LEFT(L204,4)+1</f>
        <v>2023</v>
      </c>
      <c r="AE204" s="2">
        <f>M204</f>
        <v>0.19504715455560701</v>
      </c>
      <c r="AF204" s="2">
        <f>N204</f>
        <v>4.3311666416656095E-3</v>
      </c>
      <c r="AG204" s="2">
        <f>O204</f>
        <v>5.2307671556407503E-2</v>
      </c>
      <c r="AH204" s="2">
        <f>P204</f>
        <v>1.47655919143206E-2</v>
      </c>
      <c r="AI204" s="2">
        <f>Q204</f>
        <v>1.2746187534520399E-2</v>
      </c>
      <c r="AJ204" s="2">
        <f>R204</f>
        <v>2.8924204517759098E-3</v>
      </c>
      <c r="AK204" s="2">
        <f>S204</f>
        <v>3.81324182105971E-3</v>
      </c>
    </row>
    <row r="205" spans="1:37" ht="15" x14ac:dyDescent="0.25">
      <c r="A205" s="3">
        <v>45016</v>
      </c>
      <c r="B205" s="1" t="s">
        <v>5</v>
      </c>
      <c r="C205">
        <v>6.7853325056823205E-2</v>
      </c>
      <c r="D205">
        <v>4.14353940302725E-2</v>
      </c>
      <c r="E205">
        <v>4.3886303609311497E-3</v>
      </c>
      <c r="F205">
        <v>5.1707779408656203E-3</v>
      </c>
      <c r="G205">
        <v>-4.01373117988144E-3</v>
      </c>
      <c r="H205">
        <v>-2.90693712937068E-3</v>
      </c>
      <c r="I205">
        <v>-8.63401377754653E-3</v>
      </c>
      <c r="L205" s="1" t="str">
        <f>"20"&amp;RIGHT(B205,2)&amp;"Q"&amp;LEFT(B205,1)</f>
        <v>2023Q1</v>
      </c>
      <c r="M205" s="2">
        <f>C205</f>
        <v>6.7853325056823205E-2</v>
      </c>
      <c r="N205" s="2">
        <f>D205/10</f>
        <v>4.1435394030272504E-3</v>
      </c>
      <c r="O205" s="2">
        <f>E205</f>
        <v>4.3886303609311497E-3</v>
      </c>
      <c r="P205" s="2">
        <f>F205</f>
        <v>5.1707779408656203E-3</v>
      </c>
      <c r="Q205" s="2">
        <f>G205</f>
        <v>-4.01373117988144E-3</v>
      </c>
      <c r="R205" s="2">
        <f>H205</f>
        <v>-2.90693712937068E-3</v>
      </c>
      <c r="S205" s="2">
        <f>I205</f>
        <v>-8.63401377754653E-3</v>
      </c>
      <c r="AD205" s="1">
        <f>LEFT(L205,4)+1</f>
        <v>2024</v>
      </c>
      <c r="AE205" s="2">
        <f>M205</f>
        <v>6.7853325056823205E-2</v>
      </c>
      <c r="AF205" s="2">
        <f>N205</f>
        <v>4.1435394030272504E-3</v>
      </c>
      <c r="AG205" s="2">
        <f>O205</f>
        <v>4.3886303609311497E-3</v>
      </c>
      <c r="AH205" s="2">
        <f>P205</f>
        <v>5.1707779408656203E-3</v>
      </c>
      <c r="AI205" s="2">
        <f>Q205</f>
        <v>-4.01373117988144E-3</v>
      </c>
      <c r="AJ205" s="2">
        <f>R205</f>
        <v>-2.90693712937068E-3</v>
      </c>
      <c r="AK205" s="2">
        <f>S205</f>
        <v>-8.63401377754653E-3</v>
      </c>
    </row>
    <row r="206" spans="1:37" ht="15" x14ac:dyDescent="0.25">
      <c r="A206" s="3">
        <v>45107</v>
      </c>
      <c r="B206" s="1" t="s">
        <v>4</v>
      </c>
      <c r="C206">
        <v>9.7175789513415295E-2</v>
      </c>
      <c r="D206">
        <v>2.9643422887094201E-3</v>
      </c>
      <c r="E206">
        <v>4.9317176166744203E-3</v>
      </c>
      <c r="F206">
        <v>-5.4223978143280597E-3</v>
      </c>
      <c r="G206">
        <v>-5.7844490735295996E-3</v>
      </c>
      <c r="H206">
        <v>-1.4961585912818201E-2</v>
      </c>
      <c r="I206">
        <v>-5.3626113645082402E-3</v>
      </c>
      <c r="L206" s="1" t="str">
        <f>"20"&amp;RIGHT(B206,2)&amp;"Q"&amp;LEFT(B206,1)</f>
        <v>2023Q2</v>
      </c>
      <c r="M206" s="2">
        <f>C206</f>
        <v>9.7175789513415295E-2</v>
      </c>
      <c r="N206" s="2">
        <f>D206/10</f>
        <v>2.9643422887094199E-4</v>
      </c>
      <c r="O206" s="2">
        <f>E206</f>
        <v>4.9317176166744203E-3</v>
      </c>
      <c r="P206" s="2">
        <f>F206</f>
        <v>-5.4223978143280597E-3</v>
      </c>
      <c r="Q206" s="2">
        <f>G206</f>
        <v>-5.7844490735295996E-3</v>
      </c>
      <c r="R206" s="2">
        <f>H206</f>
        <v>-1.4961585912818201E-2</v>
      </c>
      <c r="S206" s="2">
        <f>I206</f>
        <v>-5.3626113645082402E-3</v>
      </c>
      <c r="AD206" s="1">
        <f>LEFT(L206,4)+1</f>
        <v>2024</v>
      </c>
      <c r="AE206" s="2">
        <f>M206</f>
        <v>9.7175789513415295E-2</v>
      </c>
      <c r="AF206" s="2">
        <f>N206</f>
        <v>2.9643422887094199E-4</v>
      </c>
      <c r="AG206" s="2">
        <f>O206</f>
        <v>4.9317176166744203E-3</v>
      </c>
      <c r="AH206" s="2">
        <f>P206</f>
        <v>-5.4223978143280597E-3</v>
      </c>
      <c r="AI206" s="2">
        <f>Q206</f>
        <v>-5.7844490735295996E-3</v>
      </c>
      <c r="AJ206" s="2">
        <f>R206</f>
        <v>-1.4961585912818201E-2</v>
      </c>
      <c r="AK206" s="2">
        <f>S206</f>
        <v>-5.3626113645082402E-3</v>
      </c>
    </row>
    <row r="207" spans="1:37" ht="15" x14ac:dyDescent="0.25">
      <c r="A207" s="3">
        <v>45199</v>
      </c>
      <c r="B207" s="1" t="s">
        <v>3</v>
      </c>
      <c r="C207">
        <v>7.2230044057408405E-2</v>
      </c>
      <c r="D207">
        <v>8.4556108529052904E-3</v>
      </c>
      <c r="E207">
        <v>-5.7305121648797896E-3</v>
      </c>
      <c r="F207">
        <v>-8.5910144321421893E-3</v>
      </c>
      <c r="G207">
        <v>-2.1796390741324199E-2</v>
      </c>
      <c r="H207">
        <v>-1.1597694335807899E-2</v>
      </c>
      <c r="I207">
        <v>-5.8128839275354898E-3</v>
      </c>
      <c r="L207" s="1" t="str">
        <f>"20"&amp;RIGHT(B207,2)&amp;"Q"&amp;LEFT(B207,1)</f>
        <v>2023Q3</v>
      </c>
      <c r="M207" s="2">
        <f>C207</f>
        <v>7.2230044057408405E-2</v>
      </c>
      <c r="N207" s="2">
        <f>D207/10</f>
        <v>8.4556108529052908E-4</v>
      </c>
      <c r="O207" s="2">
        <f>E207</f>
        <v>-5.7305121648797896E-3</v>
      </c>
      <c r="P207" s="2">
        <f>F207</f>
        <v>-8.5910144321421893E-3</v>
      </c>
      <c r="Q207" s="2">
        <f>G207</f>
        <v>-2.1796390741324199E-2</v>
      </c>
      <c r="R207" s="2">
        <f>H207</f>
        <v>-1.1597694335807899E-2</v>
      </c>
      <c r="S207" s="2">
        <f>I207</f>
        <v>-5.8128839275354898E-3</v>
      </c>
      <c r="AD207" s="1">
        <f>LEFT(L207,4)+1</f>
        <v>2024</v>
      </c>
      <c r="AE207" s="2">
        <f>M207</f>
        <v>7.2230044057408405E-2</v>
      </c>
      <c r="AF207" s="2">
        <f>N207</f>
        <v>8.4556108529052908E-4</v>
      </c>
      <c r="AG207" s="2">
        <f>O207</f>
        <v>-5.7305121648797896E-3</v>
      </c>
      <c r="AH207" s="2">
        <f>P207</f>
        <v>-8.5910144321421893E-3</v>
      </c>
      <c r="AI207" s="2">
        <f>Q207</f>
        <v>-2.1796390741324199E-2</v>
      </c>
      <c r="AJ207" s="2">
        <f>R207</f>
        <v>-1.1597694335807899E-2</v>
      </c>
      <c r="AK207" s="2">
        <f>S207</f>
        <v>-5.8128839275354898E-3</v>
      </c>
    </row>
    <row r="208" spans="1:37" ht="15" x14ac:dyDescent="0.25">
      <c r="A208" s="3">
        <v>45291</v>
      </c>
      <c r="B208" s="1" t="s">
        <v>2</v>
      </c>
      <c r="C208">
        <v>0.14282199116419</v>
      </c>
      <c r="D208">
        <v>7.1751511631156601E-3</v>
      </c>
      <c r="E208">
        <v>-4.2408401272856699E-3</v>
      </c>
      <c r="F208">
        <v>-2.3119289769440401E-2</v>
      </c>
      <c r="G208">
        <v>-1.32158097405966E-2</v>
      </c>
      <c r="H208">
        <v>-7.6369898242944299E-3</v>
      </c>
      <c r="I208">
        <v>-1.9723235548954401E-3</v>
      </c>
      <c r="L208" s="1" t="str">
        <f>"20"&amp;RIGHT(B208,2)&amp;"Q"&amp;LEFT(B208,1)</f>
        <v>2023Q4</v>
      </c>
      <c r="M208" s="2">
        <f>C208</f>
        <v>0.14282199116419</v>
      </c>
      <c r="N208" s="2">
        <f>D208/10</f>
        <v>7.1751511631156601E-4</v>
      </c>
      <c r="O208" s="2">
        <f>E208</f>
        <v>-4.2408401272856699E-3</v>
      </c>
      <c r="P208" s="2">
        <f>F208</f>
        <v>-2.3119289769440401E-2</v>
      </c>
      <c r="Q208" s="2">
        <f>G208</f>
        <v>-1.32158097405966E-2</v>
      </c>
      <c r="R208" s="2">
        <f>H208</f>
        <v>-7.6369898242944299E-3</v>
      </c>
      <c r="S208" s="2">
        <f>I208</f>
        <v>-1.9723235548954401E-3</v>
      </c>
      <c r="AD208" s="1">
        <f>LEFT(L208,4)+1</f>
        <v>2024</v>
      </c>
      <c r="AE208" s="2">
        <f>M208</f>
        <v>0.14282199116419</v>
      </c>
      <c r="AF208" s="2">
        <f>N208</f>
        <v>7.1751511631156601E-4</v>
      </c>
      <c r="AG208" s="2">
        <f>O208</f>
        <v>-4.2408401272856699E-3</v>
      </c>
      <c r="AH208" s="2">
        <f>P208</f>
        <v>-2.3119289769440401E-2</v>
      </c>
      <c r="AI208" s="2">
        <f>Q208</f>
        <v>-1.32158097405966E-2</v>
      </c>
      <c r="AJ208" s="2">
        <f>R208</f>
        <v>-7.6369898242944299E-3</v>
      </c>
      <c r="AK208" s="2">
        <f>S208</f>
        <v>-1.9723235548954401E-3</v>
      </c>
    </row>
    <row r="209" spans="1:37" ht="15" x14ac:dyDescent="0.25">
      <c r="A209" s="3">
        <v>45382</v>
      </c>
      <c r="B209" s="1" t="s">
        <v>1</v>
      </c>
      <c r="C209">
        <v>-6.4293396076666497E-3</v>
      </c>
      <c r="D209">
        <v>-1.92670646632675E-2</v>
      </c>
      <c r="E209">
        <v>-3.5676220759558702E-2</v>
      </c>
      <c r="F209">
        <v>-2.2861864050057999E-2</v>
      </c>
      <c r="G209">
        <v>-1.5259031669921101E-2</v>
      </c>
      <c r="H209">
        <v>-8.0980005813044691E-3</v>
      </c>
      <c r="I209">
        <v>-4.9361232806307302E-3</v>
      </c>
      <c r="L209" s="1" t="str">
        <f>"20"&amp;RIGHT(B209,2)&amp;"Q"&amp;LEFT(B209,1)</f>
        <v>2024Q1</v>
      </c>
      <c r="M209" s="2">
        <f>C209</f>
        <v>-6.4293396076666497E-3</v>
      </c>
      <c r="N209" s="2">
        <f>D209/10</f>
        <v>-1.92670646632675E-3</v>
      </c>
      <c r="O209" s="2">
        <f>E209</f>
        <v>-3.5676220759558702E-2</v>
      </c>
      <c r="P209" s="2">
        <f>F209</f>
        <v>-2.2861864050057999E-2</v>
      </c>
      <c r="Q209" s="2">
        <f>G209</f>
        <v>-1.5259031669921101E-2</v>
      </c>
      <c r="R209" s="2">
        <f>H209</f>
        <v>-8.0980005813044691E-3</v>
      </c>
      <c r="S209" s="2">
        <f>I209</f>
        <v>-4.9361232806307302E-3</v>
      </c>
      <c r="AD209" s="1">
        <f>LEFT(L209,4)+1</f>
        <v>2025</v>
      </c>
      <c r="AE209" s="2">
        <f>M209</f>
        <v>-6.4293396076666497E-3</v>
      </c>
      <c r="AF209" s="2">
        <f>N209</f>
        <v>-1.92670646632675E-3</v>
      </c>
      <c r="AG209" s="2">
        <f>O209</f>
        <v>-3.5676220759558702E-2</v>
      </c>
      <c r="AH209" s="2">
        <f>P209</f>
        <v>-2.2861864050057999E-2</v>
      </c>
      <c r="AI209" s="2">
        <f>Q209</f>
        <v>-1.5259031669921101E-2</v>
      </c>
      <c r="AJ209" s="2">
        <f>R209</f>
        <v>-8.0980005813044691E-3</v>
      </c>
      <c r="AK209" s="2">
        <f>S209</f>
        <v>-4.9361232806307302E-3</v>
      </c>
    </row>
    <row r="210" spans="1:37" ht="15" x14ac:dyDescent="0.25">
      <c r="A210" s="3">
        <v>45473</v>
      </c>
      <c r="B210" s="1" t="s">
        <v>0</v>
      </c>
      <c r="C210">
        <v>7.5541036338766396E-2</v>
      </c>
      <c r="D210">
        <v>-2.7110770959999399E-2</v>
      </c>
      <c r="E210">
        <v>-1.8482684204911601E-2</v>
      </c>
      <c r="F210">
        <v>-1.2157127543457E-2</v>
      </c>
      <c r="G210">
        <v>-5.8524159786189998E-3</v>
      </c>
      <c r="H210">
        <v>-3.2937908317254199E-3</v>
      </c>
      <c r="I210">
        <v>1.1952302463265601E-3</v>
      </c>
      <c r="L210" s="1" t="str">
        <f>"20"&amp;RIGHT(B210,2)&amp;"Q"&amp;LEFT(B210,1)</f>
        <v>2024Q2</v>
      </c>
      <c r="M210" s="2">
        <f>C210</f>
        <v>7.5541036338766396E-2</v>
      </c>
      <c r="N210" s="2">
        <f>D210/10</f>
        <v>-2.7110770959999399E-3</v>
      </c>
      <c r="O210" s="2">
        <f>E210</f>
        <v>-1.8482684204911601E-2</v>
      </c>
      <c r="P210" s="2">
        <f>F210</f>
        <v>-1.2157127543457E-2</v>
      </c>
      <c r="Q210" s="2">
        <f>G210</f>
        <v>-5.8524159786189998E-3</v>
      </c>
      <c r="R210" s="2">
        <f>H210</f>
        <v>-3.2937908317254199E-3</v>
      </c>
      <c r="S210" s="2">
        <f>I210</f>
        <v>1.1952302463265601E-3</v>
      </c>
      <c r="AD210" s="1">
        <f>LEFT(L210,4)+1</f>
        <v>2025</v>
      </c>
      <c r="AE210" s="2">
        <f>M210</f>
        <v>7.5541036338766396E-2</v>
      </c>
      <c r="AF210" s="2">
        <f>N210</f>
        <v>-2.7110770959999399E-3</v>
      </c>
      <c r="AG210" s="2">
        <f>O210</f>
        <v>-1.8482684204911601E-2</v>
      </c>
      <c r="AH210" s="2">
        <f>P210</f>
        <v>-1.2157127543457E-2</v>
      </c>
      <c r="AI210" s="2">
        <f>Q210</f>
        <v>-5.8524159786189998E-3</v>
      </c>
      <c r="AJ210" s="2">
        <f>R210</f>
        <v>-3.2937908317254199E-3</v>
      </c>
      <c r="AK210" s="2">
        <f>S210</f>
        <v>1.1952302463265601E-3</v>
      </c>
    </row>
    <row r="211" spans="1:37" x14ac:dyDescent="0.2">
      <c r="A211" s="3">
        <v>45565</v>
      </c>
      <c r="B211" s="1" t="s">
        <v>80</v>
      </c>
      <c r="L211" s="1" t="str">
        <f>"20"&amp;RIGHT(B211,2)&amp;"Q"&amp;LEFT(B211,1)</f>
        <v>2024Q3</v>
      </c>
      <c r="M211" s="2">
        <f>C211</f>
        <v>0</v>
      </c>
      <c r="N211" s="2">
        <f>D211/10</f>
        <v>0</v>
      </c>
      <c r="O211" s="2">
        <f>E211</f>
        <v>0</v>
      </c>
      <c r="P211" s="2">
        <f>F211</f>
        <v>0</v>
      </c>
      <c r="Q211" s="2">
        <f>G211</f>
        <v>0</v>
      </c>
      <c r="R211" s="2">
        <f>H211</f>
        <v>0</v>
      </c>
      <c r="S211" s="2">
        <f>I211</f>
        <v>0</v>
      </c>
      <c r="AD211" s="1">
        <f>LEFT(L211,4)+1</f>
        <v>2025</v>
      </c>
      <c r="AE211" s="2">
        <f>M211</f>
        <v>0</v>
      </c>
      <c r="AF211" s="2">
        <f>N211</f>
        <v>0</v>
      </c>
      <c r="AG211" s="2">
        <f>O211</f>
        <v>0</v>
      </c>
      <c r="AH211" s="2">
        <f>P211</f>
        <v>0</v>
      </c>
      <c r="AI211" s="2">
        <f>Q211</f>
        <v>0</v>
      </c>
      <c r="AJ211" s="2">
        <f>R211</f>
        <v>0</v>
      </c>
      <c r="AK211" s="2">
        <f>S211</f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US_raw_policy_innovations</vt:lpstr>
      <vt:lpstr>EA_raw_policy_innovations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2026-03-08T03:25:37Z</dcterms:created>
  <dcterms:modified xsi:type="dcterms:W3CDTF">2026-03-09T13:55:37Z</dcterms:modified>
</cp:coreProperties>
</file>